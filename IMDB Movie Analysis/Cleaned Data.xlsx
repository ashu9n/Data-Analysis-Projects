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aashutoshnayakwadi/Downloads/"/>
    </mc:Choice>
  </mc:AlternateContent>
  <xr:revisionPtr revIDLastSave="0" documentId="8_{375F95BC-590E-0A4B-B3FE-B6BDD98FCC23}" xr6:coauthVersionLast="47" xr6:coauthVersionMax="47" xr10:uidLastSave="{00000000-0000-0000-0000-000000000000}"/>
  <bookViews>
    <workbookView xWindow="0" yWindow="520" windowWidth="20480" windowHeight="12800" activeTab="4" xr2:uid="{2EAD143E-7127-9241-9750-FCD6ED4A2CF6}"/>
  </bookViews>
  <sheets>
    <sheet name="IMDB_Movies" sheetId="2" r:id="rId1"/>
    <sheet name="Movie Genre Analysis" sheetId="1" r:id="rId2"/>
    <sheet name="Movie Duration Analysis" sheetId="3" r:id="rId3"/>
    <sheet name="Language Analysis" sheetId="5" r:id="rId4"/>
    <sheet name="Director Analysis" sheetId="7" r:id="rId5"/>
    <sheet name="Budget Analysis" sheetId="9" r:id="rId6"/>
  </sheets>
  <definedNames>
    <definedName name="_xlnm._FilterDatabase" localSheetId="0" hidden="1">IMDB_Movies!$A$1:$H$4791</definedName>
    <definedName name="Slicer_Language">#N/A</definedName>
  </definedNames>
  <calcPr calcId="191029"/>
  <pivotCaches>
    <pivotCache cacheId="40" r:id="rId7"/>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a="1"/>
  <c r="F3" i="5" s="1"/>
  <c r="F2" i="7"/>
  <c r="E4" i="7" s="1" a="1"/>
  <c r="E4" i="7" s="1"/>
  <c r="I2" i="2"/>
  <c r="I4" i="2"/>
  <c r="F36" i="7" l="1"/>
  <c r="C2" i="9"/>
  <c r="F34" i="7"/>
  <c r="K6" i="3"/>
  <c r="K5" i="3"/>
  <c r="K4" i="3"/>
  <c r="I3" i="2" l="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H4" i="1"/>
  <c r="H5" i="1"/>
  <c r="H6" i="1"/>
  <c r="H7" i="1"/>
  <c r="H8" i="1"/>
  <c r="H9" i="1"/>
  <c r="H10" i="1"/>
  <c r="H11" i="1"/>
  <c r="H12" i="1"/>
  <c r="H13" i="1"/>
  <c r="H14" i="1"/>
  <c r="H15" i="1"/>
  <c r="H16" i="1"/>
  <c r="H17" i="1"/>
  <c r="H18" i="1"/>
  <c r="H19" i="1"/>
  <c r="H20" i="1"/>
  <c r="H21" i="1"/>
  <c r="H22" i="1"/>
  <c r="H3" i="1"/>
  <c r="F2"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73BA3D-E130-9943-BF57-165478A08652}" keepAlive="1" name="Query - IMDB_Movies" description="Connection to the 'IMDB_Movies' query in the workbook." type="5" refreshedVersion="8" background="1" saveData="1">
    <dbPr connection="Provider=Microsoft.Mashup.OleDb.1;Data Source=$Workbook$;Location=IMDB_Movies;Extended Properties=&quot;&quot;" command="SELECT * FROM [IMDB_Movi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<sst xmlns="http://schemas.openxmlformats.org/spreadsheetml/2006/main" count="21668" uniqueCount="7267">
  <si>
    <t>Movie Name</t>
  </si>
  <si>
    <t>Director</t>
  </si>
  <si>
    <t>Genre</t>
  </si>
  <si>
    <t>Language</t>
  </si>
  <si>
    <t>Duration</t>
  </si>
  <si>
    <t>IMDB Score</t>
  </si>
  <si>
    <t>Budget</t>
  </si>
  <si>
    <t>Gross</t>
  </si>
  <si>
    <t>Avatar</t>
  </si>
  <si>
    <t>James Cameron</t>
  </si>
  <si>
    <t>Action</t>
  </si>
  <si>
    <t>English</t>
  </si>
  <si>
    <t>Pirates of the Caribbean: At World's End</t>
  </si>
  <si>
    <t>Gore Verbinski</t>
  </si>
  <si>
    <t>Spectre</t>
  </si>
  <si>
    <t>Sam Mendes</t>
  </si>
  <si>
    <t>The Dark Knight Rises</t>
  </si>
  <si>
    <t>Christopher Nolan</t>
  </si>
  <si>
    <t>John Carter</t>
  </si>
  <si>
    <t>Andrew Stanton</t>
  </si>
  <si>
    <t>Spider-Man 3</t>
  </si>
  <si>
    <t>Sam Raimi</t>
  </si>
  <si>
    <t>Tangled</t>
  </si>
  <si>
    <t>Nathan Greno</t>
  </si>
  <si>
    <t>Adventure</t>
  </si>
  <si>
    <t>Avengers: Age of Ultron</t>
  </si>
  <si>
    <t>Joss Whedon</t>
  </si>
  <si>
    <t>Harry Potter and the Half-Blood Prince</t>
  </si>
  <si>
    <t>David Yates</t>
  </si>
  <si>
    <t>Batman v Superman: Dawn of Justice</t>
  </si>
  <si>
    <t>Zack Snyder</t>
  </si>
  <si>
    <t>Superman Returns</t>
  </si>
  <si>
    <t>Bryan Singer</t>
  </si>
  <si>
    <t>Quantum of Solace</t>
  </si>
  <si>
    <t>Marc Forster</t>
  </si>
  <si>
    <t>Pirates of the Caribbean: Dead Man's Chest</t>
  </si>
  <si>
    <t>The Lone Ranger</t>
  </si>
  <si>
    <t>Man of Steel</t>
  </si>
  <si>
    <t>The Chronicles of Narnia: Prince Caspian</t>
  </si>
  <si>
    <t>Andrew Adamson</t>
  </si>
  <si>
    <t>The Avengers</t>
  </si>
  <si>
    <t>Pirates of the Caribbean: On Stranger Tides</t>
  </si>
  <si>
    <t>Rob Marshall</t>
  </si>
  <si>
    <t>Men in Black 3</t>
  </si>
  <si>
    <t>Barry Sonnenfeld</t>
  </si>
  <si>
    <t>The Hobbit: The Battle of the Five Armies</t>
  </si>
  <si>
    <t>Peter Jackson</t>
  </si>
  <si>
    <t>The Amazing Spider-Man</t>
  </si>
  <si>
    <t>Marc Webb</t>
  </si>
  <si>
    <t>Robin Hood</t>
  </si>
  <si>
    <t>Ridley Scott</t>
  </si>
  <si>
    <t>The Hobbit: The Desolation of Smaug</t>
  </si>
  <si>
    <t>The Golden Compass</t>
  </si>
  <si>
    <t>Chris Weitz</t>
  </si>
  <si>
    <t>King Kong</t>
  </si>
  <si>
    <t>Titanic</t>
  </si>
  <si>
    <t>Drama</t>
  </si>
  <si>
    <t>Captain America: Civil War</t>
  </si>
  <si>
    <t>Anthony Russo</t>
  </si>
  <si>
    <t>Battleship</t>
  </si>
  <si>
    <t>Peter Berg</t>
  </si>
  <si>
    <t>Jurassic World</t>
  </si>
  <si>
    <t>Colin Trevorrow</t>
  </si>
  <si>
    <t>Skyfall</t>
  </si>
  <si>
    <t>Spider-Man 2</t>
  </si>
  <si>
    <t>Iron Man 3</t>
  </si>
  <si>
    <t>Shane Black</t>
  </si>
  <si>
    <t>Alice in Wonderland</t>
  </si>
  <si>
    <t>Tim Burton</t>
  </si>
  <si>
    <t>X-Men: The Last Stand</t>
  </si>
  <si>
    <t>Brett Ratner</t>
  </si>
  <si>
    <t>Monsters University</t>
  </si>
  <si>
    <t>Dan Scanlon</t>
  </si>
  <si>
    <t>Transformers: Revenge of the Fallen</t>
  </si>
  <si>
    <t>Michael Bay</t>
  </si>
  <si>
    <t>Transformers: Age of Extinction</t>
  </si>
  <si>
    <t>Oz the Great and Powerful</t>
  </si>
  <si>
    <t>The Amazing Spider-Man 2</t>
  </si>
  <si>
    <t>TRON: Legacy</t>
  </si>
  <si>
    <t>Joseph Kosinski</t>
  </si>
  <si>
    <t>Cars 2</t>
  </si>
  <si>
    <t>John Lasseter</t>
  </si>
  <si>
    <t>Green Lantern</t>
  </si>
  <si>
    <t>Martin Campbell</t>
  </si>
  <si>
    <t>Toy Story 3</t>
  </si>
  <si>
    <t>Lee Unkrich</t>
  </si>
  <si>
    <t>Terminator Salvation</t>
  </si>
  <si>
    <t>Mcg</t>
  </si>
  <si>
    <t>Furious 7</t>
  </si>
  <si>
    <t>James Wan</t>
  </si>
  <si>
    <t>World War Z</t>
  </si>
  <si>
    <t>X-Men: Days of Future Past</t>
  </si>
  <si>
    <t>Star Trek Into Darkness</t>
  </si>
  <si>
    <t>J.J. Abrams</t>
  </si>
  <si>
    <t>Jack the Giant Slayer</t>
  </si>
  <si>
    <t>The Great Gatsby</t>
  </si>
  <si>
    <t>Baz Luhrmann</t>
  </si>
  <si>
    <t>Prince of Persia: The Sands of Time</t>
  </si>
  <si>
    <t>Mike Newell</t>
  </si>
  <si>
    <t>Pacific Rim</t>
  </si>
  <si>
    <t>Guillermo Del Toro</t>
  </si>
  <si>
    <t>Transformers: Dark of the Moon</t>
  </si>
  <si>
    <t>Indiana Jones and the Kingdom of the Crystal Skull</t>
  </si>
  <si>
    <t>Steven Spielberg</t>
  </si>
  <si>
    <t>The Good Dinosaur</t>
  </si>
  <si>
    <t>Peter Sohn</t>
  </si>
  <si>
    <t>Brave</t>
  </si>
  <si>
    <t>Mark Andrews</t>
  </si>
  <si>
    <t>Star Trek Beyond</t>
  </si>
  <si>
    <t>Justin Lin</t>
  </si>
  <si>
    <t>WALL·E</t>
  </si>
  <si>
    <t>Rush Hour 3</t>
  </si>
  <si>
    <t>2012</t>
  </si>
  <si>
    <t>Roland Emmerich</t>
  </si>
  <si>
    <t>A Christmas Carol</t>
  </si>
  <si>
    <t>Robert Zemeckis</t>
  </si>
  <si>
    <t>Animation</t>
  </si>
  <si>
    <t>Jupiter Ascending</t>
  </si>
  <si>
    <t>Lana Wachowski</t>
  </si>
  <si>
    <t>The Legend of Tarzan</t>
  </si>
  <si>
    <t>The Chronicles of Narnia: The Lion, the Witch and the Wardrobe</t>
  </si>
  <si>
    <t>X-Men: Apocalypse</t>
  </si>
  <si>
    <t>The Dark Knight</t>
  </si>
  <si>
    <t>Up</t>
  </si>
  <si>
    <t>Pete Docter</t>
  </si>
  <si>
    <t>Monsters vs. Aliens</t>
  </si>
  <si>
    <t>Rob Letterman</t>
  </si>
  <si>
    <t>Iron Man</t>
  </si>
  <si>
    <t>Jon Favreau</t>
  </si>
  <si>
    <t>Hugo</t>
  </si>
  <si>
    <t>Martin Scorsese</t>
  </si>
  <si>
    <t>Wild Wild West</t>
  </si>
  <si>
    <t>The Mummy: Tomb of the Dragon Emperor</t>
  </si>
  <si>
    <t>Rob Cohen</t>
  </si>
  <si>
    <t>Suicide Squad</t>
  </si>
  <si>
    <t>David Ayer</t>
  </si>
  <si>
    <t>Evan Almighty</t>
  </si>
  <si>
    <t>Tom Shadyac</t>
  </si>
  <si>
    <t>Comedy</t>
  </si>
  <si>
    <t>Edge of Tomorrow</t>
  </si>
  <si>
    <t>Doug Liman</t>
  </si>
  <si>
    <t>Waterworld</t>
  </si>
  <si>
    <t>Kevin Reynolds</t>
  </si>
  <si>
    <t>G.I. Joe: The Rise of Cobra</t>
  </si>
  <si>
    <t>Stephen Sommers</t>
  </si>
  <si>
    <t>Inside Out</t>
  </si>
  <si>
    <t>The Jungle Book</t>
  </si>
  <si>
    <t>Iron Man 2</t>
  </si>
  <si>
    <t>Snow White and the Huntsman</t>
  </si>
  <si>
    <t>Rupert Sanders</t>
  </si>
  <si>
    <t>Maleficent</t>
  </si>
  <si>
    <t>Robert Stromberg</t>
  </si>
  <si>
    <t>Dawn of the Planet of the Apes</t>
  </si>
  <si>
    <t>Matt Reeves</t>
  </si>
  <si>
    <t>The Lovers</t>
  </si>
  <si>
    <t>Roland Joffé</t>
  </si>
  <si>
    <t>47 Ronin</t>
  </si>
  <si>
    <t>Carl Rinsch</t>
  </si>
  <si>
    <t>Captain America: The Winter Soldier</t>
  </si>
  <si>
    <t>Shrek Forever After</t>
  </si>
  <si>
    <t>Mike Mitchell</t>
  </si>
  <si>
    <t>Tomorrowland</t>
  </si>
  <si>
    <t>Brad Bird</t>
  </si>
  <si>
    <t>Big Hero 6</t>
  </si>
  <si>
    <t>Don Hall</t>
  </si>
  <si>
    <t>Wreck-It Ralph</t>
  </si>
  <si>
    <t>Rich Moore</t>
  </si>
  <si>
    <t>The Polar Express</t>
  </si>
  <si>
    <t>Independence Day: Resurgence</t>
  </si>
  <si>
    <t>How to Train Your Dragon</t>
  </si>
  <si>
    <t>Dean Deblois</t>
  </si>
  <si>
    <t>Terminator 3: Rise of the Machines</t>
  </si>
  <si>
    <t>Jonathan Mostow</t>
  </si>
  <si>
    <t>Guardians of the Galaxy</t>
  </si>
  <si>
    <t>James Gunn</t>
  </si>
  <si>
    <t>Interstellar</t>
  </si>
  <si>
    <t>Inception</t>
  </si>
  <si>
    <t>Godzilla Resurgence</t>
  </si>
  <si>
    <t>Hideaki Anno</t>
  </si>
  <si>
    <t>Japanese</t>
  </si>
  <si>
    <t>The Hobbit: An Unexpected Journey</t>
  </si>
  <si>
    <t>The Fast and the Furious</t>
  </si>
  <si>
    <t>The Curious Case of Benjamin Button</t>
  </si>
  <si>
    <t>David Fincher</t>
  </si>
  <si>
    <t>X-Men: First Class</t>
  </si>
  <si>
    <t>Matthew Vaughn</t>
  </si>
  <si>
    <t>The Hunger Games: Mockingjay - Part 2</t>
  </si>
  <si>
    <t>Francis Lawrence</t>
  </si>
  <si>
    <t>The Sorcerer's Apprentice</t>
  </si>
  <si>
    <t>Jon Turteltaub</t>
  </si>
  <si>
    <t>Poseidon</t>
  </si>
  <si>
    <t>Wolfgang Petersen</t>
  </si>
  <si>
    <t>Alice Through the Looking Glass</t>
  </si>
  <si>
    <t>James Bobin</t>
  </si>
  <si>
    <t>Shrek the Third</t>
  </si>
  <si>
    <t>Chris Miller</t>
  </si>
  <si>
    <t>Warcraft</t>
  </si>
  <si>
    <t>Duncan Jones</t>
  </si>
  <si>
    <t>Terminator Genisys</t>
  </si>
  <si>
    <t>Alan Taylor</t>
  </si>
  <si>
    <t>The Chronicles of Narnia: The Voyage of the Dawn Treader</t>
  </si>
  <si>
    <t>Michael Apted</t>
  </si>
  <si>
    <t>Pearl Harbor</t>
  </si>
  <si>
    <t>Transformers</t>
  </si>
  <si>
    <t>Alexander</t>
  </si>
  <si>
    <t>Oliver Stone</t>
  </si>
  <si>
    <t>Harry Potter and the Order of the Phoenix</t>
  </si>
  <si>
    <t>Harry Potter and the Goblet of Fire</t>
  </si>
  <si>
    <t>Hancock</t>
  </si>
  <si>
    <t>I Am Legend</t>
  </si>
  <si>
    <t>Charlie and the Chocolate Factory</t>
  </si>
  <si>
    <t>Ratatouille</t>
  </si>
  <si>
    <t>Batman Begins</t>
  </si>
  <si>
    <t>Madagascar: Escape 2 Africa</t>
  </si>
  <si>
    <t>Eric Darnell</t>
  </si>
  <si>
    <t>Night at the Museum: Battle of the Smithsonian</t>
  </si>
  <si>
    <t>Shawn Levy</t>
  </si>
  <si>
    <t>X-Men Origins: Wolverine</t>
  </si>
  <si>
    <t>Gavin Hood</t>
  </si>
  <si>
    <t>The Matrix Revolutions</t>
  </si>
  <si>
    <t>Frozen</t>
  </si>
  <si>
    <t>Chris Buck</t>
  </si>
  <si>
    <t>The Matrix Reloaded</t>
  </si>
  <si>
    <t>Thor: The Dark World</t>
  </si>
  <si>
    <t>Mad Max: Fury Road</t>
  </si>
  <si>
    <t>George Miller</t>
  </si>
  <si>
    <t>Angels &amp; Demons</t>
  </si>
  <si>
    <t>Ron Howard</t>
  </si>
  <si>
    <t>Mystery</t>
  </si>
  <si>
    <t>Thor</t>
  </si>
  <si>
    <t>Kenneth Branagh</t>
  </si>
  <si>
    <t>Bolt</t>
  </si>
  <si>
    <t>Byron Howard</t>
  </si>
  <si>
    <t>G-Force</t>
  </si>
  <si>
    <t>Hoyt Yeatman</t>
  </si>
  <si>
    <t>Wrath of the Titans</t>
  </si>
  <si>
    <t>Jonathan Liebesman</t>
  </si>
  <si>
    <t>Dark Shadows</t>
  </si>
  <si>
    <t>Mission: Impossible - Rogue Nation</t>
  </si>
  <si>
    <t>Christopher Mcquarrie</t>
  </si>
  <si>
    <t>The Wolfman</t>
  </si>
  <si>
    <t>Joe Johnston</t>
  </si>
  <si>
    <t>Bee Movie</t>
  </si>
  <si>
    <t>Steve Hickner</t>
  </si>
  <si>
    <t>Kung Fu Panda 2</t>
  </si>
  <si>
    <t>Jennifer Yuh Nelson</t>
  </si>
  <si>
    <t>The Last Airbender</t>
  </si>
  <si>
    <t>M. Night Shyamalan</t>
  </si>
  <si>
    <t>Mission: Impossible III</t>
  </si>
  <si>
    <t>White House Down</t>
  </si>
  <si>
    <t>Mars Needs Moms</t>
  </si>
  <si>
    <t>Simon Wells</t>
  </si>
  <si>
    <t>Flushed Away</t>
  </si>
  <si>
    <t>David Bowers</t>
  </si>
  <si>
    <t>Pan</t>
  </si>
  <si>
    <t>Joe Wright</t>
  </si>
  <si>
    <t>Mr. Peabody &amp; Sherman</t>
  </si>
  <si>
    <t>Rob Minkoff</t>
  </si>
  <si>
    <t>Troy</t>
  </si>
  <si>
    <t>Madagascar 3: Europe's Most Wanted</t>
  </si>
  <si>
    <t>Die Another Day</t>
  </si>
  <si>
    <t>Lee Tamahori</t>
  </si>
  <si>
    <t>Ghostbusters</t>
  </si>
  <si>
    <t>Paul Feig</t>
  </si>
  <si>
    <t>Armageddon</t>
  </si>
  <si>
    <t>Men in Black II</t>
  </si>
  <si>
    <t>Beowulf</t>
  </si>
  <si>
    <t>Kung Fu Panda 3</t>
  </si>
  <si>
    <t>Alessandro Carloni</t>
  </si>
  <si>
    <t>Mission: Impossible - Ghost Protocol</t>
  </si>
  <si>
    <t>Rise of the Guardians</t>
  </si>
  <si>
    <t>Peter Ramsey</t>
  </si>
  <si>
    <t>Fun with Dick and Jane</t>
  </si>
  <si>
    <t>Dean Parisot</t>
  </si>
  <si>
    <t>The Last Samurai</t>
  </si>
  <si>
    <t>Edward Zwick</t>
  </si>
  <si>
    <t>Exodus: Gods and Kings</t>
  </si>
  <si>
    <t>Star Trek</t>
  </si>
  <si>
    <t>Spider-Man</t>
  </si>
  <si>
    <t>How to Train Your Dragon 2</t>
  </si>
  <si>
    <t>Gods of Egypt</t>
  </si>
  <si>
    <t>Alex Proyas</t>
  </si>
  <si>
    <t>Stealth</t>
  </si>
  <si>
    <t>Watchmen</t>
  </si>
  <si>
    <t>Lethal Weapon 4</t>
  </si>
  <si>
    <t>Richard Donner</t>
  </si>
  <si>
    <t>Hulk</t>
  </si>
  <si>
    <t>Ang Lee</t>
  </si>
  <si>
    <t>G.I. Joe: Retaliation</t>
  </si>
  <si>
    <t>Jon M. Chu</t>
  </si>
  <si>
    <t>Sahara</t>
  </si>
  <si>
    <t>Breck Eisner</t>
  </si>
  <si>
    <t>Final Fantasy: The Spirits Within</t>
  </si>
  <si>
    <t>Hironobu Sakaguchi</t>
  </si>
  <si>
    <t>Captain America: The First Avenger</t>
  </si>
  <si>
    <t>The World Is Not Enough</t>
  </si>
  <si>
    <t>Master and Commander: The Far Side of the World</t>
  </si>
  <si>
    <t>Peter Weir</t>
  </si>
  <si>
    <t>The Twilight Saga: Breaking Dawn - Part 2</t>
  </si>
  <si>
    <t>Bill Condon</t>
  </si>
  <si>
    <t>Happy Feet 2</t>
  </si>
  <si>
    <t>The Incredible Hulk</t>
  </si>
  <si>
    <t>Louis Leterrier</t>
  </si>
  <si>
    <t>The BFG</t>
  </si>
  <si>
    <t>The Revenant</t>
  </si>
  <si>
    <t>Alejandro G. Iñárritu</t>
  </si>
  <si>
    <t>Turbo</t>
  </si>
  <si>
    <t>David Soren</t>
  </si>
  <si>
    <t>Rango</t>
  </si>
  <si>
    <t>Penguins of Madagascar</t>
  </si>
  <si>
    <t>The Bourne Ultimatum</t>
  </si>
  <si>
    <t>Paul Greengrass</t>
  </si>
  <si>
    <t>Kung Fu Panda</t>
  </si>
  <si>
    <t>Mark Osborne</t>
  </si>
  <si>
    <t>Ant-Man</t>
  </si>
  <si>
    <t>Peyton Reed</t>
  </si>
  <si>
    <t>The Hunger Games: Catching Fire</t>
  </si>
  <si>
    <t>Home</t>
  </si>
  <si>
    <t>Tim Johnson</t>
  </si>
  <si>
    <t>War of the Worlds</t>
  </si>
  <si>
    <t>Bad Boys II</t>
  </si>
  <si>
    <t>Puss in Boots</t>
  </si>
  <si>
    <t>Salt</t>
  </si>
  <si>
    <t>Phillip Noyce</t>
  </si>
  <si>
    <t>Noah</t>
  </si>
  <si>
    <t>Darren Aronofsky</t>
  </si>
  <si>
    <t>The Adventures of Tintin</t>
  </si>
  <si>
    <t>Harry Potter and the Prisoner of Azkaban</t>
  </si>
  <si>
    <t>Alfonso Cuarón</t>
  </si>
  <si>
    <t>Australia</t>
  </si>
  <si>
    <t>After Earth</t>
  </si>
  <si>
    <t>Dinosaur</t>
  </si>
  <si>
    <t>Eric Leighton</t>
  </si>
  <si>
    <t>Night at the Museum: Secret of the Tomb</t>
  </si>
  <si>
    <t>Megamind</t>
  </si>
  <si>
    <t>Tom Mcgrath</t>
  </si>
  <si>
    <t>Harry Potter and the Sorcerer's Stone</t>
  </si>
  <si>
    <t>Chris Columbus</t>
  </si>
  <si>
    <t>R.I.P.D.</t>
  </si>
  <si>
    <t>Robert Schwentke</t>
  </si>
  <si>
    <t>Pirates of the Caribbean: The Curse of the Black Pearl</t>
  </si>
  <si>
    <t>The Hunger Games: Mockingjay - Part 1</t>
  </si>
  <si>
    <t>The Da Vinci Code</t>
  </si>
  <si>
    <t>Rio 2</t>
  </si>
  <si>
    <t>Carlos Saldanha</t>
  </si>
  <si>
    <t>X-Men 2</t>
  </si>
  <si>
    <t>Fast Five</t>
  </si>
  <si>
    <t>Sherlock Holmes: A Game of Shadows</t>
  </si>
  <si>
    <t>Guy Ritchie</t>
  </si>
  <si>
    <t>Clash of the Titans</t>
  </si>
  <si>
    <t>Total Recall</t>
  </si>
  <si>
    <t>Paul Verhoeven</t>
  </si>
  <si>
    <t>The 13th Warrior</t>
  </si>
  <si>
    <t>John Mctiernan</t>
  </si>
  <si>
    <t>The Bourne Legacy</t>
  </si>
  <si>
    <t>Tony Gilroy</t>
  </si>
  <si>
    <t>Batman &amp; Robin</t>
  </si>
  <si>
    <t>Joel Schumacher</t>
  </si>
  <si>
    <t>How the Grinch Stole Christmas</t>
  </si>
  <si>
    <t>The Day After Tomorrow</t>
  </si>
  <si>
    <t>Mission: Impossible II</t>
  </si>
  <si>
    <t>John Woo</t>
  </si>
  <si>
    <t>The Perfect Storm</t>
  </si>
  <si>
    <t>Fantastic 4: Rise of the Silver Surfer</t>
  </si>
  <si>
    <t>Tim Story</t>
  </si>
  <si>
    <t>Life of Pi</t>
  </si>
  <si>
    <t>Ghost Rider</t>
  </si>
  <si>
    <t>Mark Steven Johnson</t>
  </si>
  <si>
    <t>Jason Bourne</t>
  </si>
  <si>
    <t>Charlie's Angels: Full Throttle</t>
  </si>
  <si>
    <t>Prometheus</t>
  </si>
  <si>
    <t>Stuart Little 2</t>
  </si>
  <si>
    <t>Elysium</t>
  </si>
  <si>
    <t>Neill Blomkamp</t>
  </si>
  <si>
    <t>The Chronicles of Riddick</t>
  </si>
  <si>
    <t>David Twohy</t>
  </si>
  <si>
    <t>RoboCop</t>
  </si>
  <si>
    <t>José Padilha</t>
  </si>
  <si>
    <t>Speed Racer</t>
  </si>
  <si>
    <t>How Do You Know</t>
  </si>
  <si>
    <t>James L. Brooks</t>
  </si>
  <si>
    <t>Knight and Day</t>
  </si>
  <si>
    <t>James Mangold</t>
  </si>
  <si>
    <t>Oblivion</t>
  </si>
  <si>
    <t>Star Wars: Episode III - Revenge of the Sith</t>
  </si>
  <si>
    <t>George Lucas</t>
  </si>
  <si>
    <t>Star Wars: Episode II - Attack of the Clones</t>
  </si>
  <si>
    <t>Monsters, Inc.</t>
  </si>
  <si>
    <t>The Wolverine</t>
  </si>
  <si>
    <t>Star Wars: Episode I - The Phantom Menace</t>
  </si>
  <si>
    <t>The Croods</t>
  </si>
  <si>
    <t>Kirk De Micco</t>
  </si>
  <si>
    <t>Asterix at the Olympic Games</t>
  </si>
  <si>
    <t>Frédéric Forestier</t>
  </si>
  <si>
    <t>French</t>
  </si>
  <si>
    <t>Windtalkers</t>
  </si>
  <si>
    <t>The Huntsman: Winter's War</t>
  </si>
  <si>
    <t>Cedric Nicolas-Troyan</t>
  </si>
  <si>
    <t>Teenage Mutant Ninja Turtles</t>
  </si>
  <si>
    <t>Gravity</t>
  </si>
  <si>
    <t>Dante's Peak</t>
  </si>
  <si>
    <t>Roger Donaldson</t>
  </si>
  <si>
    <t>Teenage Mutant Ninja Turtles: Out of the Shadows</t>
  </si>
  <si>
    <t>Dave Green</t>
  </si>
  <si>
    <t>Fantastic Four</t>
  </si>
  <si>
    <t>Josh Trank</t>
  </si>
  <si>
    <t>Night at the Museum</t>
  </si>
  <si>
    <t>San Andreas</t>
  </si>
  <si>
    <t>Brad Peyton</t>
  </si>
  <si>
    <t>Tomorrow Never Dies</t>
  </si>
  <si>
    <t>Roger Spottiswoode</t>
  </si>
  <si>
    <t>The Patriot</t>
  </si>
  <si>
    <t>Ocean's Twelve</t>
  </si>
  <si>
    <t>Steven Soderbergh</t>
  </si>
  <si>
    <t>Crime</t>
  </si>
  <si>
    <t>Mr. &amp; Mrs. Smith</t>
  </si>
  <si>
    <t>Insurgent</t>
  </si>
  <si>
    <t>The Aviator</t>
  </si>
  <si>
    <t>Biography</t>
  </si>
  <si>
    <t>Gulliver's Travels</t>
  </si>
  <si>
    <t>The Green Hornet</t>
  </si>
  <si>
    <t>Michel Gondry</t>
  </si>
  <si>
    <t>300: Rise of an Empire</t>
  </si>
  <si>
    <t>Noam Murro</t>
  </si>
  <si>
    <t>The Smurfs</t>
  </si>
  <si>
    <t>Raja Gosnell</t>
  </si>
  <si>
    <t>Home on the Range</t>
  </si>
  <si>
    <t>Will Finn</t>
  </si>
  <si>
    <t>Allegiant</t>
  </si>
  <si>
    <t>Real Steel</t>
  </si>
  <si>
    <t>The Smurfs 2</t>
  </si>
  <si>
    <t>Speed 2: Cruise Control</t>
  </si>
  <si>
    <t>Jan De Bont</t>
  </si>
  <si>
    <t>Ender's Game</t>
  </si>
  <si>
    <t>Live Free or Die Hard</t>
  </si>
  <si>
    <t>Len Wiseman</t>
  </si>
  <si>
    <t>The Lord of the Rings: The Fellowship of the Ring</t>
  </si>
  <si>
    <t>Around the World in 80 Days</t>
  </si>
  <si>
    <t>Frank Coraci</t>
  </si>
  <si>
    <t>Ali</t>
  </si>
  <si>
    <t>Michael Mann</t>
  </si>
  <si>
    <t>The Cat in the Hat</t>
  </si>
  <si>
    <t>Bo Welch</t>
  </si>
  <si>
    <t>I, Robot</t>
  </si>
  <si>
    <t>Kingdom of Heaven</t>
  </si>
  <si>
    <t>Stuart Little</t>
  </si>
  <si>
    <t>The Princess and the Frog</t>
  </si>
  <si>
    <t>Ron Clements</t>
  </si>
  <si>
    <t>The Martian</t>
  </si>
  <si>
    <t>The Island</t>
  </si>
  <si>
    <t>Town &amp; Country</t>
  </si>
  <si>
    <t>Peter Chelsom</t>
  </si>
  <si>
    <t>Gone in Sixty Seconds</t>
  </si>
  <si>
    <t>Dominic Sena</t>
  </si>
  <si>
    <t>Gladiator</t>
  </si>
  <si>
    <t>Minority Report</t>
  </si>
  <si>
    <t>Harry Potter and the Chamber of Secrets</t>
  </si>
  <si>
    <t>Casino Royale</t>
  </si>
  <si>
    <t>Planet of the Apes</t>
  </si>
  <si>
    <t>Terminator 2: Judgment Day</t>
  </si>
  <si>
    <t>Public Enemies</t>
  </si>
  <si>
    <t>American Gangster</t>
  </si>
  <si>
    <t>True Lies</t>
  </si>
  <si>
    <t>The Taking of Pelham 1 2 3</t>
  </si>
  <si>
    <t>Tony Scott</t>
  </si>
  <si>
    <t>Little Fockers</t>
  </si>
  <si>
    <t>Paul Weitz</t>
  </si>
  <si>
    <t>The Other Guys</t>
  </si>
  <si>
    <t>Adam Mckay</t>
  </si>
  <si>
    <t>Eraser</t>
  </si>
  <si>
    <t>Chuck Russell</t>
  </si>
  <si>
    <t>Django Unchained</t>
  </si>
  <si>
    <t>Quentin Tarantino</t>
  </si>
  <si>
    <t>The Hunchback of Notre Dame</t>
  </si>
  <si>
    <t>Gary Trousdale</t>
  </si>
  <si>
    <t>The Emperor's New Groove</t>
  </si>
  <si>
    <t>Mark Dindal</t>
  </si>
  <si>
    <t>The Expendables 2</t>
  </si>
  <si>
    <t>Simon West</t>
  </si>
  <si>
    <t>National Treasure</t>
  </si>
  <si>
    <t>Eragon</t>
  </si>
  <si>
    <t>Stefen Fangmeier</t>
  </si>
  <si>
    <t>Where the Wild Things Are</t>
  </si>
  <si>
    <t>Spike Jonze</t>
  </si>
  <si>
    <t>Epic</t>
  </si>
  <si>
    <t>Chris Wedge</t>
  </si>
  <si>
    <t>The Tourist</t>
  </si>
  <si>
    <t>Florian Henckel Von Donnersmarck</t>
  </si>
  <si>
    <t>End of Days</t>
  </si>
  <si>
    <t>Peter Hyams</t>
  </si>
  <si>
    <t>Blood Diamond</t>
  </si>
  <si>
    <t>The Wolf of Wall Street</t>
  </si>
  <si>
    <t>Batman Forever</t>
  </si>
  <si>
    <t>Starship Troopers</t>
  </si>
  <si>
    <t>Cloud Atlas</t>
  </si>
  <si>
    <t>Tom Tykwer</t>
  </si>
  <si>
    <t>Legend of the Guardians: The Owls of Ga'Hoole</t>
  </si>
  <si>
    <t>Catwoman</t>
  </si>
  <si>
    <t>Pitof</t>
  </si>
  <si>
    <t>Hercules</t>
  </si>
  <si>
    <t>Treasure Planet</t>
  </si>
  <si>
    <t>Land of the Lost</t>
  </si>
  <si>
    <t>Brad Silberling</t>
  </si>
  <si>
    <t>The Expendables 3</t>
  </si>
  <si>
    <t>Patrick Hughes</t>
  </si>
  <si>
    <t>Point Break</t>
  </si>
  <si>
    <t>Ericson Core</t>
  </si>
  <si>
    <t>Son of the Mask</t>
  </si>
  <si>
    <t>Lawrence Guterman</t>
  </si>
  <si>
    <t>In the Heart of the Sea</t>
  </si>
  <si>
    <t>The Adventures of Pluto Nash</t>
  </si>
  <si>
    <t>Ron Underwood</t>
  </si>
  <si>
    <t>Green Zone</t>
  </si>
  <si>
    <t>The Peanuts Movie</t>
  </si>
  <si>
    <t>Steve Martino</t>
  </si>
  <si>
    <t>The Spanish Prisoner</t>
  </si>
  <si>
    <t>David Mamet</t>
  </si>
  <si>
    <t>The Mummy Returns</t>
  </si>
  <si>
    <t>Gangs of New York</t>
  </si>
  <si>
    <t>The Flowers of War</t>
  </si>
  <si>
    <t>Yimou Zhang</t>
  </si>
  <si>
    <t>Mandarin</t>
  </si>
  <si>
    <t>Surf's Up</t>
  </si>
  <si>
    <t>Ash Brannon</t>
  </si>
  <si>
    <t>The Stepford Wives</t>
  </si>
  <si>
    <t>Frank Oz</t>
  </si>
  <si>
    <t>Black Hawk Down</t>
  </si>
  <si>
    <t>The Campaign</t>
  </si>
  <si>
    <t>Jay Roach</t>
  </si>
  <si>
    <t>The Fifth Element</t>
  </si>
  <si>
    <t>Luc Besson</t>
  </si>
  <si>
    <t>Sex and the City 2</t>
  </si>
  <si>
    <t>Michael Patrick King</t>
  </si>
  <si>
    <t>The Road to El Dorado</t>
  </si>
  <si>
    <t>Bibo Bergeron</t>
  </si>
  <si>
    <t>Ice Age: Continental Drift</t>
  </si>
  <si>
    <t>Cinderella</t>
  </si>
  <si>
    <t>The Lovely Bones</t>
  </si>
  <si>
    <t>Finding Nemo</t>
  </si>
  <si>
    <t>The Lord of the Rings: The Return of the King</t>
  </si>
  <si>
    <t>The Lord of the Rings: The Two Towers</t>
  </si>
  <si>
    <t>Seventh Son</t>
  </si>
  <si>
    <t>Sergey Bodrov</t>
  </si>
  <si>
    <t>Lara Croft: Tomb Raider</t>
  </si>
  <si>
    <t>Transcendence</t>
  </si>
  <si>
    <t>Wally Pfister</t>
  </si>
  <si>
    <t>Jurassic Park III</t>
  </si>
  <si>
    <t>Rise of the Planet of the Apes</t>
  </si>
  <si>
    <t>Rupert Wyatt</t>
  </si>
  <si>
    <t>The Spiderwick Chronicles</t>
  </si>
  <si>
    <t>Mark Waters</t>
  </si>
  <si>
    <t>A Good Day to Die Hard</t>
  </si>
  <si>
    <t>John Moore</t>
  </si>
  <si>
    <t>The Alamo</t>
  </si>
  <si>
    <t>John Lee Hancock</t>
  </si>
  <si>
    <t>The Incredibles</t>
  </si>
  <si>
    <t>Cutthroat Island</t>
  </si>
  <si>
    <t>Renny Harlin</t>
  </si>
  <si>
    <t>Percy Jackson &amp; the Olympians: The Lightning Thief</t>
  </si>
  <si>
    <t>Men in Black</t>
  </si>
  <si>
    <t>Toy Story 2</t>
  </si>
  <si>
    <t>Unstoppable</t>
  </si>
  <si>
    <t>Rush Hour 2</t>
  </si>
  <si>
    <t>What Lies Beneath</t>
  </si>
  <si>
    <t>Cloudy with a Chance of Meatballs</t>
  </si>
  <si>
    <t>Phil Lord</t>
  </si>
  <si>
    <t>Ice Age: Dawn of the Dinosaurs</t>
  </si>
  <si>
    <t>The Secret Life of Walter Mitty</t>
  </si>
  <si>
    <t>Ben Stiller</t>
  </si>
  <si>
    <t>Charlie's Angels</t>
  </si>
  <si>
    <t>The Departed</t>
  </si>
  <si>
    <t>Mulan</t>
  </si>
  <si>
    <t>Tony Bancroft</t>
  </si>
  <si>
    <t>Tropic Thunder</t>
  </si>
  <si>
    <t>The Girl with the Dragon Tattoo</t>
  </si>
  <si>
    <t>Die Hard with a Vengeance</t>
  </si>
  <si>
    <t>Sherlock Holmes</t>
  </si>
  <si>
    <t>Ben-Hur</t>
  </si>
  <si>
    <t>Timur Bekmambetov</t>
  </si>
  <si>
    <t>Atlantis: The Lost Empire</t>
  </si>
  <si>
    <t>Alvin and the Chipmunks: The Road Chip</t>
  </si>
  <si>
    <t>Walt Becker</t>
  </si>
  <si>
    <t>Valkyrie</t>
  </si>
  <si>
    <t>You Don't Mess with the Zohan</t>
  </si>
  <si>
    <t>Dennis Dugan</t>
  </si>
  <si>
    <t>Pixels</t>
  </si>
  <si>
    <t>A.I. Artificial Intelligence</t>
  </si>
  <si>
    <t>The Haunted Mansion</t>
  </si>
  <si>
    <t>Contact</t>
  </si>
  <si>
    <t>Hollow Man</t>
  </si>
  <si>
    <t>The Interpreter</t>
  </si>
  <si>
    <t>Sydney Pollack</t>
  </si>
  <si>
    <t>Aboriginal</t>
  </si>
  <si>
    <t>Percy Jackson: Sea of Monsters</t>
  </si>
  <si>
    <t>Thor Freudenthal</t>
  </si>
  <si>
    <t>Lara Croft Tomb Raider: The Cradle of Life</t>
  </si>
  <si>
    <t>Now You See Me 2</t>
  </si>
  <si>
    <t>The Saint</t>
  </si>
  <si>
    <t>Spy Game</t>
  </si>
  <si>
    <t>Mission to Mars</t>
  </si>
  <si>
    <t>Brian De Palma</t>
  </si>
  <si>
    <t>Rio</t>
  </si>
  <si>
    <t>Bicentennial Man</t>
  </si>
  <si>
    <t>Volcano</t>
  </si>
  <si>
    <t>Mick Jackson</t>
  </si>
  <si>
    <t>The Devil's Own</t>
  </si>
  <si>
    <t>Alan J. Pakula</t>
  </si>
  <si>
    <t>K-19: The Widowmaker</t>
  </si>
  <si>
    <t>Kathryn Bigelow</t>
  </si>
  <si>
    <t>Conan the Barbarian</t>
  </si>
  <si>
    <t>John Milius</t>
  </si>
  <si>
    <t>Cinderella Man</t>
  </si>
  <si>
    <t>The Nutcracker in 3D</t>
  </si>
  <si>
    <t>Andrey Konchalovskiy</t>
  </si>
  <si>
    <t>Seabiscuit</t>
  </si>
  <si>
    <t>Gary Ross</t>
  </si>
  <si>
    <t>Twister</t>
  </si>
  <si>
    <t>Cast Away</t>
  </si>
  <si>
    <t>Happy Feet</t>
  </si>
  <si>
    <t>The Bourne Supremacy</t>
  </si>
  <si>
    <t>Air Force One</t>
  </si>
  <si>
    <t>Ocean's Eleven</t>
  </si>
  <si>
    <t>The Three Musketeers</t>
  </si>
  <si>
    <t>Paul W.S. Anderson</t>
  </si>
  <si>
    <t>Hotel Transylvania</t>
  </si>
  <si>
    <t>Genndy Tartakovsky</t>
  </si>
  <si>
    <t>Enchanted</t>
  </si>
  <si>
    <t>Kevin Lima</t>
  </si>
  <si>
    <t>Safe House</t>
  </si>
  <si>
    <t>Daniel Espinosa</t>
  </si>
  <si>
    <t>102 Dalmatians</t>
  </si>
  <si>
    <t>Tower Heist</t>
  </si>
  <si>
    <t>The Holiday</t>
  </si>
  <si>
    <t>Nancy Meyers</t>
  </si>
  <si>
    <t>Enemy of the State</t>
  </si>
  <si>
    <t>It's Complicated</t>
  </si>
  <si>
    <t>Ocean's Thirteen</t>
  </si>
  <si>
    <t>Open Season</t>
  </si>
  <si>
    <t>Roger Allers</t>
  </si>
  <si>
    <t>Divergent</t>
  </si>
  <si>
    <t>Neil Burger</t>
  </si>
  <si>
    <t>Enemy at the Gates</t>
  </si>
  <si>
    <t>Jean-Jacques Annaud</t>
  </si>
  <si>
    <t>The Rundown</t>
  </si>
  <si>
    <t>Last Action Hero</t>
  </si>
  <si>
    <t>Memoirs of a Geisha</t>
  </si>
  <si>
    <t>The Fast and the Furious: Tokyo Drift</t>
  </si>
  <si>
    <t>Arthur Christmas</t>
  </si>
  <si>
    <t>Sarah Smith</t>
  </si>
  <si>
    <t>Meet Joe Black</t>
  </si>
  <si>
    <t>Martin Brest</t>
  </si>
  <si>
    <t>Collateral Damage</t>
  </si>
  <si>
    <t>Andrew Davis</t>
  </si>
  <si>
    <t>All That Jazz</t>
  </si>
  <si>
    <t>Bob Fosse</t>
  </si>
  <si>
    <t>Mirror Mirror</t>
  </si>
  <si>
    <t>Tarsem Singh</t>
  </si>
  <si>
    <t>Scott Pilgrim vs. the World</t>
  </si>
  <si>
    <t>Edgar Wright</t>
  </si>
  <si>
    <t>The Core</t>
  </si>
  <si>
    <t>Jon Amiel</t>
  </si>
  <si>
    <t>Nutty Professor II: The Klumps</t>
  </si>
  <si>
    <t>Peter Segal</t>
  </si>
  <si>
    <t>Scooby-Doo</t>
  </si>
  <si>
    <t>Dredd</t>
  </si>
  <si>
    <t>Pete Travis</t>
  </si>
  <si>
    <t>Click</t>
  </si>
  <si>
    <t>Creepshow</t>
  </si>
  <si>
    <t>George A. Romero</t>
  </si>
  <si>
    <t>Cats &amp; Dogs: The Revenge of Kitty Galore</t>
  </si>
  <si>
    <t>Jumper</t>
  </si>
  <si>
    <t>Hellboy II: The Golden Army</t>
  </si>
  <si>
    <t>Zodiac</t>
  </si>
  <si>
    <t>The 6th Day</t>
  </si>
  <si>
    <t>Bruce Almighty</t>
  </si>
  <si>
    <t>The Expendables</t>
  </si>
  <si>
    <t>Sylvester Stallone</t>
  </si>
  <si>
    <t>Mission: Impossible</t>
  </si>
  <si>
    <t>The Hunger Games</t>
  </si>
  <si>
    <t>The Hangover Part II</t>
  </si>
  <si>
    <t>Todd Phillips</t>
  </si>
  <si>
    <t>Batman Returns</t>
  </si>
  <si>
    <t>Over the Hedge</t>
  </si>
  <si>
    <t>Lilo &amp; Stitch</t>
  </si>
  <si>
    <t>Charlotte's Web</t>
  </si>
  <si>
    <t>Gary Winick</t>
  </si>
  <si>
    <t>Deep Impact</t>
  </si>
  <si>
    <t>Mimi Leder</t>
  </si>
  <si>
    <t>RED 2</t>
  </si>
  <si>
    <t>The Longest Yard</t>
  </si>
  <si>
    <t>Alvin and the Chipmunks: Chipwrecked</t>
  </si>
  <si>
    <t>Grown Ups 2</t>
  </si>
  <si>
    <t>Get Smart</t>
  </si>
  <si>
    <t>Something's Gotta Give</t>
  </si>
  <si>
    <t>Shutter Island</t>
  </si>
  <si>
    <t>Four Christmases</t>
  </si>
  <si>
    <t>Seth Gordon</t>
  </si>
  <si>
    <t>Robots</t>
  </si>
  <si>
    <t>Face/Off</t>
  </si>
  <si>
    <t>Bedtime Stories</t>
  </si>
  <si>
    <t>Adam Shankman</t>
  </si>
  <si>
    <t>Road to Perdition</t>
  </si>
  <si>
    <t>Just Go with It</t>
  </si>
  <si>
    <t>Con Air</t>
  </si>
  <si>
    <t>Eagle Eye</t>
  </si>
  <si>
    <t>D.J. Caruso</t>
  </si>
  <si>
    <t>Cold Mountain</t>
  </si>
  <si>
    <t>Anthony Minghella</t>
  </si>
  <si>
    <t>The Book of Eli</t>
  </si>
  <si>
    <t>Albert Hughes</t>
  </si>
  <si>
    <t>Flubber</t>
  </si>
  <si>
    <t>Les Mayfield</t>
  </si>
  <si>
    <t>The Haunting</t>
  </si>
  <si>
    <t>Fantasy</t>
  </si>
  <si>
    <t>Space Jam</t>
  </si>
  <si>
    <t>Joe Pytka</t>
  </si>
  <si>
    <t>The Pink Panther</t>
  </si>
  <si>
    <t>The Day the Earth Stood Still</t>
  </si>
  <si>
    <t>Scott Derrickson</t>
  </si>
  <si>
    <t>Conspiracy Theory</t>
  </si>
  <si>
    <t>Fury</t>
  </si>
  <si>
    <t>Six Days Seven Nights</t>
  </si>
  <si>
    <t>Ivan Reitman</t>
  </si>
  <si>
    <t>Yogi Bear</t>
  </si>
  <si>
    <t>Eric Brevig</t>
  </si>
  <si>
    <t>Spirit: Stallion of the Cimarron</t>
  </si>
  <si>
    <t>Kelly Asbury</t>
  </si>
  <si>
    <t>Zookeeper</t>
  </si>
  <si>
    <t>Lost in Space</t>
  </si>
  <si>
    <t>Stephen Hopkins</t>
  </si>
  <si>
    <t>The Manchurian Candidate</t>
  </si>
  <si>
    <t>Jonathan Demme</t>
  </si>
  <si>
    <t>Déjà Vu</t>
  </si>
  <si>
    <t>Henry Jaglom</t>
  </si>
  <si>
    <t>Hotel Transylvania 2</t>
  </si>
  <si>
    <t>Fantasia 2000</t>
  </si>
  <si>
    <t>James Algar</t>
  </si>
  <si>
    <t>The Time Machine</t>
  </si>
  <si>
    <t>Mighty Joe Young</t>
  </si>
  <si>
    <t>Swordfish</t>
  </si>
  <si>
    <t>The Legend of Zorro</t>
  </si>
  <si>
    <t>Spanish</t>
  </si>
  <si>
    <t>What Dreams May Come</t>
  </si>
  <si>
    <t>Vincent Ward</t>
  </si>
  <si>
    <t>Little Nicky</t>
  </si>
  <si>
    <t>Steven Brill</t>
  </si>
  <si>
    <t>The Brothers Grimm</t>
  </si>
  <si>
    <t>Terry Gilliam</t>
  </si>
  <si>
    <t>Mars Attacks!</t>
  </si>
  <si>
    <t>Evolution</t>
  </si>
  <si>
    <t>Lucile Hadzihalilovic</t>
  </si>
  <si>
    <t>The Edge</t>
  </si>
  <si>
    <t>Surrogates</t>
  </si>
  <si>
    <t>Thirteen Days</t>
  </si>
  <si>
    <t>Daylight</t>
  </si>
  <si>
    <t>Walking with Dinosaurs 3D</t>
  </si>
  <si>
    <t>Barry Cook</t>
  </si>
  <si>
    <t>Battlefield Earth</t>
  </si>
  <si>
    <t>Roger Christian</t>
  </si>
  <si>
    <t>Looney Tunes: Back in Action</t>
  </si>
  <si>
    <t>Joe Dante</t>
  </si>
  <si>
    <t>Nine</t>
  </si>
  <si>
    <t>Timeline</t>
  </si>
  <si>
    <t>The Postman</t>
  </si>
  <si>
    <t>Kevin Costner</t>
  </si>
  <si>
    <t>Babe: Pig in the City</t>
  </si>
  <si>
    <t>The Last Witch Hunter</t>
  </si>
  <si>
    <t>Red Planet</t>
  </si>
  <si>
    <t>Antony Hoffman</t>
  </si>
  <si>
    <t>Arthur and the Invisibles</t>
  </si>
  <si>
    <t>Oceans</t>
  </si>
  <si>
    <t>Jacques Perrin</t>
  </si>
  <si>
    <t>Documentary</t>
  </si>
  <si>
    <t>A Sound of Thunder</t>
  </si>
  <si>
    <t>Pompeii</t>
  </si>
  <si>
    <t>Top Cat Begins</t>
  </si>
  <si>
    <t>Andrés Couturier</t>
  </si>
  <si>
    <t>A Beautiful Mind</t>
  </si>
  <si>
    <t>The Lion King</t>
  </si>
  <si>
    <t>Journey 2: The Mysterious Island</t>
  </si>
  <si>
    <t>Cloudy with a Chance of Meatballs 2</t>
  </si>
  <si>
    <t>Cody Cameron</t>
  </si>
  <si>
    <t>Red Dragon</t>
  </si>
  <si>
    <t>Hidalgo</t>
  </si>
  <si>
    <t>Jack and Jill</t>
  </si>
  <si>
    <t>2 Fast 2 Furious</t>
  </si>
  <si>
    <t>John Singleton</t>
  </si>
  <si>
    <t>The Little Prince</t>
  </si>
  <si>
    <t>The Invasion</t>
  </si>
  <si>
    <t>Oliver Hirschbiegel</t>
  </si>
  <si>
    <t>Sci-Fi</t>
  </si>
  <si>
    <t>The Adventures of Rocky &amp; Bullwinkle</t>
  </si>
  <si>
    <t>Des Mcanuff</t>
  </si>
  <si>
    <t>The Secret Life of Pets</t>
  </si>
  <si>
    <t>Yarrow Cheney</t>
  </si>
  <si>
    <t>The League of Extraordinary Gentlemen</t>
  </si>
  <si>
    <t>Stephen Norrington</t>
  </si>
  <si>
    <t>Despicable Me 2</t>
  </si>
  <si>
    <t>Pierre Coffin</t>
  </si>
  <si>
    <t>Independence Day</t>
  </si>
  <si>
    <t>The Lost World: Jurassic Park</t>
  </si>
  <si>
    <t>Madagascar</t>
  </si>
  <si>
    <t>Children of Men</t>
  </si>
  <si>
    <t>X-Men</t>
  </si>
  <si>
    <t>Wanted</t>
  </si>
  <si>
    <t>The Rock</t>
  </si>
  <si>
    <t>Ice Age: The Meltdown</t>
  </si>
  <si>
    <t>50 First Dates</t>
  </si>
  <si>
    <t>Hairspray</t>
  </si>
  <si>
    <t>Exorcist: The Beginning</t>
  </si>
  <si>
    <t>Horror</t>
  </si>
  <si>
    <t>Inspector Gadget</t>
  </si>
  <si>
    <t>David Kellogg</t>
  </si>
  <si>
    <t>Now You See Me</t>
  </si>
  <si>
    <t>Grown Ups</t>
  </si>
  <si>
    <t>The Terminal</t>
  </si>
  <si>
    <t>Hotel for Dogs</t>
  </si>
  <si>
    <t>Vertical Limit</t>
  </si>
  <si>
    <t>Charlie Wilson's War</t>
  </si>
  <si>
    <t>Mike Nichols</t>
  </si>
  <si>
    <t>Shark Tale</t>
  </si>
  <si>
    <t>Dreamgirls</t>
  </si>
  <si>
    <t>Be Cool</t>
  </si>
  <si>
    <t>F. Gary Gray</t>
  </si>
  <si>
    <t>Munich</t>
  </si>
  <si>
    <t>Tears of the Sun</t>
  </si>
  <si>
    <t>Antoine Fuqua</t>
  </si>
  <si>
    <t>Killers</t>
  </si>
  <si>
    <t>Robert Luketic</t>
  </si>
  <si>
    <t>The Man from U.N.C.L.E.</t>
  </si>
  <si>
    <t>Spanglish</t>
  </si>
  <si>
    <t>Monster House</t>
  </si>
  <si>
    <t>Gil Kenan</t>
  </si>
  <si>
    <t>Bandits</t>
  </si>
  <si>
    <t>Barry Levinson</t>
  </si>
  <si>
    <t>First Knight</t>
  </si>
  <si>
    <t>Jerry Zucker</t>
  </si>
  <si>
    <t>Anna and the King</t>
  </si>
  <si>
    <t>Andy Tennant</t>
  </si>
  <si>
    <t>Immortals</t>
  </si>
  <si>
    <t>Hostage</t>
  </si>
  <si>
    <t>Florent-Emilio Siri</t>
  </si>
  <si>
    <t>Titan A.E.</t>
  </si>
  <si>
    <t>Don Bluth</t>
  </si>
  <si>
    <t>Hollywood Homicide</t>
  </si>
  <si>
    <t>Ron Shelton</t>
  </si>
  <si>
    <t>Soldier</t>
  </si>
  <si>
    <t>Carriers</t>
  </si>
  <si>
    <t>David Pastor</t>
  </si>
  <si>
    <t>Monkeybone</t>
  </si>
  <si>
    <t>Henry Selick</t>
  </si>
  <si>
    <t>Flight of the Phoenix</t>
  </si>
  <si>
    <t>Unbreakable</t>
  </si>
  <si>
    <t>Minions</t>
  </si>
  <si>
    <t>Kyle Balda</t>
  </si>
  <si>
    <t>Sucker Punch</t>
  </si>
  <si>
    <t>Snake Eyes</t>
  </si>
  <si>
    <t>Sphere</t>
  </si>
  <si>
    <t>The Angry Birds Movie</t>
  </si>
  <si>
    <t>Clay Kaytis</t>
  </si>
  <si>
    <t>Fool's Gold</t>
  </si>
  <si>
    <t>Funny People</t>
  </si>
  <si>
    <t>Judd Apatow</t>
  </si>
  <si>
    <t>The Kingdom</t>
  </si>
  <si>
    <t>Talladega Nights: The Ballad of Ricky Bobby</t>
  </si>
  <si>
    <t>Dr. Dolittle 2</t>
  </si>
  <si>
    <t>Steve Carr</t>
  </si>
  <si>
    <t>Braveheart</t>
  </si>
  <si>
    <t>Mel Gibson</t>
  </si>
  <si>
    <t>Jarhead</t>
  </si>
  <si>
    <t>The Simpsons Movie</t>
  </si>
  <si>
    <t>David Silverman</t>
  </si>
  <si>
    <t>The Majestic</t>
  </si>
  <si>
    <t>Frank Darabont</t>
  </si>
  <si>
    <t>Driven</t>
  </si>
  <si>
    <t>Two Brothers</t>
  </si>
  <si>
    <t>The Village</t>
  </si>
  <si>
    <t>Doctor Dolittle</t>
  </si>
  <si>
    <t>Betty Thomas</t>
  </si>
  <si>
    <t>Signs</t>
  </si>
  <si>
    <t>Shrek 2</t>
  </si>
  <si>
    <t>Cars</t>
  </si>
  <si>
    <t>Runaway Bride</t>
  </si>
  <si>
    <t>Garry Marshall</t>
  </si>
  <si>
    <t>xXx</t>
  </si>
  <si>
    <t>The SpongeBob Movie: Sponge Out of Water</t>
  </si>
  <si>
    <t>Paul Tibbitt</t>
  </si>
  <si>
    <t>Ransom</t>
  </si>
  <si>
    <t>Inglourious Basterds</t>
  </si>
  <si>
    <t>Hook</t>
  </si>
  <si>
    <t>Die Hard 2</t>
  </si>
  <si>
    <t>S.W.A.T.</t>
  </si>
  <si>
    <t>Clark Johnson</t>
  </si>
  <si>
    <t>Vanilla Sky</t>
  </si>
  <si>
    <t>Cameron Crowe</t>
  </si>
  <si>
    <t>Lady in the Water</t>
  </si>
  <si>
    <t>AVP: Alien vs. Predator</t>
  </si>
  <si>
    <t>Alvin and the Chipmunks: The Squeakquel</t>
  </si>
  <si>
    <t>We Were Soldiers</t>
  </si>
  <si>
    <t>Randall Wallace</t>
  </si>
  <si>
    <t>Olympus Has Fallen</t>
  </si>
  <si>
    <t>Star Trek: Insurrection</t>
  </si>
  <si>
    <t>Jonathan Frakes</t>
  </si>
  <si>
    <t>Battle Los Angeles</t>
  </si>
  <si>
    <t>Big Fish</t>
  </si>
  <si>
    <t>Wolf</t>
  </si>
  <si>
    <t>War Horse</t>
  </si>
  <si>
    <t>The Monuments Men</t>
  </si>
  <si>
    <t>George Clooney</t>
  </si>
  <si>
    <t>The Abyss</t>
  </si>
  <si>
    <t>Wall Street: Money Never Sleeps</t>
  </si>
  <si>
    <t>Dracula Untold</t>
  </si>
  <si>
    <t>Gary Shore</t>
  </si>
  <si>
    <t>The Siege</t>
  </si>
  <si>
    <t>Stardust</t>
  </si>
  <si>
    <t>Seven Years in Tibet</t>
  </si>
  <si>
    <t>The Dilemma</t>
  </si>
  <si>
    <t>Bad Company</t>
  </si>
  <si>
    <t>Doom</t>
  </si>
  <si>
    <t>Andrzej Bartkowiak</t>
  </si>
  <si>
    <t>I Spy</t>
  </si>
  <si>
    <t>Underworld: Awakening</t>
  </si>
  <si>
    <t>Måns Mårlind</t>
  </si>
  <si>
    <t>Rock of Ages</t>
  </si>
  <si>
    <t>Hart's War</t>
  </si>
  <si>
    <t>Gregory Hoblit</t>
  </si>
  <si>
    <t>Killer Elite</t>
  </si>
  <si>
    <t>Gary Mckendry</t>
  </si>
  <si>
    <t>Rollerball</t>
  </si>
  <si>
    <t>Ballistic: Ecks vs. Sever</t>
  </si>
  <si>
    <t>Wych Kaosayananda</t>
  </si>
  <si>
    <t>Hard Rain</t>
  </si>
  <si>
    <t>Mikael Salomon</t>
  </si>
  <si>
    <t>Osmosis Jones</t>
  </si>
  <si>
    <t>Bobby Farrelly</t>
  </si>
  <si>
    <t>Legends of Oz: Dorothy's Return</t>
  </si>
  <si>
    <t>Blackhat</t>
  </si>
  <si>
    <t>Sky Captain and the World of Tomorrow</t>
  </si>
  <si>
    <t>Kerry Conran</t>
  </si>
  <si>
    <t>Basic Instinct 2</t>
  </si>
  <si>
    <t>Michael Caton-Jones</t>
  </si>
  <si>
    <t>Escape Plan</t>
  </si>
  <si>
    <t>Mikael Håfström</t>
  </si>
  <si>
    <t>The Legend of Hercules</t>
  </si>
  <si>
    <t>The Sum of All Fears</t>
  </si>
  <si>
    <t>Phil Alden Robinson</t>
  </si>
  <si>
    <t>The Twilight Saga: Eclipse</t>
  </si>
  <si>
    <t>David Slade</t>
  </si>
  <si>
    <t>The Score</t>
  </si>
  <si>
    <t>Despicable Me</t>
  </si>
  <si>
    <t>Money Train</t>
  </si>
  <si>
    <t>Joseph Ruben</t>
  </si>
  <si>
    <t>Ted 2</t>
  </si>
  <si>
    <t>Seth Macfarlane</t>
  </si>
  <si>
    <t>Agora</t>
  </si>
  <si>
    <t>Alejandro Amenábar</t>
  </si>
  <si>
    <t>Mystery Men</t>
  </si>
  <si>
    <t>Kinka Usher</t>
  </si>
  <si>
    <t>Hall Pass</t>
  </si>
  <si>
    <t>The Insider</t>
  </si>
  <si>
    <t>The Finest Hours</t>
  </si>
  <si>
    <t>Craig Gillespie</t>
  </si>
  <si>
    <t>Body of Lies</t>
  </si>
  <si>
    <t>Dinner for Schmucks</t>
  </si>
  <si>
    <t>Abraham Lincoln: Vampire Hunter</t>
  </si>
  <si>
    <t>Entrapment</t>
  </si>
  <si>
    <t>The X Files</t>
  </si>
  <si>
    <t>Rob Bowman</t>
  </si>
  <si>
    <t>The Last Legion</t>
  </si>
  <si>
    <t>Doug Lefler</t>
  </si>
  <si>
    <t>Saving Private Ryan</t>
  </si>
  <si>
    <t>Need for Speed</t>
  </si>
  <si>
    <t>Scott Waugh</t>
  </si>
  <si>
    <t>What Women Want</t>
  </si>
  <si>
    <t>Ice Age</t>
  </si>
  <si>
    <t>Dreamcatcher</t>
  </si>
  <si>
    <t>Lawrence Kasdan</t>
  </si>
  <si>
    <t>Lincoln</t>
  </si>
  <si>
    <t>The Matrix</t>
  </si>
  <si>
    <t>Apollo 13</t>
  </si>
  <si>
    <t>The Santa Clause 2</t>
  </si>
  <si>
    <t>Michael Lembeck</t>
  </si>
  <si>
    <t>Les Misérables</t>
  </si>
  <si>
    <t>Tom Hooper</t>
  </si>
  <si>
    <t>You've Got Mail</t>
  </si>
  <si>
    <t>Nora Ephron</t>
  </si>
  <si>
    <t>Step Brothers</t>
  </si>
  <si>
    <t>The Mask of Zorro</t>
  </si>
  <si>
    <t>Due Date</t>
  </si>
  <si>
    <t>Unbroken</t>
  </si>
  <si>
    <t>Angelina Jolie Pitt</t>
  </si>
  <si>
    <t>Space Cowboys</t>
  </si>
  <si>
    <t>Clint Eastwood</t>
  </si>
  <si>
    <t>Cliffhanger</t>
  </si>
  <si>
    <t>Broken Arrow</t>
  </si>
  <si>
    <t>The Kid</t>
  </si>
  <si>
    <t>World Trade Center</t>
  </si>
  <si>
    <t>Mona Lisa Smile</t>
  </si>
  <si>
    <t>The Dictator</t>
  </si>
  <si>
    <t>Larry Charles</t>
  </si>
  <si>
    <t>Eyes Wide Shut</t>
  </si>
  <si>
    <t>Stanley Kubrick</t>
  </si>
  <si>
    <t>Annie</t>
  </si>
  <si>
    <t>Will Gluck</t>
  </si>
  <si>
    <t>Focus</t>
  </si>
  <si>
    <t>Glenn Ficarra</t>
  </si>
  <si>
    <t>This Means War</t>
  </si>
  <si>
    <t>Blade: Trinity</t>
  </si>
  <si>
    <t>David S. Goyer</t>
  </si>
  <si>
    <t>Red Dawn</t>
  </si>
  <si>
    <t>Primary Colors</t>
  </si>
  <si>
    <t>Resident Evil: Retribution</t>
  </si>
  <si>
    <t>Death Race</t>
  </si>
  <si>
    <t>The Long Kiss Goodnight</t>
  </si>
  <si>
    <t>Proof of Life</t>
  </si>
  <si>
    <t>Taylor Hackford</t>
  </si>
  <si>
    <t>Zathura: A Space Adventure</t>
  </si>
  <si>
    <t>Fight Club</t>
  </si>
  <si>
    <t>We Are Marshall</t>
  </si>
  <si>
    <t>Hudson Hawk</t>
  </si>
  <si>
    <t>Michael Lehmann</t>
  </si>
  <si>
    <t>Lucky Numbers</t>
  </si>
  <si>
    <t>I, Frankenstein</t>
  </si>
  <si>
    <t>Stuart Beattie</t>
  </si>
  <si>
    <t>Oliver Twist</t>
  </si>
  <si>
    <t>Roman Polanski</t>
  </si>
  <si>
    <t>Elektra</t>
  </si>
  <si>
    <t>Sin City: A Dame to Kill For</t>
  </si>
  <si>
    <t>Frank Miller</t>
  </si>
  <si>
    <t>Random Hearts</t>
  </si>
  <si>
    <t>Everest</t>
  </si>
  <si>
    <t>Baltasar Kormákur</t>
  </si>
  <si>
    <t>Perfume: The Story of a Murderer</t>
  </si>
  <si>
    <t>Austin Powers in Goldmember</t>
  </si>
  <si>
    <t>Astro Boy</t>
  </si>
  <si>
    <t>Jurassic Park</t>
  </si>
  <si>
    <t>Wyatt Earp</t>
  </si>
  <si>
    <t>Clear and Present Danger</t>
  </si>
  <si>
    <t>Dragon Blade</t>
  </si>
  <si>
    <t>Daniel Lee</t>
  </si>
  <si>
    <t>Littleman</t>
  </si>
  <si>
    <t>Keenen Ivory Wayans</t>
  </si>
  <si>
    <t>U-571</t>
  </si>
  <si>
    <t>The American President</t>
  </si>
  <si>
    <t>Rob Reiner</t>
  </si>
  <si>
    <t>The Love Guru</t>
  </si>
  <si>
    <t>Marco Schnabel</t>
  </si>
  <si>
    <t>3000 Miles to Graceland</t>
  </si>
  <si>
    <t>Demian Lichtenstein</t>
  </si>
  <si>
    <t>The Hateful Eight</t>
  </si>
  <si>
    <t>Blades of Glory</t>
  </si>
  <si>
    <t>Josh Gordon</t>
  </si>
  <si>
    <t>Hop</t>
  </si>
  <si>
    <t>Tim Hill</t>
  </si>
  <si>
    <t>300</t>
  </si>
  <si>
    <t>Meet the Fockers</t>
  </si>
  <si>
    <t>Marley &amp; Me</t>
  </si>
  <si>
    <t>David Frankel</t>
  </si>
  <si>
    <t>The Green Mile</t>
  </si>
  <si>
    <t>Wild Hogs</t>
  </si>
  <si>
    <t>Chicken Little</t>
  </si>
  <si>
    <t>Gone Girl</t>
  </si>
  <si>
    <t>The Bourne Identity</t>
  </si>
  <si>
    <t>GoldenEye</t>
  </si>
  <si>
    <t>The General's Daughter</t>
  </si>
  <si>
    <t>The Truman Show</t>
  </si>
  <si>
    <t>The Prince of Egypt</t>
  </si>
  <si>
    <t>Brenda Chapman</t>
  </si>
  <si>
    <t>Daddy Day Care</t>
  </si>
  <si>
    <t>2 Guns</t>
  </si>
  <si>
    <t>Cats &amp; Dogs</t>
  </si>
  <si>
    <t>The Italian Job</t>
  </si>
  <si>
    <t>Two Weeks Notice</t>
  </si>
  <si>
    <t>Marc Lawrence</t>
  </si>
  <si>
    <t>Antz</t>
  </si>
  <si>
    <t>Couples Retreat</t>
  </si>
  <si>
    <t>Peter Billingsley</t>
  </si>
  <si>
    <t>Days of Thunder</t>
  </si>
  <si>
    <t>Cheaper by the Dozen 2</t>
  </si>
  <si>
    <t>The Scorch Trials</t>
  </si>
  <si>
    <t>Wes Ball</t>
  </si>
  <si>
    <t>Eat Pray Love</t>
  </si>
  <si>
    <t>Ryan Murphy</t>
  </si>
  <si>
    <t>The Family Man</t>
  </si>
  <si>
    <t>RED</t>
  </si>
  <si>
    <t>Any Given Sunday</t>
  </si>
  <si>
    <t>The Horse Whisperer</t>
  </si>
  <si>
    <t>Robert Redford</t>
  </si>
  <si>
    <t>Collateral</t>
  </si>
  <si>
    <t>The Scorpion King</t>
  </si>
  <si>
    <t>Ladder 49</t>
  </si>
  <si>
    <t>Jay Russell</t>
  </si>
  <si>
    <t>Jack Reacher</t>
  </si>
  <si>
    <t>Deep Blue Sea</t>
  </si>
  <si>
    <t>This Is It</t>
  </si>
  <si>
    <t>Kenny Ortega</t>
  </si>
  <si>
    <t>Contagion</t>
  </si>
  <si>
    <t>Kangaroo Jack</t>
  </si>
  <si>
    <t>David Mcnally</t>
  </si>
  <si>
    <t>Coraline</t>
  </si>
  <si>
    <t>The Happening</t>
  </si>
  <si>
    <t>Man on Fire</t>
  </si>
  <si>
    <t>The Shaggy Dog</t>
  </si>
  <si>
    <t>Brian Robbins</t>
  </si>
  <si>
    <t>Starsky &amp; Hutch</t>
  </si>
  <si>
    <t>Jingle All the Way</t>
  </si>
  <si>
    <t>Brian Levant</t>
  </si>
  <si>
    <t>Hellboy</t>
  </si>
  <si>
    <t>A Civil Action</t>
  </si>
  <si>
    <t>Steven Zaillian</t>
  </si>
  <si>
    <t>ParaNorman</t>
  </si>
  <si>
    <t>Chris Butler</t>
  </si>
  <si>
    <t>The Jackal</t>
  </si>
  <si>
    <t>Paycheck</t>
  </si>
  <si>
    <t>Up Close &amp; Personal</t>
  </si>
  <si>
    <t>Jon Avnet</t>
  </si>
  <si>
    <t>The Tale of Despereaux</t>
  </si>
  <si>
    <t>Sam Fell</t>
  </si>
  <si>
    <t>The Tuxedo</t>
  </si>
  <si>
    <t>Kevin Donovan</t>
  </si>
  <si>
    <t>Under Siege 2: Dark Territory</t>
  </si>
  <si>
    <t>Geoff Murphy</t>
  </si>
  <si>
    <t>Jack Ryan: Shadow Recruit</t>
  </si>
  <si>
    <t>Joy</t>
  </si>
  <si>
    <t>David O. Russell</t>
  </si>
  <si>
    <t>London Has Fallen</t>
  </si>
  <si>
    <t>Babak Najafi</t>
  </si>
  <si>
    <t>Alien: Resurrection</t>
  </si>
  <si>
    <t>Jean-Pierre Jeunet</t>
  </si>
  <si>
    <t>Shooter</t>
  </si>
  <si>
    <t>The Boxtrolls</t>
  </si>
  <si>
    <t>Graham Annable</t>
  </si>
  <si>
    <t>Practical Magic</t>
  </si>
  <si>
    <t>Griffin Dunne</t>
  </si>
  <si>
    <t>The Lego Movie</t>
  </si>
  <si>
    <t>Miss Congeniality 2: Armed and Fabulous</t>
  </si>
  <si>
    <t>John Pasquin</t>
  </si>
  <si>
    <t>Reign of Fire</t>
  </si>
  <si>
    <t>Gangster Squad</t>
  </si>
  <si>
    <t>Ruben Fleischer</t>
  </si>
  <si>
    <t>Year One</t>
  </si>
  <si>
    <t>Harold Ramis</t>
  </si>
  <si>
    <t>Invictus</t>
  </si>
  <si>
    <t>State of Play</t>
  </si>
  <si>
    <t>Kevin Macdonald</t>
  </si>
  <si>
    <t>Duplicity</t>
  </si>
  <si>
    <t>My Favorite Martian</t>
  </si>
  <si>
    <t>Donald Petrie</t>
  </si>
  <si>
    <t>The Sentinel</t>
  </si>
  <si>
    <t>Planet 51</t>
  </si>
  <si>
    <t>Jorge Blanco</t>
  </si>
  <si>
    <t>Star Trek: Nemesis</t>
  </si>
  <si>
    <t>Stuart Baird</t>
  </si>
  <si>
    <t>Intolerable Cruelty</t>
  </si>
  <si>
    <t>Joel Coen</t>
  </si>
  <si>
    <t>Trouble with the Curve</t>
  </si>
  <si>
    <t>Robert Lorenz</t>
  </si>
  <si>
    <t>Edge of Darkness</t>
  </si>
  <si>
    <t>The Relic</t>
  </si>
  <si>
    <t>Analyze That</t>
  </si>
  <si>
    <t>Righteous Kill</t>
  </si>
  <si>
    <t>Mercury Rising</t>
  </si>
  <si>
    <t>Harold Becker</t>
  </si>
  <si>
    <t>The Soloist</t>
  </si>
  <si>
    <t>The Legend of Bagger Vance</t>
  </si>
  <si>
    <t>Almost Famous</t>
  </si>
  <si>
    <t>Garfield 2</t>
  </si>
  <si>
    <t>xXx: State of the Union</t>
  </si>
  <si>
    <t>Priest</t>
  </si>
  <si>
    <t>Scott Stewart</t>
  </si>
  <si>
    <t>Sinbad: Legend of the Seven Seas</t>
  </si>
  <si>
    <t>Patrick Gilmore</t>
  </si>
  <si>
    <t>Event Horizon</t>
  </si>
  <si>
    <t>Dragonfly</t>
  </si>
  <si>
    <t>The Black Dahlia</t>
  </si>
  <si>
    <t>Flyboys</t>
  </si>
  <si>
    <t>Tony Bill</t>
  </si>
  <si>
    <t>The Last Castle</t>
  </si>
  <si>
    <t>Rod Lurie</t>
  </si>
  <si>
    <t>Supernova</t>
  </si>
  <si>
    <t>Walter Hill</t>
  </si>
  <si>
    <t>Winter's Tale</t>
  </si>
  <si>
    <t>Akiva Goldsman</t>
  </si>
  <si>
    <t>The Mortal Instruments: City of Bones</t>
  </si>
  <si>
    <t>Harald Zwart</t>
  </si>
  <si>
    <t>Meet Dave</t>
  </si>
  <si>
    <t>Dark Water</t>
  </si>
  <si>
    <t>Walter Salles</t>
  </si>
  <si>
    <t>Edtv</t>
  </si>
  <si>
    <t>Inkheart</t>
  </si>
  <si>
    <t>Iain Softley</t>
  </si>
  <si>
    <t>The Spirit</t>
  </si>
  <si>
    <t>Mortdecai</t>
  </si>
  <si>
    <t>David Koepp</t>
  </si>
  <si>
    <t>In the Name of the King: A Dungeon Siege Tale</t>
  </si>
  <si>
    <t>Uwe Boll</t>
  </si>
  <si>
    <t>Beyond Borders</t>
  </si>
  <si>
    <t>Xi you ji zhi: Sun Wukong san da Baigu Jing</t>
  </si>
  <si>
    <t>Pou-Soi Cheang</t>
  </si>
  <si>
    <t>The Great Raid</t>
  </si>
  <si>
    <t>John Dahl</t>
  </si>
  <si>
    <t>Filipino</t>
  </si>
  <si>
    <t>Deadpool</t>
  </si>
  <si>
    <t>Tim Miller</t>
  </si>
  <si>
    <t>Holy Man</t>
  </si>
  <si>
    <t>Stephen Herek</t>
  </si>
  <si>
    <t>American Sniper</t>
  </si>
  <si>
    <t>Goosebumps</t>
  </si>
  <si>
    <t>Just Like Heaven</t>
  </si>
  <si>
    <t>The Flintstones in Viva Rock Vegas</t>
  </si>
  <si>
    <t>Rambo III</t>
  </si>
  <si>
    <t>Peter Macdonald</t>
  </si>
  <si>
    <t>Leatherheads</t>
  </si>
  <si>
    <t>The Ridiculous 6</t>
  </si>
  <si>
    <t>Did You Hear About the Morgans?</t>
  </si>
  <si>
    <t>The Internship</t>
  </si>
  <si>
    <t>Resident Evil: Afterlife</t>
  </si>
  <si>
    <t>Red Tails</t>
  </si>
  <si>
    <t>Anthony Hemingway</t>
  </si>
  <si>
    <t>The Devil's Advocate</t>
  </si>
  <si>
    <t>That's My Boy</t>
  </si>
  <si>
    <t>Sean Anders</t>
  </si>
  <si>
    <t>DragonHeart</t>
  </si>
  <si>
    <t>After the Sunset</t>
  </si>
  <si>
    <t>Ghost Rider: Spirit of Vengeance</t>
  </si>
  <si>
    <t>Mark Neveldine</t>
  </si>
  <si>
    <t>Captain Corelli's Mandolin</t>
  </si>
  <si>
    <t>John Madden</t>
  </si>
  <si>
    <t>The Pacifier</t>
  </si>
  <si>
    <t>Walking Tall</t>
  </si>
  <si>
    <t>Kevin Bray</t>
  </si>
  <si>
    <t>Forrest Gump</t>
  </si>
  <si>
    <t>Alvin and the Chipmunks</t>
  </si>
  <si>
    <t>Meet the Parents</t>
  </si>
  <si>
    <t>Pocahontas</t>
  </si>
  <si>
    <t>Mike Gabriel</t>
  </si>
  <si>
    <t>Superman</t>
  </si>
  <si>
    <t>The Nutty Professor</t>
  </si>
  <si>
    <t>Hitch</t>
  </si>
  <si>
    <t>George of the Jungle</t>
  </si>
  <si>
    <t>Sam Weisman</t>
  </si>
  <si>
    <t>American Wedding</t>
  </si>
  <si>
    <t>Jesse Dylan</t>
  </si>
  <si>
    <t>Captain Phillips</t>
  </si>
  <si>
    <t>Date Night</t>
  </si>
  <si>
    <t>Casper</t>
  </si>
  <si>
    <t>The Equalizer</t>
  </si>
  <si>
    <t>Maid in Manhattan</t>
  </si>
  <si>
    <t>Wayne Wang</t>
  </si>
  <si>
    <t>Crimson Tide</t>
  </si>
  <si>
    <t>The Pursuit of Happyness</t>
  </si>
  <si>
    <t>Gabriele Muccino</t>
  </si>
  <si>
    <t>Flightplan</t>
  </si>
  <si>
    <t>Disclosure</t>
  </si>
  <si>
    <t>City of Angels</t>
  </si>
  <si>
    <t>Kill Bill: Vol. 1</t>
  </si>
  <si>
    <t>Bowfinger</t>
  </si>
  <si>
    <t>Kill Bill: Vol. 2</t>
  </si>
  <si>
    <t>Tango &amp; Cash</t>
  </si>
  <si>
    <t>Death Becomes Her</t>
  </si>
  <si>
    <t>Shanghai Noon</t>
  </si>
  <si>
    <t>Tom Dey</t>
  </si>
  <si>
    <t>Executive Decision</t>
  </si>
  <si>
    <t>Mr. Popper's Penguins</t>
  </si>
  <si>
    <t>The Forbidden Kingdom</t>
  </si>
  <si>
    <t>Free Birds</t>
  </si>
  <si>
    <t>Jimmy Hayward</t>
  </si>
  <si>
    <t>Alien 3</t>
  </si>
  <si>
    <t>Evita</t>
  </si>
  <si>
    <t>Alan Parker</t>
  </si>
  <si>
    <t>Ronin</t>
  </si>
  <si>
    <t>John Frankenheimer</t>
  </si>
  <si>
    <t>The Ghost and the Darkness</t>
  </si>
  <si>
    <t>Paddington</t>
  </si>
  <si>
    <t>Paul King</t>
  </si>
  <si>
    <t>The Watch</t>
  </si>
  <si>
    <t>Akiva Schaffer</t>
  </si>
  <si>
    <t>The Hunted</t>
  </si>
  <si>
    <t>William Friedkin</t>
  </si>
  <si>
    <t>Instinct</t>
  </si>
  <si>
    <t>Stuck on You</t>
  </si>
  <si>
    <t>Semi-Pro</t>
  </si>
  <si>
    <t>Kent Alterman</t>
  </si>
  <si>
    <t>The Pirates! Band of Misfits</t>
  </si>
  <si>
    <t>Peter Lord</t>
  </si>
  <si>
    <t>Changeling</t>
  </si>
  <si>
    <t>Chain Reaction</t>
  </si>
  <si>
    <t>The Fan</t>
  </si>
  <si>
    <t>The Phantom of the Opera</t>
  </si>
  <si>
    <t>Elizabeth: The Golden Age</t>
  </si>
  <si>
    <t>Shekhar Kapur</t>
  </si>
  <si>
    <t>Æon Flux</t>
  </si>
  <si>
    <t>Karyn Kusama</t>
  </si>
  <si>
    <t>Gods and Generals</t>
  </si>
  <si>
    <t>Ron Maxwell</t>
  </si>
  <si>
    <t>Turbulence</t>
  </si>
  <si>
    <t>Robert Butler</t>
  </si>
  <si>
    <t>Imagine That</t>
  </si>
  <si>
    <t>Karey Kirkpatrick</t>
  </si>
  <si>
    <t>Muppets Most Wanted</t>
  </si>
  <si>
    <t>Thunderbirds</t>
  </si>
  <si>
    <t>Burlesque</t>
  </si>
  <si>
    <t>Steve Antin</t>
  </si>
  <si>
    <t>A Very Long Engagement</t>
  </si>
  <si>
    <t>Lolita</t>
  </si>
  <si>
    <t>Eye See You</t>
  </si>
  <si>
    <t>Jim Gillespie</t>
  </si>
  <si>
    <t>Blade II</t>
  </si>
  <si>
    <t>Seven Pounds</t>
  </si>
  <si>
    <t>Bullet to the Head</t>
  </si>
  <si>
    <t>The Godfather: Part III</t>
  </si>
  <si>
    <t>Francis Ford Coppola</t>
  </si>
  <si>
    <t>Elizabethtown</t>
  </si>
  <si>
    <t>You, Me and Dupree</t>
  </si>
  <si>
    <t>Superman II</t>
  </si>
  <si>
    <t>Richard Lester</t>
  </si>
  <si>
    <t>Gigli</t>
  </si>
  <si>
    <t>All the King's Men</t>
  </si>
  <si>
    <t>Shaft</t>
  </si>
  <si>
    <t>Anastasia</t>
  </si>
  <si>
    <t>Moulin Rouge!</t>
  </si>
  <si>
    <t>Domestic Disturbance</t>
  </si>
  <si>
    <t>Black Mass</t>
  </si>
  <si>
    <t>Scott Cooper</t>
  </si>
  <si>
    <t>Flags of Our Fathers</t>
  </si>
  <si>
    <t>Law Abiding Citizen</t>
  </si>
  <si>
    <t>Grindhouse</t>
  </si>
  <si>
    <t>Robert Rodriguez</t>
  </si>
  <si>
    <t>Beloved</t>
  </si>
  <si>
    <t>Lucky You</t>
  </si>
  <si>
    <t>Curtis Hanson</t>
  </si>
  <si>
    <t>Catch Me If You Can</t>
  </si>
  <si>
    <t>Zero Dark Thirty</t>
  </si>
  <si>
    <t>The Break-Up</t>
  </si>
  <si>
    <t>Mamma Mia!</t>
  </si>
  <si>
    <t>Phyllida Lloyd</t>
  </si>
  <si>
    <t>Valentine's Day</t>
  </si>
  <si>
    <t>The Dukes of Hazzard</t>
  </si>
  <si>
    <t>Jay Chandrasekhar</t>
  </si>
  <si>
    <t>The Thin Red Line</t>
  </si>
  <si>
    <t>Terrence Malick</t>
  </si>
  <si>
    <t>The Change-Up</t>
  </si>
  <si>
    <t>David Dobkin</t>
  </si>
  <si>
    <t>Man on the Moon</t>
  </si>
  <si>
    <t>Milos Forman</t>
  </si>
  <si>
    <t>Casino</t>
  </si>
  <si>
    <t>From Paris with Love</t>
  </si>
  <si>
    <t>Pierre Morel</t>
  </si>
  <si>
    <t>Bulletproof Monk</t>
  </si>
  <si>
    <t>Paul Hunter</t>
  </si>
  <si>
    <t>Me, Myself &amp; Irene</t>
  </si>
  <si>
    <t>Barnyard</t>
  </si>
  <si>
    <t>Steve Oedekerk</t>
  </si>
  <si>
    <t>Deck the Halls</t>
  </si>
  <si>
    <t>John Whitesell</t>
  </si>
  <si>
    <t>The Twilight Saga: New Moon</t>
  </si>
  <si>
    <t>Shrek</t>
  </si>
  <si>
    <t>The Adjustment Bureau</t>
  </si>
  <si>
    <t>George Nolfi</t>
  </si>
  <si>
    <t>Romance</t>
  </si>
  <si>
    <t>Robin Hood: Prince of Thieves</t>
  </si>
  <si>
    <t>Jerry Maguire</t>
  </si>
  <si>
    <t>Ted</t>
  </si>
  <si>
    <t>As Good as It Gets</t>
  </si>
  <si>
    <t>Patch Adams</t>
  </si>
  <si>
    <t>Anchorman 2: The Legend Continues</t>
  </si>
  <si>
    <t>Mr. Deeds</t>
  </si>
  <si>
    <t>Super 8</t>
  </si>
  <si>
    <t>Erin Brockovich</t>
  </si>
  <si>
    <t>How to Lose a Guy in 10 Days</t>
  </si>
  <si>
    <t>22 Jump Street</t>
  </si>
  <si>
    <t>Interview with the Vampire: The Vampire Chronicles</t>
  </si>
  <si>
    <t>Neil Jordan</t>
  </si>
  <si>
    <t>Yes Man</t>
  </si>
  <si>
    <t>Central Intelligence</t>
  </si>
  <si>
    <t>Rawson Marshall Thurber</t>
  </si>
  <si>
    <t>Stepmom</t>
  </si>
  <si>
    <t>Daddy's Home</t>
  </si>
  <si>
    <t>Into the Woods</t>
  </si>
  <si>
    <t>Inside Man</t>
  </si>
  <si>
    <t>Spike Lee</t>
  </si>
  <si>
    <t>Payback</t>
  </si>
  <si>
    <t>Brian Helgeland</t>
  </si>
  <si>
    <t>Congo</t>
  </si>
  <si>
    <t>Frank Marshall</t>
  </si>
  <si>
    <t>We Bought a Zoo</t>
  </si>
  <si>
    <t>Knowing</t>
  </si>
  <si>
    <t>Failure to Launch</t>
  </si>
  <si>
    <t>The Ring Two</t>
  </si>
  <si>
    <t>Hideo Nakata</t>
  </si>
  <si>
    <t>Crazy, Stupid, Love.</t>
  </si>
  <si>
    <t>Garfield</t>
  </si>
  <si>
    <t>Peter Hewitt</t>
  </si>
  <si>
    <t>Christmas with the Kranks</t>
  </si>
  <si>
    <t>Joe Roth</t>
  </si>
  <si>
    <t>Moneyball</t>
  </si>
  <si>
    <t>Bennett Miller</t>
  </si>
  <si>
    <t>Outbreak</t>
  </si>
  <si>
    <t>Non-Stop</t>
  </si>
  <si>
    <t>Jaume Collet-Serra</t>
  </si>
  <si>
    <t>Race to Witch Mountain</t>
  </si>
  <si>
    <t>Andy Fickman</t>
  </si>
  <si>
    <t>V for Vendetta</t>
  </si>
  <si>
    <t>James Mcteigue</t>
  </si>
  <si>
    <t>Shanghai Knights</t>
  </si>
  <si>
    <t>Curious George</t>
  </si>
  <si>
    <t>Matthew O'Callaghan</t>
  </si>
  <si>
    <t>Herbie Fully Loaded</t>
  </si>
  <si>
    <t>Angela Robinson</t>
  </si>
  <si>
    <t>Don't Say a Word</t>
  </si>
  <si>
    <t>Gary Fleder</t>
  </si>
  <si>
    <t>Hansel &amp; Gretel: Witch Hunters</t>
  </si>
  <si>
    <t>Tommy Wirkola</t>
  </si>
  <si>
    <t>Unfaithful</t>
  </si>
  <si>
    <t>Adrian Lyne</t>
  </si>
  <si>
    <t>I Am Number Four</t>
  </si>
  <si>
    <t>Syriana</t>
  </si>
  <si>
    <t>Stephen Gaghan</t>
  </si>
  <si>
    <t>13 Hours</t>
  </si>
  <si>
    <t>The Book of Life</t>
  </si>
  <si>
    <t>Jorge R. Gutiérrez</t>
  </si>
  <si>
    <t>Firewall</t>
  </si>
  <si>
    <t>Richard Loncraine</t>
  </si>
  <si>
    <t>Absolute Power</t>
  </si>
  <si>
    <t>G.I. Jane</t>
  </si>
  <si>
    <t>The Game</t>
  </si>
  <si>
    <t>Silent Hill</t>
  </si>
  <si>
    <t>Christophe Gans</t>
  </si>
  <si>
    <t>The Replacements</t>
  </si>
  <si>
    <t>Howard Deutch</t>
  </si>
  <si>
    <t>American Reunion</t>
  </si>
  <si>
    <t>Jon Hurwitz</t>
  </si>
  <si>
    <t>The Negotiator</t>
  </si>
  <si>
    <t>Into the Storm</t>
  </si>
  <si>
    <t>Steven Quale</t>
  </si>
  <si>
    <t>Beverly Hills Cop III</t>
  </si>
  <si>
    <t>John Landis</t>
  </si>
  <si>
    <t>Gremlins 2: The New Batch</t>
  </si>
  <si>
    <t>The Judge</t>
  </si>
  <si>
    <t>The Peacemaker</t>
  </si>
  <si>
    <t>Resident Evil: Apocalypse</t>
  </si>
  <si>
    <t>Alexander Witt</t>
  </si>
  <si>
    <t>Bridget Jones: The Edge of Reason</t>
  </si>
  <si>
    <t>Beeban Kidron</t>
  </si>
  <si>
    <t>Out of Time</t>
  </si>
  <si>
    <t>Carl Franklin</t>
  </si>
  <si>
    <t>On Deadly Ground</t>
  </si>
  <si>
    <t>Steven Seagal</t>
  </si>
  <si>
    <t>The Adventures of Sharkboy and Lavagirl 3-D</t>
  </si>
  <si>
    <t>The Beach</t>
  </si>
  <si>
    <t>Danny Boyle</t>
  </si>
  <si>
    <t>Raising Helen</t>
  </si>
  <si>
    <t>Ninja Assassin</t>
  </si>
  <si>
    <t>For Love of the Game</t>
  </si>
  <si>
    <t>Striptease</t>
  </si>
  <si>
    <t>Andrew Bergman</t>
  </si>
  <si>
    <t>Marmaduke</t>
  </si>
  <si>
    <t>Hereafter</t>
  </si>
  <si>
    <t>Murder by Numbers</t>
  </si>
  <si>
    <t>Barbet Schroeder</t>
  </si>
  <si>
    <t>Assassins</t>
  </si>
  <si>
    <t>Hannibal Rising</t>
  </si>
  <si>
    <t>Peter Webber</t>
  </si>
  <si>
    <t>The Story of Us</t>
  </si>
  <si>
    <t>The Host</t>
  </si>
  <si>
    <t>Andrew Niccol</t>
  </si>
  <si>
    <t>Basic</t>
  </si>
  <si>
    <t>Blood Work</t>
  </si>
  <si>
    <t>The International</t>
  </si>
  <si>
    <t>Escape from L.A.</t>
  </si>
  <si>
    <t>John Carpenter</t>
  </si>
  <si>
    <t>The Iron Giant</t>
  </si>
  <si>
    <t>The Life Aquatic with Steve Zissou</t>
  </si>
  <si>
    <t>Wes Anderson</t>
  </si>
  <si>
    <t>Free State of Jones</t>
  </si>
  <si>
    <t>The Life of David Gale</t>
  </si>
  <si>
    <t>Man of the House</t>
  </si>
  <si>
    <t>Run All Night</t>
  </si>
  <si>
    <t>Eastern Promises</t>
  </si>
  <si>
    <t>David Cronenberg</t>
  </si>
  <si>
    <t>Into the Blue</t>
  </si>
  <si>
    <t>John Stockwell</t>
  </si>
  <si>
    <t>The Messenger: The Story of Joan of Arc</t>
  </si>
  <si>
    <t>Your Highness</t>
  </si>
  <si>
    <t>David Gordon Green</t>
  </si>
  <si>
    <t>Dream House</t>
  </si>
  <si>
    <t>Jim Sheridan</t>
  </si>
  <si>
    <t>Mad City</t>
  </si>
  <si>
    <t>Costa-Gavras</t>
  </si>
  <si>
    <t>Baby's Day Out</t>
  </si>
  <si>
    <t>Patrick Read Johnson</t>
  </si>
  <si>
    <t>The Scarlet Letter</t>
  </si>
  <si>
    <t>Fair Game</t>
  </si>
  <si>
    <t>Domino</t>
  </si>
  <si>
    <t>Jade</t>
  </si>
  <si>
    <t>Gamer</t>
  </si>
  <si>
    <t>Beautiful Creatures</t>
  </si>
  <si>
    <t>Richard Lagravenese</t>
  </si>
  <si>
    <t>Death to Smoochy</t>
  </si>
  <si>
    <t>Danny Devito</t>
  </si>
  <si>
    <t>Zoolander 2</t>
  </si>
  <si>
    <t>The Big Bounce</t>
  </si>
  <si>
    <t>George Armitage</t>
  </si>
  <si>
    <t>What Planet Are You From?</t>
  </si>
  <si>
    <t>Drive Angry</t>
  </si>
  <si>
    <t>Patrick Lussier</t>
  </si>
  <si>
    <t>Street Fighter: The Legend of Chun-Li</t>
  </si>
  <si>
    <t>The One</t>
  </si>
  <si>
    <t>James Wong</t>
  </si>
  <si>
    <t>The Adventures of Ford Fairlane</t>
  </si>
  <si>
    <t>Pirate Radio</t>
  </si>
  <si>
    <t>Richard Curtis</t>
  </si>
  <si>
    <t>Traffic</t>
  </si>
  <si>
    <t>Indiana Jones and the Last Crusade</t>
  </si>
  <si>
    <t>Anna Karenina</t>
  </si>
  <si>
    <t>Chappie</t>
  </si>
  <si>
    <t>The Bone Collector</t>
  </si>
  <si>
    <t>Panic Room</t>
  </si>
  <si>
    <t>The Tooth Fairy</t>
  </si>
  <si>
    <t>Chuck Bowman</t>
  </si>
  <si>
    <t>Three Kings</t>
  </si>
  <si>
    <t>Child 44</t>
  </si>
  <si>
    <t>Rat Race</t>
  </si>
  <si>
    <t>K-PAX</t>
  </si>
  <si>
    <t>Kate &amp; Leopold</t>
  </si>
  <si>
    <t>Bedazzled</t>
  </si>
  <si>
    <t>The Cotton Club</t>
  </si>
  <si>
    <t>3:10 to Yuma</t>
  </si>
  <si>
    <t>Taken 3</t>
  </si>
  <si>
    <t>Olivier Megaton</t>
  </si>
  <si>
    <t>Out of Sight</t>
  </si>
  <si>
    <t>The Cable Guy</t>
  </si>
  <si>
    <t>Earth</t>
  </si>
  <si>
    <t>Deepa Mehta</t>
  </si>
  <si>
    <t>Hindi</t>
  </si>
  <si>
    <t>Dick Tracy</t>
  </si>
  <si>
    <t>Warren Beatty</t>
  </si>
  <si>
    <t>The Thomas Crown Affair</t>
  </si>
  <si>
    <t>Riding in Cars with Boys</t>
  </si>
  <si>
    <t>Penny Marshall</t>
  </si>
  <si>
    <t>First Blood</t>
  </si>
  <si>
    <t>Ted Kotcheff</t>
  </si>
  <si>
    <t>Solaris</t>
  </si>
  <si>
    <t>Andrei Tarkovsky</t>
  </si>
  <si>
    <t>Russian</t>
  </si>
  <si>
    <t>Happily N'Ever After</t>
  </si>
  <si>
    <t>Paul Bolger</t>
  </si>
  <si>
    <t>Mary Reilly</t>
  </si>
  <si>
    <t>Stephen Frears</t>
  </si>
  <si>
    <t>My Best Friend's Wedding</t>
  </si>
  <si>
    <t>P.J. Hogan</t>
  </si>
  <si>
    <t>America's Sweethearts</t>
  </si>
  <si>
    <t>Insomnia</t>
  </si>
  <si>
    <t>Star Trek: First Contact</t>
  </si>
  <si>
    <t>Jonah Hex</t>
  </si>
  <si>
    <t>Courage Under Fire</t>
  </si>
  <si>
    <t>Liar Liar</t>
  </si>
  <si>
    <t>The Infiltrator</t>
  </si>
  <si>
    <t>Brad Furman</t>
  </si>
  <si>
    <t>Inchon</t>
  </si>
  <si>
    <t>Terence Young</t>
  </si>
  <si>
    <t>The Flintstones</t>
  </si>
  <si>
    <t>Taken 2</t>
  </si>
  <si>
    <t>Scary Movie 3</t>
  </si>
  <si>
    <t>David Zucker</t>
  </si>
  <si>
    <t>Miss Congeniality</t>
  </si>
  <si>
    <t>Journey to the Center of the Earth</t>
  </si>
  <si>
    <t>The Princess Diaries 2: Royal Engagement</t>
  </si>
  <si>
    <t>The Pelican Brief</t>
  </si>
  <si>
    <t>The Client</t>
  </si>
  <si>
    <t>The Bucket List</t>
  </si>
  <si>
    <t>Patriot Games</t>
  </si>
  <si>
    <t>Monster-in-Law</t>
  </si>
  <si>
    <t>Prisoners</t>
  </si>
  <si>
    <t>Denis Villeneuve</t>
  </si>
  <si>
    <t>Training Day</t>
  </si>
  <si>
    <t>Galaxy Quest</t>
  </si>
  <si>
    <t>Scary Movie 2</t>
  </si>
  <si>
    <t>The Muppets</t>
  </si>
  <si>
    <t>Blade</t>
  </si>
  <si>
    <t>Coach Carter</t>
  </si>
  <si>
    <t>Thomas Carter</t>
  </si>
  <si>
    <t>Changing Lanes</t>
  </si>
  <si>
    <t>Roger Michell</t>
  </si>
  <si>
    <t>Anaconda</t>
  </si>
  <si>
    <t>Luis Llosa</t>
  </si>
  <si>
    <t>Coyote Ugly</t>
  </si>
  <si>
    <t>Love Actually</t>
  </si>
  <si>
    <t>A Bug's Life</t>
  </si>
  <si>
    <t>From Hell</t>
  </si>
  <si>
    <t>The Specialist</t>
  </si>
  <si>
    <t>Tin Cup</t>
  </si>
  <si>
    <t>Yours, Mine and Ours</t>
  </si>
  <si>
    <t>Melville Shavelson</t>
  </si>
  <si>
    <t>Kicking &amp; Screaming</t>
  </si>
  <si>
    <t>The Hitchhiker's Guide to the Galaxy</t>
  </si>
  <si>
    <t>Garth Jennings</t>
  </si>
  <si>
    <t>Fat Albert</t>
  </si>
  <si>
    <t>Joel Zwick</t>
  </si>
  <si>
    <t>Resident Evil: Extinction</t>
  </si>
  <si>
    <t>Russell Mulcahy</t>
  </si>
  <si>
    <t>Blended</t>
  </si>
  <si>
    <t>Last Holiday</t>
  </si>
  <si>
    <t>The River Wild</t>
  </si>
  <si>
    <t>The Indian in the Cupboard</t>
  </si>
  <si>
    <t>Savages</t>
  </si>
  <si>
    <t>Cellular</t>
  </si>
  <si>
    <t>David R. Ellis</t>
  </si>
  <si>
    <t>Johnny English</t>
  </si>
  <si>
    <t>Peter Howitt</t>
  </si>
  <si>
    <t>The Ant Bully</t>
  </si>
  <si>
    <t>John A. Davis</t>
  </si>
  <si>
    <t>Dune</t>
  </si>
  <si>
    <t>David Lynch</t>
  </si>
  <si>
    <t>Across the Universe</t>
  </si>
  <si>
    <t>Julie Taymor</t>
  </si>
  <si>
    <t>Revolutionary Road</t>
  </si>
  <si>
    <t>16 Blocks</t>
  </si>
  <si>
    <t>Babylon A.D.</t>
  </si>
  <si>
    <t>Mathieu Kassovitz</t>
  </si>
  <si>
    <t>The Glimmer Man</t>
  </si>
  <si>
    <t>John Gray</t>
  </si>
  <si>
    <t>Multiplicity</t>
  </si>
  <si>
    <t>Aliens in the Attic</t>
  </si>
  <si>
    <t>John Schultz</t>
  </si>
  <si>
    <t>The Pledge</t>
  </si>
  <si>
    <t>Sean Penn</t>
  </si>
  <si>
    <t>The Producers</t>
  </si>
  <si>
    <t>Susan Stroman</t>
  </si>
  <si>
    <t>The Phantom</t>
  </si>
  <si>
    <t>Simon Wincer</t>
  </si>
  <si>
    <t>All the Pretty Horses</t>
  </si>
  <si>
    <t>Billy Bob Thornton</t>
  </si>
  <si>
    <t>Nixon</t>
  </si>
  <si>
    <t>The Ghost Writer</t>
  </si>
  <si>
    <t>Deep Rising</t>
  </si>
  <si>
    <t>Miracle at St. Anna</t>
  </si>
  <si>
    <t>Curse of the Golden Flower</t>
  </si>
  <si>
    <t>Bangkok Dangerous</t>
  </si>
  <si>
    <t>Danny Pang</t>
  </si>
  <si>
    <t>Big Trouble</t>
  </si>
  <si>
    <t>Love in the Time of Cholera</t>
  </si>
  <si>
    <t>Shadow Conspiracy</t>
  </si>
  <si>
    <t>George P. Cosmatos</t>
  </si>
  <si>
    <t>Johnny English Reborn</t>
  </si>
  <si>
    <t>Oliver Parker</t>
  </si>
  <si>
    <t>Foodfight!</t>
  </si>
  <si>
    <t>Lawrence Kasanoff</t>
  </si>
  <si>
    <t>Argo</t>
  </si>
  <si>
    <t>Ben Affleck</t>
  </si>
  <si>
    <t>The Fugitive</t>
  </si>
  <si>
    <t>The Bounty Hunter</t>
  </si>
  <si>
    <t>Sleepers</t>
  </si>
  <si>
    <t>Rambo: First Blood Part II</t>
  </si>
  <si>
    <t>The Juror</t>
  </si>
  <si>
    <t>Brian Gibson</t>
  </si>
  <si>
    <t>Pinocchio</t>
  </si>
  <si>
    <t>Norman Ferguson</t>
  </si>
  <si>
    <t>Heaven's Gate</t>
  </si>
  <si>
    <t>Michael Cimino</t>
  </si>
  <si>
    <t>Underworld: Evolution</t>
  </si>
  <si>
    <t>Victor Frankenstein</t>
  </si>
  <si>
    <t>Paul Mcguigan</t>
  </si>
  <si>
    <t>Finding Forrester</t>
  </si>
  <si>
    <t>Gus Van Sant</t>
  </si>
  <si>
    <t>28 Days</t>
  </si>
  <si>
    <t>Unleashed</t>
  </si>
  <si>
    <t>The Sweetest Thing</t>
  </si>
  <si>
    <t>Roger Kumble</t>
  </si>
  <si>
    <t>The Firm</t>
  </si>
  <si>
    <t>Charlie St. Cloud</t>
  </si>
  <si>
    <t>Burr Steers</t>
  </si>
  <si>
    <t>The Mechanic</t>
  </si>
  <si>
    <t>21 Jump Street</t>
  </si>
  <si>
    <t>Notting Hill</t>
  </si>
  <si>
    <t>Chicken Run</t>
  </si>
  <si>
    <t>Along Came Polly</t>
  </si>
  <si>
    <t>John Hamburg</t>
  </si>
  <si>
    <t>Boomerang</t>
  </si>
  <si>
    <t>Reginald Hudlin</t>
  </si>
  <si>
    <t>The Heat</t>
  </si>
  <si>
    <t>Cleopatra</t>
  </si>
  <si>
    <t>Joseph L. Mankiewicz</t>
  </si>
  <si>
    <t>Here Comes the Boom</t>
  </si>
  <si>
    <t>High Crimes</t>
  </si>
  <si>
    <t>The Mirror Has Two Faces</t>
  </si>
  <si>
    <t>Barbra Streisand</t>
  </si>
  <si>
    <t>The Mothman Prophecies</t>
  </si>
  <si>
    <t>Mark Pellington</t>
  </si>
  <si>
    <t>Brüno</t>
  </si>
  <si>
    <t>Licence to Kill</t>
  </si>
  <si>
    <t>John Glen</t>
  </si>
  <si>
    <t>Red Riding Hood</t>
  </si>
  <si>
    <t>Catherine Hardwicke</t>
  </si>
  <si>
    <t>15 Minutes</t>
  </si>
  <si>
    <t>John Herzfeld</t>
  </si>
  <si>
    <t>Super Mario Bros.</t>
  </si>
  <si>
    <t>Annabel Jankel</t>
  </si>
  <si>
    <t>Lord of War</t>
  </si>
  <si>
    <t>Hero</t>
  </si>
  <si>
    <t>One for the Money</t>
  </si>
  <si>
    <t>Julie Anne Robinson</t>
  </si>
  <si>
    <t>The Interview</t>
  </si>
  <si>
    <t>Evan Goldberg</t>
  </si>
  <si>
    <t>The Warrior's Way</t>
  </si>
  <si>
    <t>Sngmoo Lee</t>
  </si>
  <si>
    <t>Micmacs</t>
  </si>
  <si>
    <t>8 Mile</t>
  </si>
  <si>
    <t>Animal Kingdom: Let's go Ape</t>
  </si>
  <si>
    <t>Jamel Debbouze</t>
  </si>
  <si>
    <t>A Knight's Tale</t>
  </si>
  <si>
    <t>The Medallion</t>
  </si>
  <si>
    <t>Gordon Chan</t>
  </si>
  <si>
    <t>The Sixth Sense</t>
  </si>
  <si>
    <t>Man on a Ledge</t>
  </si>
  <si>
    <t>Asger Leth</t>
  </si>
  <si>
    <t>The Big Year</t>
  </si>
  <si>
    <t>The Karate Kid</t>
  </si>
  <si>
    <t>John G. Avildsen</t>
  </si>
  <si>
    <t>American Hustle</t>
  </si>
  <si>
    <t>The Proposal</t>
  </si>
  <si>
    <t>Anne Fletcher</t>
  </si>
  <si>
    <t>Double Jeopardy</t>
  </si>
  <si>
    <t>Bruce Beresford</t>
  </si>
  <si>
    <t>Back to the Future Part II</t>
  </si>
  <si>
    <t>Lucy</t>
  </si>
  <si>
    <t>Fifty Shades of Grey</t>
  </si>
  <si>
    <t>Sam Taylor-Johnson</t>
  </si>
  <si>
    <t>Spy Kids 3-D: Game Over</t>
  </si>
  <si>
    <t>A Time to Kill</t>
  </si>
  <si>
    <t>Cheaper by the Dozen</t>
  </si>
  <si>
    <t>Lone Survivor</t>
  </si>
  <si>
    <t>A League of Their Own</t>
  </si>
  <si>
    <t>The Conjuring 2</t>
  </si>
  <si>
    <t>The Social Network</t>
  </si>
  <si>
    <t>He's Just Not That Into You</t>
  </si>
  <si>
    <t>Ken Kwapis</t>
  </si>
  <si>
    <t>Scary Movie 4</t>
  </si>
  <si>
    <t>Scream 3</t>
  </si>
  <si>
    <t>Wes Craven</t>
  </si>
  <si>
    <t>Back to the Future Part III</t>
  </si>
  <si>
    <t>Get Hard</t>
  </si>
  <si>
    <t>Etan Cohen</t>
  </si>
  <si>
    <t>Bram Stoker's Dracula</t>
  </si>
  <si>
    <t>Julie &amp; Julia</t>
  </si>
  <si>
    <t>42</t>
  </si>
  <si>
    <t>The Talented Mr. Ripley</t>
  </si>
  <si>
    <t>Dumb and Dumber To</t>
  </si>
  <si>
    <t>Eight Below</t>
  </si>
  <si>
    <t>The Intern</t>
  </si>
  <si>
    <t>Ride Along 2</t>
  </si>
  <si>
    <t>The Last of the Mohicans</t>
  </si>
  <si>
    <t>Ray</t>
  </si>
  <si>
    <t>Sin City</t>
  </si>
  <si>
    <t>Vantage Point</t>
  </si>
  <si>
    <t>I Love You, Man</t>
  </si>
  <si>
    <t>Shallow Hal</t>
  </si>
  <si>
    <t>JFK</t>
  </si>
  <si>
    <t>Big Momma's House 2</t>
  </si>
  <si>
    <t>The Mexican</t>
  </si>
  <si>
    <t>17 Again</t>
  </si>
  <si>
    <t>The Other Woman</t>
  </si>
  <si>
    <t>Nick Cassavetes</t>
  </si>
  <si>
    <t>The Final Destination</t>
  </si>
  <si>
    <t>Bridge of Spies</t>
  </si>
  <si>
    <t>Behind Enemy Lines</t>
  </si>
  <si>
    <t>Get Him to the Greek</t>
  </si>
  <si>
    <t>Nicholas Stoller</t>
  </si>
  <si>
    <t>Shall We Dance</t>
  </si>
  <si>
    <t>Small Soldiers</t>
  </si>
  <si>
    <t>Spawn</t>
  </si>
  <si>
    <t>Mark A.Z. Dippé</t>
  </si>
  <si>
    <t>The Count of Monte Cristo</t>
  </si>
  <si>
    <t>The Lincoln Lawyer</t>
  </si>
  <si>
    <t>Unknown</t>
  </si>
  <si>
    <t>The Prestige</t>
  </si>
  <si>
    <t>Horrible Bosses 2</t>
  </si>
  <si>
    <t>Escape from Planet Earth</t>
  </si>
  <si>
    <t>Cal Brunker</t>
  </si>
  <si>
    <t>Apocalypto</t>
  </si>
  <si>
    <t>Maya</t>
  </si>
  <si>
    <t>The Living Daylights</t>
  </si>
  <si>
    <t>Predators</t>
  </si>
  <si>
    <t>Nimród Antal</t>
  </si>
  <si>
    <t>Legal Eagles</t>
  </si>
  <si>
    <t>Secret Window</t>
  </si>
  <si>
    <t>The Lake House</t>
  </si>
  <si>
    <t>Alejandro Agresti</t>
  </si>
  <si>
    <t>The Skeleton Key</t>
  </si>
  <si>
    <t>The Odd Life of Timothy Green</t>
  </si>
  <si>
    <t>Peter Hedges</t>
  </si>
  <si>
    <t>Made of Honor</t>
  </si>
  <si>
    <t>Paul Weiland</t>
  </si>
  <si>
    <t>Jersey Boys</t>
  </si>
  <si>
    <t>The Rainmaker</t>
  </si>
  <si>
    <t>Gothika</t>
  </si>
  <si>
    <t>Amistad</t>
  </si>
  <si>
    <t>Medicine Man</t>
  </si>
  <si>
    <t>Aliens vs. Predator: Requiem</t>
  </si>
  <si>
    <t>Colin Strause</t>
  </si>
  <si>
    <t>Ri¢hie Ri¢h</t>
  </si>
  <si>
    <t>Autumn in New York</t>
  </si>
  <si>
    <t>Joan Chen</t>
  </si>
  <si>
    <t>Music and Lyrics</t>
  </si>
  <si>
    <t>Paul</t>
  </si>
  <si>
    <t>Greg Mottola</t>
  </si>
  <si>
    <t>The Guilt Trip</t>
  </si>
  <si>
    <t>Scream 4</t>
  </si>
  <si>
    <t>8MM</t>
  </si>
  <si>
    <t>The Doors</t>
  </si>
  <si>
    <t>Sex Tape</t>
  </si>
  <si>
    <t>Jake Kasdan</t>
  </si>
  <si>
    <t>Hanging Up</t>
  </si>
  <si>
    <t>Diane Keaton</t>
  </si>
  <si>
    <t>Final Destination 5</t>
  </si>
  <si>
    <t>Mickey Blue Eyes</t>
  </si>
  <si>
    <t>Kelly Makin</t>
  </si>
  <si>
    <t>Pay It Forward</t>
  </si>
  <si>
    <t>Fever Pitch</t>
  </si>
  <si>
    <t>Drillbit Taylor</t>
  </si>
  <si>
    <t>A Million Ways to Die in the West</t>
  </si>
  <si>
    <t>The Shadow</t>
  </si>
  <si>
    <t>Extremely Loud &amp; Incredibly Close</t>
  </si>
  <si>
    <t>Stephen Daldry</t>
  </si>
  <si>
    <t>Morning Glory</t>
  </si>
  <si>
    <t>Get Rich or Die Tryin'</t>
  </si>
  <si>
    <t>The Art of War</t>
  </si>
  <si>
    <t>Christian Duguay</t>
  </si>
  <si>
    <t>Rent</t>
  </si>
  <si>
    <t>Bless the Child</t>
  </si>
  <si>
    <t>The Out-of-Towners</t>
  </si>
  <si>
    <t>The Island of Dr. Moreau</t>
  </si>
  <si>
    <t>The Musketeer</t>
  </si>
  <si>
    <t>The Other Boleyn Girl</t>
  </si>
  <si>
    <t>Justin Chadwick</t>
  </si>
  <si>
    <t>Sweet November</t>
  </si>
  <si>
    <t>Pat O'Connor</t>
  </si>
  <si>
    <t>The Reaping</t>
  </si>
  <si>
    <t>Mean Streets</t>
  </si>
  <si>
    <t>Renaissance Man</t>
  </si>
  <si>
    <t>Colombiana</t>
  </si>
  <si>
    <t>The Magic Sword: Quest for Camelot</t>
  </si>
  <si>
    <t>Frederik Du Chau</t>
  </si>
  <si>
    <t>City by the Sea</t>
  </si>
  <si>
    <t>At First Sight</t>
  </si>
  <si>
    <t>Irwin Winkler</t>
  </si>
  <si>
    <t>Torque</t>
  </si>
  <si>
    <t>Joseph Kahn</t>
  </si>
  <si>
    <t>City Hall</t>
  </si>
  <si>
    <t>Showgirls</t>
  </si>
  <si>
    <t>Marie Antoinette</t>
  </si>
  <si>
    <t>Sofia Coppola</t>
  </si>
  <si>
    <t>Kiss of Death</t>
  </si>
  <si>
    <t>Get Carter</t>
  </si>
  <si>
    <t>Stephen Kay</t>
  </si>
  <si>
    <t>The Impossible</t>
  </si>
  <si>
    <t>J.A. Bayona</t>
  </si>
  <si>
    <t>Ishtar</t>
  </si>
  <si>
    <t>Elaine May</t>
  </si>
  <si>
    <t>Fantastic Mr. Fox</t>
  </si>
  <si>
    <t>Life or Something Like It</t>
  </si>
  <si>
    <t>Memoirs of an Invisible Man</t>
  </si>
  <si>
    <t>Amélie</t>
  </si>
  <si>
    <t>New York Minute</t>
  </si>
  <si>
    <t>Dennie Gordon</t>
  </si>
  <si>
    <t>Alfie</t>
  </si>
  <si>
    <t>Charles Shyer</t>
  </si>
  <si>
    <t>Big Miracle</t>
  </si>
  <si>
    <t>The Deep End of the Ocean</t>
  </si>
  <si>
    <t>Ulu Grosbard</t>
  </si>
  <si>
    <t>Feardotcom</t>
  </si>
  <si>
    <t>William Malone</t>
  </si>
  <si>
    <t>Cirque du Freak: The Vampire's Assistant</t>
  </si>
  <si>
    <t>Duplex</t>
  </si>
  <si>
    <t>Soul Men</t>
  </si>
  <si>
    <t>Malcolm D. Lee</t>
  </si>
  <si>
    <t>Raise the Titanic</t>
  </si>
  <si>
    <t>Jerry Jameson</t>
  </si>
  <si>
    <t>Universal Soldier: The Return</t>
  </si>
  <si>
    <t>Mic Rodgers</t>
  </si>
  <si>
    <t>Pandorum</t>
  </si>
  <si>
    <t>Christian Alvart</t>
  </si>
  <si>
    <t>Impostor</t>
  </si>
  <si>
    <t>Extreme Ops</t>
  </si>
  <si>
    <t>Just Visiting</t>
  </si>
  <si>
    <t>Jean-Marie Poiré</t>
  </si>
  <si>
    <t>Sunshine</t>
  </si>
  <si>
    <t>A Thousand Words</t>
  </si>
  <si>
    <t>Delgo</t>
  </si>
  <si>
    <t>Marc F. Adler</t>
  </si>
  <si>
    <t>The Gunman</t>
  </si>
  <si>
    <t>Alex Rider: Operation Stormbreaker</t>
  </si>
  <si>
    <t>Geoffrey Sax</t>
  </si>
  <si>
    <t>Disturbia</t>
  </si>
  <si>
    <t>Hackers</t>
  </si>
  <si>
    <t>The Hunting Party</t>
  </si>
  <si>
    <t>Richard Shepard</t>
  </si>
  <si>
    <t>The Hudsucker Proxy</t>
  </si>
  <si>
    <t>The Warlords</t>
  </si>
  <si>
    <t>Peter Ho-Sun Chan</t>
  </si>
  <si>
    <t>Nomad: The Warrior</t>
  </si>
  <si>
    <t>Kazakh</t>
  </si>
  <si>
    <t>Snowpiercer</t>
  </si>
  <si>
    <t>Joon-Ho Bong</t>
  </si>
  <si>
    <t>A Monster in Paris</t>
  </si>
  <si>
    <t>The Last Shot</t>
  </si>
  <si>
    <t>Jeff Nathanson</t>
  </si>
  <si>
    <t>The Crow</t>
  </si>
  <si>
    <t>Baahubali: The Beginning</t>
  </si>
  <si>
    <t>S.S. Rajamouli</t>
  </si>
  <si>
    <t>Telugu</t>
  </si>
  <si>
    <t>The Time Traveler's Wife</t>
  </si>
  <si>
    <t>Because I Said So</t>
  </si>
  <si>
    <t>Frankenweenie</t>
  </si>
  <si>
    <t>Serenity</t>
  </si>
  <si>
    <t>Against the Ropes</t>
  </si>
  <si>
    <t>Charles S. Dutton</t>
  </si>
  <si>
    <t>Superman III</t>
  </si>
  <si>
    <t>Grudge Match</t>
  </si>
  <si>
    <t>Red Cliff</t>
  </si>
  <si>
    <t>Sweet Home Alabama</t>
  </si>
  <si>
    <t>The Ugly Truth</t>
  </si>
  <si>
    <t>Sgt. Bilko</t>
  </si>
  <si>
    <t>Jonathan Lynn</t>
  </si>
  <si>
    <t>Spy Kids 2: Island of Lost Dreams</t>
  </si>
  <si>
    <t>Star Trek: Generations</t>
  </si>
  <si>
    <t>David Carson</t>
  </si>
  <si>
    <t>The Grandmaster</t>
  </si>
  <si>
    <t>Kar-Wai Wong</t>
  </si>
  <si>
    <t>Water for Elephants</t>
  </si>
  <si>
    <t>Dragon Nest: Warriors' Dawn</t>
  </si>
  <si>
    <t>Yuefeng Song</t>
  </si>
  <si>
    <t>The Hurricane</t>
  </si>
  <si>
    <t>Norman Jewison</t>
  </si>
  <si>
    <t>Enough</t>
  </si>
  <si>
    <t>Heartbreakers</t>
  </si>
  <si>
    <t>David Mirkin</t>
  </si>
  <si>
    <t>Paul Blart: Mall Cop 2</t>
  </si>
  <si>
    <t>Angel Eyes</t>
  </si>
  <si>
    <t>Luis Mandoki</t>
  </si>
  <si>
    <t>Joe Somebody</t>
  </si>
  <si>
    <t>The Ninth Gate</t>
  </si>
  <si>
    <t>Extreme Measures</t>
  </si>
  <si>
    <t>Rock Star</t>
  </si>
  <si>
    <t>Precious</t>
  </si>
  <si>
    <t>Lee Daniels</t>
  </si>
  <si>
    <t>White Squall</t>
  </si>
  <si>
    <t>The Thing</t>
  </si>
  <si>
    <t>Riddick</t>
  </si>
  <si>
    <t>Switchback</t>
  </si>
  <si>
    <t>Jeb Stuart</t>
  </si>
  <si>
    <t>Texas Rangers</t>
  </si>
  <si>
    <t>Steve Miner</t>
  </si>
  <si>
    <t>City of Ember</t>
  </si>
  <si>
    <t>The Master</t>
  </si>
  <si>
    <t>Paul Thomas Anderson</t>
  </si>
  <si>
    <t>Virgin Territory</t>
  </si>
  <si>
    <t>David Leland</t>
  </si>
  <si>
    <t>The Express</t>
  </si>
  <si>
    <t>The 5th Wave</t>
  </si>
  <si>
    <t>J Blakeson</t>
  </si>
  <si>
    <t>Creed</t>
  </si>
  <si>
    <t>Ryan Coogler</t>
  </si>
  <si>
    <t>The Town</t>
  </si>
  <si>
    <t>What to Expect When You're Expecting</t>
  </si>
  <si>
    <t>Kirk Jones</t>
  </si>
  <si>
    <t>Burn After Reading</t>
  </si>
  <si>
    <t>Ethan Coen</t>
  </si>
  <si>
    <t>Nim's Island</t>
  </si>
  <si>
    <t>Jennifer Flackett</t>
  </si>
  <si>
    <t>Rush</t>
  </si>
  <si>
    <t>Magnolia</t>
  </si>
  <si>
    <t>Cop Out</t>
  </si>
  <si>
    <t>Kevin Smith</t>
  </si>
  <si>
    <t>How to Be Single</t>
  </si>
  <si>
    <t>Christian Ditter</t>
  </si>
  <si>
    <t>Dolphin Tale</t>
  </si>
  <si>
    <t>Charles Martin Smith</t>
  </si>
  <si>
    <t>Twilight</t>
  </si>
  <si>
    <t>John Q</t>
  </si>
  <si>
    <t>Blue Streak</t>
  </si>
  <si>
    <t>We're the Millers</t>
  </si>
  <si>
    <t>Obitaemyy ostrov</t>
  </si>
  <si>
    <t>Fedor Bondarchuk</t>
  </si>
  <si>
    <t>Breakdown</t>
  </si>
  <si>
    <t>Never Say Never Again</t>
  </si>
  <si>
    <t>Irvin Kershner</t>
  </si>
  <si>
    <t>Hot Tub Time Machine</t>
  </si>
  <si>
    <t>Steve Pink</t>
  </si>
  <si>
    <t>Dolphin Tale 2</t>
  </si>
  <si>
    <t>Reindeer Games</t>
  </si>
  <si>
    <t>A Man Apart</t>
  </si>
  <si>
    <t>Aloha</t>
  </si>
  <si>
    <t>Ghosts of Mississippi</t>
  </si>
  <si>
    <t>Snow Falling on Cedars</t>
  </si>
  <si>
    <t>Scott Hicks</t>
  </si>
  <si>
    <t>The Rite</t>
  </si>
  <si>
    <t>Gattaca</t>
  </si>
  <si>
    <t>Isn't She Great</t>
  </si>
  <si>
    <t>Space Chimps</t>
  </si>
  <si>
    <t>Head of State</t>
  </si>
  <si>
    <t>Chris Rock</t>
  </si>
  <si>
    <t>The Hangover</t>
  </si>
  <si>
    <t>Ip Man 3</t>
  </si>
  <si>
    <t>Wilson Yip</t>
  </si>
  <si>
    <t>Cantonese</t>
  </si>
  <si>
    <t>Austin Powers: The Spy Who Shagged Me</t>
  </si>
  <si>
    <t>Batman</t>
  </si>
  <si>
    <t>There Be Dragons</t>
  </si>
  <si>
    <t>Lethal Weapon 3</t>
  </si>
  <si>
    <t>The Blind Side</t>
  </si>
  <si>
    <t>Spy Kids</t>
  </si>
  <si>
    <t>Horrible Bosses</t>
  </si>
  <si>
    <t>True Grit</t>
  </si>
  <si>
    <t>The Devil Wears Prada</t>
  </si>
  <si>
    <t>Star Trek: The Motion Picture</t>
  </si>
  <si>
    <t>Robert Wise</t>
  </si>
  <si>
    <t>Identity Thief</t>
  </si>
  <si>
    <t>Cape Fear</t>
  </si>
  <si>
    <t>21</t>
  </si>
  <si>
    <t>Trainwreck</t>
  </si>
  <si>
    <t>Guess Who</t>
  </si>
  <si>
    <t>Kevin Rodney Sullivan</t>
  </si>
  <si>
    <t>The English Patient</t>
  </si>
  <si>
    <t>L.A. Confidential</t>
  </si>
  <si>
    <t>Sky High</t>
  </si>
  <si>
    <t>In &amp; Out</t>
  </si>
  <si>
    <t>Species</t>
  </si>
  <si>
    <t>A Nightmare on Elm Street</t>
  </si>
  <si>
    <t>The Cell</t>
  </si>
  <si>
    <t>The Man in the Iron Mask</t>
  </si>
  <si>
    <t>Secretariat</t>
  </si>
  <si>
    <t>TMNT</t>
  </si>
  <si>
    <t>Kevin Munroe</t>
  </si>
  <si>
    <t>Radio</t>
  </si>
  <si>
    <t>Michael Tollin</t>
  </si>
  <si>
    <t>Friends with Benefits</t>
  </si>
  <si>
    <t>Neighbors 2: Sorority Rising</t>
  </si>
  <si>
    <t>Saving Mr. Banks</t>
  </si>
  <si>
    <t>Malcolm X</t>
  </si>
  <si>
    <t>This Is 40</t>
  </si>
  <si>
    <t>Old Dogs</t>
  </si>
  <si>
    <t>Underworld: Rise of the Lycans</t>
  </si>
  <si>
    <t>Patrick Tatopoulos</t>
  </si>
  <si>
    <t>License to Wed</t>
  </si>
  <si>
    <t>The Benchwarmers</t>
  </si>
  <si>
    <t>Must Love Dogs</t>
  </si>
  <si>
    <t>Gary David Goldberg</t>
  </si>
  <si>
    <t>Donnie Brasco</t>
  </si>
  <si>
    <t>Resident Evil</t>
  </si>
  <si>
    <t>Poltergeist</t>
  </si>
  <si>
    <t>Tobe Hooper</t>
  </si>
  <si>
    <t>The Ladykillers</t>
  </si>
  <si>
    <t>Max Payne</t>
  </si>
  <si>
    <t>In Time</t>
  </si>
  <si>
    <t>The Back-up Plan</t>
  </si>
  <si>
    <t>Alan Poul</t>
  </si>
  <si>
    <t>Something Borrowed</t>
  </si>
  <si>
    <t>Luke Greenfield</t>
  </si>
  <si>
    <t>Black Knight</t>
  </si>
  <si>
    <t>Gil Junger</t>
  </si>
  <si>
    <t>The Bad News Bears</t>
  </si>
  <si>
    <t>Michael Ritchie</t>
  </si>
  <si>
    <t>Street Fighter</t>
  </si>
  <si>
    <t>Steven E. De Souza</t>
  </si>
  <si>
    <t>The Pianist</t>
  </si>
  <si>
    <t>The Nativity Story</t>
  </si>
  <si>
    <t>House of Wax</t>
  </si>
  <si>
    <t>Closer</t>
  </si>
  <si>
    <t>J. Edgar</t>
  </si>
  <si>
    <t>Mirrors</t>
  </si>
  <si>
    <t>Alexandre Aja</t>
  </si>
  <si>
    <t>Queen of the Damned</t>
  </si>
  <si>
    <t>Michael Rymer</t>
  </si>
  <si>
    <t>Predator 2</t>
  </si>
  <si>
    <t>Untraceable</t>
  </si>
  <si>
    <t>Blast from the Past</t>
  </si>
  <si>
    <t>Hugh Wilson</t>
  </si>
  <si>
    <t>Flash Gordon</t>
  </si>
  <si>
    <t>Mike Hodges</t>
  </si>
  <si>
    <t>Jersey Girl</t>
  </si>
  <si>
    <t>Alex Cross</t>
  </si>
  <si>
    <t>Midnight in the Garden of Good and Evil</t>
  </si>
  <si>
    <t>Heist</t>
  </si>
  <si>
    <t>Scott Mann</t>
  </si>
  <si>
    <t>Nanny McPhee Returns</t>
  </si>
  <si>
    <t>Susanna White</t>
  </si>
  <si>
    <t>Hoffa</t>
  </si>
  <si>
    <t>The X Files: I Want to Believe</t>
  </si>
  <si>
    <t>Chris Carter</t>
  </si>
  <si>
    <t>Ella Enchanted</t>
  </si>
  <si>
    <t>Tommy O'Haver</t>
  </si>
  <si>
    <t>Concussion</t>
  </si>
  <si>
    <t>Peter Landesman</t>
  </si>
  <si>
    <t>Abduction</t>
  </si>
  <si>
    <t>Valiant</t>
  </si>
  <si>
    <t>Gary Chapman</t>
  </si>
  <si>
    <t>Wonder Boys</t>
  </si>
  <si>
    <t>Superhero Movie</t>
  </si>
  <si>
    <t>Craig Mazin</t>
  </si>
  <si>
    <t>Broken City</t>
  </si>
  <si>
    <t>Allen Hughes</t>
  </si>
  <si>
    <t>Cursed</t>
  </si>
  <si>
    <t>Premium Rush</t>
  </si>
  <si>
    <t>Hot Pursuit</t>
  </si>
  <si>
    <t>The Four Feathers</t>
  </si>
  <si>
    <t>Parker</t>
  </si>
  <si>
    <t>Wimbledon</t>
  </si>
  <si>
    <t>Furry Vengeance</t>
  </si>
  <si>
    <t>Bait</t>
  </si>
  <si>
    <t>Kimble Rendall</t>
  </si>
  <si>
    <t>Krull</t>
  </si>
  <si>
    <t>Peter Yates</t>
  </si>
  <si>
    <t>Lions for Lambs</t>
  </si>
  <si>
    <t>Flight of the Intruder</t>
  </si>
  <si>
    <t>Walk Hard: The Dewey Cox Story</t>
  </si>
  <si>
    <t>The Shipping News</t>
  </si>
  <si>
    <t>Lasse Hallström</t>
  </si>
  <si>
    <t>American Outlaws</t>
  </si>
  <si>
    <t>The Young Victoria</t>
  </si>
  <si>
    <t>Jean-Marc Vallée</t>
  </si>
  <si>
    <t>Whiteout</t>
  </si>
  <si>
    <t>The Tree of Life</t>
  </si>
  <si>
    <t>Knock Off</t>
  </si>
  <si>
    <t>Hark Tsui</t>
  </si>
  <si>
    <t>Sabotage</t>
  </si>
  <si>
    <t>The Order</t>
  </si>
  <si>
    <t>Punisher: War Zone</t>
  </si>
  <si>
    <t>Lexi Alexander</t>
  </si>
  <si>
    <t>Zoom</t>
  </si>
  <si>
    <t>The Walk</t>
  </si>
  <si>
    <t>Warriors of Virtue</t>
  </si>
  <si>
    <t>Ronny Yu</t>
  </si>
  <si>
    <t>A Good Year</t>
  </si>
  <si>
    <t>Radio Flyer</t>
  </si>
  <si>
    <t>Blood In, Blood Out</t>
  </si>
  <si>
    <t>Smilla's Sense of Snow</t>
  </si>
  <si>
    <t>Bille August</t>
  </si>
  <si>
    <t>Femme Fatale</t>
  </si>
  <si>
    <t>Lion of the Desert</t>
  </si>
  <si>
    <t>Moustapha Akkad</t>
  </si>
  <si>
    <t>The Horseman on the Roof</t>
  </si>
  <si>
    <t>Jean-Paul Rappeneau</t>
  </si>
  <si>
    <t>Ride with the Devil</t>
  </si>
  <si>
    <t>Biutiful</t>
  </si>
  <si>
    <t>Bandidas</t>
  </si>
  <si>
    <t>Joachim Rønning</t>
  </si>
  <si>
    <t>The Maze Runner</t>
  </si>
  <si>
    <t>Unfinished Business</t>
  </si>
  <si>
    <t>Ken Scott</t>
  </si>
  <si>
    <t>The Age of Innocence</t>
  </si>
  <si>
    <t>The Fountain</t>
  </si>
  <si>
    <t>Chill Factor</t>
  </si>
  <si>
    <t>Hugh Johnson</t>
  </si>
  <si>
    <t>Stolen</t>
  </si>
  <si>
    <t>Ponyo</t>
  </si>
  <si>
    <t>Hayao Miyazaki</t>
  </si>
  <si>
    <t>The Longest Ride</t>
  </si>
  <si>
    <t>George Tillman Jr.</t>
  </si>
  <si>
    <t>The Astronaut's Wife</t>
  </si>
  <si>
    <t>Rand Ravich</t>
  </si>
  <si>
    <t>I Dreamed of Africa</t>
  </si>
  <si>
    <t>Hugh Hudson</t>
  </si>
  <si>
    <t>Playing for Keeps</t>
  </si>
  <si>
    <t>Mandela: Long Walk to Freedom</t>
  </si>
  <si>
    <t>Reds</t>
  </si>
  <si>
    <t>A Few Good Men</t>
  </si>
  <si>
    <t>Exit Wounds</t>
  </si>
  <si>
    <t>Big Momma's House</t>
  </si>
  <si>
    <t>Thunder and the House of Magic</t>
  </si>
  <si>
    <t>Jeremy Degruson</t>
  </si>
  <si>
    <t>The Darkest Hour</t>
  </si>
  <si>
    <t>Chris Gorak</t>
  </si>
  <si>
    <t>Step Up Revolution</t>
  </si>
  <si>
    <t>Scott Speer</t>
  </si>
  <si>
    <t>Snakes on a Plane</t>
  </si>
  <si>
    <t>The Watcher</t>
  </si>
  <si>
    <t>Joe Charbanic</t>
  </si>
  <si>
    <t>The Punisher</t>
  </si>
  <si>
    <t>Jonathan Hensleigh</t>
  </si>
  <si>
    <t>Goal! The Dream Begins</t>
  </si>
  <si>
    <t>Danny Cannon</t>
  </si>
  <si>
    <t>Safe</t>
  </si>
  <si>
    <t>Boaz Yakin</t>
  </si>
  <si>
    <t>Pushing Tin</t>
  </si>
  <si>
    <t>Star Wars: Episode VI - Return of the Jedi</t>
  </si>
  <si>
    <t>Richard Marquand</t>
  </si>
  <si>
    <t>Doomsday</t>
  </si>
  <si>
    <t>Neil Marshall</t>
  </si>
  <si>
    <t>The Reader</t>
  </si>
  <si>
    <t>Wanderlust</t>
  </si>
  <si>
    <t>David Wain</t>
  </si>
  <si>
    <t>Elf</t>
  </si>
  <si>
    <t>Phenomenon</t>
  </si>
  <si>
    <t>Snow Dogs</t>
  </si>
  <si>
    <t>Scrooged</t>
  </si>
  <si>
    <t>Nacho Libre</t>
  </si>
  <si>
    <t>Jared Hess</t>
  </si>
  <si>
    <t>Bridesmaids</t>
  </si>
  <si>
    <t>This Is the End</t>
  </si>
  <si>
    <t>Stigmata</t>
  </si>
  <si>
    <t>Rupert Wainwright</t>
  </si>
  <si>
    <t>Men of Honor</t>
  </si>
  <si>
    <t>Takers</t>
  </si>
  <si>
    <t>John Luessenhop</t>
  </si>
  <si>
    <t>The Big Wedding</t>
  </si>
  <si>
    <t>Justin Zackham</t>
  </si>
  <si>
    <t>Big Mommas: Like Father, Like Son</t>
  </si>
  <si>
    <t>Source Code</t>
  </si>
  <si>
    <t>Alive</t>
  </si>
  <si>
    <t>The Number 23</t>
  </si>
  <si>
    <t>The Young and Prodigious T.S. Spivet</t>
  </si>
  <si>
    <t>1941</t>
  </si>
  <si>
    <t>Dreamer: Inspired by a True Story</t>
  </si>
  <si>
    <t>John Gatins</t>
  </si>
  <si>
    <t>A History of Violence</t>
  </si>
  <si>
    <t>Transporter 2</t>
  </si>
  <si>
    <t>The Quick and the Dead</t>
  </si>
  <si>
    <t>Laws of Attraction</t>
  </si>
  <si>
    <t>Bringing Out the Dead</t>
  </si>
  <si>
    <t>Repo Men</t>
  </si>
  <si>
    <t>Miguel Sapochnik</t>
  </si>
  <si>
    <t>Dragon Wars: D-War</t>
  </si>
  <si>
    <t>Hyung-Rae Shim</t>
  </si>
  <si>
    <t>Bogus</t>
  </si>
  <si>
    <t>The Incredible Burt Wonderstone</t>
  </si>
  <si>
    <t>Don Scardino</t>
  </si>
  <si>
    <t>Cats Don't Dance</t>
  </si>
  <si>
    <t>Cradle Will Rock</t>
  </si>
  <si>
    <t>Tim Robbins</t>
  </si>
  <si>
    <t>The Good German</t>
  </si>
  <si>
    <t>George and the Dragon</t>
  </si>
  <si>
    <t>Tom Reeve</t>
  </si>
  <si>
    <t>Apocalypse Now</t>
  </si>
  <si>
    <t>Going the Distance</t>
  </si>
  <si>
    <t>Nanette Burstein</t>
  </si>
  <si>
    <t>Mr. Holland's Opus</t>
  </si>
  <si>
    <t>Criminal</t>
  </si>
  <si>
    <t>Ariel Vromen</t>
  </si>
  <si>
    <t>Out of Africa</t>
  </si>
  <si>
    <t>Flight</t>
  </si>
  <si>
    <t>Moonraker</t>
  </si>
  <si>
    <t>Lewis Gilbert</t>
  </si>
  <si>
    <t>The Grand Budapest Hotel</t>
  </si>
  <si>
    <t>Hearts in Atlantis</t>
  </si>
  <si>
    <t>Arachnophobia</t>
  </si>
  <si>
    <t>Frequency</t>
  </si>
  <si>
    <t>Vacation</t>
  </si>
  <si>
    <t>John Francis Daley</t>
  </si>
  <si>
    <t>Get Shorty</t>
  </si>
  <si>
    <t>Chicago</t>
  </si>
  <si>
    <t>Big Daddy</t>
  </si>
  <si>
    <t>American Pie 2</t>
  </si>
  <si>
    <t>J.B. Rogers</t>
  </si>
  <si>
    <t>Toy Story</t>
  </si>
  <si>
    <t>Speed</t>
  </si>
  <si>
    <t>The Vow</t>
  </si>
  <si>
    <t>Michael Sucsy</t>
  </si>
  <si>
    <t>Extraordinary Measures</t>
  </si>
  <si>
    <t>Tom Vaughan</t>
  </si>
  <si>
    <t>Remember the Titans</t>
  </si>
  <si>
    <t>The Hunt for Red October</t>
  </si>
  <si>
    <t>Lee Daniels' The Butler</t>
  </si>
  <si>
    <t>Dodgeball: A True Underdog Story</t>
  </si>
  <si>
    <t>The Addams Family</t>
  </si>
  <si>
    <t>Ace Ventura: When Nature Calls</t>
  </si>
  <si>
    <t>The Princess Diaries</t>
  </si>
  <si>
    <t>The First Wives Club</t>
  </si>
  <si>
    <t>Se7en</t>
  </si>
  <si>
    <t>District 9</t>
  </si>
  <si>
    <t>The SpongeBob SquarePants Movie</t>
  </si>
  <si>
    <t>Stephen Hillenburg</t>
  </si>
  <si>
    <t>Mystic River</t>
  </si>
  <si>
    <t>Million Dollar Baby</t>
  </si>
  <si>
    <t>Analyze This</t>
  </si>
  <si>
    <t>The Notebook</t>
  </si>
  <si>
    <t>27 Dresses</t>
  </si>
  <si>
    <t>Hannah Montana: The Movie</t>
  </si>
  <si>
    <t>Rugrats in Paris: The Movie</t>
  </si>
  <si>
    <t>Stig Bergqvist</t>
  </si>
  <si>
    <t>The Prince of Tides</t>
  </si>
  <si>
    <t>Legends of the Fall</t>
  </si>
  <si>
    <t>Up in the Air</t>
  </si>
  <si>
    <t>Jason Reitman</t>
  </si>
  <si>
    <t>About Schmidt</t>
  </si>
  <si>
    <t>Alexander Payne</t>
  </si>
  <si>
    <t>Warm Bodies</t>
  </si>
  <si>
    <t>Jonathan Levine</t>
  </si>
  <si>
    <t>Looper</t>
  </si>
  <si>
    <t>Rian Johnson</t>
  </si>
  <si>
    <t>Down to Earth</t>
  </si>
  <si>
    <t>Babe</t>
  </si>
  <si>
    <t>Chris Noonan</t>
  </si>
  <si>
    <t>Hope Springs</t>
  </si>
  <si>
    <t>Forgetting Sarah Marshall</t>
  </si>
  <si>
    <t>Four Brothers</t>
  </si>
  <si>
    <t>Baby Mama</t>
  </si>
  <si>
    <t>Michael Mccullers</t>
  </si>
  <si>
    <t>Hope Floats</t>
  </si>
  <si>
    <t>Forest Whitaker</t>
  </si>
  <si>
    <t>Bride Wars</t>
  </si>
  <si>
    <t>Without a Paddle</t>
  </si>
  <si>
    <t>13 Going on 30</t>
  </si>
  <si>
    <t>Midnight in Paris</t>
  </si>
  <si>
    <t>Woody Allen</t>
  </si>
  <si>
    <t>The Nut Job</t>
  </si>
  <si>
    <t>Peter Lepeniotis</t>
  </si>
  <si>
    <t>Blow</t>
  </si>
  <si>
    <t>Ted Demme</t>
  </si>
  <si>
    <t>Message in a Bottle</t>
  </si>
  <si>
    <t>Star Trek V: The Final Frontier</t>
  </si>
  <si>
    <t>William Shatner</t>
  </si>
  <si>
    <t>Like Mike</t>
  </si>
  <si>
    <t>Naked Gun 33 1/3: The Final Insult</t>
  </si>
  <si>
    <t>A View to a Kill</t>
  </si>
  <si>
    <t>The Curse of the Were-Rabbit</t>
  </si>
  <si>
    <t>Steve Box</t>
  </si>
  <si>
    <t>P.S. I Love You</t>
  </si>
  <si>
    <t>Racing Stripes</t>
  </si>
  <si>
    <t>Atonement</t>
  </si>
  <si>
    <t>Letters to Juliet</t>
  </si>
  <si>
    <t>Black Rain</t>
  </si>
  <si>
    <t>The Three Stooges</t>
  </si>
  <si>
    <t>Corpse Bride</t>
  </si>
  <si>
    <t>Glory Road</t>
  </si>
  <si>
    <t>James Gartner</t>
  </si>
  <si>
    <t>Sicario</t>
  </si>
  <si>
    <t>Southpaw</t>
  </si>
  <si>
    <t>Drag Me to Hell</t>
  </si>
  <si>
    <t>The Age of Adaline</t>
  </si>
  <si>
    <t>Lee Toland Krieger</t>
  </si>
  <si>
    <t>Secondhand Lions</t>
  </si>
  <si>
    <t>Tim Mccanlies</t>
  </si>
  <si>
    <t>Step Up 3D</t>
  </si>
  <si>
    <t>Blue Crush</t>
  </si>
  <si>
    <t>Stranger Than Fiction</t>
  </si>
  <si>
    <t>30 Days of Night</t>
  </si>
  <si>
    <t>The Cabin in the Woods</t>
  </si>
  <si>
    <t>Drew Goddard</t>
  </si>
  <si>
    <t>Meet the Spartans</t>
  </si>
  <si>
    <t>Jason Friedberg</t>
  </si>
  <si>
    <t>Midnight Run</t>
  </si>
  <si>
    <t>The Running Man</t>
  </si>
  <si>
    <t>Paul Michael Glaser</t>
  </si>
  <si>
    <t>Little Shop of Horrors</t>
  </si>
  <si>
    <t>Hanna</t>
  </si>
  <si>
    <t>Mortal Kombat: Annihilation</t>
  </si>
  <si>
    <t>John R. Leonetti</t>
  </si>
  <si>
    <t>Larry Crowne</t>
  </si>
  <si>
    <t>Tom Hanks</t>
  </si>
  <si>
    <t>Carrie</t>
  </si>
  <si>
    <t>Kimberly Peirce</t>
  </si>
  <si>
    <t>Take the Lead</t>
  </si>
  <si>
    <t>Liz Friedlander</t>
  </si>
  <si>
    <t>Gridiron Gang</t>
  </si>
  <si>
    <t>Phil Joanou</t>
  </si>
  <si>
    <t>What's the Worst That Could Happen?</t>
  </si>
  <si>
    <t>9</t>
  </si>
  <si>
    <t>Shane Acker</t>
  </si>
  <si>
    <t>Side Effects</t>
  </si>
  <si>
    <t>The Prince and Me</t>
  </si>
  <si>
    <t>Martha Coolidge</t>
  </si>
  <si>
    <t>Winnie the Pooh</t>
  </si>
  <si>
    <t>Stephen J. Anderson</t>
  </si>
  <si>
    <t>Dumb and Dumberer: When Harry Met Lloyd</t>
  </si>
  <si>
    <t>Troy Miller</t>
  </si>
  <si>
    <t>Bulworth</t>
  </si>
  <si>
    <t>Get on Up</t>
  </si>
  <si>
    <t>Tate Taylor</t>
  </si>
  <si>
    <t>One True Thing</t>
  </si>
  <si>
    <t>Virtuosity</t>
  </si>
  <si>
    <t>Brett Leonard</t>
  </si>
  <si>
    <t>My Super Ex-Girlfriend</t>
  </si>
  <si>
    <t>Deliver Us from Evil</t>
  </si>
  <si>
    <t>Sanctum</t>
  </si>
  <si>
    <t>Alister Grierson</t>
  </si>
  <si>
    <t>Little Black Book</t>
  </si>
  <si>
    <t>Nick Hurran</t>
  </si>
  <si>
    <t>The Five-Year Engagement</t>
  </si>
  <si>
    <t>Mr 3000</t>
  </si>
  <si>
    <t>Charles Stone Iii</t>
  </si>
  <si>
    <t>The Next Three Days</t>
  </si>
  <si>
    <t>Paul Haggis</t>
  </si>
  <si>
    <t>Ultraviolet</t>
  </si>
  <si>
    <t>Kurt Wimmer</t>
  </si>
  <si>
    <t>Assault on Precinct 13</t>
  </si>
  <si>
    <t>Jean-François Richet</t>
  </si>
  <si>
    <t>The Replacement Killers</t>
  </si>
  <si>
    <t>Fled</t>
  </si>
  <si>
    <t>Kevin Hooks</t>
  </si>
  <si>
    <t>Eight Legged Freaks</t>
  </si>
  <si>
    <t>Ellory Elkayem</t>
  </si>
  <si>
    <t>Love &amp; Other Drugs</t>
  </si>
  <si>
    <t>88 Minutes</t>
  </si>
  <si>
    <t>North Country</t>
  </si>
  <si>
    <t>Niki Caro</t>
  </si>
  <si>
    <t>The Whole Ten Yards</t>
  </si>
  <si>
    <t>Splice</t>
  </si>
  <si>
    <t>Vincenzo Natali</t>
  </si>
  <si>
    <t>Howard the Duck</t>
  </si>
  <si>
    <t>Willard Huyck</t>
  </si>
  <si>
    <t>Pride and Glory</t>
  </si>
  <si>
    <t>Gavin O'Connor</t>
  </si>
  <si>
    <t>The Cave</t>
  </si>
  <si>
    <t>Bruce Hunt</t>
  </si>
  <si>
    <t>Alex &amp; Emma</t>
  </si>
  <si>
    <t>Wicker Park</t>
  </si>
  <si>
    <t>Fright Night</t>
  </si>
  <si>
    <t>The New World</t>
  </si>
  <si>
    <t>Wing Commander</t>
  </si>
  <si>
    <t>Chris Roberts</t>
  </si>
  <si>
    <t>In Dreams</t>
  </si>
  <si>
    <t>Dragonball: Evolution</t>
  </si>
  <si>
    <t>The Last Stand</t>
  </si>
  <si>
    <t>Jee-Woon Kim</t>
  </si>
  <si>
    <t>Godsend</t>
  </si>
  <si>
    <t>Nick Hamm</t>
  </si>
  <si>
    <t>Chasing Liberty</t>
  </si>
  <si>
    <t>Andy Cadiff</t>
  </si>
  <si>
    <t>Hoodwinked Too! Hood vs. Evil</t>
  </si>
  <si>
    <t>Mike Disa</t>
  </si>
  <si>
    <t>An Unfinished Life</t>
  </si>
  <si>
    <t>The Imaginarium of Doctor Parnassus</t>
  </si>
  <si>
    <t>Barney's Version</t>
  </si>
  <si>
    <t>Richard J. Lewis</t>
  </si>
  <si>
    <t>Runner Runner</t>
  </si>
  <si>
    <t>Antitrust</t>
  </si>
  <si>
    <t>Glory</t>
  </si>
  <si>
    <t>Once Upon a Time in America</t>
  </si>
  <si>
    <t>Sergio Leone</t>
  </si>
  <si>
    <t>Dead Man Down</t>
  </si>
  <si>
    <t>Niels Arden Oplev</t>
  </si>
  <si>
    <t>The Merchant of Venice</t>
  </si>
  <si>
    <t>Michael Radford</t>
  </si>
  <si>
    <t>The Good Thief</t>
  </si>
  <si>
    <t>Supercross</t>
  </si>
  <si>
    <t>Steve Boyum</t>
  </si>
  <si>
    <t>Miss Potter</t>
  </si>
  <si>
    <t>The Promise</t>
  </si>
  <si>
    <t>Kaige Chen</t>
  </si>
  <si>
    <t>DOA: Dead or Alive</t>
  </si>
  <si>
    <t>Corey Yuen</t>
  </si>
  <si>
    <t>The Assassination of Jesse James by the Coward Robert Ford</t>
  </si>
  <si>
    <t>Andrew Dominik</t>
  </si>
  <si>
    <t>1911</t>
  </si>
  <si>
    <t>Li Zhang</t>
  </si>
  <si>
    <t>Little Nicholas</t>
  </si>
  <si>
    <t>Laurent Tirard</t>
  </si>
  <si>
    <t>Wild Card</t>
  </si>
  <si>
    <t>Machine Gun Preacher</t>
  </si>
  <si>
    <t>Animals United</t>
  </si>
  <si>
    <t>Reinhard Klooss</t>
  </si>
  <si>
    <t>German</t>
  </si>
  <si>
    <t>The Color of Freedom</t>
  </si>
  <si>
    <t>United Passions</t>
  </si>
  <si>
    <t>Frédéric Auburtin</t>
  </si>
  <si>
    <t>Grace of Monaco</t>
  </si>
  <si>
    <t>Olivier Dahan</t>
  </si>
  <si>
    <t>A Warrior's Tail</t>
  </si>
  <si>
    <t>Maksim Fadeev</t>
  </si>
  <si>
    <t>Ripley's Game</t>
  </si>
  <si>
    <t>Liliana Cavani</t>
  </si>
  <si>
    <t>Sausage Party</t>
  </si>
  <si>
    <t>Greg Tiernan</t>
  </si>
  <si>
    <t>Pitch Perfect 2</t>
  </si>
  <si>
    <t>Elizabeth Banks</t>
  </si>
  <si>
    <t>Walk the Line</t>
  </si>
  <si>
    <t>Keeping the Faith</t>
  </si>
  <si>
    <t>Edward Norton</t>
  </si>
  <si>
    <t>The Borrowers</t>
  </si>
  <si>
    <t>Frost/Nixon</t>
  </si>
  <si>
    <t>Confessions of a Dangerous Mind</t>
  </si>
  <si>
    <t>Serving Sara</t>
  </si>
  <si>
    <t>The Boss</t>
  </si>
  <si>
    <t>Ben Falcone</t>
  </si>
  <si>
    <t>Cry Freedom</t>
  </si>
  <si>
    <t>Richard Attenborough</t>
  </si>
  <si>
    <t>Mumford</t>
  </si>
  <si>
    <t>Seed of Chucky</t>
  </si>
  <si>
    <t>Don Mancini</t>
  </si>
  <si>
    <t>The Jacket</t>
  </si>
  <si>
    <t>John Maybury</t>
  </si>
  <si>
    <t>Aladdin</t>
  </si>
  <si>
    <t>Straight Outta Compton</t>
  </si>
  <si>
    <t>Indiana Jones and the Temple of Doom</t>
  </si>
  <si>
    <t>The Rugrats Movie</t>
  </si>
  <si>
    <t>Igor Kovalyov</t>
  </si>
  <si>
    <t>Along Came a Spider</t>
  </si>
  <si>
    <t>Florence Foster Jenkins</t>
  </si>
  <si>
    <t>Once Upon a Time in Mexico</t>
  </si>
  <si>
    <t>Die Hard</t>
  </si>
  <si>
    <t>Role Models</t>
  </si>
  <si>
    <t>The Big Short</t>
  </si>
  <si>
    <t>Taking Woodstock</t>
  </si>
  <si>
    <t>Miracle</t>
  </si>
  <si>
    <t>Dawn of the Dead</t>
  </si>
  <si>
    <t>The Wedding Planner</t>
  </si>
  <si>
    <t>Harlock: Space Pirate</t>
  </si>
  <si>
    <t>Shinji Aramaki</t>
  </si>
  <si>
    <t>The Royal Tenenbaums</t>
  </si>
  <si>
    <t>Identity</t>
  </si>
  <si>
    <t>Last Vegas</t>
  </si>
  <si>
    <t>For Your Eyes Only</t>
  </si>
  <si>
    <t>Serendipity</t>
  </si>
  <si>
    <t>Timecop</t>
  </si>
  <si>
    <t>Zoolander</t>
  </si>
  <si>
    <t>Safe Haven</t>
  </si>
  <si>
    <t>Hocus Pocus</t>
  </si>
  <si>
    <t>No Reservations</t>
  </si>
  <si>
    <t>Kick-Ass</t>
  </si>
  <si>
    <t>30 Minutes or Less</t>
  </si>
  <si>
    <t>Dracula 2000</t>
  </si>
  <si>
    <t>Alexander and the Terrible, Horrible, No Good, Very Bad Day</t>
  </si>
  <si>
    <t>Miguel Arteta</t>
  </si>
  <si>
    <t>Pride &amp; Prejudice</t>
  </si>
  <si>
    <t>Blade Runner</t>
  </si>
  <si>
    <t>Rob Roy</t>
  </si>
  <si>
    <t>3 Days to Kill</t>
  </si>
  <si>
    <t>We Own the Night</t>
  </si>
  <si>
    <t>James Gray</t>
  </si>
  <si>
    <t>Lost Souls</t>
  </si>
  <si>
    <t>Janusz Kaminski</t>
  </si>
  <si>
    <t>Winged Migration</t>
  </si>
  <si>
    <t>Just My Luck</t>
  </si>
  <si>
    <t>Mystery, Alaska</t>
  </si>
  <si>
    <t>The Spy Next Door</t>
  </si>
  <si>
    <t>A Simple Wish</t>
  </si>
  <si>
    <t>Ghosts of Mars</t>
  </si>
  <si>
    <t>Our Brand Is Crisis</t>
  </si>
  <si>
    <t>Pride and Prejudice and Zombies</t>
  </si>
  <si>
    <t>Kundun</t>
  </si>
  <si>
    <t>How to Lose Friends &amp; Alienate People</t>
  </si>
  <si>
    <t>Robert B. Weide</t>
  </si>
  <si>
    <t>Kick-Ass 2</t>
  </si>
  <si>
    <t>Jeff Wadlow</t>
  </si>
  <si>
    <t>Captain Alatriste: The Spanish Musketeer</t>
  </si>
  <si>
    <t>Agustín Díaz Yanes</t>
  </si>
  <si>
    <t>Brick Mansions</t>
  </si>
  <si>
    <t>Camille Delamarre</t>
  </si>
  <si>
    <t>Octopussy</t>
  </si>
  <si>
    <t>Knocked Up</t>
  </si>
  <si>
    <t>My Sister's Keeper</t>
  </si>
  <si>
    <t>Welcome Home, Roscoe Jenkins</t>
  </si>
  <si>
    <t>A Passage to India</t>
  </si>
  <si>
    <t>David Lean</t>
  </si>
  <si>
    <t>Notes on a Scandal</t>
  </si>
  <si>
    <t>Richard Eyre</t>
  </si>
  <si>
    <t>Rendition</t>
  </si>
  <si>
    <t>Star Trek VI: The Undiscovered Country</t>
  </si>
  <si>
    <t>Nicholas Meyer</t>
  </si>
  <si>
    <t>Divine Secrets of the Ya-Ya Sisterhood</t>
  </si>
  <si>
    <t>Callie Khouri</t>
  </si>
  <si>
    <t>Kiss the Girls</t>
  </si>
  <si>
    <t>The Blues Brothers</t>
  </si>
  <si>
    <t>The Sisterhood of the Traveling Pants 2</t>
  </si>
  <si>
    <t>Sanaa Hamri</t>
  </si>
  <si>
    <t>Joyful Noise</t>
  </si>
  <si>
    <t>Todd Graff</t>
  </si>
  <si>
    <t>About a Boy</t>
  </si>
  <si>
    <t>Lake Placid</t>
  </si>
  <si>
    <t>Lucky Number Slevin</t>
  </si>
  <si>
    <t>The Right Stuff</t>
  </si>
  <si>
    <t>Philip Kaufman</t>
  </si>
  <si>
    <t>Anonymous</t>
  </si>
  <si>
    <t>The NeverEnding Story</t>
  </si>
  <si>
    <t>Dark City</t>
  </si>
  <si>
    <t>The Duchess</t>
  </si>
  <si>
    <t>Saul Dibb</t>
  </si>
  <si>
    <t>Return to Oz</t>
  </si>
  <si>
    <t>Walter Murch</t>
  </si>
  <si>
    <t>The Newton Boys</t>
  </si>
  <si>
    <t>Richard Linklater</t>
  </si>
  <si>
    <t>Case 39</t>
  </si>
  <si>
    <t>Suspect Zero</t>
  </si>
  <si>
    <t>E. Elias Merhige</t>
  </si>
  <si>
    <t>Martian Child</t>
  </si>
  <si>
    <t>Menno Meyjes</t>
  </si>
  <si>
    <t>Spy Kids: All the Time in the World in 4D</t>
  </si>
  <si>
    <t>Money Monster</t>
  </si>
  <si>
    <t>Jodie Foster</t>
  </si>
  <si>
    <t>Formula 51</t>
  </si>
  <si>
    <t>Flawless</t>
  </si>
  <si>
    <t>Mindhunters</t>
  </si>
  <si>
    <t>What Just Happened</t>
  </si>
  <si>
    <t>The Statement</t>
  </si>
  <si>
    <t>The Magic Flute</t>
  </si>
  <si>
    <t>Paul Blart: Mall Cop</t>
  </si>
  <si>
    <t>Freaky Friday</t>
  </si>
  <si>
    <t>The 40-Year-Old Virgin</t>
  </si>
  <si>
    <t>Shakespeare in Love</t>
  </si>
  <si>
    <t>A Walk Among the Tombstones</t>
  </si>
  <si>
    <t>Scott Frank</t>
  </si>
  <si>
    <t>Kindergarten Cop</t>
  </si>
  <si>
    <t>Pineapple Express</t>
  </si>
  <si>
    <t>Ever After: A Cinderella Story</t>
  </si>
  <si>
    <t>Open Range</t>
  </si>
  <si>
    <t>Flatliners</t>
  </si>
  <si>
    <t>A Bridge Too Far</t>
  </si>
  <si>
    <t>Red Eye</t>
  </si>
  <si>
    <t>Final Destination 2</t>
  </si>
  <si>
    <t>O Brother, Where Art Thou?</t>
  </si>
  <si>
    <t>Legion</t>
  </si>
  <si>
    <t>Pain &amp; Gain</t>
  </si>
  <si>
    <t>In Good Company</t>
  </si>
  <si>
    <t>Clockstoppers</t>
  </si>
  <si>
    <t>Silverado</t>
  </si>
  <si>
    <t>Brothers</t>
  </si>
  <si>
    <t>Agent Cody Banks 2: Destination London</t>
  </si>
  <si>
    <t>Kevin Allen</t>
  </si>
  <si>
    <t>New Year's Eve</t>
  </si>
  <si>
    <t>Original Sin</t>
  </si>
  <si>
    <t>Michael Cristofer</t>
  </si>
  <si>
    <t>The Raven</t>
  </si>
  <si>
    <t>Welcome to Mooseport</t>
  </si>
  <si>
    <t>Highlander: The Final Dimension</t>
  </si>
  <si>
    <t>Andrew Morahan</t>
  </si>
  <si>
    <t>Blood and Wine</t>
  </si>
  <si>
    <t>Bob Rafelson</t>
  </si>
  <si>
    <t>Snow White: A Tale of Terror</t>
  </si>
  <si>
    <t>Michael Cohn</t>
  </si>
  <si>
    <t>The Curse of the Jade Scorpion</t>
  </si>
  <si>
    <t>Accidental Love</t>
  </si>
  <si>
    <t>Flipper</t>
  </si>
  <si>
    <t>Alan Shapiro</t>
  </si>
  <si>
    <t>Self/less</t>
  </si>
  <si>
    <t>The Constant Gardener</t>
  </si>
  <si>
    <t>Fernando Meirelles</t>
  </si>
  <si>
    <t>The Passion of the Christ</t>
  </si>
  <si>
    <t>Aramaic</t>
  </si>
  <si>
    <t>Mrs. Doubtfire</t>
  </si>
  <si>
    <t>Rain Man</t>
  </si>
  <si>
    <t>Gran Torino</t>
  </si>
  <si>
    <t>W.</t>
  </si>
  <si>
    <t>Taken</t>
  </si>
  <si>
    <t>The Best of Me</t>
  </si>
  <si>
    <t>Michael Hoffman</t>
  </si>
  <si>
    <t>The Bodyguard</t>
  </si>
  <si>
    <t>Schindler's List</t>
  </si>
  <si>
    <t>The Help</t>
  </si>
  <si>
    <t>The Fifth Estate</t>
  </si>
  <si>
    <t>Scooby-Doo 2: Monsters Unleashed</t>
  </si>
  <si>
    <t>Viy</t>
  </si>
  <si>
    <t>Oleg Stepchenko</t>
  </si>
  <si>
    <t>Freddy vs. Jason</t>
  </si>
  <si>
    <t>The Face of an Angel</t>
  </si>
  <si>
    <t>Michael Winterbottom</t>
  </si>
  <si>
    <t>Jimmy Neutron: Boy Genius</t>
  </si>
  <si>
    <t>Cloverfield</t>
  </si>
  <si>
    <t>Teenage Mutant Ninja Turtles II: The Secret of the Ooze</t>
  </si>
  <si>
    <t>Michael Pressman</t>
  </si>
  <si>
    <t>The Untouchables</t>
  </si>
  <si>
    <t>No Country for Old Men</t>
  </si>
  <si>
    <t>Ride Along</t>
  </si>
  <si>
    <t>Bridget Jones's Diary</t>
  </si>
  <si>
    <t>Sharon Maguire</t>
  </si>
  <si>
    <t>Chocolat</t>
  </si>
  <si>
    <t>Legally Blonde 2: Red, White &amp; Blonde</t>
  </si>
  <si>
    <t>Charles Herman-Wurmfeld</t>
  </si>
  <si>
    <t>Parental Guidance</t>
  </si>
  <si>
    <t>No Strings Attached</t>
  </si>
  <si>
    <t>Tombstone</t>
  </si>
  <si>
    <t>Romeo Must Die</t>
  </si>
  <si>
    <t>The Omen</t>
  </si>
  <si>
    <t>Final Destination 3</t>
  </si>
  <si>
    <t>The Lucky One</t>
  </si>
  <si>
    <t>Bridge to Terabithia</t>
  </si>
  <si>
    <t>Gabor Csupo</t>
  </si>
  <si>
    <t>Finding Neverland</t>
  </si>
  <si>
    <t>A Madea Christmas</t>
  </si>
  <si>
    <t>Tyler Perry</t>
  </si>
  <si>
    <t>The Grey</t>
  </si>
  <si>
    <t>Joe Carnahan</t>
  </si>
  <si>
    <t>Hide and Seek</t>
  </si>
  <si>
    <t>John Polson</t>
  </si>
  <si>
    <t>Anchorman: The Legend of Ron Burgundy</t>
  </si>
  <si>
    <t>Goodfellas</t>
  </si>
  <si>
    <t>Agent Cody Banks</t>
  </si>
  <si>
    <t>Nanny McPhee</t>
  </si>
  <si>
    <t>Scarface</t>
  </si>
  <si>
    <t>Nothing to Lose</t>
  </si>
  <si>
    <t>The Last Emperor</t>
  </si>
  <si>
    <t>Bernardo Bertolucci</t>
  </si>
  <si>
    <t>Contraband</t>
  </si>
  <si>
    <t>Money Talks</t>
  </si>
  <si>
    <t>There Will Be Blood</t>
  </si>
  <si>
    <t>The Wild Thornberrys Movie</t>
  </si>
  <si>
    <t>Cathy Malkasian</t>
  </si>
  <si>
    <t>Rugrats Go Wild</t>
  </si>
  <si>
    <t>John Eng</t>
  </si>
  <si>
    <t>Undercover Brother</t>
  </si>
  <si>
    <t>The Sisterhood of the Traveling Pants</t>
  </si>
  <si>
    <t>Kiss of the Dragon</t>
  </si>
  <si>
    <t>Chris Nahon</t>
  </si>
  <si>
    <t>The House Bunny</t>
  </si>
  <si>
    <t>Fred Wolf</t>
  </si>
  <si>
    <t>Beauty Shop</t>
  </si>
  <si>
    <t>Bille Woodruff</t>
  </si>
  <si>
    <t>Million Dollar Arm</t>
  </si>
  <si>
    <t>The Giver</t>
  </si>
  <si>
    <t>What a Girl Wants</t>
  </si>
  <si>
    <t>Jeepers Creepers II</t>
  </si>
  <si>
    <t>Victor Salva</t>
  </si>
  <si>
    <t>Good Luck Chuck</t>
  </si>
  <si>
    <t>Mark Helfrich</t>
  </si>
  <si>
    <t>Cradle 2 the Grave</t>
  </si>
  <si>
    <t>The Hours</t>
  </si>
  <si>
    <t>She's the Man</t>
  </si>
  <si>
    <t>Mr. Bean's Holiday</t>
  </si>
  <si>
    <t>Steve Bendelack</t>
  </si>
  <si>
    <t>Anacondas: The Hunt for the Blood Orchid</t>
  </si>
  <si>
    <t>Dwight H. Little</t>
  </si>
  <si>
    <t>Blood Ties</t>
  </si>
  <si>
    <t>Guillaume Canet</t>
  </si>
  <si>
    <t>August Rush</t>
  </si>
  <si>
    <t>Kirsten Sheridan</t>
  </si>
  <si>
    <t>Elizabeth</t>
  </si>
  <si>
    <t>Bride of Chucky</t>
  </si>
  <si>
    <t>Tora! Tora! Tora!</t>
  </si>
  <si>
    <t>Richard Fleischer</t>
  </si>
  <si>
    <t>Spice World</t>
  </si>
  <si>
    <t>Bob Spiers</t>
  </si>
  <si>
    <t>The Sitter</t>
  </si>
  <si>
    <t>Dance Flick</t>
  </si>
  <si>
    <t>Damien Dante Wayans</t>
  </si>
  <si>
    <t>The Shawshank Redemption</t>
  </si>
  <si>
    <t>Crocodile Dundee in Los Angeles</t>
  </si>
  <si>
    <t>Kingpin</t>
  </si>
  <si>
    <t>The Gambler</t>
  </si>
  <si>
    <t>August: Osage County</t>
  </si>
  <si>
    <t>John Wells</t>
  </si>
  <si>
    <t>Ice Princess</t>
  </si>
  <si>
    <t>Tim Fywell</t>
  </si>
  <si>
    <t>A Lot Like Love</t>
  </si>
  <si>
    <t>Nigel Cole</t>
  </si>
  <si>
    <t>Eddie the Eagle</t>
  </si>
  <si>
    <t>Dexter Fletcher</t>
  </si>
  <si>
    <t>He Got Game</t>
  </si>
  <si>
    <t>Don Juan DeMarco</t>
  </si>
  <si>
    <t>Jeremy Leven</t>
  </si>
  <si>
    <t>Dear John</t>
  </si>
  <si>
    <t>The Losers</t>
  </si>
  <si>
    <t>Sylvain White</t>
  </si>
  <si>
    <t>Don't Be Afraid of the Dark</t>
  </si>
  <si>
    <t>Troy Nixey</t>
  </si>
  <si>
    <t>War</t>
  </si>
  <si>
    <t>Philip G. Atwell</t>
  </si>
  <si>
    <t>Punch-Drunk Love</t>
  </si>
  <si>
    <t>EuroTrip</t>
  </si>
  <si>
    <t>Jeff Schaffer</t>
  </si>
  <si>
    <t>Half Past Dead</t>
  </si>
  <si>
    <t>Don Michael Paul</t>
  </si>
  <si>
    <t>Unaccompanied Minors</t>
  </si>
  <si>
    <t>Bright Lights, Big City</t>
  </si>
  <si>
    <t>James Bridges</t>
  </si>
  <si>
    <t>The Adventures of Pinocchio</t>
  </si>
  <si>
    <t>Steve Barron</t>
  </si>
  <si>
    <t>Italian</t>
  </si>
  <si>
    <t>The Greatest Game Ever Played</t>
  </si>
  <si>
    <t>Bill Paxton</t>
  </si>
  <si>
    <t>The Box</t>
  </si>
  <si>
    <t>Richard Kelly</t>
  </si>
  <si>
    <t>The Ruins</t>
  </si>
  <si>
    <t>Carter Smith</t>
  </si>
  <si>
    <t>The Next Best Thing</t>
  </si>
  <si>
    <t>John Schlesinger</t>
  </si>
  <si>
    <t>My Soul to Take</t>
  </si>
  <si>
    <t>The Girl Next Door</t>
  </si>
  <si>
    <t>Maximum Risk</t>
  </si>
  <si>
    <t>Ringo Lam</t>
  </si>
  <si>
    <t>Stealing Harvard</t>
  </si>
  <si>
    <t>Bruce Mcculloch</t>
  </si>
  <si>
    <t>Legend</t>
  </si>
  <si>
    <t>Hot Rod</t>
  </si>
  <si>
    <t>Shark Night 3D</t>
  </si>
  <si>
    <t>Angela's Ashes</t>
  </si>
  <si>
    <t>Draft Day</t>
  </si>
  <si>
    <t>Lifeforce</t>
  </si>
  <si>
    <t>The Conspirator</t>
  </si>
  <si>
    <t>Lords of Dogtown</t>
  </si>
  <si>
    <t>The 33</t>
  </si>
  <si>
    <t>Patricia Riggen</t>
  </si>
  <si>
    <t>Big Trouble in Little China</t>
  </si>
  <si>
    <t>A Perfect Plan</t>
  </si>
  <si>
    <t>Pascal Chaumeil</t>
  </si>
  <si>
    <t>Warrior</t>
  </si>
  <si>
    <t>Michael Collins</t>
  </si>
  <si>
    <t>Gettysburg</t>
  </si>
  <si>
    <t>Stop-Loss</t>
  </si>
  <si>
    <t>Abandon</t>
  </si>
  <si>
    <t>Brokedown Palace</t>
  </si>
  <si>
    <t>Jonathan Kaplan</t>
  </si>
  <si>
    <t>The Possession</t>
  </si>
  <si>
    <t>Ole Bornedal</t>
  </si>
  <si>
    <t>Mrs. Winterbourne</t>
  </si>
  <si>
    <t>Richard Benjamin</t>
  </si>
  <si>
    <t>Straw Dogs</t>
  </si>
  <si>
    <t>The Hoax</t>
  </si>
  <si>
    <t>Stone Cold</t>
  </si>
  <si>
    <t>Craig R. Baxley</t>
  </si>
  <si>
    <t>The Road</t>
  </si>
  <si>
    <t>John Hillcoat</t>
  </si>
  <si>
    <t>Sheena</t>
  </si>
  <si>
    <t>John Guillermin</t>
  </si>
  <si>
    <t>Underclassman</t>
  </si>
  <si>
    <t>Marcos Siega</t>
  </si>
  <si>
    <t>Say It Isn't So</t>
  </si>
  <si>
    <t>The World's Fastest Indian</t>
  </si>
  <si>
    <t>Tank Girl</t>
  </si>
  <si>
    <t>Rachel Talalay</t>
  </si>
  <si>
    <t>King's Ransom</t>
  </si>
  <si>
    <t>Jeffrey W. Byrd</t>
  </si>
  <si>
    <t>Blindness</t>
  </si>
  <si>
    <t>BloodRayne</t>
  </si>
  <si>
    <t>Carnage</t>
  </si>
  <si>
    <t>Where the Truth Lies</t>
  </si>
  <si>
    <t>Atom Egoyan</t>
  </si>
  <si>
    <t>Cirque du Soleil: Worlds Away</t>
  </si>
  <si>
    <t>Without Limits</t>
  </si>
  <si>
    <t>Robert Towne</t>
  </si>
  <si>
    <t>Me and Orson Welles</t>
  </si>
  <si>
    <t>The Best Offer</t>
  </si>
  <si>
    <t>Giuseppe Tornatore</t>
  </si>
  <si>
    <t>Bad Lieutenant: Port of Call New Orleans</t>
  </si>
  <si>
    <t>Werner Herzog</t>
  </si>
  <si>
    <t>A Turtle's Tale: Sammy's Adventures</t>
  </si>
  <si>
    <t>Ben Stassen</t>
  </si>
  <si>
    <t>Little White Lies</t>
  </si>
  <si>
    <t>Love Ranch</t>
  </si>
  <si>
    <t>The True Story of Puss'N Boots</t>
  </si>
  <si>
    <t>Jérôme Deschamps</t>
  </si>
  <si>
    <t>Space Dogs</t>
  </si>
  <si>
    <t>Inna Evlannikova</t>
  </si>
  <si>
    <t>The Counselor</t>
  </si>
  <si>
    <t>Ironclad</t>
  </si>
  <si>
    <t>Jonathan English</t>
  </si>
  <si>
    <t>Waterloo</t>
  </si>
  <si>
    <t>Sergey Bondarchuk</t>
  </si>
  <si>
    <t>Kung Fu Killer</t>
  </si>
  <si>
    <t>Teddy Chan</t>
  </si>
  <si>
    <t>Red Sky</t>
  </si>
  <si>
    <t>Mario Van Peebles</t>
  </si>
  <si>
    <t>Dangerous Liaisons</t>
  </si>
  <si>
    <t>On the Road</t>
  </si>
  <si>
    <t>Star Trek IV: The Voyage Home</t>
  </si>
  <si>
    <t>Leonard Nimoy</t>
  </si>
  <si>
    <t>Rocky Balboa</t>
  </si>
  <si>
    <t>Scream 2</t>
  </si>
  <si>
    <t>Jane Got a Gun</t>
  </si>
  <si>
    <t>Think Like a Man Too</t>
  </si>
  <si>
    <t>The Whole Nine Yards</t>
  </si>
  <si>
    <t>Footloose</t>
  </si>
  <si>
    <t>Herbert Ross</t>
  </si>
  <si>
    <t>Old School</t>
  </si>
  <si>
    <t>The Fisher King</t>
  </si>
  <si>
    <t>I Still Know What You Did Last Summer</t>
  </si>
  <si>
    <t>Return to Me</t>
  </si>
  <si>
    <t>Bonnie Hunt</t>
  </si>
  <si>
    <t>Zack and Miri Make a Porno</t>
  </si>
  <si>
    <t>Nurse Betty</t>
  </si>
  <si>
    <t>Neil Labute</t>
  </si>
  <si>
    <t>The Men Who Stare at Goats</t>
  </si>
  <si>
    <t>Grant Heslov</t>
  </si>
  <si>
    <t>Double Take</t>
  </si>
  <si>
    <t>George Gallo</t>
  </si>
  <si>
    <t>Girl, Interrupted</t>
  </si>
  <si>
    <t>Win a Date with Tad Hamilton!</t>
  </si>
  <si>
    <t>Muppets from Space</t>
  </si>
  <si>
    <t>The Wiz</t>
  </si>
  <si>
    <t>Sidney Lumet</t>
  </si>
  <si>
    <t>Ready to Rumble</t>
  </si>
  <si>
    <t>Play It to the Bone</t>
  </si>
  <si>
    <t>I Don't Know How She Does It</t>
  </si>
  <si>
    <t>Douglas Mcgrath</t>
  </si>
  <si>
    <t>Piranha 3D</t>
  </si>
  <si>
    <t>Beyond the Sea</t>
  </si>
  <si>
    <t>Kevin Spacey</t>
  </si>
  <si>
    <t>Meet the Deedles</t>
  </si>
  <si>
    <t>The Princess and the Cobbler</t>
  </si>
  <si>
    <t>Richard Williams</t>
  </si>
  <si>
    <t>The Bridge of San Luis Rey</t>
  </si>
  <si>
    <t>Mary Mcguckian</t>
  </si>
  <si>
    <t>Faster</t>
  </si>
  <si>
    <t>Howl's Moving Castle</t>
  </si>
  <si>
    <t>Zombieland</t>
  </si>
  <si>
    <t>The Waterboy</t>
  </si>
  <si>
    <t>Star Wars: Episode V - The Empire Strikes Back</t>
  </si>
  <si>
    <t>Bad Boys</t>
  </si>
  <si>
    <t>The Naked Gun 2½: The Smell of Fear</t>
  </si>
  <si>
    <t>Final Destination</t>
  </si>
  <si>
    <t>The Ides of March</t>
  </si>
  <si>
    <t>Pitch Black</t>
  </si>
  <si>
    <t>Someone Like You...</t>
  </si>
  <si>
    <t>Tony Goldwyn</t>
  </si>
  <si>
    <t>Her</t>
  </si>
  <si>
    <t>Joy Ride</t>
  </si>
  <si>
    <t>The Adventurer: The Curse of the Midas Box</t>
  </si>
  <si>
    <t>Jonathan Newman</t>
  </si>
  <si>
    <t>Anywhere But Here</t>
  </si>
  <si>
    <t>The Crew</t>
  </si>
  <si>
    <t>Michael Dinner</t>
  </si>
  <si>
    <t>Haywire</t>
  </si>
  <si>
    <t>Jaws: The Revenge</t>
  </si>
  <si>
    <t>Joseph Sargent</t>
  </si>
  <si>
    <t>Marvin's Room</t>
  </si>
  <si>
    <t>Jerry Zaks</t>
  </si>
  <si>
    <t>The Longshots</t>
  </si>
  <si>
    <t>Fred Durst</t>
  </si>
  <si>
    <t>The End of the Affair</t>
  </si>
  <si>
    <t>Harley Davidson and the Marlboro Man</t>
  </si>
  <si>
    <t>In the Valley of Elah</t>
  </si>
  <si>
    <t>Coco Before Chanel</t>
  </si>
  <si>
    <t>Anne Fontaine</t>
  </si>
  <si>
    <t>Forsaken</t>
  </si>
  <si>
    <t>Jon Cassar</t>
  </si>
  <si>
    <t>Chéri</t>
  </si>
  <si>
    <t>Vanity Fair</t>
  </si>
  <si>
    <t>Mira Nair</t>
  </si>
  <si>
    <t>Bodyguards and Assassins</t>
  </si>
  <si>
    <t>1408</t>
  </si>
  <si>
    <t>Spaceballs</t>
  </si>
  <si>
    <t>Mel Brooks</t>
  </si>
  <si>
    <t>The Water Diviner</t>
  </si>
  <si>
    <t>Russell Crowe</t>
  </si>
  <si>
    <t>Ghost</t>
  </si>
  <si>
    <t>There's Something About Mary</t>
  </si>
  <si>
    <t>The Santa Clause</t>
  </si>
  <si>
    <t>The Rookie</t>
  </si>
  <si>
    <t>The Game Plan</t>
  </si>
  <si>
    <t>The Bridges of Madison County</t>
  </si>
  <si>
    <t>The Animal</t>
  </si>
  <si>
    <t>Gandhi</t>
  </si>
  <si>
    <t>The Hundred-Foot Journey</t>
  </si>
  <si>
    <t>The Net</t>
  </si>
  <si>
    <t>I Am Sam</t>
  </si>
  <si>
    <t>Jessie Nelson</t>
  </si>
  <si>
    <t>Son of God</t>
  </si>
  <si>
    <t>Christopher Spencer</t>
  </si>
  <si>
    <t>Underworld</t>
  </si>
  <si>
    <t>Derailed</t>
  </si>
  <si>
    <t>The Informant!</t>
  </si>
  <si>
    <t>Shadowlands</t>
  </si>
  <si>
    <t>Deuce Bigalow: European Gigolo</t>
  </si>
  <si>
    <t>Mike Bigelow</t>
  </si>
  <si>
    <t>Delivery Man</t>
  </si>
  <si>
    <t>Our Kind of Traitor</t>
  </si>
  <si>
    <t>Thriller</t>
  </si>
  <si>
    <t>Saving Silverman</t>
  </si>
  <si>
    <t>Diary of a Wimpy Kid: Dog Days</t>
  </si>
  <si>
    <t>Summer of Sam</t>
  </si>
  <si>
    <t>Jay and Silent Bob Strike Back</t>
  </si>
  <si>
    <t>The Glass House</t>
  </si>
  <si>
    <t>Daniel Sackheim</t>
  </si>
  <si>
    <t>Hail, Caesar!</t>
  </si>
  <si>
    <t>Josie and the Pussycats</t>
  </si>
  <si>
    <t>Harry Elfont</t>
  </si>
  <si>
    <t>Homefront</t>
  </si>
  <si>
    <t>The Little Vampire</t>
  </si>
  <si>
    <t>Uli Edel</t>
  </si>
  <si>
    <t>I Heart Huckabees</t>
  </si>
  <si>
    <t>RoboCop 3</t>
  </si>
  <si>
    <t>Fred Dekker</t>
  </si>
  <si>
    <t>Megiddo: The Omega Code 2</t>
  </si>
  <si>
    <t>Brian Trenchard-Smith</t>
  </si>
  <si>
    <t>Darling Lili</t>
  </si>
  <si>
    <t>Blake Edwards</t>
  </si>
  <si>
    <t>Dudley Do-Right</t>
  </si>
  <si>
    <t>The Transporter Refueled</t>
  </si>
  <si>
    <t>The Libertine</t>
  </si>
  <si>
    <t>Laurence Dunmore</t>
  </si>
  <si>
    <t>Black Book</t>
  </si>
  <si>
    <t>Dutch</t>
  </si>
  <si>
    <t>Joyeux Noel</t>
  </si>
  <si>
    <t>Christian Carion</t>
  </si>
  <si>
    <t>Hit and Run</t>
  </si>
  <si>
    <t>David Palmer</t>
  </si>
  <si>
    <t>Mad Money</t>
  </si>
  <si>
    <t>Before I Go to Sleep</t>
  </si>
  <si>
    <t>Rowan Joffe</t>
  </si>
  <si>
    <t>Sorcerer</t>
  </si>
  <si>
    <t>Stone</t>
  </si>
  <si>
    <t>John Curran</t>
  </si>
  <si>
    <t>Molière</t>
  </si>
  <si>
    <t>Out of the Furnace</t>
  </si>
  <si>
    <t>Michael Clayton</t>
  </si>
  <si>
    <t>My Fellow Americans</t>
  </si>
  <si>
    <t>Arlington Road</t>
  </si>
  <si>
    <t>Underdogs</t>
  </si>
  <si>
    <t>Juan José Campanella</t>
  </si>
  <si>
    <t>To Rome with Love</t>
  </si>
  <si>
    <t>Firefox</t>
  </si>
  <si>
    <t>South Park: Bigger Longer &amp; Uncut</t>
  </si>
  <si>
    <t>Trey Parker</t>
  </si>
  <si>
    <t>Death at a Funeral</t>
  </si>
  <si>
    <t>Teenage Mutant Ninja Turtles III</t>
  </si>
  <si>
    <t>Stuart Gillard</t>
  </si>
  <si>
    <t>Hardball</t>
  </si>
  <si>
    <t>Silver Linings Playbook</t>
  </si>
  <si>
    <t>Freedom Writers</t>
  </si>
  <si>
    <t>For Colored Girls</t>
  </si>
  <si>
    <t>The Transporter</t>
  </si>
  <si>
    <t>Never Back Down</t>
  </si>
  <si>
    <t>The Rage: Carrie 2</t>
  </si>
  <si>
    <t>Katt Shea</t>
  </si>
  <si>
    <t>Away We Go</t>
  </si>
  <si>
    <t>Swing Vote</t>
  </si>
  <si>
    <t>Joshua Michael Stern</t>
  </si>
  <si>
    <t>Moonlight Mile</t>
  </si>
  <si>
    <t>Tinker Tailor Soldier Spy</t>
  </si>
  <si>
    <t>Tomas Alfredson</t>
  </si>
  <si>
    <t>Molly</t>
  </si>
  <si>
    <t>John Duigan</t>
  </si>
  <si>
    <t>The Beaver</t>
  </si>
  <si>
    <t>The Best Little Whorehouse in Texas</t>
  </si>
  <si>
    <t>Colin Higgins</t>
  </si>
  <si>
    <t>eXistenZ</t>
  </si>
  <si>
    <t>Raiders of the Lost Ark</t>
  </si>
  <si>
    <t>Home Alone 2: Lost in New York</t>
  </si>
  <si>
    <t>Close Encounters of the Third Kind</t>
  </si>
  <si>
    <t>Pulse</t>
  </si>
  <si>
    <t>Jim Sonzero</t>
  </si>
  <si>
    <t>Beverly Hills Cop II</t>
  </si>
  <si>
    <t>Bringing Down the House</t>
  </si>
  <si>
    <t>The Silence of the Lambs</t>
  </si>
  <si>
    <t>Wayne's World</t>
  </si>
  <si>
    <t>Penelope Spheeris</t>
  </si>
  <si>
    <t>Jackass 3D</t>
  </si>
  <si>
    <t>Jeff Tremaine</t>
  </si>
  <si>
    <t>Jaws 2</t>
  </si>
  <si>
    <t>Jeannot Szwarc</t>
  </si>
  <si>
    <t>Beverly Hills Chihuahua</t>
  </si>
  <si>
    <t>The Conjuring</t>
  </si>
  <si>
    <t>Are We There Yet?</t>
  </si>
  <si>
    <t>Tammy</t>
  </si>
  <si>
    <t>School of Rock</t>
  </si>
  <si>
    <t>Mortal Kombat</t>
  </si>
  <si>
    <t>White Chicks</t>
  </si>
  <si>
    <t>The Descendants</t>
  </si>
  <si>
    <t>Holes</t>
  </si>
  <si>
    <t>The Last Song</t>
  </si>
  <si>
    <t>12 Years a Slave</t>
  </si>
  <si>
    <t>Steve Mcqueen</t>
  </si>
  <si>
    <t>Drumline</t>
  </si>
  <si>
    <t>Why Did I Get Married Too?</t>
  </si>
  <si>
    <t>Edward Scissorhands</t>
  </si>
  <si>
    <t>Me Before You</t>
  </si>
  <si>
    <t>Thea Sharrock</t>
  </si>
  <si>
    <t>Madea's Witness Protection</t>
  </si>
  <si>
    <t>The French Connection</t>
  </si>
  <si>
    <t>Bad Moms</t>
  </si>
  <si>
    <t>Jon Lucas</t>
  </si>
  <si>
    <t>Date Movie</t>
  </si>
  <si>
    <t>Aaron Seltzer</t>
  </si>
  <si>
    <t>Return to Never Land</t>
  </si>
  <si>
    <t>Robin Budd</t>
  </si>
  <si>
    <t>Selma</t>
  </si>
  <si>
    <t>Ava Duvernay</t>
  </si>
  <si>
    <t>The Jungle Book 2</t>
  </si>
  <si>
    <t>Steve Trenbirth</t>
  </si>
  <si>
    <t>Boogeyman</t>
  </si>
  <si>
    <t>Premonition</t>
  </si>
  <si>
    <t>Mennan Yapo</t>
  </si>
  <si>
    <t>The Tigger Movie</t>
  </si>
  <si>
    <t>Jun Falkenstein</t>
  </si>
  <si>
    <t>Orphan</t>
  </si>
  <si>
    <t>Max</t>
  </si>
  <si>
    <t>Epic Movie</t>
  </si>
  <si>
    <t>Spotlight</t>
  </si>
  <si>
    <t>Tom Mccarthy</t>
  </si>
  <si>
    <t>Lakeview Terrace</t>
  </si>
  <si>
    <t>The Grudge 2</t>
  </si>
  <si>
    <t>Takashi Shimizu</t>
  </si>
  <si>
    <t>How Stella Got Her Groove Back</t>
  </si>
  <si>
    <t>Bill &amp; Ted's Bogus Journey</t>
  </si>
  <si>
    <t>Man of the Year</t>
  </si>
  <si>
    <t>The Black Hole</t>
  </si>
  <si>
    <t>Gary Nelson</t>
  </si>
  <si>
    <t>The American</t>
  </si>
  <si>
    <t>Anton Corbijn</t>
  </si>
  <si>
    <t>Selena</t>
  </si>
  <si>
    <t>Gregory Nava</t>
  </si>
  <si>
    <t>Vampires Suck</t>
  </si>
  <si>
    <t>Babel</t>
  </si>
  <si>
    <t>This Is Where I Leave You</t>
  </si>
  <si>
    <t>Doubt</t>
  </si>
  <si>
    <t>John Patrick Shanley</t>
  </si>
  <si>
    <t>Team America: World Police</t>
  </si>
  <si>
    <t>Texas Chainsaw 3D</t>
  </si>
  <si>
    <t>Copycat</t>
  </si>
  <si>
    <t>Scary Movie 5</t>
  </si>
  <si>
    <t>Paint Your Wagon</t>
  </si>
  <si>
    <t>Joshua Logan</t>
  </si>
  <si>
    <t>Milk</t>
  </si>
  <si>
    <t>Risen</t>
  </si>
  <si>
    <t>Ghost Ship</t>
  </si>
  <si>
    <t>Steve Beck</t>
  </si>
  <si>
    <t>A Very Harold &amp; Kumar 3D Christmas</t>
  </si>
  <si>
    <t>Todd Strauss-Schulson</t>
  </si>
  <si>
    <t>Wild Things</t>
  </si>
  <si>
    <t>John Mcnaughton</t>
  </si>
  <si>
    <t>The Stepfather</t>
  </si>
  <si>
    <t>Nelson Mccormick</t>
  </si>
  <si>
    <t>The Debt</t>
  </si>
  <si>
    <t>High Fidelity</t>
  </si>
  <si>
    <t>One Missed Call</t>
  </si>
  <si>
    <t>Eric Valette</t>
  </si>
  <si>
    <t>Eye for an Eye</t>
  </si>
  <si>
    <t>The Bank Job</t>
  </si>
  <si>
    <t>Eternal Sunshine of the Spotless Mind</t>
  </si>
  <si>
    <t>You Again</t>
  </si>
  <si>
    <t>Street Kings</t>
  </si>
  <si>
    <t>The World's End</t>
  </si>
  <si>
    <t>Nancy Drew</t>
  </si>
  <si>
    <t>Andrew Fleming</t>
  </si>
  <si>
    <t>Daybreakers</t>
  </si>
  <si>
    <t>Michael Spierig</t>
  </si>
  <si>
    <t>She's Out of My League</t>
  </si>
  <si>
    <t>Jim Field Smith</t>
  </si>
  <si>
    <t>Monte Carlo</t>
  </si>
  <si>
    <t>Thomas Bezucha</t>
  </si>
  <si>
    <t>Stay Alive</t>
  </si>
  <si>
    <t>William Brent Bell</t>
  </si>
  <si>
    <t>Quigley Down Under</t>
  </si>
  <si>
    <t>Alpha and Omega</t>
  </si>
  <si>
    <t>Anthony Bell</t>
  </si>
  <si>
    <t>The Covenant</t>
  </si>
  <si>
    <t>Stick It</t>
  </si>
  <si>
    <t>Jessica Bendinger</t>
  </si>
  <si>
    <t>Shorts</t>
  </si>
  <si>
    <t>To Die For</t>
  </si>
  <si>
    <t>Nerve</t>
  </si>
  <si>
    <t>Henry Joost</t>
  </si>
  <si>
    <t>Appaloosa</t>
  </si>
  <si>
    <t>Ed Harris</t>
  </si>
  <si>
    <t>Vampires</t>
  </si>
  <si>
    <t>Psycho</t>
  </si>
  <si>
    <t>Alfred Hitchcock</t>
  </si>
  <si>
    <t>My Best Friend's Girl</t>
  </si>
  <si>
    <t>Endless Love</t>
  </si>
  <si>
    <t>Shana Feste</t>
  </si>
  <si>
    <t>Georgia Rule</t>
  </si>
  <si>
    <t>Under the Rainbow</t>
  </si>
  <si>
    <t>Steve Rash</t>
  </si>
  <si>
    <t>Ladyhawke</t>
  </si>
  <si>
    <t>Simon Birch</t>
  </si>
  <si>
    <t>Reign Over Me</t>
  </si>
  <si>
    <t>Mike Binder</t>
  </si>
  <si>
    <t>Into the Wild</t>
  </si>
  <si>
    <t>School for Scoundrels</t>
  </si>
  <si>
    <t>Silent Hill: Revelation 3D</t>
  </si>
  <si>
    <t>Michael J. Bassett</t>
  </si>
  <si>
    <t>From Dusk Till Dawn</t>
  </si>
  <si>
    <t>Pooh's Heffalump Movie</t>
  </si>
  <si>
    <t>Frank Nissen</t>
  </si>
  <si>
    <t>Home for the Holidays</t>
  </si>
  <si>
    <t>Kung Fu Hustle</t>
  </si>
  <si>
    <t>Stephen Chow</t>
  </si>
  <si>
    <t>The Country Bears</t>
  </si>
  <si>
    <t>Peter Hastings</t>
  </si>
  <si>
    <t>The Kite Runner</t>
  </si>
  <si>
    <t>Dari</t>
  </si>
  <si>
    <t>21 Grams</t>
  </si>
  <si>
    <t>Paparazzi</t>
  </si>
  <si>
    <t>Paul Abascal</t>
  </si>
  <si>
    <t>A Guy Thing</t>
  </si>
  <si>
    <t>Chris Koch</t>
  </si>
  <si>
    <t>Loser</t>
  </si>
  <si>
    <t>Amy Heckerling</t>
  </si>
  <si>
    <t>Capitalism: A Love Story</t>
  </si>
  <si>
    <t>Michael Moore</t>
  </si>
  <si>
    <t>The Greatest Story Ever Told</t>
  </si>
  <si>
    <t>George Stevens</t>
  </si>
  <si>
    <t>Secret in Their Eyes</t>
  </si>
  <si>
    <t>Billy Ray</t>
  </si>
  <si>
    <t>Disaster Movie</t>
  </si>
  <si>
    <t>Armored</t>
  </si>
  <si>
    <t>The Man Who Knew Too Little</t>
  </si>
  <si>
    <t>What's Your Number?</t>
  </si>
  <si>
    <t>Mark Mylod</t>
  </si>
  <si>
    <t>Lockout</t>
  </si>
  <si>
    <t>James Mather</t>
  </si>
  <si>
    <t>Envy</t>
  </si>
  <si>
    <t>Crank: High Voltage</t>
  </si>
  <si>
    <t>Bullets Over Broadway</t>
  </si>
  <si>
    <t>One Night with the King</t>
  </si>
  <si>
    <t>Michael O. Sajbel</t>
  </si>
  <si>
    <t>The Quiet American</t>
  </si>
  <si>
    <t>The Weather Man</t>
  </si>
  <si>
    <t>Undisputed</t>
  </si>
  <si>
    <t>Ghost Town</t>
  </si>
  <si>
    <t>12 Rounds</t>
  </si>
  <si>
    <t>Let Me In</t>
  </si>
  <si>
    <t>3 Ninjas Kick Back</t>
  </si>
  <si>
    <t>Charles T. Kanganis</t>
  </si>
  <si>
    <t>Be Kind Rewind</t>
  </si>
  <si>
    <t>Mrs Henderson Presents</t>
  </si>
  <si>
    <t>Triple 9</t>
  </si>
  <si>
    <t>Deconstructing Harry</t>
  </si>
  <si>
    <t>Three to Tango</t>
  </si>
  <si>
    <t>Damon Santostefano</t>
  </si>
  <si>
    <t>Burnt</t>
  </si>
  <si>
    <t>We're No Angels</t>
  </si>
  <si>
    <t>Everyone Says I Love You</t>
  </si>
  <si>
    <t>Death Sentence</t>
  </si>
  <si>
    <t>Everybody's Fine</t>
  </si>
  <si>
    <t>Superbabies: Baby Geniuses 2</t>
  </si>
  <si>
    <t>Bob Clark</t>
  </si>
  <si>
    <t>The Man</t>
  </si>
  <si>
    <t>Code Name: The Cleaner</t>
  </si>
  <si>
    <t>Connie and Carla</t>
  </si>
  <si>
    <t>Sweet Charity</t>
  </si>
  <si>
    <t>Inherent Vice</t>
  </si>
  <si>
    <t>Doogal</t>
  </si>
  <si>
    <t>Dave Borthwick</t>
  </si>
  <si>
    <t>Battle of the Year</t>
  </si>
  <si>
    <t>Benson Lee</t>
  </si>
  <si>
    <t>An American Carol</t>
  </si>
  <si>
    <t>Machete Kills</t>
  </si>
  <si>
    <t>Willard</t>
  </si>
  <si>
    <t>Glen Morgan</t>
  </si>
  <si>
    <t>Strange Wilderness</t>
  </si>
  <si>
    <t>Topsy-Turvy</t>
  </si>
  <si>
    <t>Mike Leigh</t>
  </si>
  <si>
    <t>Little Boy</t>
  </si>
  <si>
    <t>Alejandro Monteverde</t>
  </si>
  <si>
    <t>A Dangerous Method</t>
  </si>
  <si>
    <t>A Scanner Darkly</t>
  </si>
  <si>
    <t>Chasing Mavericks</t>
  </si>
  <si>
    <t>Alone in the Dark</t>
  </si>
  <si>
    <t>Bandslam</t>
  </si>
  <si>
    <t>Birth</t>
  </si>
  <si>
    <t>Jonathan Glazer</t>
  </si>
  <si>
    <t>A Most Violent Year</t>
  </si>
  <si>
    <t>J.C. Chandor</t>
  </si>
  <si>
    <t>Passchendaele</t>
  </si>
  <si>
    <t>Paul Gross</t>
  </si>
  <si>
    <t>Flash of Genius</t>
  </si>
  <si>
    <t>Marc Abraham</t>
  </si>
  <si>
    <t>I'm Not There.</t>
  </si>
  <si>
    <t>Todd Haynes</t>
  </si>
  <si>
    <t>The Cold Light of Day</t>
  </si>
  <si>
    <t>Mabrouk El Mechri</t>
  </si>
  <si>
    <t>The Brothers Bloom</t>
  </si>
  <si>
    <t>Synecdoche, New York</t>
  </si>
  <si>
    <t>Charlie Kaufman</t>
  </si>
  <si>
    <t>Princess Mononoke</t>
  </si>
  <si>
    <t>Bon voyage</t>
  </si>
  <si>
    <t>Can't Stop the Music</t>
  </si>
  <si>
    <t>Nancy Walker</t>
  </si>
  <si>
    <t>The Proposition</t>
  </si>
  <si>
    <t>Courage</t>
  </si>
  <si>
    <t>Angelo Pizzo</t>
  </si>
  <si>
    <t>Marci X</t>
  </si>
  <si>
    <t>Equilibrium</t>
  </si>
  <si>
    <t>The Children of Huang Shi</t>
  </si>
  <si>
    <t>The Yards</t>
  </si>
  <si>
    <t>The Oogieloves in the Big Balloon Adventure</t>
  </si>
  <si>
    <t>Matthew Diamond</t>
  </si>
  <si>
    <t>By the Sea</t>
  </si>
  <si>
    <t>Steamboy</t>
  </si>
  <si>
    <t>Katsuhiro Ôtomo</t>
  </si>
  <si>
    <t>The Game of Their Lives</t>
  </si>
  <si>
    <t>David Anspaugh</t>
  </si>
  <si>
    <t>All Good Things</t>
  </si>
  <si>
    <t>Andrew Jarecki</t>
  </si>
  <si>
    <t>Rapa Nui</t>
  </si>
  <si>
    <t>CJ7</t>
  </si>
  <si>
    <t>Les couloirs du temps: Les visiteurs II</t>
  </si>
  <si>
    <t>Dylan Dog: Dead of Night</t>
  </si>
  <si>
    <t>People I Know</t>
  </si>
  <si>
    <t>Daniel Algrant</t>
  </si>
  <si>
    <t>The Tempest</t>
  </si>
  <si>
    <t>Regression</t>
  </si>
  <si>
    <t>The Touch</t>
  </si>
  <si>
    <t>Jane Clark</t>
  </si>
  <si>
    <t>Three Kingdoms: Resurrection of the Dragon</t>
  </si>
  <si>
    <t>Shattered</t>
  </si>
  <si>
    <t>Mike Barker</t>
  </si>
  <si>
    <t>Zambezia</t>
  </si>
  <si>
    <t>Wayne Thornley</t>
  </si>
  <si>
    <t>Ramanujan</t>
  </si>
  <si>
    <t>Gnana Rajasekaran</t>
  </si>
  <si>
    <t>Dwegons and Leprechauns</t>
  </si>
  <si>
    <t>Tom Walsh</t>
  </si>
  <si>
    <t>Hands of Stone</t>
  </si>
  <si>
    <t>Jonathan Jakubowicz</t>
  </si>
  <si>
    <t>Survivor</t>
  </si>
  <si>
    <t>The Frozen Ground</t>
  </si>
  <si>
    <t>Scott Walker</t>
  </si>
  <si>
    <t>The Painted Veil</t>
  </si>
  <si>
    <t>The Baader Meinhof Complex</t>
  </si>
  <si>
    <t>Dances with Wolves</t>
  </si>
  <si>
    <t>Bad Teacher</t>
  </si>
  <si>
    <t>Sea of Love</t>
  </si>
  <si>
    <t>A Cinderella Story</t>
  </si>
  <si>
    <t>Mark Rosman</t>
  </si>
  <si>
    <t>Scream</t>
  </si>
  <si>
    <t>Thir13en Ghosts</t>
  </si>
  <si>
    <t>The Shining</t>
  </si>
  <si>
    <t>Back to the Future</t>
  </si>
  <si>
    <t>House on Haunted Hill</t>
  </si>
  <si>
    <t>I Can Do Bad All by Myself</t>
  </si>
  <si>
    <t>Fight Valley</t>
  </si>
  <si>
    <t>Rob Hawk</t>
  </si>
  <si>
    <t>The Switch</t>
  </si>
  <si>
    <t>Just Married</t>
  </si>
  <si>
    <t>The Devil's Double</t>
  </si>
  <si>
    <t>Thomas and the Magic Railroad</t>
  </si>
  <si>
    <t>Britt Allcroft</t>
  </si>
  <si>
    <t>The Crazies</t>
  </si>
  <si>
    <t>Spirited Away</t>
  </si>
  <si>
    <t>Firestorm</t>
  </si>
  <si>
    <t>Alan Yuen</t>
  </si>
  <si>
    <t>The Bounty</t>
  </si>
  <si>
    <t>The Book Thief</t>
  </si>
  <si>
    <t>Brian Percival</t>
  </si>
  <si>
    <t>Sex Drive</t>
  </si>
  <si>
    <t>Leap Year</t>
  </si>
  <si>
    <t>Anand Tucker</t>
  </si>
  <si>
    <t>The Fall of the Roman Empire</t>
  </si>
  <si>
    <t>Anthony Mann</t>
  </si>
  <si>
    <t>Take Me Home Tonight</t>
  </si>
  <si>
    <t>Michael Dowse</t>
  </si>
  <si>
    <t>Won't Back Down</t>
  </si>
  <si>
    <t>Daniel Barnz</t>
  </si>
  <si>
    <t>The Nutcracker</t>
  </si>
  <si>
    <t>Emile Ardolino</t>
  </si>
  <si>
    <t>Family</t>
  </si>
  <si>
    <t>Kansas City</t>
  </si>
  <si>
    <t>Robert Altman</t>
  </si>
  <si>
    <t>Indignation</t>
  </si>
  <si>
    <t>James Schamus</t>
  </si>
  <si>
    <t>Hebrew</t>
  </si>
  <si>
    <t>The Amityville Horror</t>
  </si>
  <si>
    <t>Andrew Douglas</t>
  </si>
  <si>
    <t>Adaptation.</t>
  </si>
  <si>
    <t>Land of the Dead</t>
  </si>
  <si>
    <t>Out of Inferno</t>
  </si>
  <si>
    <t>Chinese</t>
  </si>
  <si>
    <t>Fear and Loathing in Las Vegas</t>
  </si>
  <si>
    <t>The Invention of Lying</t>
  </si>
  <si>
    <t>Ricky Gervais</t>
  </si>
  <si>
    <t>Neighbors</t>
  </si>
  <si>
    <t>The Mask</t>
  </si>
  <si>
    <t>Big</t>
  </si>
  <si>
    <t>Borat: Cultural Learnings of America for Make Benefit Glorious Nation of Kazakhstan</t>
  </si>
  <si>
    <t>Legally Blonde</t>
  </si>
  <si>
    <t>Star Trek III: The Search for Spock</t>
  </si>
  <si>
    <t>The Exorcism of Emily Rose</t>
  </si>
  <si>
    <t>Deuce Bigalow: Male Gigolo</t>
  </si>
  <si>
    <t>Left Behind</t>
  </si>
  <si>
    <t>Vic Armstrong</t>
  </si>
  <si>
    <t>The Family Stone</t>
  </si>
  <si>
    <t>Barbershop 2: Back in Business</t>
  </si>
  <si>
    <t>Bad Santa</t>
  </si>
  <si>
    <t>Terry Zwigoff</t>
  </si>
  <si>
    <t>Austin Powers: International Man of Mystery</t>
  </si>
  <si>
    <t>My Big Fat Greek Wedding 2</t>
  </si>
  <si>
    <t>Diary of a Wimpy Kid: Rodrick Rules</t>
  </si>
  <si>
    <t>Predator</t>
  </si>
  <si>
    <t>Amadeus</t>
  </si>
  <si>
    <t>Prom Night</t>
  </si>
  <si>
    <t>Mean Girls</t>
  </si>
  <si>
    <t>Under the Tuscan Sun</t>
  </si>
  <si>
    <t>Audrey Wells</t>
  </si>
  <si>
    <t>Gosford Park</t>
  </si>
  <si>
    <t>Peggy Sue Got Married</t>
  </si>
  <si>
    <t>Birdman or (The Unexpected Virtue of Ignorance)</t>
  </si>
  <si>
    <t>Blue Jasmine</t>
  </si>
  <si>
    <t>United 93</t>
  </si>
  <si>
    <t>Honey</t>
  </si>
  <si>
    <t>Spy Hard</t>
  </si>
  <si>
    <t>Rick Friedberg</t>
  </si>
  <si>
    <t>The Fog</t>
  </si>
  <si>
    <t>Soul Surfer</t>
  </si>
  <si>
    <t>Sean Mcnamara</t>
  </si>
  <si>
    <t>Catch-22</t>
  </si>
  <si>
    <t>Observe and Report</t>
  </si>
  <si>
    <t>Jody Hill</t>
  </si>
  <si>
    <t>Conan the Destroyer</t>
  </si>
  <si>
    <t>Raging Bull</t>
  </si>
  <si>
    <t>Love Happens</t>
  </si>
  <si>
    <t>Brandon Camp</t>
  </si>
  <si>
    <t>Young Sherlock Holmes</t>
  </si>
  <si>
    <t>Fame</t>
  </si>
  <si>
    <t>Kevin Tancharoen</t>
  </si>
  <si>
    <t>127 Hours</t>
  </si>
  <si>
    <t>Small Time Crooks</t>
  </si>
  <si>
    <t>Center Stage</t>
  </si>
  <si>
    <t>Nicholas Hytner</t>
  </si>
  <si>
    <t>Love the Coopers</t>
  </si>
  <si>
    <t>Catch That Kid</t>
  </si>
  <si>
    <t>Bart Freundlich</t>
  </si>
  <si>
    <t>Life as a House</t>
  </si>
  <si>
    <t>Steve Jobs</t>
  </si>
  <si>
    <t>I Love You, Beth Cooper</t>
  </si>
  <si>
    <t>Youth in Revolt</t>
  </si>
  <si>
    <t>The Legend of the Lone Ranger</t>
  </si>
  <si>
    <t>William A. Fraker</t>
  </si>
  <si>
    <t>The Tailor of Panama</t>
  </si>
  <si>
    <t>John Boorman</t>
  </si>
  <si>
    <t>Blow Out</t>
  </si>
  <si>
    <t>Getaway</t>
  </si>
  <si>
    <t>Courtney Solomon</t>
  </si>
  <si>
    <t>The Ice Storm</t>
  </si>
  <si>
    <t>And So It Goes</t>
  </si>
  <si>
    <t>Troop Beverly Hills</t>
  </si>
  <si>
    <t>Jeff Kanew</t>
  </si>
  <si>
    <t>Being Julia</t>
  </si>
  <si>
    <t>István Szabó</t>
  </si>
  <si>
    <t>9½ Weeks</t>
  </si>
  <si>
    <t>Dragonslayer</t>
  </si>
  <si>
    <t>Matthew Robbins</t>
  </si>
  <si>
    <t>The Last Station</t>
  </si>
  <si>
    <t>Ed Wood</t>
  </si>
  <si>
    <t>Labor Day</t>
  </si>
  <si>
    <t>Mongol: The Rise of Genghis Khan</t>
  </si>
  <si>
    <t>Mongolian</t>
  </si>
  <si>
    <t>RocknRolla</t>
  </si>
  <si>
    <t>Megaforce</t>
  </si>
  <si>
    <t>Hal Needham</t>
  </si>
  <si>
    <t>Hamlet</t>
  </si>
  <si>
    <t>Mao's Last Dancer</t>
  </si>
  <si>
    <t>Midnight Special</t>
  </si>
  <si>
    <t>Jeff Nichols</t>
  </si>
  <si>
    <t>Anything Else</t>
  </si>
  <si>
    <t>The Railway Man</t>
  </si>
  <si>
    <t>Jonathan Teplitzky</t>
  </si>
  <si>
    <t>The White Ribbon</t>
  </si>
  <si>
    <t>Michael Haneke</t>
  </si>
  <si>
    <t>Restoration</t>
  </si>
  <si>
    <t>Zack Ward</t>
  </si>
  <si>
    <t>The Wraith</t>
  </si>
  <si>
    <t>Mike Marvin</t>
  </si>
  <si>
    <t>The Salton Sea</t>
  </si>
  <si>
    <t>Metallica Through the Never</t>
  </si>
  <si>
    <t>Music</t>
  </si>
  <si>
    <t>The Informers</t>
  </si>
  <si>
    <t>Gregor Jordan</t>
  </si>
  <si>
    <t>I Come with the Rain</t>
  </si>
  <si>
    <t>Tran Anh Hung</t>
  </si>
  <si>
    <t>One Man's Hero</t>
  </si>
  <si>
    <t>Lance Hool</t>
  </si>
  <si>
    <t>Day of the Dead</t>
  </si>
  <si>
    <t>I Am Wrath</t>
  </si>
  <si>
    <t>Renaissance</t>
  </si>
  <si>
    <t>Christian Volckman</t>
  </si>
  <si>
    <t>Red Sonja</t>
  </si>
  <si>
    <t>Red Lights</t>
  </si>
  <si>
    <t>Rodrigo Cortés</t>
  </si>
  <si>
    <t>Superbad</t>
  </si>
  <si>
    <t>Madea Goes to Jail</t>
  </si>
  <si>
    <t>Wolves</t>
  </si>
  <si>
    <t>David Hayter</t>
  </si>
  <si>
    <t>Step Up 2: The Streets</t>
  </si>
  <si>
    <t>Hoodwinked!</t>
  </si>
  <si>
    <t>Cory Edwards</t>
  </si>
  <si>
    <t>Hotel Rwanda</t>
  </si>
  <si>
    <t>Terry George</t>
  </si>
  <si>
    <t>Hitman</t>
  </si>
  <si>
    <t>Xavier Gens</t>
  </si>
  <si>
    <t>Black Nativity</t>
  </si>
  <si>
    <t>Kasi Lemmons</t>
  </si>
  <si>
    <t>The Prince</t>
  </si>
  <si>
    <t>Brian A Miller</t>
  </si>
  <si>
    <t>City of Ghosts</t>
  </si>
  <si>
    <t>Matt Dillon</t>
  </si>
  <si>
    <t>The Others</t>
  </si>
  <si>
    <t>Aliens</t>
  </si>
  <si>
    <t>My Fair Lady</t>
  </si>
  <si>
    <t>George Cukor</t>
  </si>
  <si>
    <t>I Know What You Did Last Summer</t>
  </si>
  <si>
    <t>Let's Be Cops</t>
  </si>
  <si>
    <t>Sideways</t>
  </si>
  <si>
    <t>Beerfest</t>
  </si>
  <si>
    <t>Halloween</t>
  </si>
  <si>
    <t>Good Boy!</t>
  </si>
  <si>
    <t>John Hoffman</t>
  </si>
  <si>
    <t>The Best Man Holiday</t>
  </si>
  <si>
    <t>Smokin' Aces</t>
  </si>
  <si>
    <t>Saw 3D: The Final Chapter</t>
  </si>
  <si>
    <t>Kevin Greutert</t>
  </si>
  <si>
    <t>40 Days and 40 Nights</t>
  </si>
  <si>
    <t>A Night at the Roxbury</t>
  </si>
  <si>
    <t>John Fortenberry</t>
  </si>
  <si>
    <t>Beastly</t>
  </si>
  <si>
    <t>The Hills Have Eyes</t>
  </si>
  <si>
    <t>Dickie Roberts: Former Child Star</t>
  </si>
  <si>
    <t>McFarland, USA</t>
  </si>
  <si>
    <t>Lottery Ticket</t>
  </si>
  <si>
    <t>Erik White</t>
  </si>
  <si>
    <t>ATL</t>
  </si>
  <si>
    <t>Chris Robinson</t>
  </si>
  <si>
    <t>Pitch Perfect</t>
  </si>
  <si>
    <t>Jason Moore</t>
  </si>
  <si>
    <t>Summer Catch</t>
  </si>
  <si>
    <t>A Simple Plan</t>
  </si>
  <si>
    <t>They</t>
  </si>
  <si>
    <t>Robert Harmon</t>
  </si>
  <si>
    <t>Larry the Cable Guy: Health Inspector</t>
  </si>
  <si>
    <t>Trent Cooper</t>
  </si>
  <si>
    <t>The Adventures of Elmo in Grouchland</t>
  </si>
  <si>
    <t>Gary Halvorson</t>
  </si>
  <si>
    <t>Brooklyn's Finest</t>
  </si>
  <si>
    <t>55 Days at Peking</t>
  </si>
  <si>
    <t>Nicholas Ray</t>
  </si>
  <si>
    <t>Evil Dead</t>
  </si>
  <si>
    <t>Fede Alvarez</t>
  </si>
  <si>
    <t>My Life in Ruins</t>
  </si>
  <si>
    <t>American Dreamz</t>
  </si>
  <si>
    <t>Superman IV: The Quest for Peace</t>
  </si>
  <si>
    <t>Sidney J. Furie</t>
  </si>
  <si>
    <t>How She Move</t>
  </si>
  <si>
    <t>Ian Iqbal Rashid</t>
  </si>
  <si>
    <t>Running Scared</t>
  </si>
  <si>
    <t>Wayne Kramer</t>
  </si>
  <si>
    <t>Bobby Jones: Stroke of Genius</t>
  </si>
  <si>
    <t>Rowdy Herrington</t>
  </si>
  <si>
    <t>Shanghai Surprise</t>
  </si>
  <si>
    <t>Jim Goddard</t>
  </si>
  <si>
    <t>The Illusionist</t>
  </si>
  <si>
    <t>Roar</t>
  </si>
  <si>
    <t>Noel Marshall</t>
  </si>
  <si>
    <t>Veronica Guerin</t>
  </si>
  <si>
    <t>Escobar: Paradise Lost</t>
  </si>
  <si>
    <t>Andrea Di Stefano</t>
  </si>
  <si>
    <t>Southland Tales</t>
  </si>
  <si>
    <t>Dragon Hunters</t>
  </si>
  <si>
    <t>Guillaume Ivernel</t>
  </si>
  <si>
    <t>Damnation Alley</t>
  </si>
  <si>
    <t>Jack Smight</t>
  </si>
  <si>
    <t>The Apparition</t>
  </si>
  <si>
    <t>Todd Lincoln</t>
  </si>
  <si>
    <t>My Girl</t>
  </si>
  <si>
    <t>Howard Zieff</t>
  </si>
  <si>
    <t>Fur: An Imaginary Portrait of Diane Arbus</t>
  </si>
  <si>
    <t>Steven Shainberg</t>
  </si>
  <si>
    <t>Wall Street</t>
  </si>
  <si>
    <t>Sense and Sensibility</t>
  </si>
  <si>
    <t>Becoming Jane</t>
  </si>
  <si>
    <t>Julian Jarrold</t>
  </si>
  <si>
    <t>Sydney White</t>
  </si>
  <si>
    <t>Joe Nussbaum</t>
  </si>
  <si>
    <t>House of Sand and Fog</t>
  </si>
  <si>
    <t>Vadim Perelman</t>
  </si>
  <si>
    <t>Dead Poets Society</t>
  </si>
  <si>
    <t>Dumb &amp; Dumber</t>
  </si>
  <si>
    <t>Peter Farrelly</t>
  </si>
  <si>
    <t>When Harry Met Sally...</t>
  </si>
  <si>
    <t>The Verdict</t>
  </si>
  <si>
    <t>Road Trip</t>
  </si>
  <si>
    <t>Varsity Blues</t>
  </si>
  <si>
    <t>The Artist</t>
  </si>
  <si>
    <t>Michel Hazanavicius</t>
  </si>
  <si>
    <t>The Unborn</t>
  </si>
  <si>
    <t>Moonrise Kingdom</t>
  </si>
  <si>
    <t>The Texas Chainsaw Massacre: The Beginning</t>
  </si>
  <si>
    <t>The Young Messiah</t>
  </si>
  <si>
    <t>Cyrus Nowrasteh</t>
  </si>
  <si>
    <t>The Master of Disguise</t>
  </si>
  <si>
    <t>Perry Andelin Blake</t>
  </si>
  <si>
    <t>Pan's Labyrinth</t>
  </si>
  <si>
    <t>See Spot Run</t>
  </si>
  <si>
    <t>Baby Boy</t>
  </si>
  <si>
    <t>The Roommate</t>
  </si>
  <si>
    <t>Christian E. Christiansen</t>
  </si>
  <si>
    <t>Joe Dirt</t>
  </si>
  <si>
    <t>Double Impact</t>
  </si>
  <si>
    <t>Sheldon Lettich</t>
  </si>
  <si>
    <t>Hot Fuzz</t>
  </si>
  <si>
    <t>The Women</t>
  </si>
  <si>
    <t>Diane English</t>
  </si>
  <si>
    <t>Vicky Cristina Barcelona</t>
  </si>
  <si>
    <t>Arn: The Knight Templar</t>
  </si>
  <si>
    <t>Peter Flinth</t>
  </si>
  <si>
    <t>Swedish</t>
  </si>
  <si>
    <t>Boys and Girls</t>
  </si>
  <si>
    <t>Robert Iscove</t>
  </si>
  <si>
    <t>White Oleander</t>
  </si>
  <si>
    <t>Peter Kosminsky</t>
  </si>
  <si>
    <t>Jennifer's Body</t>
  </si>
  <si>
    <t>Drowning Mona</t>
  </si>
  <si>
    <t>Nick Gomez</t>
  </si>
  <si>
    <t>Radio Days</t>
  </si>
  <si>
    <t>Remember Me</t>
  </si>
  <si>
    <t>Allen Coulter</t>
  </si>
  <si>
    <t>How to Deal</t>
  </si>
  <si>
    <t>Clare Kilner</t>
  </si>
  <si>
    <t>My Stepmother Is an Alien</t>
  </si>
  <si>
    <t>Philadelphia</t>
  </si>
  <si>
    <t>The Thirteenth Floor</t>
  </si>
  <si>
    <t>Josef Rusnak</t>
  </si>
  <si>
    <t>The Cookout</t>
  </si>
  <si>
    <t>Lance Rivera</t>
  </si>
  <si>
    <t>Meteor</t>
  </si>
  <si>
    <t>Ronald Neame</t>
  </si>
  <si>
    <t>Duets</t>
  </si>
  <si>
    <t>Bruce Paltrow</t>
  </si>
  <si>
    <t>Hollywood Ending</t>
  </si>
  <si>
    <t>Detroit Rock City</t>
  </si>
  <si>
    <t>Adam Rifkin</t>
  </si>
  <si>
    <t>Highlander</t>
  </si>
  <si>
    <t>Things We Lost in the Fire</t>
  </si>
  <si>
    <t>Susanne Bier</t>
  </si>
  <si>
    <t>Steel</t>
  </si>
  <si>
    <t>Kenneth Johnson</t>
  </si>
  <si>
    <t>The Immigrant</t>
  </si>
  <si>
    <t>The White Countess</t>
  </si>
  <si>
    <t>James Ivory</t>
  </si>
  <si>
    <t>Trance</t>
  </si>
  <si>
    <t>Soul Plane</t>
  </si>
  <si>
    <t>Jessy Terrero</t>
  </si>
  <si>
    <t>Welcome to the Sticks</t>
  </si>
  <si>
    <t>Dany Boon</t>
  </si>
  <si>
    <t>Good</t>
  </si>
  <si>
    <t>Vicente Amorim</t>
  </si>
  <si>
    <t>Enter the Void</t>
  </si>
  <si>
    <t>Gaspar Noé</t>
  </si>
  <si>
    <t>Vamps</t>
  </si>
  <si>
    <t>Hachi: A Dog's Tale</t>
  </si>
  <si>
    <t>Zulu</t>
  </si>
  <si>
    <t>Jérôme Salle</t>
  </si>
  <si>
    <t>The Homesman</t>
  </si>
  <si>
    <t>Tommy Lee Jones</t>
  </si>
  <si>
    <t>Juwanna Mann</t>
  </si>
  <si>
    <t>Jesse Vaughan</t>
  </si>
  <si>
    <t>Ararat</t>
  </si>
  <si>
    <t>Madison</t>
  </si>
  <si>
    <t>William Bindley</t>
  </si>
  <si>
    <t>Slow Burn</t>
  </si>
  <si>
    <t>Wayne Beach</t>
  </si>
  <si>
    <t>Wasabi</t>
  </si>
  <si>
    <t>Gérard Krawczyk</t>
  </si>
  <si>
    <t>Slither</t>
  </si>
  <si>
    <t>Beverly Hills Cop</t>
  </si>
  <si>
    <t>Home Alone</t>
  </si>
  <si>
    <t>3 Men and a Baby</t>
  </si>
  <si>
    <t>Tootsie</t>
  </si>
  <si>
    <t>Top Gun</t>
  </si>
  <si>
    <t>Crouching Tiger, Hidden Dragon</t>
  </si>
  <si>
    <t>American Beauty</t>
  </si>
  <si>
    <t>The King's Speech</t>
  </si>
  <si>
    <t>Twins</t>
  </si>
  <si>
    <t>The Yellow Handkerchief</t>
  </si>
  <si>
    <t>Udayan Prasad</t>
  </si>
  <si>
    <t>The Color Purple</t>
  </si>
  <si>
    <t>Tidal Wave</t>
  </si>
  <si>
    <t>Jk Youn</t>
  </si>
  <si>
    <t>Korean</t>
  </si>
  <si>
    <t>The Imitation Game</t>
  </si>
  <si>
    <t>Morten Tyldum</t>
  </si>
  <si>
    <t>Private Benjamin</t>
  </si>
  <si>
    <t>Coal Miner's Daughter</t>
  </si>
  <si>
    <t>Diary of a Wimpy Kid</t>
  </si>
  <si>
    <t>Mama</t>
  </si>
  <si>
    <t>Andrés Muschietti</t>
  </si>
  <si>
    <t>National Lampoon's Vacation</t>
  </si>
  <si>
    <t>Bad Grandpa</t>
  </si>
  <si>
    <t>The Queen</t>
  </si>
  <si>
    <t>Beetlejuice</t>
  </si>
  <si>
    <t>Why Did I Get Married?</t>
  </si>
  <si>
    <t>Little Women</t>
  </si>
  <si>
    <t>Gillian Armstrong</t>
  </si>
  <si>
    <t>The Woman in Black</t>
  </si>
  <si>
    <t>James Watkins</t>
  </si>
  <si>
    <t>When a Stranger Calls</t>
  </si>
  <si>
    <t>Big Fat Liar</t>
  </si>
  <si>
    <t>The Deer Hunter</t>
  </si>
  <si>
    <t>Wag the Dog</t>
  </si>
  <si>
    <t>The Lizzie McGuire Movie</t>
  </si>
  <si>
    <t>Jim Fall</t>
  </si>
  <si>
    <t>Snitch</t>
  </si>
  <si>
    <t>Ric Roman Waugh</t>
  </si>
  <si>
    <t>Krampus</t>
  </si>
  <si>
    <t>Michael Dougherty</t>
  </si>
  <si>
    <t>The Faculty</t>
  </si>
  <si>
    <t>What's Love Got to Do with It</t>
  </si>
  <si>
    <t>Cop Land</t>
  </si>
  <si>
    <t>Not Another Teen Movie</t>
  </si>
  <si>
    <t>Joel Gallen</t>
  </si>
  <si>
    <t>End of Watch</t>
  </si>
  <si>
    <t>The Skulls</t>
  </si>
  <si>
    <t>The Theory of Everything</t>
  </si>
  <si>
    <t>James Marsh</t>
  </si>
  <si>
    <t>Malibu's Most Wanted</t>
  </si>
  <si>
    <t>Where the Heart Is</t>
  </si>
  <si>
    <t>Matt Williams</t>
  </si>
  <si>
    <t>Lawrence of Arabia</t>
  </si>
  <si>
    <t>Halloween II</t>
  </si>
  <si>
    <t>Rob Zombie</t>
  </si>
  <si>
    <t>Wild</t>
  </si>
  <si>
    <t>The Last House on the Left</t>
  </si>
  <si>
    <t>Dennis Iliadis</t>
  </si>
  <si>
    <t>The Wedding Date</t>
  </si>
  <si>
    <t>Halloween: Resurrection</t>
  </si>
  <si>
    <t>Rick Rosenthal</t>
  </si>
  <si>
    <t>The Princess Bride</t>
  </si>
  <si>
    <t>The Great Debaters</t>
  </si>
  <si>
    <t>Denzel Washington</t>
  </si>
  <si>
    <t>Drive</t>
  </si>
  <si>
    <t>Nicolas Winding Refn</t>
  </si>
  <si>
    <t>Confessions of a Teenage Drama Queen</t>
  </si>
  <si>
    <t>Sara Sugarman</t>
  </si>
  <si>
    <t>The Object of My Affection</t>
  </si>
  <si>
    <t>28 Weeks Later</t>
  </si>
  <si>
    <t>Juan Carlos Fresnadillo</t>
  </si>
  <si>
    <t>When the Game Stands Tall</t>
  </si>
  <si>
    <t>Because of Winn-Dixie</t>
  </si>
  <si>
    <t>Love &amp; Basketball</t>
  </si>
  <si>
    <t>Gina Prince-Bythewood</t>
  </si>
  <si>
    <t>Grosse Pointe Blank</t>
  </si>
  <si>
    <t>All About Steve</t>
  </si>
  <si>
    <t>Phil Traill</t>
  </si>
  <si>
    <t>Book of Shadows: Blair Witch 2</t>
  </si>
  <si>
    <t>Joe Berlinger</t>
  </si>
  <si>
    <t>The Craft</t>
  </si>
  <si>
    <t>Match Point</t>
  </si>
  <si>
    <t>Ramona and Beezus</t>
  </si>
  <si>
    <t>Elizabeth Allen Rosenbaum</t>
  </si>
  <si>
    <t>The Remains of the Day</t>
  </si>
  <si>
    <t>Boogie Nights</t>
  </si>
  <si>
    <t>Nowhere to Run</t>
  </si>
  <si>
    <t>Flicka</t>
  </si>
  <si>
    <t>Michael Mayer</t>
  </si>
  <si>
    <t>The Hills Have Eyes II</t>
  </si>
  <si>
    <t>Martin Weisz</t>
  </si>
  <si>
    <t>Urban Legends: Final Cut</t>
  </si>
  <si>
    <t>John Ottman</t>
  </si>
  <si>
    <t>Tuck Everlasting</t>
  </si>
  <si>
    <t>The Marine</t>
  </si>
  <si>
    <t>John Bonito</t>
  </si>
  <si>
    <t>Keanu</t>
  </si>
  <si>
    <t>Peter Atencio</t>
  </si>
  <si>
    <t>Country Strong</t>
  </si>
  <si>
    <t>Disturbing Behavior</t>
  </si>
  <si>
    <t>David Nutter</t>
  </si>
  <si>
    <t>The Place Beyond the Pines</t>
  </si>
  <si>
    <t>Derek Cianfrance</t>
  </si>
  <si>
    <t>The November Man</t>
  </si>
  <si>
    <t>Eye of the Beholder</t>
  </si>
  <si>
    <t>Stephan Elliott</t>
  </si>
  <si>
    <t>The Hurt Locker</t>
  </si>
  <si>
    <t>Firestarter</t>
  </si>
  <si>
    <t>Mark L. Lester</t>
  </si>
  <si>
    <t>Killing Them Softly</t>
  </si>
  <si>
    <t>A Most Wanted Man</t>
  </si>
  <si>
    <t>Freddy Got Fingered</t>
  </si>
  <si>
    <t>Tom Green</t>
  </si>
  <si>
    <t>The Pirates Who Don't Do Anything: A VeggieTales Movie</t>
  </si>
  <si>
    <t>Mike Nawrocki</t>
  </si>
  <si>
    <t>U2 3D</t>
  </si>
  <si>
    <t>Catherine Owens</t>
  </si>
  <si>
    <t>Highlander: Endgame</t>
  </si>
  <si>
    <t>Douglas Aarniokoski</t>
  </si>
  <si>
    <t>Idlewild</t>
  </si>
  <si>
    <t>Bryan Barber</t>
  </si>
  <si>
    <t>One Day</t>
  </si>
  <si>
    <t>Lone Scherfig</t>
  </si>
  <si>
    <t>Whip It</t>
  </si>
  <si>
    <t>Drew Barrymore</t>
  </si>
  <si>
    <t>Knockaround Guys</t>
  </si>
  <si>
    <t>Brian Koppelman</t>
  </si>
  <si>
    <t>Confidence</t>
  </si>
  <si>
    <t>James Foley</t>
  </si>
  <si>
    <t>The Muse</t>
  </si>
  <si>
    <t>Albert Brooks</t>
  </si>
  <si>
    <t>De-Lovely</t>
  </si>
  <si>
    <t>New York Stories</t>
  </si>
  <si>
    <t>Barney's Great Adventure</t>
  </si>
  <si>
    <t>Steve Gomer</t>
  </si>
  <si>
    <t>The Man with the Iron Fists</t>
  </si>
  <si>
    <t>Rza</t>
  </si>
  <si>
    <t>Home Fries</t>
  </si>
  <si>
    <t>Here on Earth</t>
  </si>
  <si>
    <t>Mark Piznarski</t>
  </si>
  <si>
    <t>Brazil</t>
  </si>
  <si>
    <t>Raise Your Voice</t>
  </si>
  <si>
    <t>The Big Lebowski</t>
  </si>
  <si>
    <t>Black Snake Moan</t>
  </si>
  <si>
    <t>Craig Brewer</t>
  </si>
  <si>
    <t>Dark Blue</t>
  </si>
  <si>
    <t>A Mighty Heart</t>
  </si>
  <si>
    <t>Whatever It Takes</t>
  </si>
  <si>
    <t>David Raynr</t>
  </si>
  <si>
    <t>Boat Trip</t>
  </si>
  <si>
    <t>Mort Nathan</t>
  </si>
  <si>
    <t>The Importance of Being Earnest</t>
  </si>
  <si>
    <t>The Love Letter</t>
  </si>
  <si>
    <t>Dan Curtis</t>
  </si>
  <si>
    <t>Hoot</t>
  </si>
  <si>
    <t>Wil Shriner</t>
  </si>
  <si>
    <t>In Bruges</t>
  </si>
  <si>
    <t>Martin Mcdonagh</t>
  </si>
  <si>
    <t>Peeples</t>
  </si>
  <si>
    <t>Tina Gordon Chism</t>
  </si>
  <si>
    <t>The Rocker</t>
  </si>
  <si>
    <t>Peter Cattaneo</t>
  </si>
  <si>
    <t>Post Grad</t>
  </si>
  <si>
    <t>Vicky Jenson</t>
  </si>
  <si>
    <t>Promised Land</t>
  </si>
  <si>
    <t>Whatever Works</t>
  </si>
  <si>
    <t>The In Crowd</t>
  </si>
  <si>
    <t>Mary Lambert</t>
  </si>
  <si>
    <t>Three Burials</t>
  </si>
  <si>
    <t>Jakob the Liar</t>
  </si>
  <si>
    <t>Peter Kassovitz</t>
  </si>
  <si>
    <t>Kiss Kiss Bang Bang</t>
  </si>
  <si>
    <t>Idle Hands</t>
  </si>
  <si>
    <t>Rodman Flender</t>
  </si>
  <si>
    <t>Mulholland Drive</t>
  </si>
  <si>
    <t>Blood and Chocolate</t>
  </si>
  <si>
    <t>Katja Von Garnier</t>
  </si>
  <si>
    <t>You Will Meet a Tall Dark Stranger</t>
  </si>
  <si>
    <t>Never Let Me Go</t>
  </si>
  <si>
    <t>Mark Romanek</t>
  </si>
  <si>
    <t>Transsiberian</t>
  </si>
  <si>
    <t>Brad Anderson</t>
  </si>
  <si>
    <t>The Clan of the Cave Bear</t>
  </si>
  <si>
    <t>Michael Chapman</t>
  </si>
  <si>
    <t>Crazy in Alabama</t>
  </si>
  <si>
    <t>Antonio Banderas</t>
  </si>
  <si>
    <t>Funny Games</t>
  </si>
  <si>
    <t>Listening</t>
  </si>
  <si>
    <t>Khalil Sullins</t>
  </si>
  <si>
    <t>Felicia's Journey</t>
  </si>
  <si>
    <t>Metropolis</t>
  </si>
  <si>
    <t>Fritz Lang</t>
  </si>
  <si>
    <t>District B13</t>
  </si>
  <si>
    <t>Things to Do in Denver When You're Dead</t>
  </si>
  <si>
    <t>The Assassin</t>
  </si>
  <si>
    <t>Hsiao-Hsien Hou</t>
  </si>
  <si>
    <t>Buffalo Soldiers</t>
  </si>
  <si>
    <t>The Return</t>
  </si>
  <si>
    <t>Andrey Zvyagintsev</t>
  </si>
  <si>
    <t>Ong-bak 2</t>
  </si>
  <si>
    <t>Tony Jaa</t>
  </si>
  <si>
    <t>Thai</t>
  </si>
  <si>
    <t>Centurion</t>
  </si>
  <si>
    <t>Silent Trigger</t>
  </si>
  <si>
    <t>The Midnight Meat Train</t>
  </si>
  <si>
    <t>Ryûhei Kitamura</t>
  </si>
  <si>
    <t>Winnie Mandela</t>
  </si>
  <si>
    <t>Darrell Roodt</t>
  </si>
  <si>
    <t>The Son of No One</t>
  </si>
  <si>
    <t>Dito Montiel</t>
  </si>
  <si>
    <t>All the Queen's Men</t>
  </si>
  <si>
    <t>Stefan Ruzowitzky</t>
  </si>
  <si>
    <t>The Good Night</t>
  </si>
  <si>
    <t>Jake Paltrow</t>
  </si>
  <si>
    <t>Bathory: Countess of Blood</t>
  </si>
  <si>
    <t>Juraj Jakubisko</t>
  </si>
  <si>
    <t>Khumba</t>
  </si>
  <si>
    <t>Anthony Silverston</t>
  </si>
  <si>
    <t>Automata</t>
  </si>
  <si>
    <t>Gabe Ibáñez</t>
  </si>
  <si>
    <t>Dungeons &amp; Dragons: Wrath of the Dragon God</t>
  </si>
  <si>
    <t>Gerry Lively</t>
  </si>
  <si>
    <t>Chiamatemi Francesco - Il Papa della gente</t>
  </si>
  <si>
    <t>Daniele Luchetti</t>
  </si>
  <si>
    <t>Shinjuku Incident</t>
  </si>
  <si>
    <t>Tung-Shing Yee</t>
  </si>
  <si>
    <t>Pandaemonium</t>
  </si>
  <si>
    <t>Julien Temple</t>
  </si>
  <si>
    <t>Groundhog Day</t>
  </si>
  <si>
    <t>Magic Mike XXL</t>
  </si>
  <si>
    <t>Gregory Jacobs</t>
  </si>
  <si>
    <t>Romeo + Juliet</t>
  </si>
  <si>
    <t>Sarah's Key</t>
  </si>
  <si>
    <t>Gilles Paquet-Brenner</t>
  </si>
  <si>
    <t>Freedom</t>
  </si>
  <si>
    <t>Peter Cousens</t>
  </si>
  <si>
    <t>Unforgiven</t>
  </si>
  <si>
    <t>Manderlay</t>
  </si>
  <si>
    <t>Lars Von Trier</t>
  </si>
  <si>
    <t>Slumdog Millionaire</t>
  </si>
  <si>
    <t>Fatal Attraction</t>
  </si>
  <si>
    <t>Pretty Woman</t>
  </si>
  <si>
    <t>Towering Inferno</t>
  </si>
  <si>
    <t>John Blanchard</t>
  </si>
  <si>
    <t>Crocodile Dundee II</t>
  </si>
  <si>
    <t>John Cornell</t>
  </si>
  <si>
    <t>Broken Horses</t>
  </si>
  <si>
    <t>Vidhu Vinod Chopra</t>
  </si>
  <si>
    <t>Born on the Fourth of July</t>
  </si>
  <si>
    <t>Cool Runnings</t>
  </si>
  <si>
    <t>My Bloody Valentine</t>
  </si>
  <si>
    <t>Stomp the Yard</t>
  </si>
  <si>
    <t>The Spy Who Loved Me</t>
  </si>
  <si>
    <t>Urban Legend</t>
  </si>
  <si>
    <t>Jamie Blanks</t>
  </si>
  <si>
    <t>Good Deeds</t>
  </si>
  <si>
    <t>White Fang</t>
  </si>
  <si>
    <t>Randal Kleiser</t>
  </si>
  <si>
    <t>Superstar</t>
  </si>
  <si>
    <t>The Iron Lady</t>
  </si>
  <si>
    <t>Jonah: A VeggieTales Movie</t>
  </si>
  <si>
    <t>Poetic Justice</t>
  </si>
  <si>
    <t>All About the Benjamins</t>
  </si>
  <si>
    <t>Vampire in Brooklyn</t>
  </si>
  <si>
    <t>Exorcist II: The Heretic</t>
  </si>
  <si>
    <t>An American Haunting</t>
  </si>
  <si>
    <t>My Boss's Daughter</t>
  </si>
  <si>
    <t>A Perfect Getaway</t>
  </si>
  <si>
    <t>Our Family Wedding</t>
  </si>
  <si>
    <t>Rick Famuyiwa</t>
  </si>
  <si>
    <t>Dead Man on Campus</t>
  </si>
  <si>
    <t>Alan Cohn</t>
  </si>
  <si>
    <t>Tea with Mussolini</t>
  </si>
  <si>
    <t>Franco Zeffirelli</t>
  </si>
  <si>
    <t>Thinner</t>
  </si>
  <si>
    <t>Tom Holland</t>
  </si>
  <si>
    <t>New York, New York</t>
  </si>
  <si>
    <t>Crooklyn</t>
  </si>
  <si>
    <t>I Think I Love My Wife</t>
  </si>
  <si>
    <t>Jason X</t>
  </si>
  <si>
    <t>James Isaac</t>
  </si>
  <si>
    <t>Bobby</t>
  </si>
  <si>
    <t>Emilio Estevez</t>
  </si>
  <si>
    <t>Head Over Heels</t>
  </si>
  <si>
    <t>Fun Size</t>
  </si>
  <si>
    <t>Josh Schwartz</t>
  </si>
  <si>
    <t>The Diving Bell and the Butterfly</t>
  </si>
  <si>
    <t>Julian Schnabel</t>
  </si>
  <si>
    <t>Little Children</t>
  </si>
  <si>
    <t>Todd Field</t>
  </si>
  <si>
    <t>Gossip</t>
  </si>
  <si>
    <t>Davis Guggenheim</t>
  </si>
  <si>
    <t>A Walk on the Moon</t>
  </si>
  <si>
    <t>Catch a Fire</t>
  </si>
  <si>
    <t>Soul Survivors</t>
  </si>
  <si>
    <t>Stephen Carpenter</t>
  </si>
  <si>
    <t>Jefferson in Paris</t>
  </si>
  <si>
    <t>Easy Virtue</t>
  </si>
  <si>
    <t>Caravans</t>
  </si>
  <si>
    <t>James Fargo</t>
  </si>
  <si>
    <t>Mr. Turner</t>
  </si>
  <si>
    <t>Wild Grass</t>
  </si>
  <si>
    <t>Alain Resnais</t>
  </si>
  <si>
    <t>Amen.</t>
  </si>
  <si>
    <t>Reign of Assassins</t>
  </si>
  <si>
    <t>Chao-Bin Su</t>
  </si>
  <si>
    <t>The Lucky Ones</t>
  </si>
  <si>
    <t>Margaret</t>
  </si>
  <si>
    <t>Kenneth Lonergan</t>
  </si>
  <si>
    <t>Stan Helsing</t>
  </si>
  <si>
    <t>Bo Zenga</t>
  </si>
  <si>
    <t>Flipped</t>
  </si>
  <si>
    <t>Brokeback Mountain</t>
  </si>
  <si>
    <t>Clueless</t>
  </si>
  <si>
    <t>Far from Heaven</t>
  </si>
  <si>
    <t>Hot Tub Time Machine 2</t>
  </si>
  <si>
    <t>Quills</t>
  </si>
  <si>
    <t>Seven Psychopaths</t>
  </si>
  <si>
    <t>The Caveman's Valentine</t>
  </si>
  <si>
    <t>Downfall</t>
  </si>
  <si>
    <t>The Sea Inside</t>
  </si>
  <si>
    <t>Under the Skin</t>
  </si>
  <si>
    <t>Good Morning, Vietnam</t>
  </si>
  <si>
    <t>The Last Godfather</t>
  </si>
  <si>
    <t>Justin Bieber: Never Say Never</t>
  </si>
  <si>
    <t>Black Swan</t>
  </si>
  <si>
    <t>The Godfather: Part II</t>
  </si>
  <si>
    <t>Save the Last Dance</t>
  </si>
  <si>
    <t>A Nightmare on Elm Street 4: The Dream Master</t>
  </si>
  <si>
    <t>Miracles from Heaven</t>
  </si>
  <si>
    <t>Dude, Where's My Car?</t>
  </si>
  <si>
    <t>Danny Leiner</t>
  </si>
  <si>
    <t>Young Guns</t>
  </si>
  <si>
    <t>Christopher Cain</t>
  </si>
  <si>
    <t>St. Vincent</t>
  </si>
  <si>
    <t>Theodore Melfi</t>
  </si>
  <si>
    <t>About Last Night</t>
  </si>
  <si>
    <t>10 Things I Hate About You</t>
  </si>
  <si>
    <t>The New Guy</t>
  </si>
  <si>
    <t>Ed Decter</t>
  </si>
  <si>
    <t>Loaded Weapon 1</t>
  </si>
  <si>
    <t>Gene Quintano</t>
  </si>
  <si>
    <t>The Shallows</t>
  </si>
  <si>
    <t>The Butterfly Effect</t>
  </si>
  <si>
    <t>Eric Bress</t>
  </si>
  <si>
    <t>Snow Day</t>
  </si>
  <si>
    <t>This Christmas</t>
  </si>
  <si>
    <t>Preston A. Whitmore Ii</t>
  </si>
  <si>
    <t>Baby Geniuses</t>
  </si>
  <si>
    <t>The Big Hit</t>
  </si>
  <si>
    <t>Kirk Wong</t>
  </si>
  <si>
    <t>Harriet the Spy</t>
  </si>
  <si>
    <t>Bronwen Hughes</t>
  </si>
  <si>
    <t>Child's Play 2</t>
  </si>
  <si>
    <t>John Lafia</t>
  </si>
  <si>
    <t>No Good Deed</t>
  </si>
  <si>
    <t>Sam Miller</t>
  </si>
  <si>
    <t>The Mist</t>
  </si>
  <si>
    <t>Ex Machina</t>
  </si>
  <si>
    <t>Alex Garland</t>
  </si>
  <si>
    <t>Being John Malkovich</t>
  </si>
  <si>
    <t>Two Can Play That Game</t>
  </si>
  <si>
    <t>Mark Brown</t>
  </si>
  <si>
    <t>Earth to Echo</t>
  </si>
  <si>
    <t>Crazy/Beautiful</t>
  </si>
  <si>
    <t>Letters from Iwo Jima</t>
  </si>
  <si>
    <t>The Astronaut Farmer</t>
  </si>
  <si>
    <t>Michael Polish</t>
  </si>
  <si>
    <t>Woo</t>
  </si>
  <si>
    <t>Daisy Von Scherler Mayer</t>
  </si>
  <si>
    <t>Room</t>
  </si>
  <si>
    <t>Lenny Abrahamson</t>
  </si>
  <si>
    <t>Dirty Work</t>
  </si>
  <si>
    <t>Bob Saget</t>
  </si>
  <si>
    <t>Serial Mom</t>
  </si>
  <si>
    <t>John Waters</t>
  </si>
  <si>
    <t>Dick</t>
  </si>
  <si>
    <t>Del 1 - Män som hatar kvinnor</t>
  </si>
  <si>
    <t>Light It Up</t>
  </si>
  <si>
    <t>Craig Bolotin</t>
  </si>
  <si>
    <t>54</t>
  </si>
  <si>
    <t>Mark Christopher</t>
  </si>
  <si>
    <t>Bubble Boy</t>
  </si>
  <si>
    <t>Blair Hayes</t>
  </si>
  <si>
    <t>Birthday Girl</t>
  </si>
  <si>
    <t>Jez Butterworth</t>
  </si>
  <si>
    <t>21 &amp; Over</t>
  </si>
  <si>
    <t>Paris, je t'aime</t>
  </si>
  <si>
    <t>Olivier Assayas</t>
  </si>
  <si>
    <t>Resurrecting the Champ</t>
  </si>
  <si>
    <t>Admission</t>
  </si>
  <si>
    <t>The Widow of Saint-Pierre</t>
  </si>
  <si>
    <t>Patrice Leconte</t>
  </si>
  <si>
    <t>Chloe</t>
  </si>
  <si>
    <t>Faithful</t>
  </si>
  <si>
    <t>Paul Mazursky</t>
  </si>
  <si>
    <t>Find Me Guilty</t>
  </si>
  <si>
    <t>The Perks of Being a Wallflower</t>
  </si>
  <si>
    <t>Stephen Chbosky</t>
  </si>
  <si>
    <t>Excessive Force</t>
  </si>
  <si>
    <t>Jon Hess</t>
  </si>
  <si>
    <t>Infamous</t>
  </si>
  <si>
    <t>The Claim</t>
  </si>
  <si>
    <t>The Vatican Tapes</t>
  </si>
  <si>
    <t>Attack the Block</t>
  </si>
  <si>
    <t>Joe Cornish</t>
  </si>
  <si>
    <t>In the Land of Blood and Honey</t>
  </si>
  <si>
    <t>Bosnian</t>
  </si>
  <si>
    <t>The Call</t>
  </si>
  <si>
    <t>Operation Chromite</t>
  </si>
  <si>
    <t>John H. Lee</t>
  </si>
  <si>
    <t>The Crocodile Hunter: Collision Course</t>
  </si>
  <si>
    <t>John Stainton</t>
  </si>
  <si>
    <t>I Love You Phillip Morris</t>
  </si>
  <si>
    <t>Antwone Fisher</t>
  </si>
  <si>
    <t>The Emperor's Club</t>
  </si>
  <si>
    <t>True Romance</t>
  </si>
  <si>
    <t>Womb</t>
  </si>
  <si>
    <t>Benedek Fliegauf</t>
  </si>
  <si>
    <t>Glengarry Glen Ross</t>
  </si>
  <si>
    <t>The Killer Inside Me</t>
  </si>
  <si>
    <t>Cat People</t>
  </si>
  <si>
    <t>Paul Schrader</t>
  </si>
  <si>
    <t>Sorority Row</t>
  </si>
  <si>
    <t>Stewart Hendler</t>
  </si>
  <si>
    <t>The Prisoner of Zenda</t>
  </si>
  <si>
    <t>John Cromwell</t>
  </si>
  <si>
    <t>Lars and the Real Girl</t>
  </si>
  <si>
    <t>The Boy in the Striped Pajamas</t>
  </si>
  <si>
    <t>Mark Herman</t>
  </si>
  <si>
    <t>Dancer in the Dark</t>
  </si>
  <si>
    <t>Oscar and Lucinda</t>
  </si>
  <si>
    <t>The Funeral</t>
  </si>
  <si>
    <t>Abel Ferrara</t>
  </si>
  <si>
    <t>Solitary Man</t>
  </si>
  <si>
    <t>Machete</t>
  </si>
  <si>
    <t>Ethan Maniquis</t>
  </si>
  <si>
    <t>Casino Jack</t>
  </si>
  <si>
    <t>George Hickenlooper</t>
  </si>
  <si>
    <t>The Land Before Time</t>
  </si>
  <si>
    <t>Tae Guk Gi: The Brotherhood of War</t>
  </si>
  <si>
    <t>Je-Kyu Kang</t>
  </si>
  <si>
    <t>The Perfect Game</t>
  </si>
  <si>
    <t>William Dear</t>
  </si>
  <si>
    <t>The Exorcist</t>
  </si>
  <si>
    <t>Jaws</t>
  </si>
  <si>
    <t>American Pie</t>
  </si>
  <si>
    <t>Ernest &amp; Celestine</t>
  </si>
  <si>
    <t>Stéphane Aubier</t>
  </si>
  <si>
    <t>The Golden Child</t>
  </si>
  <si>
    <t>Think Like a Man</t>
  </si>
  <si>
    <t>Barbershop</t>
  </si>
  <si>
    <t>Star Trek II: The Wrath of Khan</t>
  </si>
  <si>
    <t>Ace Ventura: Pet Detective</t>
  </si>
  <si>
    <t>WarGames</t>
  </si>
  <si>
    <t>John Badham</t>
  </si>
  <si>
    <t>Witness</t>
  </si>
  <si>
    <t>Act of Valor</t>
  </si>
  <si>
    <t>Mike Mccoy</t>
  </si>
  <si>
    <t>Step Up</t>
  </si>
  <si>
    <t>Beavis and Butt-Head Do America</t>
  </si>
  <si>
    <t>Mike Judge</t>
  </si>
  <si>
    <t>Jackie Brown</t>
  </si>
  <si>
    <t>Harold &amp; Kumar Escape from Guantanamo Bay</t>
  </si>
  <si>
    <t>Chronicle</t>
  </si>
  <si>
    <t>Yentl</t>
  </si>
  <si>
    <t>Time Bandits</t>
  </si>
  <si>
    <t>Crossroads</t>
  </si>
  <si>
    <t>Tamra Davis</t>
  </si>
  <si>
    <t>Project X</t>
  </si>
  <si>
    <t>Nima Nourizadeh</t>
  </si>
  <si>
    <t>Patton</t>
  </si>
  <si>
    <t>Franklin J. Schaffner</t>
  </si>
  <si>
    <t>One Hour Photo</t>
  </si>
  <si>
    <t>Quarantine</t>
  </si>
  <si>
    <t>John Erick Dowdle</t>
  </si>
  <si>
    <t>The Eye</t>
  </si>
  <si>
    <t>David Moreau</t>
  </si>
  <si>
    <t>Johnson Family Vacation</t>
  </si>
  <si>
    <t>Christopher Erskin</t>
  </si>
  <si>
    <t>How High</t>
  </si>
  <si>
    <t>The Muppet Christmas Carol</t>
  </si>
  <si>
    <t>Brian Henson</t>
  </si>
  <si>
    <t>Frida</t>
  </si>
  <si>
    <t>Katy Perry: Part of Me</t>
  </si>
  <si>
    <t>Dan Cutforth</t>
  </si>
  <si>
    <t>The Fault in Our Stars</t>
  </si>
  <si>
    <t>Josh Boone</t>
  </si>
  <si>
    <t>Rounders</t>
  </si>
  <si>
    <t>Top Five</t>
  </si>
  <si>
    <t>Prophecy</t>
  </si>
  <si>
    <t>Stir of Echoes</t>
  </si>
  <si>
    <t>Philomena</t>
  </si>
  <si>
    <t>The Upside of Anger</t>
  </si>
  <si>
    <t>The Boys from Brazil</t>
  </si>
  <si>
    <t>Aquamarine</t>
  </si>
  <si>
    <t>Paper Towns</t>
  </si>
  <si>
    <t>Jake Schreier</t>
  </si>
  <si>
    <t>My Baby's Daddy</t>
  </si>
  <si>
    <t>Cheryl Dunye</t>
  </si>
  <si>
    <t>Nebraska</t>
  </si>
  <si>
    <t>Tales from the Crypt: Demon Knight</t>
  </si>
  <si>
    <t>Ernest R. Dickerson</t>
  </si>
  <si>
    <t>Max Keeble's Big Move</t>
  </si>
  <si>
    <t>Young Adult</t>
  </si>
  <si>
    <t>Crank</t>
  </si>
  <si>
    <t>How to Be a Player</t>
  </si>
  <si>
    <t>Lionel C. Martin</t>
  </si>
  <si>
    <t>Living Out Loud</t>
  </si>
  <si>
    <t>Just Wright</t>
  </si>
  <si>
    <t>Rachel Getting Married</t>
  </si>
  <si>
    <t>The Postman Always Rings Twice</t>
  </si>
  <si>
    <t>Girl with a Pearl Earring</t>
  </si>
  <si>
    <t>Das Boot</t>
  </si>
  <si>
    <t>Sorority Boys</t>
  </si>
  <si>
    <t>Wallace Wolodarsky</t>
  </si>
  <si>
    <t>About Time</t>
  </si>
  <si>
    <t>House of Flying Daggers</t>
  </si>
  <si>
    <t>Arbitrage</t>
  </si>
  <si>
    <t>Nicholas Jarecki</t>
  </si>
  <si>
    <t>Project Almanac</t>
  </si>
  <si>
    <t>Dean Israelite</t>
  </si>
  <si>
    <t>Cadillac Records</t>
  </si>
  <si>
    <t>Darnell Martin</t>
  </si>
  <si>
    <t>Screwed</t>
  </si>
  <si>
    <t>Scott Alexander</t>
  </si>
  <si>
    <t>Fortress</t>
  </si>
  <si>
    <t>Stuart Gordon</t>
  </si>
  <si>
    <t>For Your Consideration</t>
  </si>
  <si>
    <t>Christopher Guest</t>
  </si>
  <si>
    <t>Celebrity</t>
  </si>
  <si>
    <t>Running with Scissors</t>
  </si>
  <si>
    <t>From Justin to Kelly</t>
  </si>
  <si>
    <t>Girl 6</t>
  </si>
  <si>
    <t>In the Cut</t>
  </si>
  <si>
    <t>Jane Campion</t>
  </si>
  <si>
    <t>Two Lovers</t>
  </si>
  <si>
    <t>Last Orders</t>
  </si>
  <si>
    <t>Fred Schepisi</t>
  </si>
  <si>
    <t>The Pursuit of D.B. Cooper</t>
  </si>
  <si>
    <t>Ravenous</t>
  </si>
  <si>
    <t>Antonia Bird</t>
  </si>
  <si>
    <t>Charlie Bartlett</t>
  </si>
  <si>
    <t>Jon Poll</t>
  </si>
  <si>
    <t>The Great Beauty</t>
  </si>
  <si>
    <t>Paolo Sorrentino</t>
  </si>
  <si>
    <t>The Dangerous Lives of Altar Boys</t>
  </si>
  <si>
    <t>Peter Care</t>
  </si>
  <si>
    <t>Stoker</t>
  </si>
  <si>
    <t>Chan-Wook Park</t>
  </si>
  <si>
    <t>2046</t>
  </si>
  <si>
    <t>Married Life</t>
  </si>
  <si>
    <t>Ira Sachs</t>
  </si>
  <si>
    <t>Duma</t>
  </si>
  <si>
    <t>Carroll Ballard</t>
  </si>
  <si>
    <t>Ondine</t>
  </si>
  <si>
    <t>Brother</t>
  </si>
  <si>
    <t>Takeshi Kitano</t>
  </si>
  <si>
    <t>Welcome to Collinwood</t>
  </si>
  <si>
    <t>Critical Care</t>
  </si>
  <si>
    <t>The Life Before Her Eyes</t>
  </si>
  <si>
    <t>Darling Companion</t>
  </si>
  <si>
    <t>Trade</t>
  </si>
  <si>
    <t>Marco Kreuzpaintner</t>
  </si>
  <si>
    <t>Fateless</t>
  </si>
  <si>
    <t>Lajos Koltai</t>
  </si>
  <si>
    <t>Hungarian</t>
  </si>
  <si>
    <t>Breakfast of Champions</t>
  </si>
  <si>
    <t>Alan Rudolph</t>
  </si>
  <si>
    <t>A Woman, a Gun and a Noodle Shop</t>
  </si>
  <si>
    <t>Cypher</t>
  </si>
  <si>
    <t>City of Life and Death</t>
  </si>
  <si>
    <t>Chuan Lu</t>
  </si>
  <si>
    <t>Legend of Kung Fu Rabbit</t>
  </si>
  <si>
    <t>Lijun Sun</t>
  </si>
  <si>
    <t>Space Battleship Yamato</t>
  </si>
  <si>
    <t>Takashi Yamazaki</t>
  </si>
  <si>
    <t>5 Days of War</t>
  </si>
  <si>
    <t>Triangle</t>
  </si>
  <si>
    <t>Christopher Smith</t>
  </si>
  <si>
    <t>10 Days in a Madhouse</t>
  </si>
  <si>
    <t>Timothy Hines</t>
  </si>
  <si>
    <t>Heaven Is for Real</t>
  </si>
  <si>
    <t>Snatch</t>
  </si>
  <si>
    <t>Dancin' It's On</t>
  </si>
  <si>
    <t>David Winters</t>
  </si>
  <si>
    <t>Pet Sematary</t>
  </si>
  <si>
    <t>Madadayo</t>
  </si>
  <si>
    <t>Akira Kurosawa</t>
  </si>
  <si>
    <t>The Cry of the Owl</t>
  </si>
  <si>
    <t>Jamie Thraves</t>
  </si>
  <si>
    <t>A Tale of Three Cities</t>
  </si>
  <si>
    <t>Mabel Cheung</t>
  </si>
  <si>
    <t>Gremlins</t>
  </si>
  <si>
    <t>Star Wars: Episode IV - A New Hope</t>
  </si>
  <si>
    <t>Dirty Grandpa</t>
  </si>
  <si>
    <t>Dan Mazer</t>
  </si>
  <si>
    <t>Doctor Zhivago</t>
  </si>
  <si>
    <t>Trash</t>
  </si>
  <si>
    <t>Portuguese</t>
  </si>
  <si>
    <t>High School Musical 3: Senior Year</t>
  </si>
  <si>
    <t>The Fighter</t>
  </si>
  <si>
    <t>Jackass Number Two</t>
  </si>
  <si>
    <t>My Cousin Vinny</t>
  </si>
  <si>
    <t>If I Stay</t>
  </si>
  <si>
    <t>R.J. Cutler</t>
  </si>
  <si>
    <t>Drive Hard</t>
  </si>
  <si>
    <t>Major League</t>
  </si>
  <si>
    <t>David S. Ward</t>
  </si>
  <si>
    <t>St. Trinian's</t>
  </si>
  <si>
    <t>Phone Booth</t>
  </si>
  <si>
    <t>A Walk to Remember</t>
  </si>
  <si>
    <t>Dead Man Walking</t>
  </si>
  <si>
    <t>Cruel Intentions</t>
  </si>
  <si>
    <t>Saw VI</t>
  </si>
  <si>
    <t>History of the World: Part I</t>
  </si>
  <si>
    <t>The Secret Life of Bees</t>
  </si>
  <si>
    <t>Corky Romano</t>
  </si>
  <si>
    <t>Rob Pritts</t>
  </si>
  <si>
    <t>Raising Cain</t>
  </si>
  <si>
    <t>F.I.S.T.</t>
  </si>
  <si>
    <t>Invaders from Mars</t>
  </si>
  <si>
    <t>Brooklyn</t>
  </si>
  <si>
    <t>John Crowley</t>
  </si>
  <si>
    <t>Barry Lyndon</t>
  </si>
  <si>
    <t>Out Cold</t>
  </si>
  <si>
    <t>Brendan Malloy</t>
  </si>
  <si>
    <t>The Ladies Man</t>
  </si>
  <si>
    <t>Quartet</t>
  </si>
  <si>
    <t>Dustin Hoffman</t>
  </si>
  <si>
    <t>Tomcats</t>
  </si>
  <si>
    <t>Gregory Poirier</t>
  </si>
  <si>
    <t>Frailty</t>
  </si>
  <si>
    <t>Woman in Gold</t>
  </si>
  <si>
    <t>Simon Curtis</t>
  </si>
  <si>
    <t>Kinsey</t>
  </si>
  <si>
    <t>Army of Darkness</t>
  </si>
  <si>
    <t>Slackers</t>
  </si>
  <si>
    <t>Dewey Nicks</t>
  </si>
  <si>
    <t>What's Eating Gilbert Grape</t>
  </si>
  <si>
    <t>The Visual Bible: The Gospel of John</t>
  </si>
  <si>
    <t>Philip Saville</t>
  </si>
  <si>
    <t>Vera Drake</t>
  </si>
  <si>
    <t>The Guru</t>
  </si>
  <si>
    <t>The Perez Family</t>
  </si>
  <si>
    <t>Inside Llewyn Davis</t>
  </si>
  <si>
    <t>O</t>
  </si>
  <si>
    <t>Tim Blake Nelson</t>
  </si>
  <si>
    <t>Return to the Blue Lagoon</t>
  </si>
  <si>
    <t>William A. Graham</t>
  </si>
  <si>
    <t>The Molly Maguires</t>
  </si>
  <si>
    <t>Martin Ritt</t>
  </si>
  <si>
    <t>Romance &amp; Cigarettes</t>
  </si>
  <si>
    <t>John Turturro</t>
  </si>
  <si>
    <t>Copying Beethoven</t>
  </si>
  <si>
    <t>Agnieszka Holland</t>
  </si>
  <si>
    <t>Brighton Rock</t>
  </si>
  <si>
    <t>Saw V</t>
  </si>
  <si>
    <t>David Hackl</t>
  </si>
  <si>
    <t>Machine Gun McCain</t>
  </si>
  <si>
    <t>Giuliano Montaldo</t>
  </si>
  <si>
    <t>LOL</t>
  </si>
  <si>
    <t>Lisa Azuelos</t>
  </si>
  <si>
    <t>Jindabyne</t>
  </si>
  <si>
    <t>Ray Lawrence</t>
  </si>
  <si>
    <t>Kabhi Alvida Naa Kehna</t>
  </si>
  <si>
    <t>Karan Johar</t>
  </si>
  <si>
    <t>An Ideal Husband</t>
  </si>
  <si>
    <t>The Last Days on Mars</t>
  </si>
  <si>
    <t>Ruairi Robinson</t>
  </si>
  <si>
    <t>Darkness</t>
  </si>
  <si>
    <t>Jaume Balagueró</t>
  </si>
  <si>
    <t>2001: A Space Odyssey</t>
  </si>
  <si>
    <t>E.T. the Extra-Terrestrial</t>
  </si>
  <si>
    <t>In the Land of Women</t>
  </si>
  <si>
    <t>Jon Kasdan</t>
  </si>
  <si>
    <t>The Blue Butterfly</t>
  </si>
  <si>
    <t>Léa Pool</t>
  </si>
  <si>
    <t>There Goes My Baby</t>
  </si>
  <si>
    <t>Floyd Mutrux</t>
  </si>
  <si>
    <t>Housefull</t>
  </si>
  <si>
    <t>Sajid Khan</t>
  </si>
  <si>
    <t>For Greater Glory: The True Story of Cristiada</t>
  </si>
  <si>
    <t>Dean Wright</t>
  </si>
  <si>
    <t>La Famille Bélier</t>
  </si>
  <si>
    <t>Eric Lartigau</t>
  </si>
  <si>
    <t>Good Will Hunting</t>
  </si>
  <si>
    <t>Misconduct</t>
  </si>
  <si>
    <t>Shintaro Shimosawa</t>
  </si>
  <si>
    <t>Saw III</t>
  </si>
  <si>
    <t>Darren Lynn Bousman</t>
  </si>
  <si>
    <t>Stripes</t>
  </si>
  <si>
    <t>Bring It On</t>
  </si>
  <si>
    <t>The Purge: Election Year</t>
  </si>
  <si>
    <t>James Demonaco</t>
  </si>
  <si>
    <t>She's All That</t>
  </si>
  <si>
    <t>Saw IV</t>
  </si>
  <si>
    <t>White Noise</t>
  </si>
  <si>
    <t>Madea's Family Reunion</t>
  </si>
  <si>
    <t>The Color of Money</t>
  </si>
  <si>
    <t>The Longest Day</t>
  </si>
  <si>
    <t>Ken Annakin</t>
  </si>
  <si>
    <t>The Mighty Ducks</t>
  </si>
  <si>
    <t>The Grudge</t>
  </si>
  <si>
    <t>Happy Gilmore</t>
  </si>
  <si>
    <t>Jeepers Creepers</t>
  </si>
  <si>
    <t>Bill &amp; Ted's Excellent Adventure</t>
  </si>
  <si>
    <t>Oliver!</t>
  </si>
  <si>
    <t>Carol Reed</t>
  </si>
  <si>
    <t>The Best Exotic Marigold Hotel</t>
  </si>
  <si>
    <t>Recess: School's Out</t>
  </si>
  <si>
    <t>Chuck Sheetz</t>
  </si>
  <si>
    <t>Mad Max Beyond Thunderdome</t>
  </si>
  <si>
    <t>Commando</t>
  </si>
  <si>
    <t>The Boy</t>
  </si>
  <si>
    <t>Devil</t>
  </si>
  <si>
    <t>Friday After Next</t>
  </si>
  <si>
    <t>Marcus Raboy</t>
  </si>
  <si>
    <t>Insidious: Chapter 3</t>
  </si>
  <si>
    <t>Leigh Whannell</t>
  </si>
  <si>
    <t>The Last Dragon</t>
  </si>
  <si>
    <t>Michael Schultz</t>
  </si>
  <si>
    <t>The Lawnmower Man</t>
  </si>
  <si>
    <t>Nick and Norah's Infinite Playlist</t>
  </si>
  <si>
    <t>Peter Sollett</t>
  </si>
  <si>
    <t>Dogma</t>
  </si>
  <si>
    <t>The Banger Sisters</t>
  </si>
  <si>
    <t>Bob Dolman</t>
  </si>
  <si>
    <t>Twilight Zone: The Movie</t>
  </si>
  <si>
    <t>Road House</t>
  </si>
  <si>
    <t>A Low Down Dirty Shame</t>
  </si>
  <si>
    <t>Swimfan</t>
  </si>
  <si>
    <t>Employee of the Month</t>
  </si>
  <si>
    <t>Greg Coolidge</t>
  </si>
  <si>
    <t>Can't Hardly Wait</t>
  </si>
  <si>
    <t>The Outsiders</t>
  </si>
  <si>
    <t>Pete's Dragon</t>
  </si>
  <si>
    <t>David Lowery</t>
  </si>
  <si>
    <t>The Dead Zone</t>
  </si>
  <si>
    <t>Sinister 2</t>
  </si>
  <si>
    <t>Ciarán Foy</t>
  </si>
  <si>
    <t>Sparkle</t>
  </si>
  <si>
    <t>Salim Akil</t>
  </si>
  <si>
    <t>Valentine</t>
  </si>
  <si>
    <t>The Fourth Kind</t>
  </si>
  <si>
    <t>Olatunde Osunsanmi</t>
  </si>
  <si>
    <t>A Prairie Home Companion</t>
  </si>
  <si>
    <t>Sugar Hill</t>
  </si>
  <si>
    <t>Leon Ichaso</t>
  </si>
  <si>
    <t>Invasion U.S.A.</t>
  </si>
  <si>
    <t>Joseph Zito</t>
  </si>
  <si>
    <t>Roll Bounce</t>
  </si>
  <si>
    <t>Rushmore</t>
  </si>
  <si>
    <t>Skyline</t>
  </si>
  <si>
    <t>The Second Best Exotic Marigold Hotel</t>
  </si>
  <si>
    <t>Kit Kittredge: An American Girl</t>
  </si>
  <si>
    <t>Patricia Rozema</t>
  </si>
  <si>
    <t>The Perfect Man</t>
  </si>
  <si>
    <t>Mo' Better Blues</t>
  </si>
  <si>
    <t>Kung Pow: Enter the Fist</t>
  </si>
  <si>
    <t>Tremors</t>
  </si>
  <si>
    <t>Wrong Turn</t>
  </si>
  <si>
    <t>Rob Schmidt</t>
  </si>
  <si>
    <t>The Long Riders</t>
  </si>
  <si>
    <t>Western</t>
  </si>
  <si>
    <t>The Corruptor</t>
  </si>
  <si>
    <t>Mud</t>
  </si>
  <si>
    <t>Reno 911!: Miami</t>
  </si>
  <si>
    <t>Robert Ben Garant</t>
  </si>
  <si>
    <t>One Direction: This Is Us</t>
  </si>
  <si>
    <t>Morgan Spurlock</t>
  </si>
  <si>
    <t>The Goods: Live Hard, Sell Hard</t>
  </si>
  <si>
    <t>Neal Brennan</t>
  </si>
  <si>
    <t>Hey Arnold! The Movie</t>
  </si>
  <si>
    <t>Tuck Tucker</t>
  </si>
  <si>
    <t>My Week with Marilyn</t>
  </si>
  <si>
    <t>The Matador</t>
  </si>
  <si>
    <t>Love Jones</t>
  </si>
  <si>
    <t>Theodore Witcher</t>
  </si>
  <si>
    <t>The Gift</t>
  </si>
  <si>
    <t>Joel Edgerton</t>
  </si>
  <si>
    <t>End of the Spear</t>
  </si>
  <si>
    <t>Jim Hanon</t>
  </si>
  <si>
    <t>Get Over It</t>
  </si>
  <si>
    <t>Office Space</t>
  </si>
  <si>
    <t>Drop Dead Gorgeous</t>
  </si>
  <si>
    <t>Michael Patrick Jann</t>
  </si>
  <si>
    <t>Big Eyes</t>
  </si>
  <si>
    <t>Very Bad Things</t>
  </si>
  <si>
    <t>Sleepover</t>
  </si>
  <si>
    <t>Body Double</t>
  </si>
  <si>
    <t>MacGruber</t>
  </si>
  <si>
    <t>Jorma Taccone</t>
  </si>
  <si>
    <t>Dirty Pretty Things</t>
  </si>
  <si>
    <t>Movie 43</t>
  </si>
  <si>
    <t>Over Her Dead Body</t>
  </si>
  <si>
    <t>Jeff Lowell</t>
  </si>
  <si>
    <t>Seeking a Friend for the End of the World</t>
  </si>
  <si>
    <t>Lorene Scafaria</t>
  </si>
  <si>
    <t>Cedar Rapids</t>
  </si>
  <si>
    <t>American History X</t>
  </si>
  <si>
    <t>Tony Kaye</t>
  </si>
  <si>
    <t>The Collection</t>
  </si>
  <si>
    <t>Marcus Dunstan</t>
  </si>
  <si>
    <t>Teacher's Pet</t>
  </si>
  <si>
    <t>Timothy Björklund</t>
  </si>
  <si>
    <t>The Red Violin</t>
  </si>
  <si>
    <t>François Girard</t>
  </si>
  <si>
    <t>The Straight Story</t>
  </si>
  <si>
    <t>Deuces Wild</t>
  </si>
  <si>
    <t>Scott Kalvert</t>
  </si>
  <si>
    <t>Bad Words</t>
  </si>
  <si>
    <t>Jason Bateman</t>
  </si>
  <si>
    <t>Run, Fatboy, Run</t>
  </si>
  <si>
    <t>David Schwimmer</t>
  </si>
  <si>
    <t>Heartbeeps</t>
  </si>
  <si>
    <t>Allan Arkush</t>
  </si>
  <si>
    <t>Black or White</t>
  </si>
  <si>
    <t>On the Line</t>
  </si>
  <si>
    <t>Eric Bross</t>
  </si>
  <si>
    <t>Rescue Dawn</t>
  </si>
  <si>
    <t>Danny Collins</t>
  </si>
  <si>
    <t>Dan Fogelman</t>
  </si>
  <si>
    <t>Jeff, Who Lives at Home</t>
  </si>
  <si>
    <t>Jay Duplass</t>
  </si>
  <si>
    <t>I Am Love</t>
  </si>
  <si>
    <t>Luca Guadagnino</t>
  </si>
  <si>
    <t>Atlas Shrugged II: The Strike</t>
  </si>
  <si>
    <t>John Putch</t>
  </si>
  <si>
    <t>Romeo Is Bleeding</t>
  </si>
  <si>
    <t>Peter Medak</t>
  </si>
  <si>
    <t>The Limey</t>
  </si>
  <si>
    <t>Crash</t>
  </si>
  <si>
    <t>The House of Mirth</t>
  </si>
  <si>
    <t>Terence Davies</t>
  </si>
  <si>
    <t>Malone</t>
  </si>
  <si>
    <t>Harley Cokeliss</t>
  </si>
  <si>
    <t>Peaceful Warrior</t>
  </si>
  <si>
    <t>Bucky Larson: Born to Be a Star</t>
  </si>
  <si>
    <t>Tom Brady</t>
  </si>
  <si>
    <t>Bamboozled</t>
  </si>
  <si>
    <t>The Forest</t>
  </si>
  <si>
    <t>Jason Zada</t>
  </si>
  <si>
    <t>Sphinx</t>
  </si>
  <si>
    <t>While We're Young</t>
  </si>
  <si>
    <t>Noah Baumbach</t>
  </si>
  <si>
    <t>A Better Life</t>
  </si>
  <si>
    <t>Spider</t>
  </si>
  <si>
    <t>Gun Shy</t>
  </si>
  <si>
    <t>Eric Blakeney</t>
  </si>
  <si>
    <t>Nicholas Nickleby</t>
  </si>
  <si>
    <t>The Iceman</t>
  </si>
  <si>
    <t>Krrish</t>
  </si>
  <si>
    <t>Rakesh Roshan</t>
  </si>
  <si>
    <t>Cecil B. DeMented</t>
  </si>
  <si>
    <t>Killer Joe</t>
  </si>
  <si>
    <t>The Joneses</t>
  </si>
  <si>
    <t>Derrick Borte</t>
  </si>
  <si>
    <t>Owning Mahowny</t>
  </si>
  <si>
    <t>Richard Kwietniowski</t>
  </si>
  <si>
    <t>The Brothers Solomon</t>
  </si>
  <si>
    <t>Bob Odenkirk</t>
  </si>
  <si>
    <t>My Blueberry Nights</t>
  </si>
  <si>
    <t>Illuminata</t>
  </si>
  <si>
    <t>Swept Away</t>
  </si>
  <si>
    <t>War, Inc.</t>
  </si>
  <si>
    <t>Joshua Seftel</t>
  </si>
  <si>
    <t>Shaolin Soccer</t>
  </si>
  <si>
    <t>The Brown Bunny</t>
  </si>
  <si>
    <t>Vincent Gallo</t>
  </si>
  <si>
    <t>The Swindle</t>
  </si>
  <si>
    <t>Claude Chabrol</t>
  </si>
  <si>
    <t>Rosewater</t>
  </si>
  <si>
    <t>Jon Stewart</t>
  </si>
  <si>
    <t>The Chambermaid on the Titanic</t>
  </si>
  <si>
    <t>Bigas Luna</t>
  </si>
  <si>
    <t>Coriolanus</t>
  </si>
  <si>
    <t>Ralph Fiennes</t>
  </si>
  <si>
    <t>Imaginary Heroes</t>
  </si>
  <si>
    <t>Dan Harris</t>
  </si>
  <si>
    <t>High Heels and Low Lifes</t>
  </si>
  <si>
    <t>Mel Smith</t>
  </si>
  <si>
    <t>World's Greatest Dad</t>
  </si>
  <si>
    <t>Bobcat Goldthwait</t>
  </si>
  <si>
    <t>Severance</t>
  </si>
  <si>
    <t>Edmond</t>
  </si>
  <si>
    <t>Welcome to the Rileys</t>
  </si>
  <si>
    <t>Jake Scott</t>
  </si>
  <si>
    <t>Police Academy: Mission to Moscow</t>
  </si>
  <si>
    <t>Alan Metter</t>
  </si>
  <si>
    <t>Blood Done Sign My Name</t>
  </si>
  <si>
    <t>Cinco de Mayo, La Batalla</t>
  </si>
  <si>
    <t>Rafa Lara</t>
  </si>
  <si>
    <t>Elsa &amp; Fred</t>
  </si>
  <si>
    <t>An Alan Smithee Film: Burn Hollywood Burn</t>
  </si>
  <si>
    <t>Arthur Hiller</t>
  </si>
  <si>
    <t>The Open Road</t>
  </si>
  <si>
    <t>Michael Meredith</t>
  </si>
  <si>
    <t>The Good Guy</t>
  </si>
  <si>
    <t>Julio Depietro</t>
  </si>
  <si>
    <t>Motherhood</t>
  </si>
  <si>
    <t>Katherine Dieckmann</t>
  </si>
  <si>
    <t>Free Style</t>
  </si>
  <si>
    <t>Strangerland</t>
  </si>
  <si>
    <t>Kim Farrant</t>
  </si>
  <si>
    <t>The Janky Promoters</t>
  </si>
  <si>
    <t>Blonde Ambition</t>
  </si>
  <si>
    <t>Scott Marshall</t>
  </si>
  <si>
    <t>The Oxford Murders</t>
  </si>
  <si>
    <t>Álex De La Iglesia</t>
  </si>
  <si>
    <t>The Reef</t>
  </si>
  <si>
    <t>Andrew Traucki</t>
  </si>
  <si>
    <t>Eulogy</t>
  </si>
  <si>
    <t>Michael Clancy</t>
  </si>
  <si>
    <t>White Noise 2: The Light</t>
  </si>
  <si>
    <t>You Got Served: Beat the World</t>
  </si>
  <si>
    <t>Robert Adetuyi</t>
  </si>
  <si>
    <t>Fifty Dead Men Walking</t>
  </si>
  <si>
    <t>Kari Skogland</t>
  </si>
  <si>
    <t>Jungle Shuffle</t>
  </si>
  <si>
    <t>Taedong Park</t>
  </si>
  <si>
    <t>Adam Resurrected</t>
  </si>
  <si>
    <t>Of Horses and Men</t>
  </si>
  <si>
    <t>Benedikt Erlingsson</t>
  </si>
  <si>
    <t>Icelandic</t>
  </si>
  <si>
    <t>It's a Wonderful Afterlife</t>
  </si>
  <si>
    <t>Gurinder Chadha</t>
  </si>
  <si>
    <t>The Devil's Tomb</t>
  </si>
  <si>
    <t>Jason Connery</t>
  </si>
  <si>
    <t>Partition</t>
  </si>
  <si>
    <t>Vic Sarin</t>
  </si>
  <si>
    <t>Good Intentions</t>
  </si>
  <si>
    <t>Jim Issa</t>
  </si>
  <si>
    <t>The Good, the Bad, the Weird</t>
  </si>
  <si>
    <t>Nurse 3D</t>
  </si>
  <si>
    <t>Gunless</t>
  </si>
  <si>
    <t>William Phillips</t>
  </si>
  <si>
    <t>Adventureland</t>
  </si>
  <si>
    <t>The Lost City</t>
  </si>
  <si>
    <t>Andy Garcia</t>
  </si>
  <si>
    <t>Next Friday</t>
  </si>
  <si>
    <t>American Heist</t>
  </si>
  <si>
    <t>Sarik Andreasyan</t>
  </si>
  <si>
    <t>You Only Live Twice</t>
  </si>
  <si>
    <t>Plastic</t>
  </si>
  <si>
    <t>Julian Gilbey</t>
  </si>
  <si>
    <t>Amour</t>
  </si>
  <si>
    <t>Poltergeist III</t>
  </si>
  <si>
    <t>Gary Sherman</t>
  </si>
  <si>
    <t>Re-Kill</t>
  </si>
  <si>
    <t>Valeri Milev</t>
  </si>
  <si>
    <t>It's a Mad, Mad, Mad, Mad World</t>
  </si>
  <si>
    <t>Stanley Kramer</t>
  </si>
  <si>
    <t>Volver</t>
  </si>
  <si>
    <t>Pedro Almodóvar</t>
  </si>
  <si>
    <t>Heavy Metal</t>
  </si>
  <si>
    <t>Gerald Potterton</t>
  </si>
  <si>
    <t>Gentlemen Broncos</t>
  </si>
  <si>
    <t>Richard III</t>
  </si>
  <si>
    <t>Into the Grizzly Maze</t>
  </si>
  <si>
    <t>Kites</t>
  </si>
  <si>
    <t>Anurag Basu</t>
  </si>
  <si>
    <t>Melancholia</t>
  </si>
  <si>
    <t>Red Dog</t>
  </si>
  <si>
    <t>Kriv Stenders</t>
  </si>
  <si>
    <t>Jab Tak Hai Jaan</t>
  </si>
  <si>
    <t>Yash Chopra</t>
  </si>
  <si>
    <t>Alien</t>
  </si>
  <si>
    <t>The Texas Chain Saw Massacre</t>
  </si>
  <si>
    <t>The Runaways</t>
  </si>
  <si>
    <t>Floria Sigismondi</t>
  </si>
  <si>
    <t>Fiddler on the Roof</t>
  </si>
  <si>
    <t>Thunderball</t>
  </si>
  <si>
    <t>Detention</t>
  </si>
  <si>
    <t>Loose Cannons</t>
  </si>
  <si>
    <t>Ferzan Ozpetek</t>
  </si>
  <si>
    <t>Set It Off</t>
  </si>
  <si>
    <t>The Best Man</t>
  </si>
  <si>
    <t>Child's Play</t>
  </si>
  <si>
    <t>Sicko</t>
  </si>
  <si>
    <t>The Purge: Anarchy</t>
  </si>
  <si>
    <t>Down to You</t>
  </si>
  <si>
    <t>Kris Isacsson</t>
  </si>
  <si>
    <t>Harold &amp; Kumar Go to White Castle</t>
  </si>
  <si>
    <t>The Contender</t>
  </si>
  <si>
    <t>Boiler Room</t>
  </si>
  <si>
    <t>Ben Younger</t>
  </si>
  <si>
    <t>Trading Places</t>
  </si>
  <si>
    <t>Black Christmas</t>
  </si>
  <si>
    <t>Breakin' All the Rules</t>
  </si>
  <si>
    <t>Daniel Taplitz</t>
  </si>
  <si>
    <t>Henry V</t>
  </si>
  <si>
    <t>The Savages</t>
  </si>
  <si>
    <t>Tamara Jenkins</t>
  </si>
  <si>
    <t>Chasing Papi</t>
  </si>
  <si>
    <t>Linda Mendoza</t>
  </si>
  <si>
    <t>The Way of the Gun</t>
  </si>
  <si>
    <t>Igby Goes Down</t>
  </si>
  <si>
    <t>PCU</t>
  </si>
  <si>
    <t>Hart Bochner</t>
  </si>
  <si>
    <t>The Ultimate Gift</t>
  </si>
  <si>
    <t>The Ice Pirates</t>
  </si>
  <si>
    <t>Stewart Raffill</t>
  </si>
  <si>
    <t>Gracie</t>
  </si>
  <si>
    <t>Trust the Man</t>
  </si>
  <si>
    <t>Hamlet 2</t>
  </si>
  <si>
    <t>Velvet Goldmine</t>
  </si>
  <si>
    <t>The Wailing</t>
  </si>
  <si>
    <t>Hong-Jin Na</t>
  </si>
  <si>
    <t>Glee: The 3D Concert Movie</t>
  </si>
  <si>
    <t>The Legend of Suriyothai</t>
  </si>
  <si>
    <t>Chatrichalerm Yukol</t>
  </si>
  <si>
    <t>Two Evil Eyes</t>
  </si>
  <si>
    <t>Dario Argento</t>
  </si>
  <si>
    <t>Barbecue</t>
  </si>
  <si>
    <t>Eric Lavaine</t>
  </si>
  <si>
    <t>All or Nothing</t>
  </si>
  <si>
    <t>Princess Kaiulani</t>
  </si>
  <si>
    <t>Marc Forby</t>
  </si>
  <si>
    <t>Opal Dream</t>
  </si>
  <si>
    <t>Flame and Citron</t>
  </si>
  <si>
    <t>Ole Christian Madsen</t>
  </si>
  <si>
    <t>Danish</t>
  </si>
  <si>
    <t>Undiscovered</t>
  </si>
  <si>
    <t>Meiert Avis</t>
  </si>
  <si>
    <t>Red Riding: In the Year of Our Lord 1974</t>
  </si>
  <si>
    <t>The Girl on the Train</t>
  </si>
  <si>
    <t>André Téchiné</t>
  </si>
  <si>
    <t>Veronika Decides to Die</t>
  </si>
  <si>
    <t>Emily Young</t>
  </si>
  <si>
    <t>Crocodile Dundee</t>
  </si>
  <si>
    <t>Peter Faiman</t>
  </si>
  <si>
    <t>Ultramarines: A Warhammer 40,000 Movie</t>
  </si>
  <si>
    <t>Martyn Pick</t>
  </si>
  <si>
    <t>The I Inside</t>
  </si>
  <si>
    <t>Roland Suso Richter</t>
  </si>
  <si>
    <t>Beneath Hill 60</t>
  </si>
  <si>
    <t>Jeremy Sims</t>
  </si>
  <si>
    <t>Polisse</t>
  </si>
  <si>
    <t>Maïwenn</t>
  </si>
  <si>
    <t>Awake</t>
  </si>
  <si>
    <t>Joby Harold</t>
  </si>
  <si>
    <t>Skin Trade</t>
  </si>
  <si>
    <t>Ekachai Uekrongtham</t>
  </si>
  <si>
    <t>The Lost Boys</t>
  </si>
  <si>
    <t>Crazy Heart</t>
  </si>
  <si>
    <t>The Rose</t>
  </si>
  <si>
    <t>Mark Rydell</t>
  </si>
  <si>
    <t>Baggage Claim</t>
  </si>
  <si>
    <t>David E. Talbert</t>
  </si>
  <si>
    <t>Barbarella</t>
  </si>
  <si>
    <t>Roger Vadim</t>
  </si>
  <si>
    <t>Shipwrecked</t>
  </si>
  <si>
    <t>Nils Gaup</t>
  </si>
  <si>
    <t>Election</t>
  </si>
  <si>
    <t>The Namesake</t>
  </si>
  <si>
    <t>The DUFF</t>
  </si>
  <si>
    <t>Ari Sandel</t>
  </si>
  <si>
    <t>Glitter</t>
  </si>
  <si>
    <t>Vondie Curtis-Hall</t>
  </si>
  <si>
    <t>The Haunting in Connecticut 2: Ghosts of Georgia</t>
  </si>
  <si>
    <t>Tom Elkins</t>
  </si>
  <si>
    <t>Silmido</t>
  </si>
  <si>
    <t>Woo-Suk Kang</t>
  </si>
  <si>
    <t>Bright Star</t>
  </si>
  <si>
    <t>My Name Is Khan</t>
  </si>
  <si>
    <t>All Is Lost</t>
  </si>
  <si>
    <t>Limbo</t>
  </si>
  <si>
    <t>John Sayles</t>
  </si>
  <si>
    <t>Namastey London</t>
  </si>
  <si>
    <t>Vipul Amrutlal Shah</t>
  </si>
  <si>
    <t>The Wind That Shakes the Barley</t>
  </si>
  <si>
    <t>Ken Loach</t>
  </si>
  <si>
    <t>Yeh Jawaani Hai Deewani</t>
  </si>
  <si>
    <t>Ayan Mukerji</t>
  </si>
  <si>
    <t>Quo Vadis</t>
  </si>
  <si>
    <t>Mervyn Leroy</t>
  </si>
  <si>
    <t>Repo! The Genetic Opera</t>
  </si>
  <si>
    <t>Valley of the Wolves: Iraq</t>
  </si>
  <si>
    <t>Serdar Akar</t>
  </si>
  <si>
    <t>Arabic</t>
  </si>
  <si>
    <t>Pulp Fiction</t>
  </si>
  <si>
    <t>The Muppet Movie</t>
  </si>
  <si>
    <t>James Frawley</t>
  </si>
  <si>
    <t>Nightcrawler</t>
  </si>
  <si>
    <t>Dan Gilroy</t>
  </si>
  <si>
    <t>Club Dread</t>
  </si>
  <si>
    <t>The Sound of Music</t>
  </si>
  <si>
    <t>Splash</t>
  </si>
  <si>
    <t>Little Miss Sunshine</t>
  </si>
  <si>
    <t>Jonathan Dayton</t>
  </si>
  <si>
    <t>Stand by Me</t>
  </si>
  <si>
    <t>28 Days Later...</t>
  </si>
  <si>
    <t>You Got Served</t>
  </si>
  <si>
    <t>Chris Stokes</t>
  </si>
  <si>
    <t>Escape from Alcatraz</t>
  </si>
  <si>
    <t>Don Siegel</t>
  </si>
  <si>
    <t>Brown Sugar</t>
  </si>
  <si>
    <t>A Thin Line Between Love and Hate</t>
  </si>
  <si>
    <t>Martin Lawrence</t>
  </si>
  <si>
    <t>50/50</t>
  </si>
  <si>
    <t>Shutter</t>
  </si>
  <si>
    <t>Masayuki Ochiai</t>
  </si>
  <si>
    <t>That Awkward Moment</t>
  </si>
  <si>
    <t>Tom Gormican</t>
  </si>
  <si>
    <t>Modern Problems</t>
  </si>
  <si>
    <t>Ken Shapiro</t>
  </si>
  <si>
    <t>Kicks</t>
  </si>
  <si>
    <t>Justin Tipping</t>
  </si>
  <si>
    <t>Much Ado About Nothing</t>
  </si>
  <si>
    <t>On Her Majesty's Secret Service</t>
  </si>
  <si>
    <t>Peter R. Hunt</t>
  </si>
  <si>
    <t>New Nightmare</t>
  </si>
  <si>
    <t>Drive Me Crazy</t>
  </si>
  <si>
    <t>Akeelah and the Bee</t>
  </si>
  <si>
    <t>Doug Atchison</t>
  </si>
  <si>
    <t>Half Baked</t>
  </si>
  <si>
    <t>New in Town</t>
  </si>
  <si>
    <t>Jonas Elmer</t>
  </si>
  <si>
    <t>American Psycho</t>
  </si>
  <si>
    <t>Mary Harron</t>
  </si>
  <si>
    <t>The Good Girl</t>
  </si>
  <si>
    <t>Bon Cop Bad Cop</t>
  </si>
  <si>
    <t>Erik Canuel</t>
  </si>
  <si>
    <t>The Boondock Saints II: All Saints Day</t>
  </si>
  <si>
    <t>Troy Duffy</t>
  </si>
  <si>
    <t>The City of Your Final Destination</t>
  </si>
  <si>
    <t>Enough Said</t>
  </si>
  <si>
    <t>Nicole Holofcener</t>
  </si>
  <si>
    <t>Easy A</t>
  </si>
  <si>
    <t>The Inkwell</t>
  </si>
  <si>
    <t>Matty Rich</t>
  </si>
  <si>
    <t>Shadow of the Vampire</t>
  </si>
  <si>
    <t>Prom</t>
  </si>
  <si>
    <t>The Pallbearer</t>
  </si>
  <si>
    <t>Held Up</t>
  </si>
  <si>
    <t>Woman on Top</t>
  </si>
  <si>
    <t>Fina Torres</t>
  </si>
  <si>
    <t>Howards End</t>
  </si>
  <si>
    <t>Anomalisa</t>
  </si>
  <si>
    <t>Duke Johnson</t>
  </si>
  <si>
    <t>Another Year</t>
  </si>
  <si>
    <t>8 Women</t>
  </si>
  <si>
    <t>François Ozon</t>
  </si>
  <si>
    <t>Showdown in Little Tokyo</t>
  </si>
  <si>
    <t>Clay Pigeons</t>
  </si>
  <si>
    <t>It's Kind of a Funny Story</t>
  </si>
  <si>
    <t>Anna Boden</t>
  </si>
  <si>
    <t>Made in Dagenham</t>
  </si>
  <si>
    <t>When Did You Last See Your Father?</t>
  </si>
  <si>
    <t>Prefontaine</t>
  </si>
  <si>
    <t>Steve James</t>
  </si>
  <si>
    <t>The Wicked Lady</t>
  </si>
  <si>
    <t>Michael Winner</t>
  </si>
  <si>
    <t>The Secret of Kells</t>
  </si>
  <si>
    <t>Tomm Moore</t>
  </si>
  <si>
    <t>Begin Again</t>
  </si>
  <si>
    <t>John Carney</t>
  </si>
  <si>
    <t>Down in the Valley</t>
  </si>
  <si>
    <t>David Jacobson</t>
  </si>
  <si>
    <t>Brooklyn Rules</t>
  </si>
  <si>
    <t>Michael Corrente</t>
  </si>
  <si>
    <t>Restless</t>
  </si>
  <si>
    <t>Edward Hall</t>
  </si>
  <si>
    <t>The Singing Detective</t>
  </si>
  <si>
    <t>Keith Gordon</t>
  </si>
  <si>
    <t>The Land Girls</t>
  </si>
  <si>
    <t>Fido</t>
  </si>
  <si>
    <t>Andrew Currie</t>
  </si>
  <si>
    <t>The Wendell Baker Story</t>
  </si>
  <si>
    <t>Andrew Wilson</t>
  </si>
  <si>
    <t>Wild Target</t>
  </si>
  <si>
    <t>Pathology</t>
  </si>
  <si>
    <t>Marc Schölermann</t>
  </si>
  <si>
    <t>10th &amp; Wolf</t>
  </si>
  <si>
    <t>Robert Moresco</t>
  </si>
  <si>
    <t>Dear Wendy</t>
  </si>
  <si>
    <t>Thomas Vinterberg</t>
  </si>
  <si>
    <t>Aloft</t>
  </si>
  <si>
    <t>Claudia Llosa</t>
  </si>
  <si>
    <t>Akira</t>
  </si>
  <si>
    <t>The Death and Life of Bobby Z</t>
  </si>
  <si>
    <t>The Rocket: The Legend of Rocket Richard</t>
  </si>
  <si>
    <t>Charles Binamé</t>
  </si>
  <si>
    <t>Swelter</t>
  </si>
  <si>
    <t>Keith Parmer</t>
  </si>
  <si>
    <t>My Lucky Star</t>
  </si>
  <si>
    <t>Imagine Me &amp; You</t>
  </si>
  <si>
    <t>Ol Parker</t>
  </si>
  <si>
    <t>Mr. Church</t>
  </si>
  <si>
    <t>Swimming Pool</t>
  </si>
  <si>
    <t>Green Street 3: Never Back Down</t>
  </si>
  <si>
    <t>James Nunn</t>
  </si>
  <si>
    <t>The Blood of Heroes</t>
  </si>
  <si>
    <t>David Webb Peoples</t>
  </si>
  <si>
    <t>Code of Honor</t>
  </si>
  <si>
    <t>Michael Winnick</t>
  </si>
  <si>
    <t>Driving Miss Daisy</t>
  </si>
  <si>
    <t>Soul Food</t>
  </si>
  <si>
    <t>Rumble in the Bronx</t>
  </si>
  <si>
    <t>Stanley Tong</t>
  </si>
  <si>
    <t>Far from Men</t>
  </si>
  <si>
    <t>David Oelhoffen</t>
  </si>
  <si>
    <t>Thank You for Smoking</t>
  </si>
  <si>
    <t>Hostel: Part II</t>
  </si>
  <si>
    <t>Eli Roth</t>
  </si>
  <si>
    <t>An Education</t>
  </si>
  <si>
    <t>Shopgirl</t>
  </si>
  <si>
    <t>The Hotel New Hampshire</t>
  </si>
  <si>
    <t>Tony Richardson</t>
  </si>
  <si>
    <t>Narc</t>
  </si>
  <si>
    <t>Men with Brooms</t>
  </si>
  <si>
    <t>Witless Protection</t>
  </si>
  <si>
    <t>Charles Robert Carner</t>
  </si>
  <si>
    <t>The Work and the Glory</t>
  </si>
  <si>
    <t>Russell Holt</t>
  </si>
  <si>
    <t>Extract</t>
  </si>
  <si>
    <t>Masked and Anonymous</t>
  </si>
  <si>
    <t>Alias Betty</t>
  </si>
  <si>
    <t>Claude Miller</t>
  </si>
  <si>
    <t>Code 46</t>
  </si>
  <si>
    <t>Outside Bet</t>
  </si>
  <si>
    <t>Sacha Bennett</t>
  </si>
  <si>
    <t>Albert Nobbs</t>
  </si>
  <si>
    <t>Rodrigo García</t>
  </si>
  <si>
    <t>Black November</t>
  </si>
  <si>
    <t>Jeta Amata</t>
  </si>
  <si>
    <t>Ta Ra Rum Pum</t>
  </si>
  <si>
    <t>Siddharth Anand</t>
  </si>
  <si>
    <t>Persepolis</t>
  </si>
  <si>
    <t>Vincent Paronnaud</t>
  </si>
  <si>
    <t>The Hole</t>
  </si>
  <si>
    <t>The Wave</t>
  </si>
  <si>
    <t>Dennis Gansel</t>
  </si>
  <si>
    <t>The Neon Demon</t>
  </si>
  <si>
    <t>Harry Brown</t>
  </si>
  <si>
    <t>Daniel Barber</t>
  </si>
  <si>
    <t>The Omega Code</t>
  </si>
  <si>
    <t>Robert Marcarelli</t>
  </si>
  <si>
    <t>Juno</t>
  </si>
  <si>
    <t>Pound of Flesh</t>
  </si>
  <si>
    <t>Ernie Barbarash</t>
  </si>
  <si>
    <t>Diamonds Are Forever</t>
  </si>
  <si>
    <t>Guy Hamilton</t>
  </si>
  <si>
    <t>The Godfather</t>
  </si>
  <si>
    <t>Flashdance</t>
  </si>
  <si>
    <t>500 Days of Summer</t>
  </si>
  <si>
    <t>The Piano</t>
  </si>
  <si>
    <t>Magic Mike</t>
  </si>
  <si>
    <t>Darkness Falls</t>
  </si>
  <si>
    <t>Live and Let Die</t>
  </si>
  <si>
    <t>My Dog Skip</t>
  </si>
  <si>
    <t>Definitely, Maybe</t>
  </si>
  <si>
    <t>Adam Brooks</t>
  </si>
  <si>
    <t>Jumping the Broom</t>
  </si>
  <si>
    <t>Good Night, and Good Luck.</t>
  </si>
  <si>
    <t>Capote</t>
  </si>
  <si>
    <t>Desperado</t>
  </si>
  <si>
    <t>Logan's Run</t>
  </si>
  <si>
    <t>Michael Anderson</t>
  </si>
  <si>
    <t>The Man with the Golden Gun</t>
  </si>
  <si>
    <t>Action Jackson</t>
  </si>
  <si>
    <t>The Descent</t>
  </si>
  <si>
    <t>Michael Jordan to the Max</t>
  </si>
  <si>
    <t>Don Kempf</t>
  </si>
  <si>
    <t>Devil's Due</t>
  </si>
  <si>
    <t>Matt Bettinelli-Olpin</t>
  </si>
  <si>
    <t>Flirting with Disaster</t>
  </si>
  <si>
    <t>The Devil's Rejects</t>
  </si>
  <si>
    <t>Dope</t>
  </si>
  <si>
    <t>In Too Deep</t>
  </si>
  <si>
    <t>House of 1000 Corpses</t>
  </si>
  <si>
    <t>Alien Zone</t>
  </si>
  <si>
    <t>Sharron Miller</t>
  </si>
  <si>
    <t>A Serious Man</t>
  </si>
  <si>
    <t>Get Low</t>
  </si>
  <si>
    <t>Aaron Schneider</t>
  </si>
  <si>
    <t>Warlock</t>
  </si>
  <si>
    <t>Beyond the Lights</t>
  </si>
  <si>
    <t>A Single Man</t>
  </si>
  <si>
    <t>Tom Ford</t>
  </si>
  <si>
    <t>The Last Temptation of Christ</t>
  </si>
  <si>
    <t>Outside Providence</t>
  </si>
  <si>
    <t>Bride &amp; Prejudice</t>
  </si>
  <si>
    <t>Rabbit-Proof Fence</t>
  </si>
  <si>
    <t>Who's Your Caddy?</t>
  </si>
  <si>
    <t>Split Second</t>
  </si>
  <si>
    <t>Tony Maylam</t>
  </si>
  <si>
    <t>The Other Side of Heaven</t>
  </si>
  <si>
    <t>Mitch Davis</t>
  </si>
  <si>
    <t>Veer-Zaara</t>
  </si>
  <si>
    <t>Redbelt</t>
  </si>
  <si>
    <t>Cyrus</t>
  </si>
  <si>
    <t>A Dog of Flanders</t>
  </si>
  <si>
    <t>Kevin Brodie</t>
  </si>
  <si>
    <t>Auto Focus</t>
  </si>
  <si>
    <t>Factory Girl</t>
  </si>
  <si>
    <t>We Need to Talk About Kevin</t>
  </si>
  <si>
    <t>Lynne Ramsay</t>
  </si>
  <si>
    <t>The Christmas Candle</t>
  </si>
  <si>
    <t>John Stephenson</t>
  </si>
  <si>
    <t>The Mighty Macs</t>
  </si>
  <si>
    <t>Tim Chambers</t>
  </si>
  <si>
    <t>Losin' It</t>
  </si>
  <si>
    <t>Mother and Child</t>
  </si>
  <si>
    <t>March or Die</t>
  </si>
  <si>
    <t>Dick Richards</t>
  </si>
  <si>
    <t>Les visiteurs</t>
  </si>
  <si>
    <t>Somewhere</t>
  </si>
  <si>
    <t>I Hope They Serve Beer in Hell</t>
  </si>
  <si>
    <t>Bob Gosse</t>
  </si>
  <si>
    <t>Chairman of the Board</t>
  </si>
  <si>
    <t>Alex Zamm</t>
  </si>
  <si>
    <t>Hesher</t>
  </si>
  <si>
    <t>Spencer Susser</t>
  </si>
  <si>
    <t>Dom Hemingway</t>
  </si>
  <si>
    <t>Gerry</t>
  </si>
  <si>
    <t>The Heart of Me</t>
  </si>
  <si>
    <t>Thaddeus O'Sullivan</t>
  </si>
  <si>
    <t>Freeheld</t>
  </si>
  <si>
    <t>The Extra Man</t>
  </si>
  <si>
    <t>Shari Springer Berman</t>
  </si>
  <si>
    <t>Hard to Be a God</t>
  </si>
  <si>
    <t>Aleksey German</t>
  </si>
  <si>
    <t>Ca$h</t>
  </si>
  <si>
    <t>Stephen Milburn Anderson</t>
  </si>
  <si>
    <t>Wah-Wah</t>
  </si>
  <si>
    <t>Richard E. Grant</t>
  </si>
  <si>
    <t>The Boondock Saints</t>
  </si>
  <si>
    <t>Z Storm</t>
  </si>
  <si>
    <t>David Lam</t>
  </si>
  <si>
    <t>Twixt</t>
  </si>
  <si>
    <t>Snow Queen</t>
  </si>
  <si>
    <t>Vladlen Barbe</t>
  </si>
  <si>
    <t>Pale Rider</t>
  </si>
  <si>
    <t>Stargate: The Ark of Truth</t>
  </si>
  <si>
    <t>Robert C. Cooper</t>
  </si>
  <si>
    <t>Dazed and Confused</t>
  </si>
  <si>
    <t>High School Musical 2</t>
  </si>
  <si>
    <t>Two Lovers and a Bear</t>
  </si>
  <si>
    <t>Kim Nguyen</t>
  </si>
  <si>
    <t>Criminal Activities</t>
  </si>
  <si>
    <t>Jackie Earle Haley</t>
  </si>
  <si>
    <t>Aimee &amp; Jaguar</t>
  </si>
  <si>
    <t>Max Färberböck</t>
  </si>
  <si>
    <t>The Chumscrubber</t>
  </si>
  <si>
    <t>Arie Posin</t>
  </si>
  <si>
    <t>Shade</t>
  </si>
  <si>
    <t>Damian Nieman</t>
  </si>
  <si>
    <t>House at the End of the Street</t>
  </si>
  <si>
    <t>Mark Tonderai</t>
  </si>
  <si>
    <t>Incendies</t>
  </si>
  <si>
    <t>Remember Me, My Love</t>
  </si>
  <si>
    <t>Perrier's Bounty</t>
  </si>
  <si>
    <t>Ian Fitzgibbon</t>
  </si>
  <si>
    <t>Elite Squad</t>
  </si>
  <si>
    <t>Annabelle</t>
  </si>
  <si>
    <t>Bran Nue Dae</t>
  </si>
  <si>
    <t>Rachel Perkins</t>
  </si>
  <si>
    <t>Boyz n the Hood</t>
  </si>
  <si>
    <t>La Bamba</t>
  </si>
  <si>
    <t>Luis Valdez</t>
  </si>
  <si>
    <t>The Four Seasons</t>
  </si>
  <si>
    <t>Alan Alda</t>
  </si>
  <si>
    <t>Dressed to Kill</t>
  </si>
  <si>
    <t>The Adventures of Huck Finn</t>
  </si>
  <si>
    <t>Go</t>
  </si>
  <si>
    <t>Friends with Money</t>
  </si>
  <si>
    <t>The Andromeda Strain</t>
  </si>
  <si>
    <t>Bats</t>
  </si>
  <si>
    <t>Louis Morneau</t>
  </si>
  <si>
    <t>Nowhere in Africa</t>
  </si>
  <si>
    <t>Caroline Link</t>
  </si>
  <si>
    <t>Shame</t>
  </si>
  <si>
    <t>Layer Cake</t>
  </si>
  <si>
    <t>The Work and the Glory II: American Zion</t>
  </si>
  <si>
    <t>Sterling Van Wagenen</t>
  </si>
  <si>
    <t>The East</t>
  </si>
  <si>
    <t>Zal Batmanglij</t>
  </si>
  <si>
    <t>A Home at the End of the World</t>
  </si>
  <si>
    <t>Aberdeen</t>
  </si>
  <si>
    <t>Hans Petter Moland</t>
  </si>
  <si>
    <t>The Messenger</t>
  </si>
  <si>
    <t>Oren Moverman</t>
  </si>
  <si>
    <t>Tracker</t>
  </si>
  <si>
    <t>Ian Sharp</t>
  </si>
  <si>
    <t>Control</t>
  </si>
  <si>
    <t>The Terminator</t>
  </si>
  <si>
    <t>Good Bye Lenin!</t>
  </si>
  <si>
    <t>Wolfgang Becker</t>
  </si>
  <si>
    <t>The Damned United</t>
  </si>
  <si>
    <t>The Return of the Living Dead</t>
  </si>
  <si>
    <t>Dan O'Bannon</t>
  </si>
  <si>
    <t>Mallrats</t>
  </si>
  <si>
    <t>Grease</t>
  </si>
  <si>
    <t>Musical</t>
  </si>
  <si>
    <t>Platoon</t>
  </si>
  <si>
    <t>Fahrenheit 9/11</t>
  </si>
  <si>
    <t>Butch Cassidy and the Sundance Kid</t>
  </si>
  <si>
    <t>George Roy Hill</t>
  </si>
  <si>
    <t>Mary Poppins</t>
  </si>
  <si>
    <t>Robert Stevenson</t>
  </si>
  <si>
    <t>Ordinary People</t>
  </si>
  <si>
    <t>West Side Story</t>
  </si>
  <si>
    <t>Jerome Robbins</t>
  </si>
  <si>
    <t>Caddyshack</t>
  </si>
  <si>
    <t>The Brothers</t>
  </si>
  <si>
    <t>Gary Hardwick</t>
  </si>
  <si>
    <t>The Wood</t>
  </si>
  <si>
    <t>The Usual Suspects</t>
  </si>
  <si>
    <t>A Nightmare on Elm Street 5: The Dream Child</t>
  </si>
  <si>
    <t>Van Wilder: Party Liaison</t>
  </si>
  <si>
    <t>The Wrestler</t>
  </si>
  <si>
    <t>Duel in the Sun</t>
  </si>
  <si>
    <t>King Vidor</t>
  </si>
  <si>
    <t>Best in Show</t>
  </si>
  <si>
    <t>Escape from New York</t>
  </si>
  <si>
    <t>School Daze</t>
  </si>
  <si>
    <t>Daddy Day Camp</t>
  </si>
  <si>
    <t>Fred Savage</t>
  </si>
  <si>
    <t>Mr. Nice Guy</t>
  </si>
  <si>
    <t>Sammo Kam-Bo Hung</t>
  </si>
  <si>
    <t>A Mighty Wind</t>
  </si>
  <si>
    <t>Mystic Pizza</t>
  </si>
  <si>
    <t>Sliding Doors</t>
  </si>
  <si>
    <t>Tales from the Hood</t>
  </si>
  <si>
    <t>Rusty Cundieff</t>
  </si>
  <si>
    <t>The Last King of Scotland</t>
  </si>
  <si>
    <t>Halloween 5</t>
  </si>
  <si>
    <t>Dominique Othenin-Girard</t>
  </si>
  <si>
    <t>Bernie</t>
  </si>
  <si>
    <t>Dolphins and Whales 3D: Tribes of the Ocean</t>
  </si>
  <si>
    <t>Jean-Jacques Mantello</t>
  </si>
  <si>
    <t>Pollock</t>
  </si>
  <si>
    <t>200 Cigarettes</t>
  </si>
  <si>
    <t>Risa Bramon Garcia</t>
  </si>
  <si>
    <t>The Words</t>
  </si>
  <si>
    <t>Brian Klugman</t>
  </si>
  <si>
    <t>Casa de mi Padre</t>
  </si>
  <si>
    <t>Matt Piedmont</t>
  </si>
  <si>
    <t>City Island</t>
  </si>
  <si>
    <t>Raymond De Felitta</t>
  </si>
  <si>
    <t>The Guard</t>
  </si>
  <si>
    <t>John Michael Mcdonagh</t>
  </si>
  <si>
    <t>College</t>
  </si>
  <si>
    <t>Deb Hagan</t>
  </si>
  <si>
    <t>The Virgin Suicides</t>
  </si>
  <si>
    <t>Little Voice</t>
  </si>
  <si>
    <t>Miss March</t>
  </si>
  <si>
    <t>Zach Cregger</t>
  </si>
  <si>
    <t>Wish I Was Here</t>
  </si>
  <si>
    <t>Zach Braff</t>
  </si>
  <si>
    <t>Simply Irresistible</t>
  </si>
  <si>
    <t>Mark Tarlov</t>
  </si>
  <si>
    <t>Hedwig and the Angry Inch</t>
  </si>
  <si>
    <t>John Cameron Mitchell</t>
  </si>
  <si>
    <t>Only the Strong</t>
  </si>
  <si>
    <t>Goddess of Love</t>
  </si>
  <si>
    <t>Jon Knautz</t>
  </si>
  <si>
    <t>Shattered Glass</t>
  </si>
  <si>
    <t>Novocaine</t>
  </si>
  <si>
    <t>David Atkins</t>
  </si>
  <si>
    <t>The Business of Strangers</t>
  </si>
  <si>
    <t>Patrick Stettner</t>
  </si>
  <si>
    <t>The Wild Bunch</t>
  </si>
  <si>
    <t>Sam Peckinpah</t>
  </si>
  <si>
    <t>The Wackness</t>
  </si>
  <si>
    <t>The Great Train Robbery</t>
  </si>
  <si>
    <t>Michael Crichton</t>
  </si>
  <si>
    <t>Morvern Callar</t>
  </si>
  <si>
    <t>Beastmaster 2: Through the Portal of Time</t>
  </si>
  <si>
    <t>Sylvio Tabet</t>
  </si>
  <si>
    <t>The 5th Quarter</t>
  </si>
  <si>
    <t>Rick Bieber</t>
  </si>
  <si>
    <t>The Flower of Evil</t>
  </si>
  <si>
    <t>The Greatest</t>
  </si>
  <si>
    <t>Snow Flower and the Secret Fan</t>
  </si>
  <si>
    <t>Come Early Morning</t>
  </si>
  <si>
    <t>Joey Lauren Adams</t>
  </si>
  <si>
    <t>Lucky Break</t>
  </si>
  <si>
    <t>Julia</t>
  </si>
  <si>
    <t>Fred Zinnemann</t>
  </si>
  <si>
    <t>Surfer, Dude</t>
  </si>
  <si>
    <t>S.R. Bindler</t>
  </si>
  <si>
    <t>Lake of Fire</t>
  </si>
  <si>
    <t>11:14</t>
  </si>
  <si>
    <t>Greg Marcks</t>
  </si>
  <si>
    <t>Men of War</t>
  </si>
  <si>
    <t>Perry Lang</t>
  </si>
  <si>
    <t>Don McKay</t>
  </si>
  <si>
    <t>Jake Goldberger</t>
  </si>
  <si>
    <t>Deadfall</t>
  </si>
  <si>
    <t>A Shine of Rainbows</t>
  </si>
  <si>
    <t>The Hit List</t>
  </si>
  <si>
    <t>William Kaufman</t>
  </si>
  <si>
    <t>Videodrome</t>
  </si>
  <si>
    <t>L'auberge espagnole</t>
  </si>
  <si>
    <t>Cédric Klapisch</t>
  </si>
  <si>
    <t>Song One</t>
  </si>
  <si>
    <t>Kate Barker-Froyland</t>
  </si>
  <si>
    <t>Winter in Wartime</t>
  </si>
  <si>
    <t>Martin Koolhoven</t>
  </si>
  <si>
    <t>Freaky Deaky</t>
  </si>
  <si>
    <t>Charles Matthau</t>
  </si>
  <si>
    <t>The Train</t>
  </si>
  <si>
    <t>Trade of Innocents</t>
  </si>
  <si>
    <t>Christopher M. Bessette</t>
  </si>
  <si>
    <t>The Protector</t>
  </si>
  <si>
    <t>Prachya Pinkaew</t>
  </si>
  <si>
    <t>Stiff Upper Lips</t>
  </si>
  <si>
    <t>Gary Sinyor</t>
  </si>
  <si>
    <t>Bend It Like Beckham</t>
  </si>
  <si>
    <t>Sunshine State</t>
  </si>
  <si>
    <t>Crossover</t>
  </si>
  <si>
    <t>Khiladi 786</t>
  </si>
  <si>
    <t>Ashish R. Mohan</t>
  </si>
  <si>
    <t>[Rec] 2</t>
  </si>
  <si>
    <t>Standing Ovation</t>
  </si>
  <si>
    <t>The Sting</t>
  </si>
  <si>
    <t>Chariots of Fire</t>
  </si>
  <si>
    <t>Diary of a Mad Black Woman</t>
  </si>
  <si>
    <t>Darren Grant</t>
  </si>
  <si>
    <t>Shine</t>
  </si>
  <si>
    <t>Don Jon</t>
  </si>
  <si>
    <t>Joseph Gordon-Levitt</t>
  </si>
  <si>
    <t>High Plains Drifter</t>
  </si>
  <si>
    <t>Ghost World</t>
  </si>
  <si>
    <t>Iris</t>
  </si>
  <si>
    <t>Galaxina</t>
  </si>
  <si>
    <t>William Sachs</t>
  </si>
  <si>
    <t>The Chorus</t>
  </si>
  <si>
    <t>Christophe Barratier</t>
  </si>
  <si>
    <t>Mambo Italiano</t>
  </si>
  <si>
    <t>Émile Gaudreault</t>
  </si>
  <si>
    <t>Wonderland</t>
  </si>
  <si>
    <t>James Cox</t>
  </si>
  <si>
    <t>Do the Right Thing</t>
  </si>
  <si>
    <t>Harvard Man</t>
  </si>
  <si>
    <t>James Toback</t>
  </si>
  <si>
    <t>Le Havre</t>
  </si>
  <si>
    <t>Aki Kaurismäki</t>
  </si>
  <si>
    <t>Irreversible</t>
  </si>
  <si>
    <t>R100</t>
  </si>
  <si>
    <t>Hitoshi Matsumoto</t>
  </si>
  <si>
    <t>Rang De Basanti</t>
  </si>
  <si>
    <t>Rakeysh Omprakash Mehra</t>
  </si>
  <si>
    <t>Animals</t>
  </si>
  <si>
    <t>Collin Schiffli</t>
  </si>
  <si>
    <t>Salvation Boulevard</t>
  </si>
  <si>
    <t>George Ratliff</t>
  </si>
  <si>
    <t>The Ten</t>
  </si>
  <si>
    <t>A Room for Romeo Brass</t>
  </si>
  <si>
    <t>Shane Meadows</t>
  </si>
  <si>
    <t>Headhunters</t>
  </si>
  <si>
    <t>Norwegian</t>
  </si>
  <si>
    <t>Grabbers</t>
  </si>
  <si>
    <t>Jon Wright</t>
  </si>
  <si>
    <t>Saint Ralph</t>
  </si>
  <si>
    <t>Michael Mcgowan</t>
  </si>
  <si>
    <t>Miss Julie</t>
  </si>
  <si>
    <t>Liv Ullmann</t>
  </si>
  <si>
    <t>Somewhere in Time</t>
  </si>
  <si>
    <t>Dum Maaro Dum</t>
  </si>
  <si>
    <t>Rohan Sippy</t>
  </si>
  <si>
    <t>Insidious: Chapter 2</t>
  </si>
  <si>
    <t>Saw II</t>
  </si>
  <si>
    <t>10 Cloverfield Lane</t>
  </si>
  <si>
    <t>Dan Trachtenberg</t>
  </si>
  <si>
    <t>Jackass: The Movie</t>
  </si>
  <si>
    <t>Lights Out</t>
  </si>
  <si>
    <t>David F. Sandberg</t>
  </si>
  <si>
    <t>Paranormal Activity 3</t>
  </si>
  <si>
    <t>Ouija</t>
  </si>
  <si>
    <t>Stiles White</t>
  </si>
  <si>
    <t>A Nightmare on Elm Street 3: Dream Warriors</t>
  </si>
  <si>
    <t>Instructions Not Included</t>
  </si>
  <si>
    <t>Eugenio Derbez</t>
  </si>
  <si>
    <t>Paranormal Activity 4</t>
  </si>
  <si>
    <t>The Robe</t>
  </si>
  <si>
    <t>Henry Koster</t>
  </si>
  <si>
    <t>The Return of the Pink Panther</t>
  </si>
  <si>
    <t>Freddy's Dead: The Final Nightmare</t>
  </si>
  <si>
    <t>Monster</t>
  </si>
  <si>
    <t>Patty Jenkins</t>
  </si>
  <si>
    <t>20,000 Leagues Under the Sea</t>
  </si>
  <si>
    <t>Paranormal Activity: The Marked Ones</t>
  </si>
  <si>
    <t>Christopher Landon</t>
  </si>
  <si>
    <t>The Elephant Man</t>
  </si>
  <si>
    <t>Dallas Buyers Club</t>
  </si>
  <si>
    <t>The Lazarus Effect</t>
  </si>
  <si>
    <t>David Gelb</t>
  </si>
  <si>
    <t>Memento</t>
  </si>
  <si>
    <t>Oculus</t>
  </si>
  <si>
    <t>Mike Flanagan</t>
  </si>
  <si>
    <t>Clerks II</t>
  </si>
  <si>
    <t>Billy Elliot</t>
  </si>
  <si>
    <t>The Way Way Back</t>
  </si>
  <si>
    <t>Nat Faxon</t>
  </si>
  <si>
    <t>House Party 2</t>
  </si>
  <si>
    <t>George Jackson</t>
  </si>
  <si>
    <t>The Man from Snowy River</t>
  </si>
  <si>
    <t>Doug's 1st Movie</t>
  </si>
  <si>
    <t>Maurice Joyce</t>
  </si>
  <si>
    <t>The Apostle</t>
  </si>
  <si>
    <t>Robert Duvall</t>
  </si>
  <si>
    <t>Mommie Dearest</t>
  </si>
  <si>
    <t>Frank Perry</t>
  </si>
  <si>
    <t>Our Idiot Brother</t>
  </si>
  <si>
    <t>Jesse Peretz</t>
  </si>
  <si>
    <t>Race</t>
  </si>
  <si>
    <t>The Players Club</t>
  </si>
  <si>
    <t>Ice Cube</t>
  </si>
  <si>
    <t>As Above, So Below</t>
  </si>
  <si>
    <t>Addicted</t>
  </si>
  <si>
    <t>Eve's Bayou</t>
  </si>
  <si>
    <t>Still Alice</t>
  </si>
  <si>
    <t>Richard Glatzer</t>
  </si>
  <si>
    <t>The Egyptian</t>
  </si>
  <si>
    <t>Michael Curtiz</t>
  </si>
  <si>
    <t>Nighthawks</t>
  </si>
  <si>
    <t>Bruce Malmuth</t>
  </si>
  <si>
    <t>Friday the 13th Part VIII: Jason Takes Manhattan</t>
  </si>
  <si>
    <t>Rob Hedden</t>
  </si>
  <si>
    <t>My Big Fat Greek Wedding</t>
  </si>
  <si>
    <t>Spring Breakers</t>
  </si>
  <si>
    <t>Harmony Korine</t>
  </si>
  <si>
    <t>Halloween: The Curse of Michael Myers</t>
  </si>
  <si>
    <t>Joe Chappelle</t>
  </si>
  <si>
    <t>Y Tu Mamá También</t>
  </si>
  <si>
    <t>Shaun of the Dead</t>
  </si>
  <si>
    <t>The Haunting of Molly Hartley</t>
  </si>
  <si>
    <t>Mickey Liddell</t>
  </si>
  <si>
    <t>Lone Star</t>
  </si>
  <si>
    <t>Halloween 4: The Return of Michael Myers</t>
  </si>
  <si>
    <t>April Fool's Day</t>
  </si>
  <si>
    <t>Fred Walton</t>
  </si>
  <si>
    <t>Diner</t>
  </si>
  <si>
    <t>Lone Wolf McQuade</t>
  </si>
  <si>
    <t>Steve Carver</t>
  </si>
  <si>
    <t>Apollo 18</t>
  </si>
  <si>
    <t>Gonzalo López-Gallego</t>
  </si>
  <si>
    <t>Sunshine Cleaning</t>
  </si>
  <si>
    <t>Christine Jeffs</t>
  </si>
  <si>
    <t>No Escape</t>
  </si>
  <si>
    <t>The Beastmaster</t>
  </si>
  <si>
    <t>Don Coscarelli</t>
  </si>
  <si>
    <t>Solomon and Sheba</t>
  </si>
  <si>
    <t>Fifty Shades of Black</t>
  </si>
  <si>
    <t>Michael Tiddes</t>
  </si>
  <si>
    <t>Not Easily Broken</t>
  </si>
  <si>
    <t>Bill Duke</t>
  </si>
  <si>
    <t>A Farewell to Arms</t>
  </si>
  <si>
    <t>Frank Borzage</t>
  </si>
  <si>
    <t>The Perfect Match</t>
  </si>
  <si>
    <t>Digimon: The Movie</t>
  </si>
  <si>
    <t>Mamoru Hosoda</t>
  </si>
  <si>
    <t>Saved!</t>
  </si>
  <si>
    <t>Brian Dannelly</t>
  </si>
  <si>
    <t>The Barbarian Invasions</t>
  </si>
  <si>
    <t>Denys Arcand</t>
  </si>
  <si>
    <t>Robin and Marian</t>
  </si>
  <si>
    <t>The Forsaken</t>
  </si>
  <si>
    <t>J.S. Cardone</t>
  </si>
  <si>
    <t>Force 10 from Navarone</t>
  </si>
  <si>
    <t>UHF</t>
  </si>
  <si>
    <t>Jay Levey</t>
  </si>
  <si>
    <t>Grandma's Boy</t>
  </si>
  <si>
    <t>Nicholaus Goossen</t>
  </si>
  <si>
    <t>Slums of Beverly Hills</t>
  </si>
  <si>
    <t>Once Upon a Time in the West</t>
  </si>
  <si>
    <t>Made</t>
  </si>
  <si>
    <t>Moon</t>
  </si>
  <si>
    <t>Keeping Up with the Steins</t>
  </si>
  <si>
    <t>Sea Rex 3D: Journey to a Prehistoric World</t>
  </si>
  <si>
    <t>Ronan Chapalain</t>
  </si>
  <si>
    <t>The Sweet Hereafter</t>
  </si>
  <si>
    <t>Of Gods and Men</t>
  </si>
  <si>
    <t>Xavier Beauvois</t>
  </si>
  <si>
    <t>Bottle Shock</t>
  </si>
  <si>
    <t>Randall Miller</t>
  </si>
  <si>
    <t>Jekyll and Hyde... Together Again</t>
  </si>
  <si>
    <t>Jerry Belson</t>
  </si>
  <si>
    <t>Heavenly Creatures</t>
  </si>
  <si>
    <t>90 Minutes in Heaven</t>
  </si>
  <si>
    <t>Everything Must Go</t>
  </si>
  <si>
    <t>Dan Rush</t>
  </si>
  <si>
    <t>Zero Effect</t>
  </si>
  <si>
    <t>The Machinist</t>
  </si>
  <si>
    <t>Light Sleeper</t>
  </si>
  <si>
    <t>Kill the Messenger</t>
  </si>
  <si>
    <t>Michael Cuesta</t>
  </si>
  <si>
    <t>Rabbit Hole</t>
  </si>
  <si>
    <t>Party Monster</t>
  </si>
  <si>
    <t>Fenton Bailey</t>
  </si>
  <si>
    <t>Green Room</t>
  </si>
  <si>
    <t>Jeremy Saulnier</t>
  </si>
  <si>
    <t>The Oh in Ohio</t>
  </si>
  <si>
    <t>Billy Kent</t>
  </si>
  <si>
    <t>Atlas Shrugged: Who Is John Galt?</t>
  </si>
  <si>
    <t>James Manera</t>
  </si>
  <si>
    <t>Bottle Rocket</t>
  </si>
  <si>
    <t>Albino Alligator</t>
  </si>
  <si>
    <t>Gandhi, My Father</t>
  </si>
  <si>
    <t>Feroz Abbas Khan</t>
  </si>
  <si>
    <t>Standard Operating Procedure</t>
  </si>
  <si>
    <t>Errol Morris</t>
  </si>
  <si>
    <t>Out of the Blue</t>
  </si>
  <si>
    <t>Dennis Hopper</t>
  </si>
  <si>
    <t>Tucker and Dale vs Evil</t>
  </si>
  <si>
    <t>Eli Craig</t>
  </si>
  <si>
    <t>Lovely, Still</t>
  </si>
  <si>
    <t>Nicholas Fackler</t>
  </si>
  <si>
    <t>Tycoon</t>
  </si>
  <si>
    <t>Richard Wallace</t>
  </si>
  <si>
    <t>Desert Blue</t>
  </si>
  <si>
    <t>Morgan J. Freeman</t>
  </si>
  <si>
    <t>Decoys</t>
  </si>
  <si>
    <t>Matthew Hastings</t>
  </si>
  <si>
    <t>The Visit</t>
  </si>
  <si>
    <t>Redacted</t>
  </si>
  <si>
    <t>Fascination</t>
  </si>
  <si>
    <t>Klaus Menzel</t>
  </si>
  <si>
    <t>Area 51</t>
  </si>
  <si>
    <t>Oren Peli</t>
  </si>
  <si>
    <t>Sleep Tight</t>
  </si>
  <si>
    <t>The Cottage</t>
  </si>
  <si>
    <t>Paul Andrew Williams</t>
  </si>
  <si>
    <t>Dead Like Me: Life After Death</t>
  </si>
  <si>
    <t>Farce of the Penguins</t>
  </si>
  <si>
    <t>Flying By</t>
  </si>
  <si>
    <t>Jim Amatulli</t>
  </si>
  <si>
    <t>Rudderless</t>
  </si>
  <si>
    <t>William H. Macy</t>
  </si>
  <si>
    <t>Henry &amp; Me</t>
  </si>
  <si>
    <t>Barrett Esposito</t>
  </si>
  <si>
    <t>Christmas Eve</t>
  </si>
  <si>
    <t>We Have Your Husband</t>
  </si>
  <si>
    <t>Dying of the Light</t>
  </si>
  <si>
    <t>Born of War</t>
  </si>
  <si>
    <t>Vicky Jewson</t>
  </si>
  <si>
    <t>Capricorn One</t>
  </si>
  <si>
    <t>Running Forever</t>
  </si>
  <si>
    <t>Mike Mayhall</t>
  </si>
  <si>
    <t>Yoga Hosers</t>
  </si>
  <si>
    <t>Navy Seals vs. Zombies</t>
  </si>
  <si>
    <t>Stanton Barrett</t>
  </si>
  <si>
    <t>I Served the King of England</t>
  </si>
  <si>
    <t>Jirí Menzel</t>
  </si>
  <si>
    <t>Czech</t>
  </si>
  <si>
    <t>Soul Kitchen</t>
  </si>
  <si>
    <t>Fatih Akin</t>
  </si>
  <si>
    <t>Sling Blade</t>
  </si>
  <si>
    <t>The Awakening</t>
  </si>
  <si>
    <t>Nick Murphy</t>
  </si>
  <si>
    <t>Hostel</t>
  </si>
  <si>
    <t>Tristram Shandy: A Cock and Bull Story</t>
  </si>
  <si>
    <t>Take Shelter</t>
  </si>
  <si>
    <t>Lady in White</t>
  </si>
  <si>
    <t>Frank Laloggia</t>
  </si>
  <si>
    <t>Driving Lessons</t>
  </si>
  <si>
    <t>Jeremy Brock</t>
  </si>
  <si>
    <t>Let's Kill Ward's Wife</t>
  </si>
  <si>
    <t>Scott Foley</t>
  </si>
  <si>
    <t>The Texas Chainsaw Massacre 2</t>
  </si>
  <si>
    <t>Pat Garrett &amp; Billy the Kid</t>
  </si>
  <si>
    <t>Only God Forgives</t>
  </si>
  <si>
    <t>Camping sauvage</t>
  </si>
  <si>
    <t>Christophe Ali</t>
  </si>
  <si>
    <t>Without Men</t>
  </si>
  <si>
    <t>Gabriela Tagliavini</t>
  </si>
  <si>
    <t>Dear Frankie</t>
  </si>
  <si>
    <t>Shona Auerbach</t>
  </si>
  <si>
    <t>All Hat</t>
  </si>
  <si>
    <t>Leonard Farlinger</t>
  </si>
  <si>
    <t>The Names of Love</t>
  </si>
  <si>
    <t>Michel Leclerc</t>
  </si>
  <si>
    <t>Treading Water</t>
  </si>
  <si>
    <t>Analeine Cal Y Mayor</t>
  </si>
  <si>
    <t>Savage Grace</t>
  </si>
  <si>
    <t>Tom Kalin</t>
  </si>
  <si>
    <t>Police Academy</t>
  </si>
  <si>
    <t>The Blue Lagoon</t>
  </si>
  <si>
    <t>Four Weddings and a Funeral</t>
  </si>
  <si>
    <t>Fast Times at Ridgemont High</t>
  </si>
  <si>
    <t>Moby Dick</t>
  </si>
  <si>
    <t>John Huston</t>
  </si>
  <si>
    <t>25th Hour</t>
  </si>
  <si>
    <t>Bound</t>
  </si>
  <si>
    <t>Requiem for a Dream</t>
  </si>
  <si>
    <t>State Fair</t>
  </si>
  <si>
    <t>Walter Lang</t>
  </si>
  <si>
    <t>Tango</t>
  </si>
  <si>
    <t>Carlos Saura</t>
  </si>
  <si>
    <t>Salvador</t>
  </si>
  <si>
    <t>Moms' Night Out</t>
  </si>
  <si>
    <t>Andrew Erwin</t>
  </si>
  <si>
    <t>Donnie Darko</t>
  </si>
  <si>
    <t>Saving Private Perez</t>
  </si>
  <si>
    <t>Beto Gómez</t>
  </si>
  <si>
    <t>Character</t>
  </si>
  <si>
    <t>Mike Van Diem</t>
  </si>
  <si>
    <t>Spun</t>
  </si>
  <si>
    <t>Jonas Åkerlund</t>
  </si>
  <si>
    <t>Life During Wartime</t>
  </si>
  <si>
    <t>Todd Solondz</t>
  </si>
  <si>
    <t>Lady Vengeance</t>
  </si>
  <si>
    <t>Mozart's Sister</t>
  </si>
  <si>
    <t>René Féret</t>
  </si>
  <si>
    <t>Mean Machine</t>
  </si>
  <si>
    <t>Barry Skolnick</t>
  </si>
  <si>
    <t>Exiled</t>
  </si>
  <si>
    <t>Johnnie To</t>
  </si>
  <si>
    <t>Blackthorn</t>
  </si>
  <si>
    <t>Mateo Gil</t>
  </si>
  <si>
    <t>Lilya 4-Ever</t>
  </si>
  <si>
    <t>Lukas Moodysson</t>
  </si>
  <si>
    <t>After.Life</t>
  </si>
  <si>
    <t>Agnieszka Wojtowicz-Vosloo</t>
  </si>
  <si>
    <t>Fugly</t>
  </si>
  <si>
    <t>Kabir Sadanand</t>
  </si>
  <si>
    <t>One Flew Over the Cuckoo's Nest</t>
  </si>
  <si>
    <t>R.L. Stine's Monsterville: The Cabinet of Souls</t>
  </si>
  <si>
    <t>Peter Deluise</t>
  </si>
  <si>
    <t>Airlift</t>
  </si>
  <si>
    <t>Raja Menon</t>
  </si>
  <si>
    <t>Falcon Rising</t>
  </si>
  <si>
    <t>The Sweeney</t>
  </si>
  <si>
    <t>Nick Love</t>
  </si>
  <si>
    <t>Sexy Beast</t>
  </si>
  <si>
    <t>Easy Money</t>
  </si>
  <si>
    <t>Whale Rider</t>
  </si>
  <si>
    <t>Paa</t>
  </si>
  <si>
    <t>R. Balki</t>
  </si>
  <si>
    <t>Cargo</t>
  </si>
  <si>
    <t>Ivan Engler</t>
  </si>
  <si>
    <t>High School Musical</t>
  </si>
  <si>
    <t>Love and Death on Long Island</t>
  </si>
  <si>
    <t>Night Watch</t>
  </si>
  <si>
    <t>The Crying Game</t>
  </si>
  <si>
    <t>Porky's</t>
  </si>
  <si>
    <t>Survival of the Dead</t>
  </si>
  <si>
    <t>Night of the Living Dead</t>
  </si>
  <si>
    <t>Lost in Translation</t>
  </si>
  <si>
    <t>Annie Hall</t>
  </si>
  <si>
    <t>The Greatest Show on Earth</t>
  </si>
  <si>
    <t>Cecil B. Demille</t>
  </si>
  <si>
    <t>Monster's Ball</t>
  </si>
  <si>
    <t>Maggie</t>
  </si>
  <si>
    <t>Henry Hobson</t>
  </si>
  <si>
    <t>Leaving Las Vegas</t>
  </si>
  <si>
    <t>Mike Figgis</t>
  </si>
  <si>
    <t>Hansel &amp; Gretel Get Baked</t>
  </si>
  <si>
    <t>Duane Journey</t>
  </si>
  <si>
    <t>The Front Page</t>
  </si>
  <si>
    <t>Billy Wilder</t>
  </si>
  <si>
    <t>The Boy Next Door</t>
  </si>
  <si>
    <t>Trapeze</t>
  </si>
  <si>
    <t>The Kids Are All Right</t>
  </si>
  <si>
    <t>Lisa Cholodenko</t>
  </si>
  <si>
    <t>They Live</t>
  </si>
  <si>
    <t>The Great Escape</t>
  </si>
  <si>
    <t>John Sturges</t>
  </si>
  <si>
    <t>What the #$*! Do We (K)now!?</t>
  </si>
  <si>
    <t>William Arntz</t>
  </si>
  <si>
    <t>The Last Exorcism Part II</t>
  </si>
  <si>
    <t>Ed Gass-Donnelly</t>
  </si>
  <si>
    <t>Boyhood</t>
  </si>
  <si>
    <t>Scoop</t>
  </si>
  <si>
    <t>The Wash</t>
  </si>
  <si>
    <t>Dj Pooh</t>
  </si>
  <si>
    <t>3 Strikes</t>
  </si>
  <si>
    <t>The Cooler</t>
  </si>
  <si>
    <t>The Misfits</t>
  </si>
  <si>
    <t>The Night Listener</t>
  </si>
  <si>
    <t>The Jerky Boys</t>
  </si>
  <si>
    <t>James Melkonian</t>
  </si>
  <si>
    <t>The Orphanage</t>
  </si>
  <si>
    <t>A Haunted House 2</t>
  </si>
  <si>
    <t>The Rules of Attraction</t>
  </si>
  <si>
    <t>Roger Avary</t>
  </si>
  <si>
    <t>Topaz</t>
  </si>
  <si>
    <t>Let's Go to Prison</t>
  </si>
  <si>
    <t>Four Rooms</t>
  </si>
  <si>
    <t>Allison Anders</t>
  </si>
  <si>
    <t>Secretary</t>
  </si>
  <si>
    <t>The Real Cancun</t>
  </si>
  <si>
    <t>Rick De Oliveira</t>
  </si>
  <si>
    <t>Talk Radio</t>
  </si>
  <si>
    <t>Waiting for Guffman</t>
  </si>
  <si>
    <t>Love Stinks</t>
  </si>
  <si>
    <t>Jeff Franklin</t>
  </si>
  <si>
    <t>You Kill Me</t>
  </si>
  <si>
    <t>Thumbsucker</t>
  </si>
  <si>
    <t>Mike Mills</t>
  </si>
  <si>
    <t>Red State</t>
  </si>
  <si>
    <t>Mirrormask</t>
  </si>
  <si>
    <t>Dave Mckean</t>
  </si>
  <si>
    <t>The Barbarians</t>
  </si>
  <si>
    <t>Ruggero Deodato</t>
  </si>
  <si>
    <t>The Art of Getting By</t>
  </si>
  <si>
    <t>Gavin Wiesen</t>
  </si>
  <si>
    <t>Zipper</t>
  </si>
  <si>
    <t>Mora Stephens</t>
  </si>
  <si>
    <t>Poolhall Junkies</t>
  </si>
  <si>
    <t>Mars Callahan</t>
  </si>
  <si>
    <t>The Loss of Sexual Innocence</t>
  </si>
  <si>
    <t>Holy Motors</t>
  </si>
  <si>
    <t>Leos Carax</t>
  </si>
  <si>
    <t>Joe</t>
  </si>
  <si>
    <t>Shooting Fish</t>
  </si>
  <si>
    <t>Stefan Schwartz</t>
  </si>
  <si>
    <t>Prison</t>
  </si>
  <si>
    <t>Psycho Beach Party</t>
  </si>
  <si>
    <t>Robert Lee King</t>
  </si>
  <si>
    <t>The Big Tease</t>
  </si>
  <si>
    <t>Buen Día, Ramón</t>
  </si>
  <si>
    <t>Jorge Ramírez Suárez</t>
  </si>
  <si>
    <t>Trust</t>
  </si>
  <si>
    <t>An Everlasting Piece</t>
  </si>
  <si>
    <t>Among Giants</t>
  </si>
  <si>
    <t>Adore</t>
  </si>
  <si>
    <t>The Velocity of Gary</t>
  </si>
  <si>
    <t>Dan Ireland</t>
  </si>
  <si>
    <t>Mondays in the Sun</t>
  </si>
  <si>
    <t>Fernando León De Aranoa</t>
  </si>
  <si>
    <t>Stake Land</t>
  </si>
  <si>
    <t>Jim Mickle</t>
  </si>
  <si>
    <t>The Last Time I Committed Suicide</t>
  </si>
  <si>
    <t>Futuro Beach</t>
  </si>
  <si>
    <t>Karim Aïnouz</t>
  </si>
  <si>
    <t>Another Happy Day</t>
  </si>
  <si>
    <t>Sam Levinson</t>
  </si>
  <si>
    <t>A Lonely Place to Die</t>
  </si>
  <si>
    <t>Nothing</t>
  </si>
  <si>
    <t>The Geographer Drank His Globe Away</t>
  </si>
  <si>
    <t>Aleksandr Veledinskiy</t>
  </si>
  <si>
    <t>1776</t>
  </si>
  <si>
    <t>Peter H. Hunt</t>
  </si>
  <si>
    <t>Inescapable</t>
  </si>
  <si>
    <t>Ruba Nadda</t>
  </si>
  <si>
    <t>Hell's Angels</t>
  </si>
  <si>
    <t>Howard Hughes</t>
  </si>
  <si>
    <t>Purple Violets</t>
  </si>
  <si>
    <t>Edward Burns</t>
  </si>
  <si>
    <t>The Veil</t>
  </si>
  <si>
    <t>The Loved Ones</t>
  </si>
  <si>
    <t>Sean Byrne</t>
  </si>
  <si>
    <t>No Vacancy</t>
  </si>
  <si>
    <t>How to Fall in Love</t>
  </si>
  <si>
    <t>Mark Griffiths</t>
  </si>
  <si>
    <t>The Perfect Wave</t>
  </si>
  <si>
    <t>Bruce Macdonald</t>
  </si>
  <si>
    <t>A Man for All Seasons</t>
  </si>
  <si>
    <t>Network</t>
  </si>
  <si>
    <t>Gone with the Wind</t>
  </si>
  <si>
    <t>Victor Fleming</t>
  </si>
  <si>
    <t>Desert Dancer</t>
  </si>
  <si>
    <t>Richard Raymond</t>
  </si>
  <si>
    <t>Major Dundee</t>
  </si>
  <si>
    <t>Down for Life</t>
  </si>
  <si>
    <t>Alan Jacobs</t>
  </si>
  <si>
    <t>Annie Get Your Gun</t>
  </si>
  <si>
    <t>George Sidney</t>
  </si>
  <si>
    <t>Four Lions</t>
  </si>
  <si>
    <t>Christopher Morris</t>
  </si>
  <si>
    <t>House of Sand</t>
  </si>
  <si>
    <t>Andrucha Waddington</t>
  </si>
  <si>
    <t>Defendor</t>
  </si>
  <si>
    <t>Peter Stebbings</t>
  </si>
  <si>
    <t>The Pirate</t>
  </si>
  <si>
    <t>Vincente Minnelli</t>
  </si>
  <si>
    <t>The Good Heart</t>
  </si>
  <si>
    <t>Dagur Kári</t>
  </si>
  <si>
    <t>The History Boys</t>
  </si>
  <si>
    <t>Midnight Cowboy</t>
  </si>
  <si>
    <t>The Full Monty</t>
  </si>
  <si>
    <t>Airplane!</t>
  </si>
  <si>
    <t>Jim Abrahams</t>
  </si>
  <si>
    <t>Chain of Command</t>
  </si>
  <si>
    <t>Kevin Carraway</t>
  </si>
  <si>
    <t>Friday</t>
  </si>
  <si>
    <t>Menace II Society</t>
  </si>
  <si>
    <t>Creepshow 2</t>
  </si>
  <si>
    <t>Michael Gornick</t>
  </si>
  <si>
    <t>The Ballad of Cable Hogue</t>
  </si>
  <si>
    <t>In Cold Blood</t>
  </si>
  <si>
    <t>Richard Brooks</t>
  </si>
  <si>
    <t>The Nun's Story</t>
  </si>
  <si>
    <t>Harper</t>
  </si>
  <si>
    <t>Frenzy</t>
  </si>
  <si>
    <t>The Witch</t>
  </si>
  <si>
    <t>Robert Eggers</t>
  </si>
  <si>
    <t>I Got the Hook Up</t>
  </si>
  <si>
    <t>Michael Martin</t>
  </si>
  <si>
    <t>She's the One</t>
  </si>
  <si>
    <t>Gods and Monsters</t>
  </si>
  <si>
    <t>The Secret in Their Eyes</t>
  </si>
  <si>
    <t>Train</t>
  </si>
  <si>
    <t>Gideon Raff</t>
  </si>
  <si>
    <t>Evil Dead II</t>
  </si>
  <si>
    <t>Pootie Tang</t>
  </si>
  <si>
    <t>Louis C.K.</t>
  </si>
  <si>
    <t>Sharknado</t>
  </si>
  <si>
    <t>Anthony C. Ferrante</t>
  </si>
  <si>
    <t>La otra conquista</t>
  </si>
  <si>
    <t>Salvador Carrasco</t>
  </si>
  <si>
    <t>Trollhunter</t>
  </si>
  <si>
    <t>André Øvredal</t>
  </si>
  <si>
    <t>Ira &amp; Abby</t>
  </si>
  <si>
    <t>Robert Cary</t>
  </si>
  <si>
    <t>Winter Passing</t>
  </si>
  <si>
    <t>Adam Rapp</t>
  </si>
  <si>
    <t>D.E.B.S.</t>
  </si>
  <si>
    <t>The Masked Saint</t>
  </si>
  <si>
    <t>Warren P. Sonoda</t>
  </si>
  <si>
    <t>The Betrayed</t>
  </si>
  <si>
    <t>Amanda Gusack</t>
  </si>
  <si>
    <t>Taxman</t>
  </si>
  <si>
    <t>Avi Nesher</t>
  </si>
  <si>
    <t>2:13</t>
  </si>
  <si>
    <t>Charles Adelman</t>
  </si>
  <si>
    <t>Batman: The Dark Knight Returns, Part 2</t>
  </si>
  <si>
    <t>Jay Oliva</t>
  </si>
  <si>
    <t>Time to Choose</t>
  </si>
  <si>
    <t>Charles Ferguson</t>
  </si>
  <si>
    <t>In the Name of the King: The Last Job</t>
  </si>
  <si>
    <t>Wicked Blood</t>
  </si>
  <si>
    <t>Mark Young</t>
  </si>
  <si>
    <t>Dawn Patrol</t>
  </si>
  <si>
    <t>Daniel Petrie Jr.</t>
  </si>
  <si>
    <t>Lords of London</t>
  </si>
  <si>
    <t>Antonio Simoncini</t>
  </si>
  <si>
    <t>High Anxiety</t>
  </si>
  <si>
    <t>March of the Penguins</t>
  </si>
  <si>
    <t>Luc Jacquet</t>
  </si>
  <si>
    <t>Margin Call</t>
  </si>
  <si>
    <t>August</t>
  </si>
  <si>
    <t>Eldar Rapaport</t>
  </si>
  <si>
    <t>Choke</t>
  </si>
  <si>
    <t>Clark Gregg</t>
  </si>
  <si>
    <t>Whiplash</t>
  </si>
  <si>
    <t>Damien Chazelle</t>
  </si>
  <si>
    <t>City of God</t>
  </si>
  <si>
    <t>Human Traffic</t>
  </si>
  <si>
    <t>Justin Kerrigan</t>
  </si>
  <si>
    <t>Day One</t>
  </si>
  <si>
    <t>Nathan Frankowski</t>
  </si>
  <si>
    <t>The Dead Girl</t>
  </si>
  <si>
    <t>Karen Moncrieff</t>
  </si>
  <si>
    <t>The Hunt</t>
  </si>
  <si>
    <t>A Christmas Story</t>
  </si>
  <si>
    <t>Bella</t>
  </si>
  <si>
    <t>Class of 1984</t>
  </si>
  <si>
    <t>The Opposite Sex</t>
  </si>
  <si>
    <t>Jennifer Finnigan</t>
  </si>
  <si>
    <t>Dreaming of Joseph Lees</t>
  </si>
  <si>
    <t>Eric Styles</t>
  </si>
  <si>
    <t>The Class</t>
  </si>
  <si>
    <t>Laurent Cantet</t>
  </si>
  <si>
    <t>Rosemary's Baby</t>
  </si>
  <si>
    <t>The Man Who Shot Liberty Valance</t>
  </si>
  <si>
    <t>John Ford</t>
  </si>
  <si>
    <t>Adam</t>
  </si>
  <si>
    <t>Max Mayer</t>
  </si>
  <si>
    <t>Maria Full of Grace</t>
  </si>
  <si>
    <t>Joshua Marston</t>
  </si>
  <si>
    <t>Beginners</t>
  </si>
  <si>
    <t>Feast</t>
  </si>
  <si>
    <t>John Gulager</t>
  </si>
  <si>
    <t>Animal House</t>
  </si>
  <si>
    <t>Goldfinger</t>
  </si>
  <si>
    <t>Antiviral</t>
  </si>
  <si>
    <t>Brandon Cronenberg</t>
  </si>
  <si>
    <t>It's a Wonderful Life</t>
  </si>
  <si>
    <t>Frank Capra</t>
  </si>
  <si>
    <t>Trainspotting</t>
  </si>
  <si>
    <t>The Original Kings of Comedy</t>
  </si>
  <si>
    <t>Paranormal Activity 2</t>
  </si>
  <si>
    <t>Tod Williams</t>
  </si>
  <si>
    <t>Waking Ned Devine</t>
  </si>
  <si>
    <t>Bowling for Columbine</t>
  </si>
  <si>
    <t>Coming Home</t>
  </si>
  <si>
    <t>A Nightmare on Elm Street 2: Freddy's Revenge</t>
  </si>
  <si>
    <t>Jack Sholder</t>
  </si>
  <si>
    <t>A Room with a View</t>
  </si>
  <si>
    <t>The Purge</t>
  </si>
  <si>
    <t>Sinister</t>
  </si>
  <si>
    <t>Martin Lawrence Live: Runteldat</t>
  </si>
  <si>
    <t>Cat on a Hot Tin Roof</t>
  </si>
  <si>
    <t>Beneath the Planet of the Apes</t>
  </si>
  <si>
    <t>Ted Post</t>
  </si>
  <si>
    <t>Air Bud</t>
  </si>
  <si>
    <t>Pokémon 3: The Movie</t>
  </si>
  <si>
    <t>Kunihiko Yuyama</t>
  </si>
  <si>
    <t>Jason Lives: Friday the 13th Part VI</t>
  </si>
  <si>
    <t>Tom Mcloughlin</t>
  </si>
  <si>
    <t>The Bridge on the River Kwai</t>
  </si>
  <si>
    <t>Spaced Invaders</t>
  </si>
  <si>
    <t>Family Plot</t>
  </si>
  <si>
    <t>The Apartment</t>
  </si>
  <si>
    <t>Jason Goes to Hell: The Final Friday</t>
  </si>
  <si>
    <t>Adam Marcus</t>
  </si>
  <si>
    <t>Torn Curtain</t>
  </si>
  <si>
    <t>Dave Chappelle's Block Party</t>
  </si>
  <si>
    <t>Slow West</t>
  </si>
  <si>
    <t>John Maclean</t>
  </si>
  <si>
    <t>Krush Groove</t>
  </si>
  <si>
    <t>Next Day Air</t>
  </si>
  <si>
    <t>Benny Boom</t>
  </si>
  <si>
    <t>Elmer Gantry</t>
  </si>
  <si>
    <t>Judgment at Nuremberg</t>
  </si>
  <si>
    <t>Trippin'</t>
  </si>
  <si>
    <t>Red River</t>
  </si>
  <si>
    <t>Howard Hawks</t>
  </si>
  <si>
    <t>Phat Girlz</t>
  </si>
  <si>
    <t>Nnegest Likké</t>
  </si>
  <si>
    <t>Before Midnight</t>
  </si>
  <si>
    <t>Teen Wolf Too</t>
  </si>
  <si>
    <t>Christopher Leitch</t>
  </si>
  <si>
    <t>Phantasm II</t>
  </si>
  <si>
    <t>Woman Thou Art Loosed</t>
  </si>
  <si>
    <t>Real Women Have Curves</t>
  </si>
  <si>
    <t>Patricia Cardoso</t>
  </si>
  <si>
    <t>Water</t>
  </si>
  <si>
    <t>East Is East</t>
  </si>
  <si>
    <t>Damien O'Donnell</t>
  </si>
  <si>
    <t>Whipped</t>
  </si>
  <si>
    <t>Peter M. Cohen</t>
  </si>
  <si>
    <t>Kama Sutra: A Tale of Love</t>
  </si>
  <si>
    <t>Please Give</t>
  </si>
  <si>
    <t>Willy Wonka &amp; the Chocolate Factory</t>
  </si>
  <si>
    <t>Mel Stuart</t>
  </si>
  <si>
    <t>Warlock: The Armageddon</t>
  </si>
  <si>
    <t>Anthony Hickox</t>
  </si>
  <si>
    <t>8 Heads in a Duffel Bag</t>
  </si>
  <si>
    <t>Tom Schulman</t>
  </si>
  <si>
    <t>Days of Heaven</t>
  </si>
  <si>
    <t>Thirteen Conversations About One Thing</t>
  </si>
  <si>
    <t>Jill Sprecher</t>
  </si>
  <si>
    <t>Jawbreaker</t>
  </si>
  <si>
    <t>Darren Stein</t>
  </si>
  <si>
    <t>Basquiat</t>
  </si>
  <si>
    <t>Frances Ha</t>
  </si>
  <si>
    <t>Tsotsi</t>
  </si>
  <si>
    <t>Happiness</t>
  </si>
  <si>
    <t>DysFunktional Family</t>
  </si>
  <si>
    <t>Tusk</t>
  </si>
  <si>
    <t>Oldboy</t>
  </si>
  <si>
    <t>Letters to God</t>
  </si>
  <si>
    <t>David Nixon</t>
  </si>
  <si>
    <t>Hobo with a Shotgun</t>
  </si>
  <si>
    <t>Jason Eisener</t>
  </si>
  <si>
    <t>Compadres</t>
  </si>
  <si>
    <t>Enrique Begne</t>
  </si>
  <si>
    <t>Freeway</t>
  </si>
  <si>
    <t>Matthew Bright</t>
  </si>
  <si>
    <t>Fish Tank</t>
  </si>
  <si>
    <t>Andrea Arnold</t>
  </si>
  <si>
    <t>Damsels in Distress</t>
  </si>
  <si>
    <t>Whit Stillman</t>
  </si>
  <si>
    <t>Bachelorette</t>
  </si>
  <si>
    <t>Leslye Headland</t>
  </si>
  <si>
    <t>Brave New Girl</t>
  </si>
  <si>
    <t>Bobby Roth</t>
  </si>
  <si>
    <t>Tim and Eric's Billion Dollar Movie</t>
  </si>
  <si>
    <t>Tim Heidecker</t>
  </si>
  <si>
    <t>Summer Storm</t>
  </si>
  <si>
    <t>Fort McCoy</t>
  </si>
  <si>
    <t>Kate Connor</t>
  </si>
  <si>
    <t>Chain Letter</t>
  </si>
  <si>
    <t>Deon Taylor</t>
  </si>
  <si>
    <t>Just Looking</t>
  </si>
  <si>
    <t>Jason Alexander</t>
  </si>
  <si>
    <t>The Divide</t>
  </si>
  <si>
    <t>The Eclipse</t>
  </si>
  <si>
    <t>Conor Mcpherson</t>
  </si>
  <si>
    <t>Demonic</t>
  </si>
  <si>
    <t>Will Canon</t>
  </si>
  <si>
    <t>My Big Fat Independent Movie</t>
  </si>
  <si>
    <t>Philip Zlotorynski</t>
  </si>
  <si>
    <t>The Deported</t>
  </si>
  <si>
    <t>Lance Kawas</t>
  </si>
  <si>
    <t>Tanner Hall</t>
  </si>
  <si>
    <t>Francesca Gregorini</t>
  </si>
  <si>
    <t>Open Road</t>
  </si>
  <si>
    <t>Marcio Garcia</t>
  </si>
  <si>
    <t>They Came Together</t>
  </si>
  <si>
    <t>30 Nights of Paranormal Activity with the Devil Inside the Girl with the Dragon Tattoo</t>
  </si>
  <si>
    <t>Craig Moss</t>
  </si>
  <si>
    <t>Never Back Down 2: The Beatdown</t>
  </si>
  <si>
    <t>Michael Jai White</t>
  </si>
  <si>
    <t>Point Blank</t>
  </si>
  <si>
    <t>Four Single Fathers</t>
  </si>
  <si>
    <t>Paolo Monico</t>
  </si>
  <si>
    <t>Enter the Dangerous Mind</t>
  </si>
  <si>
    <t>Youssef Delara</t>
  </si>
  <si>
    <t>Something Wicked</t>
  </si>
  <si>
    <t>Darin Scott</t>
  </si>
  <si>
    <t>AWOL-72</t>
  </si>
  <si>
    <t>Christian Sesma</t>
  </si>
  <si>
    <t>Iguana</t>
  </si>
  <si>
    <t>Monte Hellman</t>
  </si>
  <si>
    <t>Chicago Overcoat</t>
  </si>
  <si>
    <t>Brian Caunter</t>
  </si>
  <si>
    <t>Barry Munday</t>
  </si>
  <si>
    <t>Chris D'Arienzo</t>
  </si>
  <si>
    <t>Central Station</t>
  </si>
  <si>
    <t>Pocketful of Miracles</t>
  </si>
  <si>
    <t>Close Range</t>
  </si>
  <si>
    <t>Isaac Florentine</t>
  </si>
  <si>
    <t>Boynton Beach Club</t>
  </si>
  <si>
    <t>Susan Seidelman</t>
  </si>
  <si>
    <t>Amnesiac</t>
  </si>
  <si>
    <t>Freakonomics</t>
  </si>
  <si>
    <t>Heidi Ewing</t>
  </si>
  <si>
    <t>High Tension</t>
  </si>
  <si>
    <t>Griff the Invisible</t>
  </si>
  <si>
    <t>Leon Ford</t>
  </si>
  <si>
    <t>Unnatural</t>
  </si>
  <si>
    <t>Hank Braxtan</t>
  </si>
  <si>
    <t>Hustle &amp; Flow</t>
  </si>
  <si>
    <t>Some Like It Hot</t>
  </si>
  <si>
    <t>Friday the 13th Part VII: The New Blood</t>
  </si>
  <si>
    <t>John Carl Buechler</t>
  </si>
  <si>
    <t>The Wizard of Oz</t>
  </si>
  <si>
    <t>Young Frankenstein</t>
  </si>
  <si>
    <t>Diary of the Dead</t>
  </si>
  <si>
    <t>Lage Raho Munna Bhai</t>
  </si>
  <si>
    <t>Rajkumar Hirani</t>
  </si>
  <si>
    <t>Ulee's Gold</t>
  </si>
  <si>
    <t>Victor Nunez</t>
  </si>
  <si>
    <t>The Black Stallion</t>
  </si>
  <si>
    <t>Sardaar Ji</t>
  </si>
  <si>
    <t>Rohit Jugraj</t>
  </si>
  <si>
    <t>Panjabi</t>
  </si>
  <si>
    <t>Journey to Saturn</t>
  </si>
  <si>
    <t>Thorbjørn Christoffersen</t>
  </si>
  <si>
    <t>Donovan's Reef</t>
  </si>
  <si>
    <t>The Dress</t>
  </si>
  <si>
    <t>Alex Van Warmerdam</t>
  </si>
  <si>
    <t>A Guy Named Joe</t>
  </si>
  <si>
    <t>Blazing Saddles</t>
  </si>
  <si>
    <t>Friday the 13th: The Final Chapter</t>
  </si>
  <si>
    <t>Ida</t>
  </si>
  <si>
    <t>Pawel Pawlikowski</t>
  </si>
  <si>
    <t>Polish</t>
  </si>
  <si>
    <t>Maurice</t>
  </si>
  <si>
    <t>Beer League</t>
  </si>
  <si>
    <t>Frank Sebastiano</t>
  </si>
  <si>
    <t>Riding Giants</t>
  </si>
  <si>
    <t>Stacy Peralta</t>
  </si>
  <si>
    <t>Timecrimes</t>
  </si>
  <si>
    <t>Nacho Vigalondo</t>
  </si>
  <si>
    <t>Silver Medallist</t>
  </si>
  <si>
    <t>Hao Ning</t>
  </si>
  <si>
    <t>Timber Falls</t>
  </si>
  <si>
    <t>Tony Giglio</t>
  </si>
  <si>
    <t>Singin' in the Rain</t>
  </si>
  <si>
    <t>Stanley Donen</t>
  </si>
  <si>
    <t>Fat, Sick &amp; Nearly Dead</t>
  </si>
  <si>
    <t>Joe Cross</t>
  </si>
  <si>
    <t>A Haunted House</t>
  </si>
  <si>
    <t>2016: Obama's America</t>
  </si>
  <si>
    <t>Dinesh D'Souza</t>
  </si>
  <si>
    <t>That Thing You Do!</t>
  </si>
  <si>
    <t>Halloween III: Season of the Witch</t>
  </si>
  <si>
    <t>Tommy Lee Wallace</t>
  </si>
  <si>
    <t>Escape from the Planet of the Apes</t>
  </si>
  <si>
    <t>Don Taylor</t>
  </si>
  <si>
    <t>Hud</t>
  </si>
  <si>
    <t>Kevin Hart: Let Me Explain</t>
  </si>
  <si>
    <t>Leslie Small</t>
  </si>
  <si>
    <t>My Own Private Idaho</t>
  </si>
  <si>
    <t>Garden State</t>
  </si>
  <si>
    <t>Before Sunrise</t>
  </si>
  <si>
    <t>Sur le seuil</t>
  </si>
  <si>
    <t>Éric Tessier</t>
  </si>
  <si>
    <t>Jesus' Son</t>
  </si>
  <si>
    <t>Alison Maclean</t>
  </si>
  <si>
    <t>Saving Face</t>
  </si>
  <si>
    <t>Alice Wu</t>
  </si>
  <si>
    <t>Brick Lane</t>
  </si>
  <si>
    <t>Sarah Gavron</t>
  </si>
  <si>
    <t>Robot &amp; Frank</t>
  </si>
  <si>
    <t>My Life Without Me</t>
  </si>
  <si>
    <t>Isabel Coixet</t>
  </si>
  <si>
    <t>The Spectacular Now</t>
  </si>
  <si>
    <t>James Ponsoldt</t>
  </si>
  <si>
    <t>Marilyn Hotchkiss' Ballroom Dancing and Charm School</t>
  </si>
  <si>
    <t>Religulous</t>
  </si>
  <si>
    <t>Fuel</t>
  </si>
  <si>
    <t>Joshua Tickell</t>
  </si>
  <si>
    <t>Valley of the Heart's Delight</t>
  </si>
  <si>
    <t>Tim Boxell</t>
  </si>
  <si>
    <t>Eye of the Dolphin</t>
  </si>
  <si>
    <t>Michael D. Sellers</t>
  </si>
  <si>
    <t>8: The Mormon Proposition</t>
  </si>
  <si>
    <t>Reed Cowan</t>
  </si>
  <si>
    <t>The Other End of the Line</t>
  </si>
  <si>
    <t>James Dodson</t>
  </si>
  <si>
    <t>Anatomy</t>
  </si>
  <si>
    <t>Sleep Dealer</t>
  </si>
  <si>
    <t>Alex Rivera</t>
  </si>
  <si>
    <t>Super</t>
  </si>
  <si>
    <t>Christmas Mail</t>
  </si>
  <si>
    <t>John Murlowski</t>
  </si>
  <si>
    <t>Stung</t>
  </si>
  <si>
    <t>Benni Diez</t>
  </si>
  <si>
    <t>Antibirth</t>
  </si>
  <si>
    <t>Danny Perez</t>
  </si>
  <si>
    <t>Get on the Bus</t>
  </si>
  <si>
    <t>Thr3e</t>
  </si>
  <si>
    <t>Robby Henson</t>
  </si>
  <si>
    <t>Idiocracy</t>
  </si>
  <si>
    <t>The Rise of the Krays</t>
  </si>
  <si>
    <t>Zackary Adler</t>
  </si>
  <si>
    <t>This Is England</t>
  </si>
  <si>
    <t>Alien Uprising</t>
  </si>
  <si>
    <t>Dominic Burns</t>
  </si>
  <si>
    <t>Bathing Beauty</t>
  </si>
  <si>
    <t>Go for It!</t>
  </si>
  <si>
    <t>Carmen Marron</t>
  </si>
  <si>
    <t>Dancer, Texas Pop. 81</t>
  </si>
  <si>
    <t>Show Boat</t>
  </si>
  <si>
    <t>Redemption Road</t>
  </si>
  <si>
    <t>The Calling</t>
  </si>
  <si>
    <t>Jason Stone</t>
  </si>
  <si>
    <t>The Brave Little Toaster</t>
  </si>
  <si>
    <t>Jerry Rees</t>
  </si>
  <si>
    <t>Fantasia</t>
  </si>
  <si>
    <t>8 Days</t>
  </si>
  <si>
    <t>Jaco Booyens</t>
  </si>
  <si>
    <t>Friday the 13th Part III</t>
  </si>
  <si>
    <t>Friday the 13th: A New Beginning</t>
  </si>
  <si>
    <t>Danny Steinmann</t>
  </si>
  <si>
    <t>The Last Sin Eater</t>
  </si>
  <si>
    <t>Michael Landon Jr.</t>
  </si>
  <si>
    <t>Do You Believe?</t>
  </si>
  <si>
    <t>Jon Gunn</t>
  </si>
  <si>
    <t>Impact Point</t>
  </si>
  <si>
    <t>Hayley Cloake</t>
  </si>
  <si>
    <t>The Valley of Decision</t>
  </si>
  <si>
    <t>Tay Garnett</t>
  </si>
  <si>
    <t>Eden</t>
  </si>
  <si>
    <t>Shyam Madiraju</t>
  </si>
  <si>
    <t>Chicken Tikka Masala</t>
  </si>
  <si>
    <t>Harmage Singh Kalirai</t>
  </si>
  <si>
    <t>Always Woodstock</t>
  </si>
  <si>
    <t>Rita Merson</t>
  </si>
  <si>
    <t>Jack Brooks: Monster Slayer</t>
  </si>
  <si>
    <t>The Best Years of Our Lives</t>
  </si>
  <si>
    <t>William Wyler</t>
  </si>
  <si>
    <t>Bully</t>
  </si>
  <si>
    <t>Larry Clark</t>
  </si>
  <si>
    <t>Elling</t>
  </si>
  <si>
    <t>Petter Næss</t>
  </si>
  <si>
    <t>Mi America</t>
  </si>
  <si>
    <t>Robert Fontaine</t>
  </si>
  <si>
    <t>[Rec]</t>
  </si>
  <si>
    <t>Lies in Plain Sight</t>
  </si>
  <si>
    <t>Sharkskin</t>
  </si>
  <si>
    <t>Dan Perri</t>
  </si>
  <si>
    <t>Containment</t>
  </si>
  <si>
    <t>Neil Mcenery-West</t>
  </si>
  <si>
    <t>The Timber</t>
  </si>
  <si>
    <t>Anthony O'Brien</t>
  </si>
  <si>
    <t>From Russia with Love</t>
  </si>
  <si>
    <t>The Toxic Avenger Part II</t>
  </si>
  <si>
    <t>Michael Herz</t>
  </si>
  <si>
    <t>Sleeper</t>
  </si>
  <si>
    <t>It Follows</t>
  </si>
  <si>
    <t>David Robert Mitchell</t>
  </si>
  <si>
    <t>Everything You Always Wanted to Know About Sex * But Were Afraid to Ask</t>
  </si>
  <si>
    <t>To Kill a Mockingbird</t>
  </si>
  <si>
    <t>Robert Mulligan</t>
  </si>
  <si>
    <t>Mad Max 2: The Road Warrior</t>
  </si>
  <si>
    <t>The Legend of Drunken Master</t>
  </si>
  <si>
    <t>Chia-Liang Liu</t>
  </si>
  <si>
    <t>Boys Don't Cry</t>
  </si>
  <si>
    <t>Silent House</t>
  </si>
  <si>
    <t>Chris Kentis</t>
  </si>
  <si>
    <t>The Lives of Others</t>
  </si>
  <si>
    <t>Courageous</t>
  </si>
  <si>
    <t>Alex Kendrick</t>
  </si>
  <si>
    <t>The Hustler</t>
  </si>
  <si>
    <t>Robert Rossen</t>
  </si>
  <si>
    <t>Boom Town</t>
  </si>
  <si>
    <t>Jack Conway</t>
  </si>
  <si>
    <t>The Triplets of Belleville</t>
  </si>
  <si>
    <t>Sylvain Chomet</t>
  </si>
  <si>
    <t>Smoke Signals</t>
  </si>
  <si>
    <t>Chris Eyre</t>
  </si>
  <si>
    <t>American Splendor</t>
  </si>
  <si>
    <t>Before Sunset</t>
  </si>
  <si>
    <t>Amores Perros</t>
  </si>
  <si>
    <t>Thirteen</t>
  </si>
  <si>
    <t>Gentleman's Agreement</t>
  </si>
  <si>
    <t>Elia Kazan</t>
  </si>
  <si>
    <t>Winter's Bone</t>
  </si>
  <si>
    <t>Debra Granik</t>
  </si>
  <si>
    <t>Touching the Void</t>
  </si>
  <si>
    <t>Alexander's Ragtime Band</t>
  </si>
  <si>
    <t>Henry King</t>
  </si>
  <si>
    <t>Me and You and Everyone We Know</t>
  </si>
  <si>
    <t>Miranda July</t>
  </si>
  <si>
    <t>Inside Job</t>
  </si>
  <si>
    <t>We Are Your Friends</t>
  </si>
  <si>
    <t>Max Joseph</t>
  </si>
  <si>
    <t>Ghost Dog: The Way of the Samurai</t>
  </si>
  <si>
    <t>Jim Jarmusch</t>
  </si>
  <si>
    <t>Harsh Times</t>
  </si>
  <si>
    <t>Captive</t>
  </si>
  <si>
    <t>Full Frontal</t>
  </si>
  <si>
    <t>Witchboard</t>
  </si>
  <si>
    <t>Kevin Tenney</t>
  </si>
  <si>
    <t>Shortbus</t>
  </si>
  <si>
    <t>Waltz with Bashir</t>
  </si>
  <si>
    <t>Ari Folman</t>
  </si>
  <si>
    <t>The Book of Mormon Movie, Volume 1: The Journey</t>
  </si>
  <si>
    <t>Gary Rogers</t>
  </si>
  <si>
    <t>No End in Sight</t>
  </si>
  <si>
    <t>The Diary of a Teenage Girl</t>
  </si>
  <si>
    <t>Marielle Heller</t>
  </si>
  <si>
    <t>In the Shadow of the Moon</t>
  </si>
  <si>
    <t>David Sington</t>
  </si>
  <si>
    <t>Meek's Cutoff</t>
  </si>
  <si>
    <t>Kelly Reichardt</t>
  </si>
  <si>
    <t>Inside Deep Throat</t>
  </si>
  <si>
    <t>Dinner Rush</t>
  </si>
  <si>
    <t>Bob Giraldi</t>
  </si>
  <si>
    <t>Clockwatchers</t>
  </si>
  <si>
    <t>The Virginity Hit</t>
  </si>
  <si>
    <t>Huck Botko</t>
  </si>
  <si>
    <t>Subway</t>
  </si>
  <si>
    <t>House of D</t>
  </si>
  <si>
    <t>David Duchovny</t>
  </si>
  <si>
    <t>Teeth</t>
  </si>
  <si>
    <t>Mitchell Lichtenstein</t>
  </si>
  <si>
    <t>Six-String Samurai</t>
  </si>
  <si>
    <t>Lance Mungia</t>
  </si>
  <si>
    <t>It's All Gone Pete Tong</t>
  </si>
  <si>
    <t>Saint John of Las Vegas</t>
  </si>
  <si>
    <t>Hue Rhodes</t>
  </si>
  <si>
    <t>24 7: Twenty Four Seven</t>
  </si>
  <si>
    <t>Stonewall</t>
  </si>
  <si>
    <t>Roadside Romeo</t>
  </si>
  <si>
    <t>Jugal Hansraj</t>
  </si>
  <si>
    <t>This Thing of Ours</t>
  </si>
  <si>
    <t>Danny Provenzano</t>
  </si>
  <si>
    <t>The Lost Medallion: The Adventures of Billy Stone</t>
  </si>
  <si>
    <t>Bill Muir</t>
  </si>
  <si>
    <t>The Last Five Years</t>
  </si>
  <si>
    <t>The Missing Person</t>
  </si>
  <si>
    <t>Noah Buschel</t>
  </si>
  <si>
    <t>Return of the Living Dead III</t>
  </si>
  <si>
    <t>Brian Yuzna</t>
  </si>
  <si>
    <t>London</t>
  </si>
  <si>
    <t>Hunter Richards</t>
  </si>
  <si>
    <t>Sherrybaby</t>
  </si>
  <si>
    <t>Laurie Collyer</t>
  </si>
  <si>
    <t>Circle</t>
  </si>
  <si>
    <t>Aaron Hann</t>
  </si>
  <si>
    <t>Eden Lake</t>
  </si>
  <si>
    <t>Plush</t>
  </si>
  <si>
    <t>Vampire Killers</t>
  </si>
  <si>
    <t>Phil Claydon</t>
  </si>
  <si>
    <t>Gangster's Paradise: Jerusalema</t>
  </si>
  <si>
    <t>Ralph Ziman</t>
  </si>
  <si>
    <t>Freeze Frame</t>
  </si>
  <si>
    <t>John Simpson</t>
  </si>
  <si>
    <t>Grave Encounters</t>
  </si>
  <si>
    <t>Colin Minihan</t>
  </si>
  <si>
    <t>Stitches</t>
  </si>
  <si>
    <t>Conor Mcmahon</t>
  </si>
  <si>
    <t>Nine Dead</t>
  </si>
  <si>
    <t>Chris Shadley</t>
  </si>
  <si>
    <t>To Be Frank, Sinatra at 100</t>
  </si>
  <si>
    <t>Simon Napier-Bell</t>
  </si>
  <si>
    <t>Bananas</t>
  </si>
  <si>
    <t>Supercapitalist</t>
  </si>
  <si>
    <t>Simon Yin</t>
  </si>
  <si>
    <t>Rockaway</t>
  </si>
  <si>
    <t>Jeff Crook</t>
  </si>
  <si>
    <t>The Lady from Shanghai</t>
  </si>
  <si>
    <t>Orson Welles</t>
  </si>
  <si>
    <t>No Man's Land: The Rise of Reeker</t>
  </si>
  <si>
    <t>Dave Payne</t>
  </si>
  <si>
    <t>Highway</t>
  </si>
  <si>
    <t>Small Apartments</t>
  </si>
  <si>
    <t>Coffee Town</t>
  </si>
  <si>
    <t>Brad Copeland</t>
  </si>
  <si>
    <t>The Ghastly Love of Johnny X</t>
  </si>
  <si>
    <t>Paul Bunnell</t>
  </si>
  <si>
    <t>All Is Bright</t>
  </si>
  <si>
    <t>Phil Morrison</t>
  </si>
  <si>
    <t>The Torture Chamber of Dr. Sadism</t>
  </si>
  <si>
    <t>Harald Reinl</t>
  </si>
  <si>
    <t>Straight A's</t>
  </si>
  <si>
    <t>A Funny Thing Happened on the Way to the Forum</t>
  </si>
  <si>
    <t>Slacker Uprising</t>
  </si>
  <si>
    <t>The Legend of Hell's Gate: An American Conspiracy</t>
  </si>
  <si>
    <t>Tanner Beard</t>
  </si>
  <si>
    <t>The Walking Deceased</t>
  </si>
  <si>
    <t>Scott Dow</t>
  </si>
  <si>
    <t>The Curse of Downers Grove</t>
  </si>
  <si>
    <t>Derick Martini</t>
  </si>
  <si>
    <t>Shark Lake</t>
  </si>
  <si>
    <t>Jerry Dugan</t>
  </si>
  <si>
    <t>River's Edge</t>
  </si>
  <si>
    <t>Tim Hunter</t>
  </si>
  <si>
    <t>Northfork</t>
  </si>
  <si>
    <t>The Marine 4: Moving Target</t>
  </si>
  <si>
    <t>Buried</t>
  </si>
  <si>
    <t>Submarine</t>
  </si>
  <si>
    <t>Richard Ayoade</t>
  </si>
  <si>
    <t>The Square</t>
  </si>
  <si>
    <t>Jehane Noujaim</t>
  </si>
  <si>
    <t>One to Another</t>
  </si>
  <si>
    <t>Pascal Arnold</t>
  </si>
  <si>
    <t>ABCD (Any Body Can Dance)</t>
  </si>
  <si>
    <t>Remo</t>
  </si>
  <si>
    <t>Man on Wire</t>
  </si>
  <si>
    <t>Abandoned</t>
  </si>
  <si>
    <t>John Laing</t>
  </si>
  <si>
    <t>Brotherly Love</t>
  </si>
  <si>
    <t>Jamal Hill</t>
  </si>
  <si>
    <t>The Last Exorcism</t>
  </si>
  <si>
    <t>Daniel Stamm</t>
  </si>
  <si>
    <t>Nowhere Boy</t>
  </si>
  <si>
    <t>A Streetcar Named Desire</t>
  </si>
  <si>
    <t>Dr. Strangelove or: How I Learned to Stop Worrying and Love the Bomb</t>
  </si>
  <si>
    <t>El crimen del padre Amaro</t>
  </si>
  <si>
    <t>Carlos Carrera</t>
  </si>
  <si>
    <t>Beasts of the Southern Wild</t>
  </si>
  <si>
    <t>Benh Zeitlin</t>
  </si>
  <si>
    <t>Battle for the Planet of the Apes</t>
  </si>
  <si>
    <t>J. Lee Thompson</t>
  </si>
  <si>
    <t>Songcatcher</t>
  </si>
  <si>
    <t>Maggie Greenwald</t>
  </si>
  <si>
    <t>Higher Ground</t>
  </si>
  <si>
    <t>Vera Farmiga</t>
  </si>
  <si>
    <t>Vaalu</t>
  </si>
  <si>
    <t>Vijay Chandar</t>
  </si>
  <si>
    <t>Tamil</t>
  </si>
  <si>
    <t>The Greatest Movie Ever Sold</t>
  </si>
  <si>
    <t>Ed and His Dead Mother</t>
  </si>
  <si>
    <t>Jonathan Wacks</t>
  </si>
  <si>
    <t>Travelers and Magicians</t>
  </si>
  <si>
    <t>Khyentse Norbu</t>
  </si>
  <si>
    <t>Dzongkha</t>
  </si>
  <si>
    <t>Hang 'Em High</t>
  </si>
  <si>
    <t>Deadline - U.S.A.</t>
  </si>
  <si>
    <t>Sublime</t>
  </si>
  <si>
    <t>Tony Krantz</t>
  </si>
  <si>
    <t>A Beginner's Guide to Snuff</t>
  </si>
  <si>
    <t>Mitchell Altieri</t>
  </si>
  <si>
    <t>Independence Daysaster</t>
  </si>
  <si>
    <t>W.D. Hogan</t>
  </si>
  <si>
    <t>Dysfunctional Friends</t>
  </si>
  <si>
    <t>Corey Grant</t>
  </si>
  <si>
    <t>Run Lola Run</t>
  </si>
  <si>
    <t>May</t>
  </si>
  <si>
    <t>Lucky Mckee</t>
  </si>
  <si>
    <t>Against the Wild</t>
  </si>
  <si>
    <t>Richard Boddington</t>
  </si>
  <si>
    <t>Living Dark: The Story of Ted the Caver</t>
  </si>
  <si>
    <t>David Hunt</t>
  </si>
  <si>
    <t>Under the Same Moon</t>
  </si>
  <si>
    <t>Conquest of the Planet of the Apes</t>
  </si>
  <si>
    <t>In the Bedroom</t>
  </si>
  <si>
    <t>I Spit on Your Grave</t>
  </si>
  <si>
    <t>Steven R. Monroe</t>
  </si>
  <si>
    <t>Happy, Texas</t>
  </si>
  <si>
    <t>Mark Illsley</t>
  </si>
  <si>
    <t>My Summer of Love</t>
  </si>
  <si>
    <t>The Lunchbox</t>
  </si>
  <si>
    <t>Ritesh Batra</t>
  </si>
  <si>
    <t>Yes</t>
  </si>
  <si>
    <t>Sally Potter</t>
  </si>
  <si>
    <t>You Can't Take It with You</t>
  </si>
  <si>
    <t>From Here to Eternity</t>
  </si>
  <si>
    <t>She Wore a Yellow Ribbon</t>
  </si>
  <si>
    <t>Grace Unplugged</t>
  </si>
  <si>
    <t>Brad J. Silverman</t>
  </si>
  <si>
    <t>Foolish</t>
  </si>
  <si>
    <t>Dave Meyers</t>
  </si>
  <si>
    <t>Caramel</t>
  </si>
  <si>
    <t>Nadine Labaki</t>
  </si>
  <si>
    <t>Out of the Dark</t>
  </si>
  <si>
    <t>Lluís Quílez</t>
  </si>
  <si>
    <t>The Bubble</t>
  </si>
  <si>
    <t>Eytan Fox</t>
  </si>
  <si>
    <t>The Conversation</t>
  </si>
  <si>
    <t>Mississippi Mermaid</t>
  </si>
  <si>
    <t>François Truffaut</t>
  </si>
  <si>
    <t>I Love Your Work</t>
  </si>
  <si>
    <t>Adam Goldberg</t>
  </si>
  <si>
    <t>Cabin Fever</t>
  </si>
  <si>
    <t>Travis Zariwny</t>
  </si>
  <si>
    <t>Waitress</t>
  </si>
  <si>
    <t>Adrienne Shelly</t>
  </si>
  <si>
    <t>Bloodsport</t>
  </si>
  <si>
    <t>Newt Arnold</t>
  </si>
  <si>
    <t>Mr. Smith Goes to Washington</t>
  </si>
  <si>
    <t>Kids</t>
  </si>
  <si>
    <t>The Squid and the Whale</t>
  </si>
  <si>
    <t>Kissing Jessica Stein</t>
  </si>
  <si>
    <t>Spellbound</t>
  </si>
  <si>
    <t>Film-Noir</t>
  </si>
  <si>
    <t>Exotica</t>
  </si>
  <si>
    <t>Buffalo '66</t>
  </si>
  <si>
    <t>Insidious</t>
  </si>
  <si>
    <t>Repo Man</t>
  </si>
  <si>
    <t>Alex Cox</t>
  </si>
  <si>
    <t>Nine Queens</t>
  </si>
  <si>
    <t>Fabián Bielinsky</t>
  </si>
  <si>
    <t>The Gatekeepers</t>
  </si>
  <si>
    <t>Dror Moreh</t>
  </si>
  <si>
    <t>The Ballad of Jack and Rose</t>
  </si>
  <si>
    <t>Rebecca Miller</t>
  </si>
  <si>
    <t>The To Do List</t>
  </si>
  <si>
    <t>Maggie Carey</t>
  </si>
  <si>
    <t>Killing Zoe</t>
  </si>
  <si>
    <t>The Believer</t>
  </si>
  <si>
    <t>Henry Bean</t>
  </si>
  <si>
    <t>Snow Angels</t>
  </si>
  <si>
    <t>Unsullied</t>
  </si>
  <si>
    <t>Simeon Rice</t>
  </si>
  <si>
    <t>Session 9</t>
  </si>
  <si>
    <t>I Want Someone to Eat Cheese With</t>
  </si>
  <si>
    <t>Jeff Garlin</t>
  </si>
  <si>
    <t>Mooz-Lum</t>
  </si>
  <si>
    <t>Qasim Basir</t>
  </si>
  <si>
    <t>Hatchet</t>
  </si>
  <si>
    <t>Adam Green</t>
  </si>
  <si>
    <t>Modern Times</t>
  </si>
  <si>
    <t>Charles Chaplin</t>
  </si>
  <si>
    <t>Stolen Summer</t>
  </si>
  <si>
    <t>Pete Jones</t>
  </si>
  <si>
    <t>My Name Is Bruce</t>
  </si>
  <si>
    <t>Bruce Campbell</t>
  </si>
  <si>
    <t>The Salon</t>
  </si>
  <si>
    <t>Road Hard</t>
  </si>
  <si>
    <t>Adam Carolla</t>
  </si>
  <si>
    <t>Forty Shades of Blue</t>
  </si>
  <si>
    <t>Amigo</t>
  </si>
  <si>
    <t>Pontypool</t>
  </si>
  <si>
    <t>Bruce Mcdonald</t>
  </si>
  <si>
    <t>Trucker</t>
  </si>
  <si>
    <t>James Mottern</t>
  </si>
  <si>
    <t>Me You and Five Bucks</t>
  </si>
  <si>
    <t>Jaime Zevallos</t>
  </si>
  <si>
    <t>The Lords of Salem</t>
  </si>
  <si>
    <t>Housebound</t>
  </si>
  <si>
    <t>Gerard Johnstone</t>
  </si>
  <si>
    <t>Wal-Mart: The High Cost of Low Price</t>
  </si>
  <si>
    <t>Robert Greenwald</t>
  </si>
  <si>
    <t>Fetching Cody</t>
  </si>
  <si>
    <t>David Ray</t>
  </si>
  <si>
    <t>Once Upon a Time in Queens</t>
  </si>
  <si>
    <t>Dave Rodriguez</t>
  </si>
  <si>
    <t>Closer to the Moon</t>
  </si>
  <si>
    <t>Nae Caranfil</t>
  </si>
  <si>
    <t>Mutant World</t>
  </si>
  <si>
    <t>David Winning</t>
  </si>
  <si>
    <t>Growing Up Smith</t>
  </si>
  <si>
    <t>Frank Lotito</t>
  </si>
  <si>
    <t>Checkmate</t>
  </si>
  <si>
    <t>Timothy Woodward Jr.</t>
  </si>
  <si>
    <t>#Horror</t>
  </si>
  <si>
    <t>Tara Subkoff</t>
  </si>
  <si>
    <t>Wind Walkers</t>
  </si>
  <si>
    <t>Russell Friedenberg</t>
  </si>
  <si>
    <t>Snow White and the Seven Dwarfs</t>
  </si>
  <si>
    <t>William Cottrell</t>
  </si>
  <si>
    <t>The Holy Girl</t>
  </si>
  <si>
    <t>Lucrecia Martel</t>
  </si>
  <si>
    <t>Shalako</t>
  </si>
  <si>
    <t>Edward Dmytryk</t>
  </si>
  <si>
    <t>Incident at Loch Ness</t>
  </si>
  <si>
    <t>Zak Penn</t>
  </si>
  <si>
    <t>The Dog Lover</t>
  </si>
  <si>
    <t>Alex Ranarivelo</t>
  </si>
  <si>
    <t>Girl House</t>
  </si>
  <si>
    <t>The Blue Room</t>
  </si>
  <si>
    <t>Mathieu Amalric</t>
  </si>
  <si>
    <t>House at the End of the Drive</t>
  </si>
  <si>
    <t>David Worth</t>
  </si>
  <si>
    <t>Batman: The Movie</t>
  </si>
  <si>
    <t>Leslie H. Martinson</t>
  </si>
  <si>
    <t>Lock, Stock and Two Smoking Barrels</t>
  </si>
  <si>
    <t>The Ballad of Gregorio Cortez</t>
  </si>
  <si>
    <t>Robert M. Young</t>
  </si>
  <si>
    <t>The Celebration</t>
  </si>
  <si>
    <t>Trees Lounge</t>
  </si>
  <si>
    <t>Steve Buscemi</t>
  </si>
  <si>
    <t>Journey from the Fall</t>
  </si>
  <si>
    <t>Ham Tran</t>
  </si>
  <si>
    <t>Vietnamese</t>
  </si>
  <si>
    <t>The Basket</t>
  </si>
  <si>
    <t>Rich Cowan</t>
  </si>
  <si>
    <t>Eddie: The Sleepwalking Cannibal</t>
  </si>
  <si>
    <t>Boris Rodriguez</t>
  </si>
  <si>
    <t>Queen of the Mountains</t>
  </si>
  <si>
    <t>Sadyk Sher-Niyaz</t>
  </si>
  <si>
    <t>Def-Con 4</t>
  </si>
  <si>
    <t>Paul Donovan</t>
  </si>
  <si>
    <t>The Hebrew Hammer</t>
  </si>
  <si>
    <t>Jonathan Kesselman</t>
  </si>
  <si>
    <t>Neal 'N' Nikki</t>
  </si>
  <si>
    <t>Arjun Sablok</t>
  </si>
  <si>
    <t>The 41-Year-Old Virgin Who Knocked Up Sarah Marshall and Felt Superbad About It</t>
  </si>
  <si>
    <t>Forget Me Not</t>
  </si>
  <si>
    <t>Tyler Oliver</t>
  </si>
  <si>
    <t>Rebecca</t>
  </si>
  <si>
    <t>Friday the 13th Part 2</t>
  </si>
  <si>
    <t>The Lost Weekend</t>
  </si>
  <si>
    <t>C.H.U.D.</t>
  </si>
  <si>
    <t>Douglas Cheek</t>
  </si>
  <si>
    <t>Filly Brown</t>
  </si>
  <si>
    <t>The Lion of Judah</t>
  </si>
  <si>
    <t>Deryck Broom</t>
  </si>
  <si>
    <t>Niagara</t>
  </si>
  <si>
    <t>Henry Hathaway</t>
  </si>
  <si>
    <t>How Green Was My Valley</t>
  </si>
  <si>
    <t>Da Sweet Blood of Jesus</t>
  </si>
  <si>
    <t>Sex, Lies, and Videotape</t>
  </si>
  <si>
    <t>Saw</t>
  </si>
  <si>
    <t>Super Troopers</t>
  </si>
  <si>
    <t>The Algerian</t>
  </si>
  <si>
    <t>Giovanni Zelko</t>
  </si>
  <si>
    <t>The Amazing Catfish</t>
  </si>
  <si>
    <t>Claudia Sainte-Luce</t>
  </si>
  <si>
    <t>Monsoon Wedding</t>
  </si>
  <si>
    <t>You Can Count on Me</t>
  </si>
  <si>
    <t>The Trouble with Harry</t>
  </si>
  <si>
    <t>But I'm a Cheerleader</t>
  </si>
  <si>
    <t>Jamie Babbit</t>
  </si>
  <si>
    <t>Home Run</t>
  </si>
  <si>
    <t>David Boyd</t>
  </si>
  <si>
    <t>Reservoir Dogs</t>
  </si>
  <si>
    <t>The Blue Bird</t>
  </si>
  <si>
    <t>The Good, the Bad and the Ugly</t>
  </si>
  <si>
    <t>The Second Mother</t>
  </si>
  <si>
    <t>Anna Muylaert</t>
  </si>
  <si>
    <t>Blue Like Jazz</t>
  </si>
  <si>
    <t>Steve Taylor</t>
  </si>
  <si>
    <t>Down and Out with the Dolls</t>
  </si>
  <si>
    <t>Kurt Voss</t>
  </si>
  <si>
    <t>Pink Ribbons, Inc.</t>
  </si>
  <si>
    <t>Certifiably Jonathan</t>
  </si>
  <si>
    <t>James David Pasternak</t>
  </si>
  <si>
    <t>Q</t>
  </si>
  <si>
    <t>Laurent Bouhnik</t>
  </si>
  <si>
    <t>The Knife of Don Juan</t>
  </si>
  <si>
    <t>Tom Sanchez</t>
  </si>
  <si>
    <t>Grand Theft Parsons</t>
  </si>
  <si>
    <t>David Caffrey</t>
  </si>
  <si>
    <t>Extreme Movie</t>
  </si>
  <si>
    <t>Adam Jay Epstein</t>
  </si>
  <si>
    <t>The Charge of the Light Brigade</t>
  </si>
  <si>
    <t>Below Zero</t>
  </si>
  <si>
    <t>Justin Thomas Ostensen</t>
  </si>
  <si>
    <t>Crowsnest</t>
  </si>
  <si>
    <t>Brenton Spencer</t>
  </si>
  <si>
    <t>Airborne</t>
  </si>
  <si>
    <t>Cotton Comes to Harlem</t>
  </si>
  <si>
    <t>Ossie Davis</t>
  </si>
  <si>
    <t>The Wicked Within</t>
  </si>
  <si>
    <t>Jay Alaimo</t>
  </si>
  <si>
    <t>Bleeding Hearts</t>
  </si>
  <si>
    <t>Dylan Bank</t>
  </si>
  <si>
    <t>Waiting...</t>
  </si>
  <si>
    <t>Rob Mckittrick</t>
  </si>
  <si>
    <t>Dead Man's Shoes</t>
  </si>
  <si>
    <t>From a Whisper to a Scream</t>
  </si>
  <si>
    <t>Jeff Burr</t>
  </si>
  <si>
    <t>Sex with Strangers</t>
  </si>
  <si>
    <t>Harry Gantz</t>
  </si>
  <si>
    <t>Dracula: Pages from a Virgin's Diary</t>
  </si>
  <si>
    <t>Guy Maddin</t>
  </si>
  <si>
    <t>Faith Like Potatoes</t>
  </si>
  <si>
    <t>Regardt Van Den Bergh</t>
  </si>
  <si>
    <t>Beyond the Black Rainbow</t>
  </si>
  <si>
    <t>Panos Cosmatos</t>
  </si>
  <si>
    <t>The Raid: Redemption</t>
  </si>
  <si>
    <t>Gareth Evans</t>
  </si>
  <si>
    <t>Indonesian</t>
  </si>
  <si>
    <t>The Dead Undead</t>
  </si>
  <si>
    <t>Matthew R. Anderson</t>
  </si>
  <si>
    <t>The Vatican Exorcisms</t>
  </si>
  <si>
    <t>Joe Marino</t>
  </si>
  <si>
    <t>Casablanca</t>
  </si>
  <si>
    <t>Lake Mungo</t>
  </si>
  <si>
    <t>Joel Anderson</t>
  </si>
  <si>
    <t>Rocket Singh: Salesman of the Year</t>
  </si>
  <si>
    <t>Shimit Amin</t>
  </si>
  <si>
    <t>Silent Running</t>
  </si>
  <si>
    <t>Douglas Trumbull</t>
  </si>
  <si>
    <t>Rocky</t>
  </si>
  <si>
    <t>The Sleepwalker</t>
  </si>
  <si>
    <t>Mona Fastvold</t>
  </si>
  <si>
    <t>Tom Jones</t>
  </si>
  <si>
    <t>Unfriended</t>
  </si>
  <si>
    <t>Levan Gabriadze</t>
  </si>
  <si>
    <t>Taxi Driver</t>
  </si>
  <si>
    <t>The Howling</t>
  </si>
  <si>
    <t>Dr. No</t>
  </si>
  <si>
    <t>Chernobyl Diaries</t>
  </si>
  <si>
    <t>Bradley Parker</t>
  </si>
  <si>
    <t>Hellraiser</t>
  </si>
  <si>
    <t>Clive Barker</t>
  </si>
  <si>
    <t>God's Not Dead 2</t>
  </si>
  <si>
    <t>Harold Cronk</t>
  </si>
  <si>
    <t>Cry_Wolf</t>
  </si>
  <si>
    <t>Godzilla 2000</t>
  </si>
  <si>
    <t>Takao Okawara</t>
  </si>
  <si>
    <t>Blue Valentine</t>
  </si>
  <si>
    <t>Transamerica</t>
  </si>
  <si>
    <t>Duncan Tucker</t>
  </si>
  <si>
    <t>The Devil Inside</t>
  </si>
  <si>
    <t>Beyond the Valley of the Dolls</t>
  </si>
  <si>
    <t>Russ Meyer</t>
  </si>
  <si>
    <t>Love Me Tender</t>
  </si>
  <si>
    <t>Robert D. Webb</t>
  </si>
  <si>
    <t>An Inconvenient Truth</t>
  </si>
  <si>
    <t>Sands of Iwo Jima</t>
  </si>
  <si>
    <t>Allan Dwan</t>
  </si>
  <si>
    <t>Shine a Light</t>
  </si>
  <si>
    <t>The Green Inferno</t>
  </si>
  <si>
    <t>Departure</t>
  </si>
  <si>
    <t>Andrew Steggall</t>
  </si>
  <si>
    <t>The Sessions</t>
  </si>
  <si>
    <t>Ben Lewin</t>
  </si>
  <si>
    <t>Food, Inc.</t>
  </si>
  <si>
    <t>Robert Kenner</t>
  </si>
  <si>
    <t>October Baby</t>
  </si>
  <si>
    <t>Next Stop Wonderland</t>
  </si>
  <si>
    <t>The Skeleton Twins</t>
  </si>
  <si>
    <t>Craig Johnson</t>
  </si>
  <si>
    <t>Martha Marcy May Marlene</t>
  </si>
  <si>
    <t>Sean Durkin</t>
  </si>
  <si>
    <t>Obvious Child</t>
  </si>
  <si>
    <t>Gillian Robespierre</t>
  </si>
  <si>
    <t>Frozen River</t>
  </si>
  <si>
    <t>Courtney Hunt</t>
  </si>
  <si>
    <t>20 Feet from Stardom</t>
  </si>
  <si>
    <t>Morgan Neville</t>
  </si>
  <si>
    <t>Two Girls and a Guy</t>
  </si>
  <si>
    <t>Walking and Talking</t>
  </si>
  <si>
    <t>Who Killed the Electric Car?</t>
  </si>
  <si>
    <t>Chris Paine</t>
  </si>
  <si>
    <t>The Broken Hearts Club: A Romantic Comedy</t>
  </si>
  <si>
    <t>Greg Berlanti</t>
  </si>
  <si>
    <t>Bubba Ho-Tep</t>
  </si>
  <si>
    <t>Slam</t>
  </si>
  <si>
    <t>Marc Levin</t>
  </si>
  <si>
    <t>Brigham City</t>
  </si>
  <si>
    <t>Richard Dutcher</t>
  </si>
  <si>
    <t>Fiza</t>
  </si>
  <si>
    <t>Khalid Mohamed</t>
  </si>
  <si>
    <t>Orgazmo</t>
  </si>
  <si>
    <t>All the Real Girls</t>
  </si>
  <si>
    <t>Dream with the Fishes</t>
  </si>
  <si>
    <t>Finn Taylor</t>
  </si>
  <si>
    <t>Blue Car</t>
  </si>
  <si>
    <t>Luminarias</t>
  </si>
  <si>
    <t>José Luis Valenzuela</t>
  </si>
  <si>
    <t>Palo Alto</t>
  </si>
  <si>
    <t>Gia Coppola</t>
  </si>
  <si>
    <t>Ajami</t>
  </si>
  <si>
    <t>Scandar Copti</t>
  </si>
  <si>
    <t>Wristcutters: A Love Story</t>
  </si>
  <si>
    <t>Goran Dukic</t>
  </si>
  <si>
    <t>I Origins</t>
  </si>
  <si>
    <t>Mike Cahill</t>
  </si>
  <si>
    <t>The Battle of Shaker Heights</t>
  </si>
  <si>
    <t>Efram Potelle</t>
  </si>
  <si>
    <t>The Act of Killing</t>
  </si>
  <si>
    <t>Joshua Oppenheimer</t>
  </si>
  <si>
    <t>Taxi to the Dark Side</t>
  </si>
  <si>
    <t>Alex Gibney</t>
  </si>
  <si>
    <t>Once in a Lifetime: The Extraordinary Story of the New York Cosmos</t>
  </si>
  <si>
    <t>Paul Crowder</t>
  </si>
  <si>
    <t>Guiana 1838</t>
  </si>
  <si>
    <t>Rohit Jagessar</t>
  </si>
  <si>
    <t>Lisa Picard Is Famous</t>
  </si>
  <si>
    <t>Antarctica: A Year on Ice</t>
  </si>
  <si>
    <t>Anthony Powell</t>
  </si>
  <si>
    <t>A Lego Brickumentary</t>
  </si>
  <si>
    <t>Kief Davidson</t>
  </si>
  <si>
    <t>Hardflip</t>
  </si>
  <si>
    <t>Johnny Remo</t>
  </si>
  <si>
    <t>Chocolate: Deep Dark Secrets</t>
  </si>
  <si>
    <t>Vivek Agnihotri</t>
  </si>
  <si>
    <t>The House of the Devil</t>
  </si>
  <si>
    <t>Ti West</t>
  </si>
  <si>
    <t>The Perfect Host</t>
  </si>
  <si>
    <t>Nick Tomnay</t>
  </si>
  <si>
    <t>Safe Men</t>
  </si>
  <si>
    <t>Speedway Junky</t>
  </si>
  <si>
    <t>Nickolas Perry</t>
  </si>
  <si>
    <t>The Last Big Thing</t>
  </si>
  <si>
    <t>Dan Zukovic</t>
  </si>
  <si>
    <t>The Specials</t>
  </si>
  <si>
    <t>16 to Life</t>
  </si>
  <si>
    <t>Becky Smith</t>
  </si>
  <si>
    <t>Alone with Her</t>
  </si>
  <si>
    <t>Eric Nicholas</t>
  </si>
  <si>
    <t>Creative Control</t>
  </si>
  <si>
    <t>Benjamin Dickinson</t>
  </si>
  <si>
    <t>Special</t>
  </si>
  <si>
    <t>Hal Haberman</t>
  </si>
  <si>
    <t>Sparkler</t>
  </si>
  <si>
    <t>The Helix... Loaded</t>
  </si>
  <si>
    <t>A. Raven Cruz</t>
  </si>
  <si>
    <t>In Her Line of Fire</t>
  </si>
  <si>
    <t>The Jimmy Show</t>
  </si>
  <si>
    <t>Frank Whaley</t>
  </si>
  <si>
    <t>Heli</t>
  </si>
  <si>
    <t>Amat Escalante</t>
  </si>
  <si>
    <t>Loving Annabelle</t>
  </si>
  <si>
    <t>Katherine Brooks</t>
  </si>
  <si>
    <t>Hits</t>
  </si>
  <si>
    <t>David Cross</t>
  </si>
  <si>
    <t>Jimmy and Judy</t>
  </si>
  <si>
    <t>Randall Rubin</t>
  </si>
  <si>
    <t>Frat Party</t>
  </si>
  <si>
    <t>Robert Bennett</t>
  </si>
  <si>
    <t>The Party's Over</t>
  </si>
  <si>
    <t>Proud</t>
  </si>
  <si>
    <t>Mary Pat Kelly</t>
  </si>
  <si>
    <t>The Poker House</t>
  </si>
  <si>
    <t>Lori Petty</t>
  </si>
  <si>
    <t>Childless</t>
  </si>
  <si>
    <t>Charlie Levi</t>
  </si>
  <si>
    <t>ZMD: Zombies of Mass Destruction</t>
  </si>
  <si>
    <t>Kevin Hamedani</t>
  </si>
  <si>
    <t>Snow White: A Deadly Summer</t>
  </si>
  <si>
    <t>David Decoteau</t>
  </si>
  <si>
    <t>Hidden Away</t>
  </si>
  <si>
    <t>Mikel Rueda</t>
  </si>
  <si>
    <t>My Last Day Without You</t>
  </si>
  <si>
    <t>Stefan C. Schaefer</t>
  </si>
  <si>
    <t>Steppin: The Movie</t>
  </si>
  <si>
    <t>Michael Taliferro</t>
  </si>
  <si>
    <t>Doc Holliday's Revenge</t>
  </si>
  <si>
    <t>Black Rock</t>
  </si>
  <si>
    <t>Katie Aselton</t>
  </si>
  <si>
    <t>Truth or Die</t>
  </si>
  <si>
    <t>Robert Heath</t>
  </si>
  <si>
    <t>The Pet</t>
  </si>
  <si>
    <t>D. Stevens</t>
  </si>
  <si>
    <t>Bang Bang Baby</t>
  </si>
  <si>
    <t>Jeffrey St. Jules</t>
  </si>
  <si>
    <t>Fear Clinic</t>
  </si>
  <si>
    <t>Robert Hall</t>
  </si>
  <si>
    <t>Zombie Hunter</t>
  </si>
  <si>
    <t>K. King</t>
  </si>
  <si>
    <t>Charly</t>
  </si>
  <si>
    <t>Ralph Nelson</t>
  </si>
  <si>
    <t>Banshee Chapter</t>
  </si>
  <si>
    <t>Blair Erickson</t>
  </si>
  <si>
    <t>Ask Me Anything</t>
  </si>
  <si>
    <t>Allison Burnett</t>
  </si>
  <si>
    <t>And Then Came Love</t>
  </si>
  <si>
    <t>Richard Schenkman</t>
  </si>
  <si>
    <t>Food Chains</t>
  </si>
  <si>
    <t>Sanjay Rawal</t>
  </si>
  <si>
    <t>On the Waterfront</t>
  </si>
  <si>
    <t>L!fe Happens</t>
  </si>
  <si>
    <t>Kat Coiro</t>
  </si>
  <si>
    <t>4 Months, 3 Weeks and 2 Days</t>
  </si>
  <si>
    <t>Cristian Mungiu</t>
  </si>
  <si>
    <t>Romanian</t>
  </si>
  <si>
    <t>The Horror Network Vol. 1</t>
  </si>
  <si>
    <t>Brian Dorton</t>
  </si>
  <si>
    <t>Hard Candy</t>
  </si>
  <si>
    <t>The Quiet</t>
  </si>
  <si>
    <t>Circumstance</t>
  </si>
  <si>
    <t>Maryam Keshavarz</t>
  </si>
  <si>
    <t>Persian</t>
  </si>
  <si>
    <t>Fruitvale Station</t>
  </si>
  <si>
    <t>The Brass Teapot</t>
  </si>
  <si>
    <t>Ramaa Mosley</t>
  </si>
  <si>
    <t>Bambi</t>
  </si>
  <si>
    <t>The Hammer</t>
  </si>
  <si>
    <t>Latter Days</t>
  </si>
  <si>
    <t>C. Jay Cox</t>
  </si>
  <si>
    <t>Elza</t>
  </si>
  <si>
    <t>Mariette Monpierre</t>
  </si>
  <si>
    <t>1982</t>
  </si>
  <si>
    <t>Tommy Oliver</t>
  </si>
  <si>
    <t>For a Good Time, Call...</t>
  </si>
  <si>
    <t>Jamie Travis</t>
  </si>
  <si>
    <t>Celeste &amp; Jesse Forever</t>
  </si>
  <si>
    <t>Time Changer</t>
  </si>
  <si>
    <t>Rich Christiano</t>
  </si>
  <si>
    <t>London to Brighton</t>
  </si>
  <si>
    <t>American Hero</t>
  </si>
  <si>
    <t>Windsor Drive</t>
  </si>
  <si>
    <t>Natalie Bible'</t>
  </si>
  <si>
    <t>A Separation</t>
  </si>
  <si>
    <t>Asghar Farhadi</t>
  </si>
  <si>
    <t>Crying with Laughter</t>
  </si>
  <si>
    <t>Justin Molotnikov</t>
  </si>
  <si>
    <t>Welcome to the Dollhouse</t>
  </si>
  <si>
    <t>Ruby in Paradise</t>
  </si>
  <si>
    <t>Raising Victor Vargas</t>
  </si>
  <si>
    <t>Pandora's Box</t>
  </si>
  <si>
    <t>Georg Wilhelm Pabst</t>
  </si>
  <si>
    <t>Harrison Montgomery</t>
  </si>
  <si>
    <t>Daniel Davila</t>
  </si>
  <si>
    <t>Live-In Maid</t>
  </si>
  <si>
    <t>Jorge Gaggero</t>
  </si>
  <si>
    <t>Deterrence</t>
  </si>
  <si>
    <t>The Mudge Boy</t>
  </si>
  <si>
    <t>Michael Burke</t>
  </si>
  <si>
    <t>The Young Unknowns</t>
  </si>
  <si>
    <t>Catherine Jelski</t>
  </si>
  <si>
    <t>Not Cool</t>
  </si>
  <si>
    <t>Shane Dawson</t>
  </si>
  <si>
    <t>Dead Snow</t>
  </si>
  <si>
    <t>Saints and Soldiers</t>
  </si>
  <si>
    <t>Ryan Little</t>
  </si>
  <si>
    <t>Vessel</t>
  </si>
  <si>
    <t>Clark Baker</t>
  </si>
  <si>
    <t>American Graffiti</t>
  </si>
  <si>
    <t>Iraq for Sale: The War Profiteers</t>
  </si>
  <si>
    <t>Aqua Teen Hunger Force Colon Movie Film for Theaters</t>
  </si>
  <si>
    <t>Matt Maiellaro</t>
  </si>
  <si>
    <t>Safety Not Guaranteed</t>
  </si>
  <si>
    <t>Kevin Hart: Laugh at My Pain</t>
  </si>
  <si>
    <t>Kill List</t>
  </si>
  <si>
    <t>Ben Wheatley</t>
  </si>
  <si>
    <t>The Innkeepers</t>
  </si>
  <si>
    <t>The Conformist</t>
  </si>
  <si>
    <t>Interview with the Assassin</t>
  </si>
  <si>
    <t>Donkey Punch</t>
  </si>
  <si>
    <t>Oliver Blackburn</t>
  </si>
  <si>
    <t>All the Boys Love Mandy Lane</t>
  </si>
  <si>
    <t>Bled</t>
  </si>
  <si>
    <t>Christopher Hutson</t>
  </si>
  <si>
    <t>High Noon</t>
  </si>
  <si>
    <t>Hoop Dreams</t>
  </si>
  <si>
    <t>Rize</t>
  </si>
  <si>
    <t>David Lachapelle</t>
  </si>
  <si>
    <t>L.I.E.</t>
  </si>
  <si>
    <t>The Sisterhood of Night</t>
  </si>
  <si>
    <t>Caryn Waechter</t>
  </si>
  <si>
    <t>B-Girl</t>
  </si>
  <si>
    <t>Emily Dell</t>
  </si>
  <si>
    <t>Half Nelson</t>
  </si>
  <si>
    <t>Ryan Fleck</t>
  </si>
  <si>
    <t>Naturally Native</t>
  </si>
  <si>
    <t>Jennifer Wynne Farmer</t>
  </si>
  <si>
    <t>Hav Plenty</t>
  </si>
  <si>
    <t>Christopher Scott Cherot</t>
  </si>
  <si>
    <t>Adulterers</t>
  </si>
  <si>
    <t>H.M. Coakley</t>
  </si>
  <si>
    <t>Escape from Tomorrow</t>
  </si>
  <si>
    <t>Randy Moore</t>
  </si>
  <si>
    <t>Starsuckers</t>
  </si>
  <si>
    <t>Chris Atkins</t>
  </si>
  <si>
    <t>The Hadza: Last of the First</t>
  </si>
  <si>
    <t>Bill Benenson</t>
  </si>
  <si>
    <t>After</t>
  </si>
  <si>
    <t>Ryan Smith</t>
  </si>
  <si>
    <t>Treachery</t>
  </si>
  <si>
    <t>Travis Romero</t>
  </si>
  <si>
    <t>Walter</t>
  </si>
  <si>
    <t>Anna Mastro</t>
  </si>
  <si>
    <t>Top Hat</t>
  </si>
  <si>
    <t>Mark Sandrich</t>
  </si>
  <si>
    <t>The Blair Witch Project</t>
  </si>
  <si>
    <t>Daniel Myrick</t>
  </si>
  <si>
    <t>Woodstock</t>
  </si>
  <si>
    <t>Michael Wadleigh</t>
  </si>
  <si>
    <t>The Kentucky Fried Movie</t>
  </si>
  <si>
    <t>Mercy Streets</t>
  </si>
  <si>
    <t>Arnolds Park</t>
  </si>
  <si>
    <t>Gene Teigland</t>
  </si>
  <si>
    <t>Broken Vessels</t>
  </si>
  <si>
    <t>Scott Ziehl</t>
  </si>
  <si>
    <t>Water &amp; Power</t>
  </si>
  <si>
    <t>Richard Montoya</t>
  </si>
  <si>
    <t>They Will Have to Kill Us First</t>
  </si>
  <si>
    <t>Johanna Schwartz</t>
  </si>
  <si>
    <t>Crop Circles: Quest for Truth</t>
  </si>
  <si>
    <t>William Gazecki</t>
  </si>
  <si>
    <t>Light from the Darkroom</t>
  </si>
  <si>
    <t>Lance Mcdaniel</t>
  </si>
  <si>
    <t>Irreplaceable</t>
  </si>
  <si>
    <t>Thomas Lilti</t>
  </si>
  <si>
    <t>The Maid's Room</t>
  </si>
  <si>
    <t>Michael Walker</t>
  </si>
  <si>
    <t>A Hard Day's Night</t>
  </si>
  <si>
    <t>The Harvest/La Cosecha</t>
  </si>
  <si>
    <t>U. Roberto Romano</t>
  </si>
  <si>
    <t>Love Letters</t>
  </si>
  <si>
    <t>Amy Holden Jones</t>
  </si>
  <si>
    <t>Julija in alfa Romeo</t>
  </si>
  <si>
    <t>Blaz Zavrsnik</t>
  </si>
  <si>
    <t>Slovenian</t>
  </si>
  <si>
    <t>Fireproof</t>
  </si>
  <si>
    <t>Faith Connections</t>
  </si>
  <si>
    <t>Pan Nalin</t>
  </si>
  <si>
    <t>Benji</t>
  </si>
  <si>
    <t>Joe Camp</t>
  </si>
  <si>
    <t>Open Water</t>
  </si>
  <si>
    <t>High Road</t>
  </si>
  <si>
    <t>Matt Walsh</t>
  </si>
  <si>
    <t>Kingdom of the Spiders</t>
  </si>
  <si>
    <t>John 'Bud' Cardos</t>
  </si>
  <si>
    <t>Mad Hot Ballroom</t>
  </si>
  <si>
    <t>Marilyn Agrelo</t>
  </si>
  <si>
    <t>The Station Agent</t>
  </si>
  <si>
    <t>To Save a Life</t>
  </si>
  <si>
    <t>Brian Baugh</t>
  </si>
  <si>
    <t>Wordplay</t>
  </si>
  <si>
    <t>Patrick Creadon</t>
  </si>
  <si>
    <t>Beyond the Mat</t>
  </si>
  <si>
    <t>Barry W. Blaustein</t>
  </si>
  <si>
    <t>The Singles Ward</t>
  </si>
  <si>
    <t>Kurt Hale</t>
  </si>
  <si>
    <t>Osama</t>
  </si>
  <si>
    <t>Siddiq Barmak</t>
  </si>
  <si>
    <t>Sholem Aleichem: Laughing in the Darkness</t>
  </si>
  <si>
    <t>Joseph Dorman</t>
  </si>
  <si>
    <t>Groove</t>
  </si>
  <si>
    <t>Greg Harrison</t>
  </si>
  <si>
    <t>The R.M.</t>
  </si>
  <si>
    <t>Twin Falls Idaho</t>
  </si>
  <si>
    <t>Mean Creek</t>
  </si>
  <si>
    <t>Jacob Aaron Estes</t>
  </si>
  <si>
    <t>Hurricane Streets</t>
  </si>
  <si>
    <t>Never Again</t>
  </si>
  <si>
    <t>Eric Schaeffer</t>
  </si>
  <si>
    <t>Civil Brand</t>
  </si>
  <si>
    <t>Neema Barnette</t>
  </si>
  <si>
    <t>Lonesome Jim</t>
  </si>
  <si>
    <t>Drinking Buddies</t>
  </si>
  <si>
    <t>Joe Swanberg</t>
  </si>
  <si>
    <t>Deceptive Practice: The Mysteries and Mentors of Ricky Jay</t>
  </si>
  <si>
    <t>Molly Bernstein</t>
  </si>
  <si>
    <t>Seven Samurai</t>
  </si>
  <si>
    <t>The Other Dream Team</t>
  </si>
  <si>
    <t>Marius A. Markevicius</t>
  </si>
  <si>
    <t>Johnny Suede</t>
  </si>
  <si>
    <t>Tom Dicillo</t>
  </si>
  <si>
    <t>Finishing the Game: The Search for a New Bruce Lee</t>
  </si>
  <si>
    <t>Rubber</t>
  </si>
  <si>
    <t>Quentin Dupieux</t>
  </si>
  <si>
    <t>Kiss the Bride</t>
  </si>
  <si>
    <t>The Slaughter Rule</t>
  </si>
  <si>
    <t>Alex Smith</t>
  </si>
  <si>
    <t>Monsters</t>
  </si>
  <si>
    <t>Gareth Edwards</t>
  </si>
  <si>
    <t>The Californians</t>
  </si>
  <si>
    <t>Jonathan Parker</t>
  </si>
  <si>
    <t>The Living Wake</t>
  </si>
  <si>
    <t>Sol Tryon</t>
  </si>
  <si>
    <t>Detention of the Dead</t>
  </si>
  <si>
    <t>Alex Craig Mann</t>
  </si>
  <si>
    <t>Crazy Stone</t>
  </si>
  <si>
    <t>Scott Walker: 30 Century Man</t>
  </si>
  <si>
    <t>Stephen Kijak</t>
  </si>
  <si>
    <t>Everything Put Together</t>
  </si>
  <si>
    <t>Good Kill</t>
  </si>
  <si>
    <t>Insomnia Manica</t>
  </si>
  <si>
    <t>Daston Kalili</t>
  </si>
  <si>
    <t>The Outrageous Sophie Tucker</t>
  </si>
  <si>
    <t>Now Is Good</t>
  </si>
  <si>
    <t>Girls Gone Dead</t>
  </si>
  <si>
    <t>Michael Hoffman Jr.</t>
  </si>
  <si>
    <t>America Is Still the Place</t>
  </si>
  <si>
    <t>Patrick Gilles</t>
  </si>
  <si>
    <t>History</t>
  </si>
  <si>
    <t>Subconscious</t>
  </si>
  <si>
    <t>Georgia Hilton</t>
  </si>
  <si>
    <t>Enter Nowhere</t>
  </si>
  <si>
    <t>Jack Heller</t>
  </si>
  <si>
    <t>The King of Najayo</t>
  </si>
  <si>
    <t>Fernando Baez Mella</t>
  </si>
  <si>
    <t>Fight to the Finish</t>
  </si>
  <si>
    <t>Warren Sheppard</t>
  </si>
  <si>
    <t>Alleluia! The Devil's Carnival</t>
  </si>
  <si>
    <t>The Sound and the Shadow</t>
  </si>
  <si>
    <t>Justin Paul Miller</t>
  </si>
  <si>
    <t>Rodeo Girl</t>
  </si>
  <si>
    <t>Joel Paul Reisig</t>
  </si>
  <si>
    <t>Born to Fly: Elizabeth Streb vs. Gravity</t>
  </si>
  <si>
    <t>Catherine Gund</t>
  </si>
  <si>
    <t>The Little Ponderosa Zoo</t>
  </si>
  <si>
    <t>Luke Dye</t>
  </si>
  <si>
    <t>The Toxic Avenger</t>
  </si>
  <si>
    <t>Straight Out of Brooklyn</t>
  </si>
  <si>
    <t>Bloody Sunday</t>
  </si>
  <si>
    <t>Diamond Ruff</t>
  </si>
  <si>
    <t>Alec Asten</t>
  </si>
  <si>
    <t>Conversations with Other Women</t>
  </si>
  <si>
    <t>Hans Canosa</t>
  </si>
  <si>
    <t>Poultrygeist: Night of the Chicken Dead</t>
  </si>
  <si>
    <t>Lloyd Kaufman</t>
  </si>
  <si>
    <t>Mutual Friends</t>
  </si>
  <si>
    <t>Matthew Watts</t>
  </si>
  <si>
    <t>42nd Street</t>
  </si>
  <si>
    <t>Lloyd Bacon</t>
  </si>
  <si>
    <t>Rise of the Entrepreneur: The Search for a Better Way</t>
  </si>
  <si>
    <t>Joe Kenemore</t>
  </si>
  <si>
    <t>Metropolitan</t>
  </si>
  <si>
    <t>As It Is in Heaven</t>
  </si>
  <si>
    <t>Kay Pollak</t>
  </si>
  <si>
    <t>Roadside</t>
  </si>
  <si>
    <t>Eric England</t>
  </si>
  <si>
    <t>Napoleon Dynamite</t>
  </si>
  <si>
    <t>Blue Ruin</t>
  </si>
  <si>
    <t>Paranormal Activity</t>
  </si>
  <si>
    <t>Dogtown and Z-Boys</t>
  </si>
  <si>
    <t>Monty Python and the Holy Grail</t>
  </si>
  <si>
    <t>Quinceañera</t>
  </si>
  <si>
    <t>Gory Gory Hallelujah</t>
  </si>
  <si>
    <t>Sue Corcoran</t>
  </si>
  <si>
    <t>Tarnation</t>
  </si>
  <si>
    <t>Jonathan Caouette</t>
  </si>
  <si>
    <t>I Want Your Money</t>
  </si>
  <si>
    <t>Ray Griggs</t>
  </si>
  <si>
    <t>Love in the Time of Monsters</t>
  </si>
  <si>
    <t>Matt Jackson</t>
  </si>
  <si>
    <t>The Beyond</t>
  </si>
  <si>
    <t>Lucio Fulci</t>
  </si>
  <si>
    <t>What Happens in Vegas</t>
  </si>
  <si>
    <t>The Dark Hours</t>
  </si>
  <si>
    <t>Paul Fox</t>
  </si>
  <si>
    <t>My Beautiful Laundrette</t>
  </si>
  <si>
    <t>Fabled</t>
  </si>
  <si>
    <t>Ari Kirschenbaum</t>
  </si>
  <si>
    <t>Show Me</t>
  </si>
  <si>
    <t>Cassandra Nicolaou</t>
  </si>
  <si>
    <t>Cries &amp; Whispers</t>
  </si>
  <si>
    <t>Ingmar Bergman</t>
  </si>
  <si>
    <t>Trekkies</t>
  </si>
  <si>
    <t>Roger Nygard</t>
  </si>
  <si>
    <t>The Broadway Melody</t>
  </si>
  <si>
    <t>Harry Beaumont</t>
  </si>
  <si>
    <t>The Evil Dead</t>
  </si>
  <si>
    <t>Maniac</t>
  </si>
  <si>
    <t>Franck Khalfoun</t>
  </si>
  <si>
    <t>Censored Voices</t>
  </si>
  <si>
    <t>Mor Loushy</t>
  </si>
  <si>
    <t>Murderball</t>
  </si>
  <si>
    <t>Henry Alex Rubin</t>
  </si>
  <si>
    <t>American Ninja 2: The Confrontation</t>
  </si>
  <si>
    <t>Sam Firstenberg</t>
  </si>
  <si>
    <t>51 Birch Street</t>
  </si>
  <si>
    <t>Doug Block</t>
  </si>
  <si>
    <t>Rotor DR1</t>
  </si>
  <si>
    <t>Chad Kapper</t>
  </si>
  <si>
    <t>12 Angry Men</t>
  </si>
  <si>
    <t>My Dog Tulip</t>
  </si>
  <si>
    <t>Paul Fierlinger</t>
  </si>
  <si>
    <t>It Happened One Night</t>
  </si>
  <si>
    <t>Dogtooth</t>
  </si>
  <si>
    <t>Yorgos Lanthimos</t>
  </si>
  <si>
    <t>Greek</t>
  </si>
  <si>
    <t>Tupac: Resurrection</t>
  </si>
  <si>
    <t>Lauren Lazin</t>
  </si>
  <si>
    <t>Tumbleweeds</t>
  </si>
  <si>
    <t>The Prophecy</t>
  </si>
  <si>
    <t>Gregory Widen</t>
  </si>
  <si>
    <t>When the Cat's Away</t>
  </si>
  <si>
    <t>Pieces of April</t>
  </si>
  <si>
    <t>The Big Swap</t>
  </si>
  <si>
    <t>Niall Johnson</t>
  </si>
  <si>
    <t>Old Joy</t>
  </si>
  <si>
    <t>Wendy and Lucy</t>
  </si>
  <si>
    <t>3 Backyards</t>
  </si>
  <si>
    <t>Eric Mendelsohn</t>
  </si>
  <si>
    <t>Pierrot le Fou</t>
  </si>
  <si>
    <t>Jean-Luc Godard</t>
  </si>
  <si>
    <t>Sisters in Law</t>
  </si>
  <si>
    <t>Florence Ayisi</t>
  </si>
  <si>
    <t>Ayurveda: Art of Being</t>
  </si>
  <si>
    <t>Nothing But a Man</t>
  </si>
  <si>
    <t>Michael Roemer</t>
  </si>
  <si>
    <t>First Love, Last Rites</t>
  </si>
  <si>
    <t>Fighting Tommy Riley</t>
  </si>
  <si>
    <t>Eddie O'Flaherty</t>
  </si>
  <si>
    <t>Royal Kill</t>
  </si>
  <si>
    <t>Babar Ahmed</t>
  </si>
  <si>
    <t>The Looking Glass</t>
  </si>
  <si>
    <t>John D. Hancock</t>
  </si>
  <si>
    <t>Death Race 2000</t>
  </si>
  <si>
    <t>Paul Bartel</t>
  </si>
  <si>
    <t>Locker 13</t>
  </si>
  <si>
    <t>Bruce Dellis</t>
  </si>
  <si>
    <t>Midnight Cabaret</t>
  </si>
  <si>
    <t>Pece Dingo</t>
  </si>
  <si>
    <t>Anderson's Cross</t>
  </si>
  <si>
    <t>Jerome Elston Scott</t>
  </si>
  <si>
    <t>Bizarre</t>
  </si>
  <si>
    <t>Étienne Faure</t>
  </si>
  <si>
    <t>Graduation Day</t>
  </si>
  <si>
    <t>Herb Freed</t>
  </si>
  <si>
    <t>Some Guy Who Kills People</t>
  </si>
  <si>
    <t>Jack Perez</t>
  </si>
  <si>
    <t>Compliance</t>
  </si>
  <si>
    <t>Craig Zobel</t>
  </si>
  <si>
    <t>Chasing Amy</t>
  </si>
  <si>
    <t>Lovely &amp; Amazing</t>
  </si>
  <si>
    <t>Death Calls</t>
  </si>
  <si>
    <t>Ken Del Conte</t>
  </si>
  <si>
    <t>Better Luck Tomorrow</t>
  </si>
  <si>
    <t>The Incredibly True Adventure of Two Girls in Love</t>
  </si>
  <si>
    <t>Maria Maggenti</t>
  </si>
  <si>
    <t>Chuck &amp; Buck</t>
  </si>
  <si>
    <t>American Desi</t>
  </si>
  <si>
    <t>Piyush Dinker Pandya</t>
  </si>
  <si>
    <t>Amidst the Devil's Wings</t>
  </si>
  <si>
    <t>Daniel Columbie</t>
  </si>
  <si>
    <t>Cube</t>
  </si>
  <si>
    <t>Love and Other Catastrophes</t>
  </si>
  <si>
    <t>Emma-Kate Croghan</t>
  </si>
  <si>
    <t>I Married a Strange Person!</t>
  </si>
  <si>
    <t>Bill Plympton</t>
  </si>
  <si>
    <t>November</t>
  </si>
  <si>
    <t>Like Crazy</t>
  </si>
  <si>
    <t>Drake Doremus</t>
  </si>
  <si>
    <t>Teeth and Blood</t>
  </si>
  <si>
    <t>Al Franklin</t>
  </si>
  <si>
    <t>Sugar Town</t>
  </si>
  <si>
    <t>The Motel</t>
  </si>
  <si>
    <t>Michael Kang</t>
  </si>
  <si>
    <t>The Canyons</t>
  </si>
  <si>
    <t>On the Outs</t>
  </si>
  <si>
    <t>Lori Silverbush</t>
  </si>
  <si>
    <t>Shotgun Stories</t>
  </si>
  <si>
    <t>Exam</t>
  </si>
  <si>
    <t>Stuart Hazeldine</t>
  </si>
  <si>
    <t>The Sticky Fingers of Time</t>
  </si>
  <si>
    <t>Hilary Brougher</t>
  </si>
  <si>
    <t>Sunday School Musical</t>
  </si>
  <si>
    <t>Rachel Goldenberg</t>
  </si>
  <si>
    <t>Rust</t>
  </si>
  <si>
    <t>Corbin Bernsen</t>
  </si>
  <si>
    <t>Ink</t>
  </si>
  <si>
    <t>Jamin Winans</t>
  </si>
  <si>
    <t>The Christmas Bunny</t>
  </si>
  <si>
    <t>Tom Seidman</t>
  </si>
  <si>
    <t>Jesus People</t>
  </si>
  <si>
    <t>Jason Naumann</t>
  </si>
  <si>
    <t>Butterfly</t>
  </si>
  <si>
    <t>Matt Cimber</t>
  </si>
  <si>
    <t>UnDivided</t>
  </si>
  <si>
    <t>Sam Martin</t>
  </si>
  <si>
    <t>The Frozen</t>
  </si>
  <si>
    <t>Andrew Hyatt</t>
  </si>
  <si>
    <t>Horse Camp</t>
  </si>
  <si>
    <t>Give Me Shelter</t>
  </si>
  <si>
    <t>Kristin Rizzo</t>
  </si>
  <si>
    <t>Little Big Top</t>
  </si>
  <si>
    <t>Ward Roberts</t>
  </si>
  <si>
    <t>Along the Roadside</t>
  </si>
  <si>
    <t>Zoran Lisinac</t>
  </si>
  <si>
    <t>Bronson</t>
  </si>
  <si>
    <t>Western Religion</t>
  </si>
  <si>
    <t>James O'Brien</t>
  </si>
  <si>
    <t>Burn</t>
  </si>
  <si>
    <t>Tom Putnam</t>
  </si>
  <si>
    <t>Urbania</t>
  </si>
  <si>
    <t>Jon Shear</t>
  </si>
  <si>
    <t>The Stewardesses</t>
  </si>
  <si>
    <t>Al Silliman Jr.</t>
  </si>
  <si>
    <t>The Beast from 20,000 Fathoms</t>
  </si>
  <si>
    <t>Eugène Lourié</t>
  </si>
  <si>
    <t>Mad Max</t>
  </si>
  <si>
    <t>Swingers</t>
  </si>
  <si>
    <t>A Fistful of Dollars</t>
  </si>
  <si>
    <t>She Done Him Wrong</t>
  </si>
  <si>
    <t>Lowell Sherman</t>
  </si>
  <si>
    <t>Short Cut to Nirvana: Kumbh Mela</t>
  </si>
  <si>
    <t>Maurizio Benazzo</t>
  </si>
  <si>
    <t>The Grace Card</t>
  </si>
  <si>
    <t>David G. Evans</t>
  </si>
  <si>
    <t>Middle of Nowhere</t>
  </si>
  <si>
    <t>3</t>
  </si>
  <si>
    <t>The Business of Fancydancing</t>
  </si>
  <si>
    <t>Sherman Alexie</t>
  </si>
  <si>
    <t>Call + Response</t>
  </si>
  <si>
    <t>Justin Dillon</t>
  </si>
  <si>
    <t>Malevolence</t>
  </si>
  <si>
    <t>Stevan Mena</t>
  </si>
  <si>
    <t>Shooting the Warwicks</t>
  </si>
  <si>
    <t>Super Hybrid</t>
  </si>
  <si>
    <t>Baghead</t>
  </si>
  <si>
    <t>Solitude</t>
  </si>
  <si>
    <t>Livingston Oden</t>
  </si>
  <si>
    <t>The Case of the Grinning Cat</t>
  </si>
  <si>
    <t>Chris Marker</t>
  </si>
  <si>
    <t>Ordet</t>
  </si>
  <si>
    <t>Carl Theodor Dreyer</t>
  </si>
  <si>
    <t>Good Dick</t>
  </si>
  <si>
    <t>Marianna Palka</t>
  </si>
  <si>
    <t>The Man from Earth</t>
  </si>
  <si>
    <t>The Trials of Darryl Hunt</t>
  </si>
  <si>
    <t>Ricki Stern</t>
  </si>
  <si>
    <t>An American Girl Holiday</t>
  </si>
  <si>
    <t>Nadia Tass</t>
  </si>
  <si>
    <t>Yesterday Was a Lie</t>
  </si>
  <si>
    <t>James Kerwin</t>
  </si>
  <si>
    <t>Theresa Is a Mother</t>
  </si>
  <si>
    <t>C. Fraser Press</t>
  </si>
  <si>
    <t>H.</t>
  </si>
  <si>
    <t>Rania Attieh</t>
  </si>
  <si>
    <t>Archaeology of a Woman</t>
  </si>
  <si>
    <t>Sharon Greytak</t>
  </si>
  <si>
    <t>Children of Heaven</t>
  </si>
  <si>
    <t>Majid Majidi</t>
  </si>
  <si>
    <t>Weekend</t>
  </si>
  <si>
    <t>Andrew Haigh</t>
  </si>
  <si>
    <t>She's Gotta Have It</t>
  </si>
  <si>
    <t>Butterfly Girl</t>
  </si>
  <si>
    <t>Cary Bell</t>
  </si>
  <si>
    <t>The World Is Mine</t>
  </si>
  <si>
    <t>Nicolae Constantin Tanase</t>
  </si>
  <si>
    <t>Another Earth</t>
  </si>
  <si>
    <t>Sweet Sweetback's Baadasssss Song</t>
  </si>
  <si>
    <t>Melvin Van Peebles</t>
  </si>
  <si>
    <t>Perfect Cowboy</t>
  </si>
  <si>
    <t>Ken Roht</t>
  </si>
  <si>
    <t>Tadpole</t>
  </si>
  <si>
    <t>Once</t>
  </si>
  <si>
    <t>The Woman Chaser</t>
  </si>
  <si>
    <t>Robinson Devor</t>
  </si>
  <si>
    <t>The Horse Boy</t>
  </si>
  <si>
    <t>Michel Orion Scott</t>
  </si>
  <si>
    <t>When the Lights Went Out</t>
  </si>
  <si>
    <t>Pat Holden</t>
  </si>
  <si>
    <t>Heroes of Dirt</t>
  </si>
  <si>
    <t>Eric Bugbee</t>
  </si>
  <si>
    <t>A Charlie Brown Christmas</t>
  </si>
  <si>
    <t>Bill Melendez</t>
  </si>
  <si>
    <t>Antarctic Edge: 70° South</t>
  </si>
  <si>
    <t>Dena Seidel</t>
  </si>
  <si>
    <t>Aroused</t>
  </si>
  <si>
    <t>Deborah Anderson</t>
  </si>
  <si>
    <t>Top Spin</t>
  </si>
  <si>
    <t>Sara Newens</t>
  </si>
  <si>
    <t>Roger &amp; Me</t>
  </si>
  <si>
    <t>An American in Hollywood</t>
  </si>
  <si>
    <t>Sai Varadan</t>
  </si>
  <si>
    <t>Sound of My Voice</t>
  </si>
  <si>
    <t>The Brain That Sings</t>
  </si>
  <si>
    <t>Amal Al-Agroobi</t>
  </si>
  <si>
    <t>The Blood of My Brother</t>
  </si>
  <si>
    <t>Andrew Berends</t>
  </si>
  <si>
    <t>Your Sister's Sister</t>
  </si>
  <si>
    <t>Lynn Shelton</t>
  </si>
  <si>
    <t>A Dog's Breakfast</t>
  </si>
  <si>
    <t>David Hewlett</t>
  </si>
  <si>
    <t>Une Femme Mariée</t>
  </si>
  <si>
    <t>The Birth of a Nation</t>
  </si>
  <si>
    <t>Nate Parker</t>
  </si>
  <si>
    <t>The Work and the Story</t>
  </si>
  <si>
    <t>Nathan Smith Jones</t>
  </si>
  <si>
    <t>Facing the Giants</t>
  </si>
  <si>
    <t>The Gallows</t>
  </si>
  <si>
    <t>Travis Cluff</t>
  </si>
  <si>
    <t>Eraserhead</t>
  </si>
  <si>
    <t>Hollywood Shuffle</t>
  </si>
  <si>
    <t>Robert Townsend</t>
  </si>
  <si>
    <t>The Mighty</t>
  </si>
  <si>
    <t>Penitentiary</t>
  </si>
  <si>
    <t>Jamaa Fanaka</t>
  </si>
  <si>
    <t>The Lost Skeleton of Cadavra</t>
  </si>
  <si>
    <t>Larry Blamire</t>
  </si>
  <si>
    <t>Dude, Where's My Dog?!</t>
  </si>
  <si>
    <t>Stephen Langford</t>
  </si>
  <si>
    <t>Cheap Thrills</t>
  </si>
  <si>
    <t>E.L. Katz</t>
  </si>
  <si>
    <t>Indie Game: The Movie</t>
  </si>
  <si>
    <t>Lisanne Pajot</t>
  </si>
  <si>
    <t>Closure</t>
  </si>
  <si>
    <t>Dan Reed</t>
  </si>
  <si>
    <t>Open Secret</t>
  </si>
  <si>
    <t>John Reinhardt</t>
  </si>
  <si>
    <t>Echo Dr.</t>
  </si>
  <si>
    <t>Patrick Ryan Sims</t>
  </si>
  <si>
    <t>The Night Visitor</t>
  </si>
  <si>
    <t>Laslo Benedek</t>
  </si>
  <si>
    <t>The Past is a Grotesque Animal</t>
  </si>
  <si>
    <t>Jason Miller</t>
  </si>
  <si>
    <t>Peace, Propaganda &amp; the Promised Land</t>
  </si>
  <si>
    <t>Sut Jhally</t>
  </si>
  <si>
    <t>Pi</t>
  </si>
  <si>
    <t>I Love You, Don't Touch Me!</t>
  </si>
  <si>
    <t>Julie Davis</t>
  </si>
  <si>
    <t>20 Dates</t>
  </si>
  <si>
    <t>Myles Berkowitz</t>
  </si>
  <si>
    <t>Queen Crab</t>
  </si>
  <si>
    <t>Brett Piper</t>
  </si>
  <si>
    <t>Super Size Me</t>
  </si>
  <si>
    <t>The FP</t>
  </si>
  <si>
    <t>Brandon Trost</t>
  </si>
  <si>
    <t>Happy Christmas</t>
  </si>
  <si>
    <t>The Brain That Wouldn't Die</t>
  </si>
  <si>
    <t>Joseph Green</t>
  </si>
  <si>
    <t>Tiger Orange</t>
  </si>
  <si>
    <t>Wade Gasque</t>
  </si>
  <si>
    <t>Supporting Characters</t>
  </si>
  <si>
    <t>Daniel Schechter</t>
  </si>
  <si>
    <t>Absentia</t>
  </si>
  <si>
    <t>The Brothers McMullen</t>
  </si>
  <si>
    <t>The Dirties</t>
  </si>
  <si>
    <t>Matt Johnson</t>
  </si>
  <si>
    <t>Gabriela</t>
  </si>
  <si>
    <t>Bruno Barreto</t>
  </si>
  <si>
    <t>Tiny Furniture</t>
  </si>
  <si>
    <t>Lena Dunham</t>
  </si>
  <si>
    <t>Hayride</t>
  </si>
  <si>
    <t>Terron R. Parsons</t>
  </si>
  <si>
    <t>Counting</t>
  </si>
  <si>
    <t>Jem Cohen</t>
  </si>
  <si>
    <t>The Call of Cthulhu</t>
  </si>
  <si>
    <t>Andrew Leman</t>
  </si>
  <si>
    <t>Bending Steel</t>
  </si>
  <si>
    <t>Dave Carroll</t>
  </si>
  <si>
    <t>The Signal</t>
  </si>
  <si>
    <t>William Eubank</t>
  </si>
  <si>
    <t>The Image Revolution</t>
  </si>
  <si>
    <t>Patrick Meaney</t>
  </si>
  <si>
    <t>This Is Martin Bonner</t>
  </si>
  <si>
    <t>Chad Hartigan</t>
  </si>
  <si>
    <t>A True Story</t>
  </si>
  <si>
    <t>Malcolm Goodwin</t>
  </si>
  <si>
    <t>George Washington</t>
  </si>
  <si>
    <t>Smiling Fish &amp; Goat on Fire</t>
  </si>
  <si>
    <t>Kevin Jordan</t>
  </si>
  <si>
    <t>Dawn of the Crescent Moon</t>
  </si>
  <si>
    <t>Kirk Loudon</t>
  </si>
  <si>
    <t>Raymond Did It</t>
  </si>
  <si>
    <t>Travis Legge</t>
  </si>
  <si>
    <t>The Last Waltz</t>
  </si>
  <si>
    <t>Run, Hide, Die</t>
  </si>
  <si>
    <t>Collin Joseph Neal</t>
  </si>
  <si>
    <t>The Exploding Girl</t>
  </si>
  <si>
    <t>Bradley Rust Gray</t>
  </si>
  <si>
    <t>The Legend of God's Gun</t>
  </si>
  <si>
    <t>Mike Bruce</t>
  </si>
  <si>
    <t>Mutual Appreciation</t>
  </si>
  <si>
    <t>Andrew Bujalski</t>
  </si>
  <si>
    <t>Her Cry: La Llorona Investigation</t>
  </si>
  <si>
    <t>Damir Catic</t>
  </si>
  <si>
    <t>Down Terrace</t>
  </si>
  <si>
    <t>Clerks</t>
  </si>
  <si>
    <t>Pink Narcissus</t>
  </si>
  <si>
    <t>James Bidgood</t>
  </si>
  <si>
    <t>Funny Ha Ha</t>
  </si>
  <si>
    <t>In the Company of Men</t>
  </si>
  <si>
    <t>Manito</t>
  </si>
  <si>
    <t>Eric Eason</t>
  </si>
  <si>
    <t>Rampage</t>
  </si>
  <si>
    <t>Slacker</t>
  </si>
  <si>
    <t>Dutch Kills</t>
  </si>
  <si>
    <t>Joseph Mazzella</t>
  </si>
  <si>
    <t>Dry Spell</t>
  </si>
  <si>
    <t>Flywheel</t>
  </si>
  <si>
    <t>Exeter</t>
  </si>
  <si>
    <t>Marcus Nispel</t>
  </si>
  <si>
    <t>The Ridges</t>
  </si>
  <si>
    <t>Brandon Landers</t>
  </si>
  <si>
    <t>The Puffy Chair</t>
  </si>
  <si>
    <t>Stories of Our Lives</t>
  </si>
  <si>
    <t>Jim Chuchu</t>
  </si>
  <si>
    <t>Swahili</t>
  </si>
  <si>
    <t>Breaking Upwards</t>
  </si>
  <si>
    <t>Daryl Wein</t>
  </si>
  <si>
    <t>All Superheroes Must Die</t>
  </si>
  <si>
    <t>Jason Trost</t>
  </si>
  <si>
    <t>Pink Flamingos</t>
  </si>
  <si>
    <t>Clean</t>
  </si>
  <si>
    <t>The Circle</t>
  </si>
  <si>
    <t>Jafar Panahi</t>
  </si>
  <si>
    <t>Tin Can Man</t>
  </si>
  <si>
    <t>Ivan Kavanagh</t>
  </si>
  <si>
    <t>The Cure</t>
  </si>
  <si>
    <t>Kiyoshi Kurosawa</t>
  </si>
  <si>
    <t>On the Downlow</t>
  </si>
  <si>
    <t>Tadeo Garcia</t>
  </si>
  <si>
    <t>Sanctuary; Quite a Conundrum</t>
  </si>
  <si>
    <t>Thomas L. Phillips</t>
  </si>
  <si>
    <t>Bang</t>
  </si>
  <si>
    <t>Ash Baron-Cohen</t>
  </si>
  <si>
    <t>Primer</t>
  </si>
  <si>
    <t>Shane Carruth</t>
  </si>
  <si>
    <t>Cavite</t>
  </si>
  <si>
    <t>Neill Dela Llana</t>
  </si>
  <si>
    <t>El Mariachi</t>
  </si>
  <si>
    <t>The Mongol King</t>
  </si>
  <si>
    <t>Anthony Vallone</t>
  </si>
  <si>
    <t>Newlyweds</t>
  </si>
  <si>
    <t>Signed Sealed Delivered</t>
  </si>
  <si>
    <t>Scott Smith</t>
  </si>
  <si>
    <t>A Plague So Pleasant</t>
  </si>
  <si>
    <t>Benjamin Roberds</t>
  </si>
  <si>
    <t>Shanghai Calling</t>
  </si>
  <si>
    <t>Daniel Hsia</t>
  </si>
  <si>
    <t>My Date with Drew</t>
  </si>
  <si>
    <t>Grand Total</t>
  </si>
  <si>
    <t>Average of IMDB Score</t>
  </si>
  <si>
    <t>Var of IMDB Score</t>
  </si>
  <si>
    <t>Min of IMDB Score</t>
  </si>
  <si>
    <t>Max of IMDB Score</t>
  </si>
  <si>
    <t>Range of IMDB Score</t>
  </si>
  <si>
    <t>Count of IMDB Score</t>
  </si>
  <si>
    <t>Count of Movie Name</t>
  </si>
  <si>
    <t>99th Percentile</t>
  </si>
  <si>
    <t>CORRELATION COEFFICIENT</t>
  </si>
  <si>
    <t>TOTAL DIRECTORS</t>
  </si>
  <si>
    <t>AS THE DURATION INCREASES, MOVIES TEND TO SCORE HIGH IMBD RATINGS</t>
  </si>
  <si>
    <t>Descriptive Statistics for Movie duration</t>
  </si>
  <si>
    <t>MEAN</t>
  </si>
  <si>
    <t>MEDIAN</t>
  </si>
  <si>
    <t>STANDARD DEVIATION</t>
  </si>
  <si>
    <t>StdDevp of IMDB Score</t>
  </si>
  <si>
    <t>Profit Margin</t>
  </si>
  <si>
    <t>Maximum Profit Margin</t>
  </si>
  <si>
    <t>AVATAR MOVIE GAINED MAX PROFIT</t>
  </si>
  <si>
    <t>TOP 3 MOVIES</t>
  </si>
  <si>
    <t>94% OF MOVIES ARE PRODUCED IN ENGLISH LANGUAGE</t>
  </si>
  <si>
    <t>OVERALL CONTRIBUTION</t>
  </si>
  <si>
    <t>STD</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</si>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</sst>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
  </numFmts>
  <fonts count="15">
    <font>
      <sz val="16"/>
      <color theme="1"/>
      <name val="Aptos-Narrow"/>
      <family val="2"/>
    </font>
    <font>
      <b/>
      <sz val="16"/>
      <color theme="0"/>
      <name val="Avenir Medium"/>
      <family val="2"/>
    </font>
    <font>
      <sz val="16"/>
      <color theme="1"/>
      <name val="Avenir Medium"/>
      <family val="2"/>
    </font>
    <font>
      <b/>
      <sz val="16"/>
      <color theme="1"/>
      <name val="Avenir Medium"/>
      <family val="2"/>
    </font>
    <font>
      <sz val="16"/>
      <color rgb="FF000000"/>
      <name val="Avenir Medium"/>
      <family val="2"/>
    </font>
    <font>
      <b/>
      <sz val="16"/>
      <color theme="1"/>
      <name val="Ayuthaya"/>
      <family val="2"/>
      <charset val="222"/>
    </font>
    <font>
      <b/>
      <sz val="16"/>
      <color theme="1"/>
      <name val="Verdana"/>
      <family val="2"/>
    </font>
    <font>
      <b/>
      <sz val="16"/>
      <color rgb="FF000000"/>
      <name val="Avenir Medium"/>
      <family val="2"/>
    </font>
    <font>
      <sz val="16"/>
      <color rgb="FF000000"/>
      <name val="Avenir Black"/>
      <family val="2"/>
    </font>
    <font>
      <sz val="16"/>
      <color theme="1"/>
      <name val="Aptos-Narrow"/>
      <family val="2"/>
    </font>
    <font>
      <b/>
      <sz val="16"/>
      <name val="Ayuthaya"/>
      <family val="2"/>
      <charset val="222"/>
    </font>
    <font>
      <b/>
      <sz val="16"/>
      <color theme="4" tint="-0.499984740745262"/>
      <name val="Ayuthaya"/>
      <family val="2"/>
      <charset val="222"/>
    </font>
    <font>
      <b/>
      <sz val="16"/>
      <color theme="9" tint="-0.499984740745262"/>
      <name val="Ayuthaya"/>
      <family val="2"/>
      <charset val="222"/>
    </font>
    <font>
      <sz val="16"/>
      <name val="Avenir Medium"/>
      <family val="2"/>
    </font>
    <font>
      <b/>
      <sz val="13.5"/>
      <color theme="1"/>
      <name val="Ayuthaya"/>
      <family val="2"/>
      <charset val="222"/>
    </font>
  </fonts>
  <fills count="1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rgb="FF000000"/>
      </patternFill>
    </fill>
    <fill>
      <patternFill patternType="solid">
        <fgColor rgb="FFFFFF00"/>
        <bgColor rgb="FF000000"/>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4" tint="0.59999389629810485"/>
        <bgColor indexed="64"/>
      </patternFill>
    </fill>
  </fills>
  <borders count="8">
    <border>
      <left/>
      <right/>
      <top/>
      <bottom/>
      <diagonal/>
    </border>
    <border>
      <left/>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9"/>
      </left>
      <right/>
      <top style="thin">
        <color theme="9" tint="0.39997558519241921"/>
      </top>
      <bottom/>
      <diagonal/>
    </border>
    <border>
      <left style="thin">
        <color theme="9"/>
      </left>
      <right/>
      <top/>
      <bottom/>
      <diagonal/>
    </border>
    <border>
      <left/>
      <right/>
      <top/>
      <bottom style="thin">
        <color theme="4" tint="0.39997558519241921"/>
      </bottom>
      <diagonal/>
    </border>
  </borders>
  <cellStyleXfs count="2">
    <xf numFmtId="0" fontId="0" fillId="0" borderId="0"/>
    <xf numFmtId="9" fontId="9" fillId="0" borderId="0" applyFont="0" applyFill="0" applyBorder="0" applyAlignment="0" applyProtection="0"/>
  </cellStyleXfs>
  <cellXfs count="42">
    <xf numFmtId="0" fontId="0" fillId="0" borderId="0" xfId="0"/>
    <xf numFmtId="0" fontId="1" fillId="2" borderId="0" xfId="0" applyFont="1" applyFill="1"/>
    <xf numFmtId="0" fontId="2" fillId="3" borderId="1" xfId="0" applyFont="1" applyFill="1" applyBorder="1"/>
    <xf numFmtId="0" fontId="2" fillId="0" borderId="1" xfId="0" applyFont="1" applyBorder="1"/>
    <xf numFmtId="0" fontId="2" fillId="0" borderId="0" xfId="0" pivotButton="1" applyFont="1"/>
    <xf numFmtId="0" fontId="2" fillId="0" borderId="0" xfId="0" applyFont="1"/>
    <xf numFmtId="164" fontId="2" fillId="0" borderId="0" xfId="0" applyNumberFormat="1" applyFont="1"/>
    <xf numFmtId="164" fontId="0" fillId="0" borderId="0" xfId="0" applyNumberFormat="1"/>
    <xf numFmtId="2" fontId="0" fillId="0" borderId="0" xfId="0" applyNumberFormat="1"/>
    <xf numFmtId="0" fontId="2" fillId="3" borderId="5" xfId="0" applyFont="1" applyFill="1" applyBorder="1"/>
    <xf numFmtId="0" fontId="2" fillId="0" borderId="5" xfId="0" applyFont="1" applyBorder="1"/>
    <xf numFmtId="0" fontId="1" fillId="2" borderId="6" xfId="0" applyFont="1" applyFill="1" applyBorder="1"/>
    <xf numFmtId="0" fontId="3" fillId="4" borderId="2" xfId="0" applyFont="1" applyFill="1" applyBorder="1" applyAlignment="1">
      <alignment horizontal="center"/>
    </xf>
    <xf numFmtId="164" fontId="3" fillId="4" borderId="2" xfId="0" applyNumberFormat="1" applyFont="1" applyFill="1" applyBorder="1"/>
    <xf numFmtId="0" fontId="7" fillId="10" borderId="2" xfId="0" applyFont="1" applyFill="1" applyBorder="1"/>
    <xf numFmtId="1" fontId="4" fillId="10" borderId="2" xfId="0" applyNumberFormat="1" applyFont="1" applyFill="1" applyBorder="1"/>
    <xf numFmtId="0" fontId="7" fillId="10" borderId="2" xfId="0" applyFont="1" applyFill="1" applyBorder="1" applyAlignment="1">
      <alignment wrapText="1"/>
    </xf>
    <xf numFmtId="0" fontId="5" fillId="6" borderId="3" xfId="0" applyFont="1" applyFill="1" applyBorder="1" applyAlignment="1">
      <alignment horizontal="center"/>
    </xf>
    <xf numFmtId="0" fontId="5" fillId="13" borderId="0" xfId="0" applyFont="1" applyFill="1"/>
    <xf numFmtId="2" fontId="6" fillId="12" borderId="0" xfId="0" applyNumberFormat="1" applyFont="1" applyFill="1"/>
    <xf numFmtId="0" fontId="12" fillId="15" borderId="2" xfId="0" applyFont="1" applyFill="1" applyBorder="1" applyAlignment="1">
      <alignment horizontal="center"/>
    </xf>
    <xf numFmtId="0" fontId="13" fillId="0" borderId="2" xfId="0" applyFont="1" applyBorder="1"/>
    <xf numFmtId="0" fontId="3" fillId="4" borderId="0" xfId="0" applyFont="1" applyFill="1"/>
    <xf numFmtId="0" fontId="6" fillId="7" borderId="0" xfId="0" applyFont="1" applyFill="1"/>
    <xf numFmtId="0" fontId="3" fillId="14" borderId="7" xfId="0" applyFont="1" applyFill="1" applyBorder="1"/>
    <xf numFmtId="9" fontId="0" fillId="0" borderId="0" xfId="1" applyFont="1"/>
    <xf numFmtId="166" fontId="0" fillId="0" borderId="0" xfId="1" applyNumberFormat="1" applyFont="1"/>
    <xf numFmtId="0" fontId="11" fillId="17" borderId="3" xfId="0" applyFont="1" applyFill="1" applyBorder="1"/>
    <xf numFmtId="0" fontId="8" fillId="9" borderId="2" xfId="0" applyFont="1" applyFill="1" applyBorder="1" applyAlignment="1">
      <alignment horizontal="center"/>
    </xf>
    <xf numFmtId="0" fontId="12" fillId="15" borderId="2" xfId="0" applyFont="1" applyFill="1" applyBorder="1" applyAlignment="1">
      <alignment horizontal="center"/>
    </xf>
    <xf numFmtId="0" fontId="10" fillId="16" borderId="0" xfId="0" applyFont="1" applyFill="1" applyAlignment="1">
      <alignment horizontal="center" wrapText="1"/>
    </xf>
    <xf numFmtId="0" fontId="5" fillId="11" borderId="0" xfId="0" applyFont="1" applyFill="1" applyAlignment="1">
      <alignment horizontal="center"/>
    </xf>
    <xf numFmtId="0" fontId="5" fillId="4" borderId="0" xfId="0" applyFont="1" applyFill="1" applyAlignment="1">
      <alignment horizontal="center"/>
    </xf>
    <xf numFmtId="164" fontId="2" fillId="0" borderId="0" xfId="0" applyNumberFormat="1" applyFont="1" applyBorder="1"/>
    <xf numFmtId="0" fontId="2" fillId="0" borderId="0" xfId="0" applyFont="1" applyBorder="1"/>
    <xf numFmtId="164" fontId="2" fillId="0" borderId="2" xfId="0" applyNumberFormat="1" applyFont="1" applyBorder="1"/>
    <xf numFmtId="0" fontId="2" fillId="0" borderId="0" xfId="0" applyNumberFormat="1" applyFont="1"/>
    <xf numFmtId="0" fontId="2" fillId="0" borderId="0" xfId="0" pivotButton="1" applyFont="1" applyBorder="1"/>
    <xf numFmtId="0" fontId="2" fillId="0" borderId="0" xfId="0" applyNumberFormat="1" applyFont="1" applyBorder="1"/>
    <xf numFmtId="165" fontId="2" fillId="18" borderId="4" xfId="1" applyNumberFormat="1" applyFont="1" applyFill="1" applyBorder="1"/>
    <xf numFmtId="1" fontId="2" fillId="5" borderId="4" xfId="0" applyNumberFormat="1" applyFont="1" applyFill="1" applyBorder="1" applyAlignment="1">
      <alignment horizontal="center"/>
    </xf>
    <xf numFmtId="0" fontId="14" fillId="8" borderId="0" xfId="0" applyFont="1" applyFill="1" applyAlignment="1">
      <alignment horizontal="center"/>
    </xf>
  </cellXfs>
  <cellStyles count="2">
    <cellStyle name="Normal" xfId="0" builtinId="0"/>
    <cellStyle name="Percent" xfId="1" builtinId="5"/>
  </cellStyles>
  <dxfs count="94">
    <dxf>
      <numFmt numFmtId="164" formatCode="0.0"/>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font>
        <name val="Avenir Medium"/>
      </font>
    </dxf>
    <dxf>
      <numFmt numFmtId="164" formatCode="0.0"/>
    </dxf>
    <dxf>
      <font>
        <name val="Avenir Medium"/>
        <family val="2"/>
      </font>
    </dxf>
    <dxf>
      <font>
        <name val="Avenir Medium"/>
        <family val="2"/>
      </font>
    </dxf>
    <dxf>
      <font>
        <name val="Avenir Medium"/>
        <family val="2"/>
      </font>
    </dxf>
    <dxf>
      <font>
        <name val="Avenir Medium"/>
        <family val="2"/>
      </font>
    </dxf>
    <dxf>
      <font>
        <name val="Avenir Medium"/>
        <family val="2"/>
      </font>
    </dxf>
    <dxf>
      <font>
        <name val="Avenir Medium"/>
        <family val="2"/>
      </font>
    </dxf>
    <dxf>
      <numFmt numFmtId="164" formatCode="0.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6"/>
        <color theme="1"/>
        <name val="Avenir Medium"/>
        <family val="2"/>
        <scheme val="none"/>
      </font>
      <border diagonalUp="0" diagonalDown="0" outline="0">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outline="0">
        <left style="thin">
          <color theme="9"/>
        </left>
        <right/>
        <top/>
        <bottom/>
      </border>
    </dxf>
    <dxf>
      <font>
        <b val="0"/>
        <i val="0"/>
        <strike val="0"/>
        <condense val="0"/>
        <extend val="0"/>
        <outline val="0"/>
        <shadow val="0"/>
        <u val="none"/>
        <vertAlign val="baseline"/>
        <sz val="16"/>
        <color theme="1"/>
        <name val="Avenir Medium"/>
        <family val="2"/>
        <scheme val="none"/>
      </font>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numFmt numFmtId="0" formatCode="General"/>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numFmt numFmtId="0" formatCode="General"/>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numFmt numFmtId="0" formatCode="General"/>
      <border diagonalUp="0" diagonalDown="0">
        <left style="thin">
          <color theme="9"/>
        </left>
        <right/>
        <top style="thin">
          <color theme="9" tint="0.39997558519241921"/>
        </top>
        <bottom/>
        <vertical/>
        <horizontal/>
      </border>
    </dxf>
    <dxf>
      <font>
        <b val="0"/>
        <i val="0"/>
        <strike val="0"/>
        <condense val="0"/>
        <extend val="0"/>
        <outline val="0"/>
        <shadow val="0"/>
        <u val="none"/>
        <vertAlign val="baseline"/>
        <sz val="16"/>
        <color theme="1"/>
        <name val="Avenir Medium"/>
        <family val="2"/>
        <scheme val="none"/>
      </font>
      <numFmt numFmtId="0" formatCode="General"/>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6"/>
        <color theme="1"/>
        <name val="Avenir Medium"/>
        <family val="2"/>
        <scheme val="none"/>
      </font>
    </dxf>
    <dxf>
      <font>
        <b/>
        <i val="0"/>
        <strike val="0"/>
        <condense val="0"/>
        <extend val="0"/>
        <outline val="0"/>
        <shadow val="0"/>
        <u val="none"/>
        <vertAlign val="baseline"/>
        <sz val="16"/>
        <color theme="0"/>
        <name val="Avenir Medium"/>
        <family val="2"/>
        <scheme val="none"/>
      </font>
      <fill>
        <patternFill patternType="solid">
          <fgColor theme="9"/>
          <bgColor theme="9"/>
        </patternFill>
      </fill>
      <border diagonalUp="0" diagonalDown="0" outline="0">
        <left style="thin">
          <color theme="9"/>
        </left>
        <right style="thin">
          <color theme="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'Movie Genre Analysis'!$K$2</c:f>
              <c:strCache>
                <c:ptCount val="1"/>
                <c:pt idx="0">
                  <c:v>Count of IMDB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venir Medium" panose="02000503020000020003"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'Movie Genre Analysis'!$J$3:$J$22</c:f>
              <c:strCache>
                <c:ptCount val="20"/>
                <c:pt idx="0">
                  <c:v>Action</c:v>
                </c:pt>
                <c:pt idx="1">
                  <c:v>Adventure</c:v>
                </c:pt>
                <c:pt idx="2">
                  <c:v>Animation</c:v>
                </c:pt>
                <c:pt idx="3">
                  <c:v>Biography</c:v>
                </c:pt>
                <c:pt idx="4">
                  <c:v>Comedy</c:v>
                </c:pt>
                <c:pt idx="5">
                  <c:v>Crime</c:v>
                </c:pt>
                <c:pt idx="6">
                  <c:v>Documentary</c:v>
                </c:pt>
                <c:pt idx="7">
                  <c:v>Drama</c:v>
                </c:pt>
                <c:pt idx="8">
                  <c:v>Family</c:v>
                </c:pt>
                <c:pt idx="9">
                  <c:v>Fantasy</c:v>
                </c:pt>
                <c:pt idx="10">
                  <c:v>Film-Noir</c:v>
                </c:pt>
                <c:pt idx="11">
                  <c:v>History</c:v>
                </c:pt>
                <c:pt idx="12">
                  <c:v>Horror</c:v>
                </c:pt>
                <c:pt idx="13">
                  <c:v>Music</c:v>
                </c:pt>
                <c:pt idx="14">
                  <c:v>Musical</c:v>
                </c:pt>
                <c:pt idx="15">
                  <c:v>Mystery</c:v>
                </c:pt>
                <c:pt idx="16">
                  <c:v>Romance</c:v>
                </c:pt>
                <c:pt idx="17">
                  <c:v>Sci-Fi</c:v>
                </c:pt>
                <c:pt idx="18">
                  <c:v>Thriller</c:v>
                </c:pt>
                <c:pt idx="19">
                  <c:v>Western</c:v>
                </c:pt>
              </c:strCache>
            </c:strRef>
          </c:cat>
          <c:val>
            <c:numRef>
              <c:f>'Movie Genre Analysis'!$K$3:$K$22</c:f>
              <c:numCache>
                <c:formatCode>General</c:formatCode>
                <c:ptCount val="20"/>
                <c:pt idx="0">
                  <c:v>1090</c:v>
                </c:pt>
                <c:pt idx="1">
                  <c:v>435</c:v>
                </c:pt>
                <c:pt idx="2">
                  <c:v>57</c:v>
                </c:pt>
                <c:pt idx="3">
                  <c:v>249</c:v>
                </c:pt>
                <c:pt idx="4">
                  <c:v>1278</c:v>
                </c:pt>
                <c:pt idx="5">
                  <c:v>319</c:v>
                </c:pt>
                <c:pt idx="6">
                  <c:v>81</c:v>
                </c:pt>
                <c:pt idx="7">
                  <c:v>913</c:v>
                </c:pt>
                <c:pt idx="8">
                  <c:v>11</c:v>
                </c:pt>
                <c:pt idx="9">
                  <c:v>47</c:v>
                </c:pt>
                <c:pt idx="10">
                  <c:v>1</c:v>
                </c:pt>
                <c:pt idx="11">
                  <c:v>1</c:v>
                </c:pt>
                <c:pt idx="12">
                  <c:v>221</c:v>
                </c:pt>
                <c:pt idx="13">
                  <c:v>1</c:v>
                </c:pt>
                <c:pt idx="14">
                  <c:v>4</c:v>
                </c:pt>
                <c:pt idx="15">
                  <c:v>32</c:v>
                </c:pt>
                <c:pt idx="16">
                  <c:v>4</c:v>
                </c:pt>
                <c:pt idx="17">
                  <c:v>13</c:v>
                </c:pt>
                <c:pt idx="18">
                  <c:v>21</c:v>
                </c:pt>
                <c:pt idx="19">
                  <c:v>12</c:v>
                </c:pt>
              </c:numCache>
            </c:numRef>
          </c:val>
          <c:extLst>
            <c:ext xmlns:c16="http://schemas.microsoft.com/office/drawing/2014/chart" uri="{C3380CC4-5D6E-409C-BE32-E72D297353CC}">
              <c16:uniqueId val="{00000000-9587-4540-96C4-0F92D6F4E3AA}"/>
            </c:ext>
          </c:extLst>
        </c:ser>
        <c:dLbls>
          <c:dLblPos val="outEnd"/>
          <c:showLegendKey val="0"/>
          <c:showVal val="1"/>
          <c:showCatName val="0"/>
          <c:showSerName val="0"/>
          <c:showPercent val="0"/>
          <c:showBubbleSize val="0"/>
        </c:dLbls>
        <c:gapWidth val="65"/>
        <c:axId val="1224104063"/>
        <c:axId val="1244858559"/>
      </c:barChart>
      <c:catAx>
        <c:axId val="12241040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yuthaya" pitchFamily="2" charset="-34"/>
                <a:ea typeface="Ayuthaya" pitchFamily="2" charset="-34"/>
                <a:cs typeface="Ayuthaya" pitchFamily="2" charset="-34"/>
              </a:defRPr>
            </a:pPr>
            <a:endParaRPr lang="en-US"/>
          </a:p>
        </c:txPr>
        <c:crossAx val="1244858559"/>
        <c:crosses val="autoZero"/>
        <c:auto val="1"/>
        <c:lblAlgn val="ctr"/>
        <c:lblOffset val="100"/>
        <c:noMultiLvlLbl val="0"/>
      </c:catAx>
      <c:valAx>
        <c:axId val="12448585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Avenir Medium" panose="02000503020000020003" pitchFamily="2" charset="0"/>
                <a:ea typeface="+mn-ea"/>
                <a:cs typeface="+mn-cs"/>
              </a:defRPr>
            </a:pPr>
            <a:endParaRPr lang="en-US"/>
          </a:p>
        </c:txPr>
        <c:crossAx val="122410406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IMDB_Movies!$E$2:$E$4791</c:f>
              <c:numCache>
                <c:formatCode>General</c:formatCode>
                <c:ptCount val="4790"/>
                <c:pt idx="0">
                  <c:v>178</c:v>
                </c:pt>
                <c:pt idx="1">
                  <c:v>169</c:v>
                </c:pt>
                <c:pt idx="2">
                  <c:v>148</c:v>
                </c:pt>
                <c:pt idx="3">
                  <c:v>164</c:v>
                </c:pt>
                <c:pt idx="4">
                  <c:v>132</c:v>
                </c:pt>
                <c:pt idx="5">
                  <c:v>156</c:v>
                </c:pt>
                <c:pt idx="6">
                  <c:v>100</c:v>
                </c:pt>
                <c:pt idx="7">
                  <c:v>141</c:v>
                </c:pt>
                <c:pt idx="8">
                  <c:v>153</c:v>
                </c:pt>
                <c:pt idx="9">
                  <c:v>183</c:v>
                </c:pt>
                <c:pt idx="10">
                  <c:v>169</c:v>
                </c:pt>
                <c:pt idx="11">
                  <c:v>106</c:v>
                </c:pt>
                <c:pt idx="12">
                  <c:v>151</c:v>
                </c:pt>
                <c:pt idx="13">
                  <c:v>150</c:v>
                </c:pt>
                <c:pt idx="14">
                  <c:v>143</c:v>
                </c:pt>
                <c:pt idx="15">
                  <c:v>150</c:v>
                </c:pt>
                <c:pt idx="16">
                  <c:v>173</c:v>
                </c:pt>
                <c:pt idx="17">
                  <c:v>136</c:v>
                </c:pt>
                <c:pt idx="18">
                  <c:v>106</c:v>
                </c:pt>
                <c:pt idx="19">
                  <c:v>164</c:v>
                </c:pt>
                <c:pt idx="20">
                  <c:v>153</c:v>
                </c:pt>
                <c:pt idx="21">
                  <c:v>156</c:v>
                </c:pt>
                <c:pt idx="22">
                  <c:v>186</c:v>
                </c:pt>
                <c:pt idx="23">
                  <c:v>113</c:v>
                </c:pt>
                <c:pt idx="24">
                  <c:v>201</c:v>
                </c:pt>
                <c:pt idx="25">
                  <c:v>194</c:v>
                </c:pt>
                <c:pt idx="26">
                  <c:v>147</c:v>
                </c:pt>
                <c:pt idx="27">
                  <c:v>131</c:v>
                </c:pt>
                <c:pt idx="28">
                  <c:v>124</c:v>
                </c:pt>
                <c:pt idx="29">
                  <c:v>143</c:v>
                </c:pt>
                <c:pt idx="30">
                  <c:v>135</c:v>
                </c:pt>
                <c:pt idx="31">
                  <c:v>195</c:v>
                </c:pt>
                <c:pt idx="32">
                  <c:v>108</c:v>
                </c:pt>
                <c:pt idx="33">
                  <c:v>104</c:v>
                </c:pt>
                <c:pt idx="34">
                  <c:v>104</c:v>
                </c:pt>
                <c:pt idx="35">
                  <c:v>150</c:v>
                </c:pt>
                <c:pt idx="36">
                  <c:v>165</c:v>
                </c:pt>
                <c:pt idx="37">
                  <c:v>130</c:v>
                </c:pt>
                <c:pt idx="38">
                  <c:v>142</c:v>
                </c:pt>
                <c:pt idx="39">
                  <c:v>125</c:v>
                </c:pt>
                <c:pt idx="40">
                  <c:v>106</c:v>
                </c:pt>
                <c:pt idx="41">
                  <c:v>123</c:v>
                </c:pt>
                <c:pt idx="42">
                  <c:v>103</c:v>
                </c:pt>
                <c:pt idx="43">
                  <c:v>118</c:v>
                </c:pt>
                <c:pt idx="44">
                  <c:v>140</c:v>
                </c:pt>
                <c:pt idx="45">
                  <c:v>123</c:v>
                </c:pt>
                <c:pt idx="46">
                  <c:v>149</c:v>
                </c:pt>
                <c:pt idx="47">
                  <c:v>132</c:v>
                </c:pt>
                <c:pt idx="48">
                  <c:v>114</c:v>
                </c:pt>
                <c:pt idx="49">
                  <c:v>143</c:v>
                </c:pt>
                <c:pt idx="50">
                  <c:v>116</c:v>
                </c:pt>
                <c:pt idx="51">
                  <c:v>131</c:v>
                </c:pt>
                <c:pt idx="52">
                  <c:v>154</c:v>
                </c:pt>
                <c:pt idx="53">
                  <c:v>122</c:v>
                </c:pt>
                <c:pt idx="54">
                  <c:v>93</c:v>
                </c:pt>
                <c:pt idx="55">
                  <c:v>93</c:v>
                </c:pt>
                <c:pt idx="56">
                  <c:v>122</c:v>
                </c:pt>
                <c:pt idx="57">
                  <c:v>98</c:v>
                </c:pt>
                <c:pt idx="58">
                  <c:v>91</c:v>
                </c:pt>
                <c:pt idx="59">
                  <c:v>158</c:v>
                </c:pt>
                <c:pt idx="60">
                  <c:v>96</c:v>
                </c:pt>
                <c:pt idx="61">
                  <c:v>127</c:v>
                </c:pt>
                <c:pt idx="62">
                  <c:v>110</c:v>
                </c:pt>
                <c:pt idx="63">
                  <c:v>150</c:v>
                </c:pt>
                <c:pt idx="64">
                  <c:v>144</c:v>
                </c:pt>
                <c:pt idx="65">
                  <c:v>152</c:v>
                </c:pt>
                <c:pt idx="66">
                  <c:v>96</c:v>
                </c:pt>
                <c:pt idx="67">
                  <c:v>94</c:v>
                </c:pt>
                <c:pt idx="68">
                  <c:v>126</c:v>
                </c:pt>
                <c:pt idx="69">
                  <c:v>126</c:v>
                </c:pt>
                <c:pt idx="70">
                  <c:v>106</c:v>
                </c:pt>
                <c:pt idx="71">
                  <c:v>112</c:v>
                </c:pt>
                <c:pt idx="72">
                  <c:v>123</c:v>
                </c:pt>
                <c:pt idx="73">
                  <c:v>96</c:v>
                </c:pt>
                <c:pt idx="74">
                  <c:v>113</c:v>
                </c:pt>
                <c:pt idx="75">
                  <c:v>176</c:v>
                </c:pt>
                <c:pt idx="76">
                  <c:v>118</c:v>
                </c:pt>
                <c:pt idx="77">
                  <c:v>95</c:v>
                </c:pt>
                <c:pt idx="78">
                  <c:v>106</c:v>
                </c:pt>
                <c:pt idx="79">
                  <c:v>124</c:v>
                </c:pt>
                <c:pt idx="80">
                  <c:v>132</c:v>
                </c:pt>
                <c:pt idx="81">
                  <c:v>97</c:v>
                </c:pt>
                <c:pt idx="82">
                  <c:v>130</c:v>
                </c:pt>
                <c:pt idx="83">
                  <c:v>109</c:v>
                </c:pt>
                <c:pt idx="84">
                  <c:v>128</c:v>
                </c:pt>
                <c:pt idx="85">
                  <c:v>136</c:v>
                </c:pt>
                <c:pt idx="86">
                  <c:v>93</c:v>
                </c:pt>
                <c:pt idx="87">
                  <c:v>130</c:v>
                </c:pt>
                <c:pt idx="88">
                  <c:v>102</c:v>
                </c:pt>
                <c:pt idx="89">
                  <c:v>101</c:v>
                </c:pt>
                <c:pt idx="90">
                  <c:v>100</c:v>
                </c:pt>
                <c:pt idx="91">
                  <c:v>120</c:v>
                </c:pt>
                <c:pt idx="92">
                  <c:v>98</c:v>
                </c:pt>
                <c:pt idx="93">
                  <c:v>109</c:v>
                </c:pt>
                <c:pt idx="94">
                  <c:v>121</c:v>
                </c:pt>
                <c:pt idx="95">
                  <c:v>169</c:v>
                </c:pt>
                <c:pt idx="96">
                  <c:v>148</c:v>
                </c:pt>
                <c:pt idx="97">
                  <c:v>120</c:v>
                </c:pt>
                <c:pt idx="98">
                  <c:v>182</c:v>
                </c:pt>
                <c:pt idx="99">
                  <c:v>106</c:v>
                </c:pt>
                <c:pt idx="100">
                  <c:v>166</c:v>
                </c:pt>
                <c:pt idx="101">
                  <c:v>132</c:v>
                </c:pt>
                <c:pt idx="102">
                  <c:v>137</c:v>
                </c:pt>
                <c:pt idx="103">
                  <c:v>109</c:v>
                </c:pt>
                <c:pt idx="104">
                  <c:v>98</c:v>
                </c:pt>
                <c:pt idx="105">
                  <c:v>113</c:v>
                </c:pt>
                <c:pt idx="106">
                  <c:v>93</c:v>
                </c:pt>
                <c:pt idx="107">
                  <c:v>123</c:v>
                </c:pt>
                <c:pt idx="108">
                  <c:v>126</c:v>
                </c:pt>
                <c:pt idx="109">
                  <c:v>113</c:v>
                </c:pt>
                <c:pt idx="110">
                  <c:v>184</c:v>
                </c:pt>
                <c:pt idx="111">
                  <c:v>144</c:v>
                </c:pt>
                <c:pt idx="112">
                  <c:v>206</c:v>
                </c:pt>
                <c:pt idx="113">
                  <c:v>138</c:v>
                </c:pt>
                <c:pt idx="114">
                  <c:v>157</c:v>
                </c:pt>
                <c:pt idx="115">
                  <c:v>102</c:v>
                </c:pt>
                <c:pt idx="116">
                  <c:v>104</c:v>
                </c:pt>
                <c:pt idx="117">
                  <c:v>115</c:v>
                </c:pt>
                <c:pt idx="118">
                  <c:v>111</c:v>
                </c:pt>
                <c:pt idx="119">
                  <c:v>128</c:v>
                </c:pt>
                <c:pt idx="120">
                  <c:v>89</c:v>
                </c:pt>
                <c:pt idx="121">
                  <c:v>105</c:v>
                </c:pt>
                <c:pt idx="122">
                  <c:v>119</c:v>
                </c:pt>
                <c:pt idx="123">
                  <c:v>129</c:v>
                </c:pt>
                <c:pt idx="124">
                  <c:v>102</c:v>
                </c:pt>
                <c:pt idx="125">
                  <c:v>138</c:v>
                </c:pt>
                <c:pt idx="126">
                  <c:v>112</c:v>
                </c:pt>
                <c:pt idx="127">
                  <c:v>120</c:v>
                </c:pt>
                <c:pt idx="128">
                  <c:v>146</c:v>
                </c:pt>
                <c:pt idx="129">
                  <c:v>115</c:v>
                </c:pt>
                <c:pt idx="130">
                  <c:v>96</c:v>
                </c:pt>
                <c:pt idx="131">
                  <c:v>88</c:v>
                </c:pt>
                <c:pt idx="132">
                  <c:v>99</c:v>
                </c:pt>
                <c:pt idx="133">
                  <c:v>113</c:v>
                </c:pt>
                <c:pt idx="134">
                  <c:v>131</c:v>
                </c:pt>
                <c:pt idx="135">
                  <c:v>119</c:v>
                </c:pt>
                <c:pt idx="136">
                  <c:v>91</c:v>
                </c:pt>
                <c:pt idx="137">
                  <c:v>90</c:v>
                </c:pt>
                <c:pt idx="138">
                  <c:v>103</c:v>
                </c:pt>
                <c:pt idx="139">
                  <c:v>124</c:v>
                </c:pt>
                <c:pt idx="140">
                  <c:v>131</c:v>
                </c:pt>
                <c:pt idx="141">
                  <c:v>88</c:v>
                </c:pt>
                <c:pt idx="142">
                  <c:v>85</c:v>
                </c:pt>
                <c:pt idx="143">
                  <c:v>111</c:v>
                </c:pt>
                <c:pt idx="144">
                  <c:v>92</c:v>
                </c:pt>
                <c:pt idx="145">
                  <c:v>196</c:v>
                </c:pt>
                <c:pt idx="146">
                  <c:v>93</c:v>
                </c:pt>
                <c:pt idx="147">
                  <c:v>133</c:v>
                </c:pt>
                <c:pt idx="148">
                  <c:v>116</c:v>
                </c:pt>
                <c:pt idx="149">
                  <c:v>153</c:v>
                </c:pt>
                <c:pt idx="150">
                  <c:v>88</c:v>
                </c:pt>
                <c:pt idx="151">
                  <c:v>115</c:v>
                </c:pt>
                <c:pt idx="152">
                  <c:v>95</c:v>
                </c:pt>
                <c:pt idx="153">
                  <c:v>133</c:v>
                </c:pt>
                <c:pt idx="154">
                  <c:v>97</c:v>
                </c:pt>
                <c:pt idx="155">
                  <c:v>90</c:v>
                </c:pt>
                <c:pt idx="156">
                  <c:v>154</c:v>
                </c:pt>
                <c:pt idx="157">
                  <c:v>150</c:v>
                </c:pt>
                <c:pt idx="158">
                  <c:v>127</c:v>
                </c:pt>
                <c:pt idx="159">
                  <c:v>121</c:v>
                </c:pt>
                <c:pt idx="160">
                  <c:v>102</c:v>
                </c:pt>
                <c:pt idx="161">
                  <c:v>126</c:v>
                </c:pt>
                <c:pt idx="162">
                  <c:v>121</c:v>
                </c:pt>
                <c:pt idx="163">
                  <c:v>215</c:v>
                </c:pt>
                <c:pt idx="164">
                  <c:v>127</c:v>
                </c:pt>
                <c:pt idx="165">
                  <c:v>138</c:v>
                </c:pt>
                <c:pt idx="166">
                  <c:v>122</c:v>
                </c:pt>
                <c:pt idx="167">
                  <c:v>124</c:v>
                </c:pt>
                <c:pt idx="168">
                  <c:v>106</c:v>
                </c:pt>
                <c:pt idx="169">
                  <c:v>124</c:v>
                </c:pt>
                <c:pt idx="170">
                  <c:v>128</c:v>
                </c:pt>
                <c:pt idx="171">
                  <c:v>138</c:v>
                </c:pt>
                <c:pt idx="172">
                  <c:v>115</c:v>
                </c:pt>
                <c:pt idx="173">
                  <c:v>100</c:v>
                </c:pt>
                <c:pt idx="174">
                  <c:v>135</c:v>
                </c:pt>
                <c:pt idx="175">
                  <c:v>117</c:v>
                </c:pt>
                <c:pt idx="176">
                  <c:v>156</c:v>
                </c:pt>
                <c:pt idx="177">
                  <c:v>96</c:v>
                </c:pt>
                <c:pt idx="178">
                  <c:v>107</c:v>
                </c:pt>
                <c:pt idx="179">
                  <c:v>92</c:v>
                </c:pt>
                <c:pt idx="180">
                  <c:v>115</c:v>
                </c:pt>
                <c:pt idx="181">
                  <c:v>92</c:v>
                </c:pt>
                <c:pt idx="182">
                  <c:v>117</c:v>
                </c:pt>
                <c:pt idx="183">
                  <c:v>146</c:v>
                </c:pt>
                <c:pt idx="184">
                  <c:v>94</c:v>
                </c:pt>
                <c:pt idx="185">
                  <c:v>116</c:v>
                </c:pt>
                <c:pt idx="186">
                  <c:v>147</c:v>
                </c:pt>
                <c:pt idx="187">
                  <c:v>90</c:v>
                </c:pt>
                <c:pt idx="188">
                  <c:v>101</c:v>
                </c:pt>
                <c:pt idx="189">
                  <c:v>138</c:v>
                </c:pt>
                <c:pt idx="190">
                  <c:v>107</c:v>
                </c:pt>
                <c:pt idx="191">
                  <c:v>142</c:v>
                </c:pt>
                <c:pt idx="192">
                  <c:v>165</c:v>
                </c:pt>
                <c:pt idx="193">
                  <c:v>100</c:v>
                </c:pt>
                <c:pt idx="194">
                  <c:v>82</c:v>
                </c:pt>
                <c:pt idx="195">
                  <c:v>98</c:v>
                </c:pt>
                <c:pt idx="196">
                  <c:v>95</c:v>
                </c:pt>
                <c:pt idx="197">
                  <c:v>159</c:v>
                </c:pt>
                <c:pt idx="198">
                  <c:v>96</c:v>
                </c:pt>
                <c:pt idx="199">
                  <c:v>143</c:v>
                </c:pt>
                <c:pt idx="200">
                  <c:v>123</c:v>
                </c:pt>
                <c:pt idx="201">
                  <c:v>174</c:v>
                </c:pt>
                <c:pt idx="202">
                  <c:v>101</c:v>
                </c:pt>
                <c:pt idx="203">
                  <c:v>134</c:v>
                </c:pt>
                <c:pt idx="204">
                  <c:v>132</c:v>
                </c:pt>
                <c:pt idx="205">
                  <c:v>129</c:v>
                </c:pt>
                <c:pt idx="206">
                  <c:v>106</c:v>
                </c:pt>
                <c:pt idx="207">
                  <c:v>113</c:v>
                </c:pt>
                <c:pt idx="208">
                  <c:v>102</c:v>
                </c:pt>
                <c:pt idx="209">
                  <c:v>135</c:v>
                </c:pt>
                <c:pt idx="210">
                  <c:v>125</c:v>
                </c:pt>
                <c:pt idx="211">
                  <c:v>110</c:v>
                </c:pt>
                <c:pt idx="212">
                  <c:v>124</c:v>
                </c:pt>
                <c:pt idx="213">
                  <c:v>123</c:v>
                </c:pt>
                <c:pt idx="214">
                  <c:v>130</c:v>
                </c:pt>
                <c:pt idx="215">
                  <c:v>92</c:v>
                </c:pt>
                <c:pt idx="216">
                  <c:v>127</c:v>
                </c:pt>
                <c:pt idx="217">
                  <c:v>123</c:v>
                </c:pt>
                <c:pt idx="218">
                  <c:v>123</c:v>
                </c:pt>
                <c:pt idx="219">
                  <c:v>107</c:v>
                </c:pt>
                <c:pt idx="220">
                  <c:v>124</c:v>
                </c:pt>
                <c:pt idx="221">
                  <c:v>77</c:v>
                </c:pt>
                <c:pt idx="222">
                  <c:v>109</c:v>
                </c:pt>
                <c:pt idx="223">
                  <c:v>134</c:v>
                </c:pt>
                <c:pt idx="224">
                  <c:v>117</c:v>
                </c:pt>
                <c:pt idx="225">
                  <c:v>135</c:v>
                </c:pt>
                <c:pt idx="226">
                  <c:v>121</c:v>
                </c:pt>
                <c:pt idx="227">
                  <c:v>117</c:v>
                </c:pt>
                <c:pt idx="228">
                  <c:v>124</c:v>
                </c:pt>
                <c:pt idx="229">
                  <c:v>140</c:v>
                </c:pt>
                <c:pt idx="230">
                  <c:v>142</c:v>
                </c:pt>
                <c:pt idx="231">
                  <c:v>92</c:v>
                </c:pt>
                <c:pt idx="232">
                  <c:v>138</c:v>
                </c:pt>
                <c:pt idx="233">
                  <c:v>136</c:v>
                </c:pt>
                <c:pt idx="234">
                  <c:v>98</c:v>
                </c:pt>
                <c:pt idx="235">
                  <c:v>116</c:v>
                </c:pt>
                <c:pt idx="236">
                  <c:v>153</c:v>
                </c:pt>
                <c:pt idx="237">
                  <c:v>120</c:v>
                </c:pt>
                <c:pt idx="238">
                  <c:v>101</c:v>
                </c:pt>
                <c:pt idx="239">
                  <c:v>91</c:v>
                </c:pt>
                <c:pt idx="240">
                  <c:v>108</c:v>
                </c:pt>
                <c:pt idx="241">
                  <c:v>112</c:v>
                </c:pt>
                <c:pt idx="242">
                  <c:v>100</c:v>
                </c:pt>
                <c:pt idx="243">
                  <c:v>108</c:v>
                </c:pt>
                <c:pt idx="244">
                  <c:v>114</c:v>
                </c:pt>
                <c:pt idx="245">
                  <c:v>119</c:v>
                </c:pt>
                <c:pt idx="246">
                  <c:v>142</c:v>
                </c:pt>
                <c:pt idx="247">
                  <c:v>125</c:v>
                </c:pt>
                <c:pt idx="248">
                  <c:v>126</c:v>
                </c:pt>
                <c:pt idx="249">
                  <c:v>119</c:v>
                </c:pt>
                <c:pt idx="250">
                  <c:v>170</c:v>
                </c:pt>
                <c:pt idx="251">
                  <c:v>85</c:v>
                </c:pt>
                <c:pt idx="252">
                  <c:v>119</c:v>
                </c:pt>
                <c:pt idx="253">
                  <c:v>102</c:v>
                </c:pt>
                <c:pt idx="254">
                  <c:v>103</c:v>
                </c:pt>
                <c:pt idx="255">
                  <c:v>76</c:v>
                </c:pt>
                <c:pt idx="256">
                  <c:v>120</c:v>
                </c:pt>
                <c:pt idx="257">
                  <c:v>127</c:v>
                </c:pt>
                <c:pt idx="258">
                  <c:v>105</c:v>
                </c:pt>
                <c:pt idx="259">
                  <c:v>121</c:v>
                </c:pt>
                <c:pt idx="260">
                  <c:v>114</c:v>
                </c:pt>
                <c:pt idx="261">
                  <c:v>129</c:v>
                </c:pt>
                <c:pt idx="262">
                  <c:v>171</c:v>
                </c:pt>
                <c:pt idx="263">
                  <c:v>120</c:v>
                </c:pt>
                <c:pt idx="264">
                  <c:v>165</c:v>
                </c:pt>
                <c:pt idx="265">
                  <c:v>82</c:v>
                </c:pt>
                <c:pt idx="266">
                  <c:v>115</c:v>
                </c:pt>
                <c:pt idx="267">
                  <c:v>194</c:v>
                </c:pt>
                <c:pt idx="268">
                  <c:v>84</c:v>
                </c:pt>
                <c:pt idx="269">
                  <c:v>97</c:v>
                </c:pt>
                <c:pt idx="270">
                  <c:v>151</c:v>
                </c:pt>
                <c:pt idx="271">
                  <c:v>136</c:v>
                </c:pt>
                <c:pt idx="272">
                  <c:v>104</c:v>
                </c:pt>
                <c:pt idx="273">
                  <c:v>127</c:v>
                </c:pt>
                <c:pt idx="274">
                  <c:v>171</c:v>
                </c:pt>
                <c:pt idx="275">
                  <c:v>145</c:v>
                </c:pt>
                <c:pt idx="276">
                  <c:v>174</c:v>
                </c:pt>
                <c:pt idx="277">
                  <c:v>144</c:v>
                </c:pt>
                <c:pt idx="278">
                  <c:v>119</c:v>
                </c:pt>
                <c:pt idx="279">
                  <c:v>153</c:v>
                </c:pt>
                <c:pt idx="280">
                  <c:v>140</c:v>
                </c:pt>
                <c:pt idx="281">
                  <c:v>176</c:v>
                </c:pt>
                <c:pt idx="282">
                  <c:v>141</c:v>
                </c:pt>
                <c:pt idx="283">
                  <c:v>106</c:v>
                </c:pt>
                <c:pt idx="284">
                  <c:v>98</c:v>
                </c:pt>
                <c:pt idx="285">
                  <c:v>116</c:v>
                </c:pt>
                <c:pt idx="286">
                  <c:v>115</c:v>
                </c:pt>
                <c:pt idx="287">
                  <c:v>165</c:v>
                </c:pt>
                <c:pt idx="288">
                  <c:v>91</c:v>
                </c:pt>
                <c:pt idx="289">
                  <c:v>78</c:v>
                </c:pt>
                <c:pt idx="290">
                  <c:v>103</c:v>
                </c:pt>
                <c:pt idx="291">
                  <c:v>131</c:v>
                </c:pt>
                <c:pt idx="292">
                  <c:v>104</c:v>
                </c:pt>
                <c:pt idx="293">
                  <c:v>101</c:v>
                </c:pt>
                <c:pt idx="294">
                  <c:v>102</c:v>
                </c:pt>
                <c:pt idx="295">
                  <c:v>103</c:v>
                </c:pt>
                <c:pt idx="296">
                  <c:v>121</c:v>
                </c:pt>
                <c:pt idx="297">
                  <c:v>143</c:v>
                </c:pt>
                <c:pt idx="298">
                  <c:v>240</c:v>
                </c:pt>
                <c:pt idx="299">
                  <c:v>121</c:v>
                </c:pt>
                <c:pt idx="300">
                  <c:v>129</c:v>
                </c:pt>
                <c:pt idx="301">
                  <c:v>172</c:v>
                </c:pt>
                <c:pt idx="302">
                  <c:v>101</c:v>
                </c:pt>
                <c:pt idx="303">
                  <c:v>87</c:v>
                </c:pt>
                <c:pt idx="304">
                  <c:v>101</c:v>
                </c:pt>
                <c:pt idx="305">
                  <c:v>95</c:v>
                </c:pt>
                <c:pt idx="306">
                  <c:v>102</c:v>
                </c:pt>
                <c:pt idx="307">
                  <c:v>131</c:v>
                </c:pt>
                <c:pt idx="308">
                  <c:v>114</c:v>
                </c:pt>
                <c:pt idx="309">
                  <c:v>94</c:v>
                </c:pt>
                <c:pt idx="310">
                  <c:v>122</c:v>
                </c:pt>
                <c:pt idx="311">
                  <c:v>95</c:v>
                </c:pt>
                <c:pt idx="312">
                  <c:v>115</c:v>
                </c:pt>
                <c:pt idx="313">
                  <c:v>88</c:v>
                </c:pt>
                <c:pt idx="314">
                  <c:v>110</c:v>
                </c:pt>
                <c:pt idx="315">
                  <c:v>130</c:v>
                </c:pt>
                <c:pt idx="316">
                  <c:v>216</c:v>
                </c:pt>
                <c:pt idx="317">
                  <c:v>146</c:v>
                </c:pt>
                <c:pt idx="318">
                  <c:v>85</c:v>
                </c:pt>
                <c:pt idx="319">
                  <c:v>93</c:v>
                </c:pt>
                <c:pt idx="320">
                  <c:v>152</c:v>
                </c:pt>
                <c:pt idx="321">
                  <c:v>85</c:v>
                </c:pt>
                <c:pt idx="322">
                  <c:v>126</c:v>
                </c:pt>
                <c:pt idx="323">
                  <c:v>146</c:v>
                </c:pt>
                <c:pt idx="324">
                  <c:v>89</c:v>
                </c:pt>
                <c:pt idx="325">
                  <c:v>88</c:v>
                </c:pt>
                <c:pt idx="326">
                  <c:v>105</c:v>
                </c:pt>
                <c:pt idx="327">
                  <c:v>135</c:v>
                </c:pt>
                <c:pt idx="328">
                  <c:v>100</c:v>
                </c:pt>
                <c:pt idx="329">
                  <c:v>192</c:v>
                </c:pt>
                <c:pt idx="330">
                  <c:v>172</c:v>
                </c:pt>
                <c:pt idx="331">
                  <c:v>102</c:v>
                </c:pt>
                <c:pt idx="332">
                  <c:v>100</c:v>
                </c:pt>
                <c:pt idx="333">
                  <c:v>119</c:v>
                </c:pt>
                <c:pt idx="334">
                  <c:v>92</c:v>
                </c:pt>
                <c:pt idx="335">
                  <c:v>105</c:v>
                </c:pt>
                <c:pt idx="336">
                  <c:v>107</c:v>
                </c:pt>
                <c:pt idx="337">
                  <c:v>101</c:v>
                </c:pt>
                <c:pt idx="338">
                  <c:v>137</c:v>
                </c:pt>
                <c:pt idx="339">
                  <c:v>115</c:v>
                </c:pt>
                <c:pt idx="340">
                  <c:v>124</c:v>
                </c:pt>
                <c:pt idx="341">
                  <c:v>118</c:v>
                </c:pt>
                <c:pt idx="342">
                  <c:v>98</c:v>
                </c:pt>
                <c:pt idx="343">
                  <c:v>82</c:v>
                </c:pt>
                <c:pt idx="344">
                  <c:v>98</c:v>
                </c:pt>
                <c:pt idx="345">
                  <c:v>90</c:v>
                </c:pt>
                <c:pt idx="346">
                  <c:v>130</c:v>
                </c:pt>
                <c:pt idx="347">
                  <c:v>90</c:v>
                </c:pt>
                <c:pt idx="348">
                  <c:v>94</c:v>
                </c:pt>
                <c:pt idx="349">
                  <c:v>114</c:v>
                </c:pt>
                <c:pt idx="350">
                  <c:v>94</c:v>
                </c:pt>
                <c:pt idx="351">
                  <c:v>151</c:v>
                </c:pt>
                <c:pt idx="352">
                  <c:v>88</c:v>
                </c:pt>
                <c:pt idx="353">
                  <c:v>121</c:v>
                </c:pt>
                <c:pt idx="354">
                  <c:v>158</c:v>
                </c:pt>
                <c:pt idx="355">
                  <c:v>128</c:v>
                </c:pt>
                <c:pt idx="356">
                  <c:v>128</c:v>
                </c:pt>
                <c:pt idx="357">
                  <c:v>141</c:v>
                </c:pt>
                <c:pt idx="358">
                  <c:v>95</c:v>
                </c:pt>
                <c:pt idx="359">
                  <c:v>92</c:v>
                </c:pt>
                <c:pt idx="360">
                  <c:v>121</c:v>
                </c:pt>
                <c:pt idx="361">
                  <c:v>113</c:v>
                </c:pt>
                <c:pt idx="362">
                  <c:v>106</c:v>
                </c:pt>
                <c:pt idx="363">
                  <c:v>146</c:v>
                </c:pt>
                <c:pt idx="364">
                  <c:v>88</c:v>
                </c:pt>
                <c:pt idx="365">
                  <c:v>150</c:v>
                </c:pt>
                <c:pt idx="366">
                  <c:v>119</c:v>
                </c:pt>
                <c:pt idx="367">
                  <c:v>128</c:v>
                </c:pt>
                <c:pt idx="368">
                  <c:v>106</c:v>
                </c:pt>
                <c:pt idx="369">
                  <c:v>117</c:v>
                </c:pt>
                <c:pt idx="370">
                  <c:v>129</c:v>
                </c:pt>
                <c:pt idx="371">
                  <c:v>116</c:v>
                </c:pt>
                <c:pt idx="372">
                  <c:v>114</c:v>
                </c:pt>
                <c:pt idx="373">
                  <c:v>114</c:v>
                </c:pt>
                <c:pt idx="374">
                  <c:v>96</c:v>
                </c:pt>
                <c:pt idx="375">
                  <c:v>132</c:v>
                </c:pt>
                <c:pt idx="376">
                  <c:v>104</c:v>
                </c:pt>
                <c:pt idx="377">
                  <c:v>111</c:v>
                </c:pt>
                <c:pt idx="378">
                  <c:v>138</c:v>
                </c:pt>
                <c:pt idx="379">
                  <c:v>129</c:v>
                </c:pt>
                <c:pt idx="380">
                  <c:v>144</c:v>
                </c:pt>
                <c:pt idx="381">
                  <c:v>110</c:v>
                </c:pt>
                <c:pt idx="382">
                  <c:v>140</c:v>
                </c:pt>
                <c:pt idx="383">
                  <c:v>113</c:v>
                </c:pt>
                <c:pt idx="384">
                  <c:v>143</c:v>
                </c:pt>
                <c:pt idx="385">
                  <c:v>108</c:v>
                </c:pt>
                <c:pt idx="386">
                  <c:v>108</c:v>
                </c:pt>
                <c:pt idx="387">
                  <c:v>124</c:v>
                </c:pt>
                <c:pt idx="388">
                  <c:v>116</c:v>
                </c:pt>
                <c:pt idx="389">
                  <c:v>110</c:v>
                </c:pt>
                <c:pt idx="390">
                  <c:v>91</c:v>
                </c:pt>
                <c:pt idx="391">
                  <c:v>107</c:v>
                </c:pt>
                <c:pt idx="392">
                  <c:v>115</c:v>
                </c:pt>
                <c:pt idx="393">
                  <c:v>100</c:v>
                </c:pt>
                <c:pt idx="394">
                  <c:v>104</c:v>
                </c:pt>
                <c:pt idx="395">
                  <c:v>138</c:v>
                </c:pt>
                <c:pt idx="396">
                  <c:v>140</c:v>
                </c:pt>
                <c:pt idx="397">
                  <c:v>120</c:v>
                </c:pt>
                <c:pt idx="398">
                  <c:v>122</c:v>
                </c:pt>
                <c:pt idx="399">
                  <c:v>83</c:v>
                </c:pt>
                <c:pt idx="400">
                  <c:v>139</c:v>
                </c:pt>
                <c:pt idx="401">
                  <c:v>131</c:v>
                </c:pt>
                <c:pt idx="402">
                  <c:v>104</c:v>
                </c:pt>
                <c:pt idx="403">
                  <c:v>130</c:v>
                </c:pt>
                <c:pt idx="404">
                  <c:v>145</c:v>
                </c:pt>
                <c:pt idx="405">
                  <c:v>104</c:v>
                </c:pt>
                <c:pt idx="406">
                  <c:v>97</c:v>
                </c:pt>
                <c:pt idx="407">
                  <c:v>178</c:v>
                </c:pt>
                <c:pt idx="408">
                  <c:v>108</c:v>
                </c:pt>
                <c:pt idx="409">
                  <c:v>123</c:v>
                </c:pt>
                <c:pt idx="410">
                  <c:v>106</c:v>
                </c:pt>
                <c:pt idx="411">
                  <c:v>112</c:v>
                </c:pt>
                <c:pt idx="412">
                  <c:v>135</c:v>
                </c:pt>
                <c:pt idx="413">
                  <c:v>109</c:v>
                </c:pt>
                <c:pt idx="414">
                  <c:v>86</c:v>
                </c:pt>
                <c:pt idx="415">
                  <c:v>95</c:v>
                </c:pt>
                <c:pt idx="416">
                  <c:v>107</c:v>
                </c:pt>
                <c:pt idx="417">
                  <c:v>130</c:v>
                </c:pt>
                <c:pt idx="418">
                  <c:v>82</c:v>
                </c:pt>
                <c:pt idx="419">
                  <c:v>88</c:v>
                </c:pt>
                <c:pt idx="420">
                  <c:v>120</c:v>
                </c:pt>
                <c:pt idx="421">
                  <c:v>162</c:v>
                </c:pt>
                <c:pt idx="422">
                  <c:v>123</c:v>
                </c:pt>
                <c:pt idx="423">
                  <c:v>101</c:v>
                </c:pt>
                <c:pt idx="424">
                  <c:v>113</c:v>
                </c:pt>
                <c:pt idx="425">
                  <c:v>110</c:v>
                </c:pt>
                <c:pt idx="426">
                  <c:v>142</c:v>
                </c:pt>
                <c:pt idx="427">
                  <c:v>102</c:v>
                </c:pt>
                <c:pt idx="428">
                  <c:v>126</c:v>
                </c:pt>
                <c:pt idx="429">
                  <c:v>83</c:v>
                </c:pt>
                <c:pt idx="430">
                  <c:v>85</c:v>
                </c:pt>
                <c:pt idx="431">
                  <c:v>97</c:v>
                </c:pt>
                <c:pt idx="432">
                  <c:v>120</c:v>
                </c:pt>
                <c:pt idx="433">
                  <c:v>116</c:v>
                </c:pt>
                <c:pt idx="434">
                  <c:v>113</c:v>
                </c:pt>
                <c:pt idx="435">
                  <c:v>87</c:v>
                </c:pt>
                <c:pt idx="436">
                  <c:v>101</c:v>
                </c:pt>
                <c:pt idx="437">
                  <c:v>110</c:v>
                </c:pt>
                <c:pt idx="438">
                  <c:v>128</c:v>
                </c:pt>
                <c:pt idx="439">
                  <c:v>138</c:v>
                </c:pt>
                <c:pt idx="440">
                  <c:v>88</c:v>
                </c:pt>
                <c:pt idx="441">
                  <c:v>91</c:v>
                </c:pt>
                <c:pt idx="442">
                  <c:v>138</c:v>
                </c:pt>
                <c:pt idx="443">
                  <c:v>99</c:v>
                </c:pt>
                <c:pt idx="444">
                  <c:v>117</c:v>
                </c:pt>
                <c:pt idx="445">
                  <c:v>117</c:v>
                </c:pt>
                <c:pt idx="446">
                  <c:v>123</c:v>
                </c:pt>
                <c:pt idx="447">
                  <c:v>118</c:v>
                </c:pt>
                <c:pt idx="448">
                  <c:v>154</c:v>
                </c:pt>
                <c:pt idx="449">
                  <c:v>118</c:v>
                </c:pt>
                <c:pt idx="450">
                  <c:v>90</c:v>
                </c:pt>
                <c:pt idx="451">
                  <c:v>113</c:v>
                </c:pt>
                <c:pt idx="452">
                  <c:v>88</c:v>
                </c:pt>
                <c:pt idx="453">
                  <c:v>93</c:v>
                </c:pt>
                <c:pt idx="454">
                  <c:v>104</c:v>
                </c:pt>
                <c:pt idx="455">
                  <c:v>135</c:v>
                </c:pt>
                <c:pt idx="456">
                  <c:v>134</c:v>
                </c:pt>
                <c:pt idx="457">
                  <c:v>98</c:v>
                </c:pt>
                <c:pt idx="458">
                  <c:v>80</c:v>
                </c:pt>
                <c:pt idx="459">
                  <c:v>83</c:v>
                </c:pt>
                <c:pt idx="460">
                  <c:v>102</c:v>
                </c:pt>
                <c:pt idx="461">
                  <c:v>130</c:v>
                </c:pt>
                <c:pt idx="462">
                  <c:v>129</c:v>
                </c:pt>
                <c:pt idx="463">
                  <c:v>117</c:v>
                </c:pt>
                <c:pt idx="464">
                  <c:v>89</c:v>
                </c:pt>
                <c:pt idx="465">
                  <c:v>74</c:v>
                </c:pt>
                <c:pt idx="466">
                  <c:v>96</c:v>
                </c:pt>
                <c:pt idx="467">
                  <c:v>114</c:v>
                </c:pt>
                <c:pt idx="468">
                  <c:v>99</c:v>
                </c:pt>
                <c:pt idx="469">
                  <c:v>129</c:v>
                </c:pt>
                <c:pt idx="470">
                  <c:v>113</c:v>
                </c:pt>
                <c:pt idx="471">
                  <c:v>90</c:v>
                </c:pt>
                <c:pt idx="472">
                  <c:v>118</c:v>
                </c:pt>
                <c:pt idx="473">
                  <c:v>106</c:v>
                </c:pt>
                <c:pt idx="474">
                  <c:v>81</c:v>
                </c:pt>
                <c:pt idx="475">
                  <c:v>117</c:v>
                </c:pt>
                <c:pt idx="476">
                  <c:v>89</c:v>
                </c:pt>
                <c:pt idx="477">
                  <c:v>145</c:v>
                </c:pt>
                <c:pt idx="478">
                  <c:v>114</c:v>
                </c:pt>
                <c:pt idx="479">
                  <c:v>87</c:v>
                </c:pt>
                <c:pt idx="480">
                  <c:v>119</c:v>
                </c:pt>
                <c:pt idx="481">
                  <c:v>91</c:v>
                </c:pt>
                <c:pt idx="482">
                  <c:v>118</c:v>
                </c:pt>
                <c:pt idx="483">
                  <c:v>116</c:v>
                </c:pt>
                <c:pt idx="484">
                  <c:v>177</c:v>
                </c:pt>
                <c:pt idx="485">
                  <c:v>97</c:v>
                </c:pt>
                <c:pt idx="486">
                  <c:v>106</c:v>
                </c:pt>
                <c:pt idx="487">
                  <c:v>106</c:v>
                </c:pt>
                <c:pt idx="488">
                  <c:v>94</c:v>
                </c:pt>
                <c:pt idx="489">
                  <c:v>104</c:v>
                </c:pt>
                <c:pt idx="490">
                  <c:v>102</c:v>
                </c:pt>
                <c:pt idx="491">
                  <c:v>105</c:v>
                </c:pt>
                <c:pt idx="492">
                  <c:v>89</c:v>
                </c:pt>
                <c:pt idx="493">
                  <c:v>135</c:v>
                </c:pt>
                <c:pt idx="494">
                  <c:v>73</c:v>
                </c:pt>
                <c:pt idx="495">
                  <c:v>94</c:v>
                </c:pt>
                <c:pt idx="496">
                  <c:v>95</c:v>
                </c:pt>
                <c:pt idx="497">
                  <c:v>124</c:v>
                </c:pt>
                <c:pt idx="498">
                  <c:v>136</c:v>
                </c:pt>
                <c:pt idx="499">
                  <c:v>91</c:v>
                </c:pt>
                <c:pt idx="500">
                  <c:v>107</c:v>
                </c:pt>
                <c:pt idx="501">
                  <c:v>108</c:v>
                </c:pt>
                <c:pt idx="502">
                  <c:v>99</c:v>
                </c:pt>
                <c:pt idx="503">
                  <c:v>92</c:v>
                </c:pt>
                <c:pt idx="504">
                  <c:v>87</c:v>
                </c:pt>
                <c:pt idx="505">
                  <c:v>110</c:v>
                </c:pt>
                <c:pt idx="506">
                  <c:v>98</c:v>
                </c:pt>
                <c:pt idx="507">
                  <c:v>154</c:v>
                </c:pt>
                <c:pt idx="508">
                  <c:v>129</c:v>
                </c:pt>
                <c:pt idx="509">
                  <c:v>86</c:v>
                </c:pt>
                <c:pt idx="510">
                  <c:v>109</c:v>
                </c:pt>
                <c:pt idx="511">
                  <c:v>104</c:v>
                </c:pt>
                <c:pt idx="512">
                  <c:v>110</c:v>
                </c:pt>
                <c:pt idx="513">
                  <c:v>136</c:v>
                </c:pt>
                <c:pt idx="514">
                  <c:v>115</c:v>
                </c:pt>
                <c:pt idx="515">
                  <c:v>99</c:v>
                </c:pt>
                <c:pt idx="516">
                  <c:v>117</c:v>
                </c:pt>
                <c:pt idx="517">
                  <c:v>125</c:v>
                </c:pt>
                <c:pt idx="518">
                  <c:v>110</c:v>
                </c:pt>
                <c:pt idx="519">
                  <c:v>125</c:v>
                </c:pt>
                <c:pt idx="520">
                  <c:v>102</c:v>
                </c:pt>
                <c:pt idx="521">
                  <c:v>128</c:v>
                </c:pt>
                <c:pt idx="522">
                  <c:v>100</c:v>
                </c:pt>
                <c:pt idx="523">
                  <c:v>124</c:v>
                </c:pt>
                <c:pt idx="524">
                  <c:v>102</c:v>
                </c:pt>
                <c:pt idx="525">
                  <c:v>90</c:v>
                </c:pt>
                <c:pt idx="526">
                  <c:v>130</c:v>
                </c:pt>
                <c:pt idx="527">
                  <c:v>118</c:v>
                </c:pt>
                <c:pt idx="528">
                  <c:v>163</c:v>
                </c:pt>
                <c:pt idx="529">
                  <c:v>142</c:v>
                </c:pt>
                <c:pt idx="530">
                  <c:v>100</c:v>
                </c:pt>
                <c:pt idx="531">
                  <c:v>116</c:v>
                </c:pt>
                <c:pt idx="532">
                  <c:v>131</c:v>
                </c:pt>
                <c:pt idx="533">
                  <c:v>91</c:v>
                </c:pt>
                <c:pt idx="534">
                  <c:v>123</c:v>
                </c:pt>
                <c:pt idx="535">
                  <c:v>134</c:v>
                </c:pt>
                <c:pt idx="536">
                  <c:v>148</c:v>
                </c:pt>
                <c:pt idx="537">
                  <c:v>110</c:v>
                </c:pt>
                <c:pt idx="538">
                  <c:v>113</c:v>
                </c:pt>
                <c:pt idx="539">
                  <c:v>94</c:v>
                </c:pt>
                <c:pt idx="540">
                  <c:v>116</c:v>
                </c:pt>
                <c:pt idx="541">
                  <c:v>99</c:v>
                </c:pt>
                <c:pt idx="542">
                  <c:v>84</c:v>
                </c:pt>
                <c:pt idx="543">
                  <c:v>93</c:v>
                </c:pt>
                <c:pt idx="544">
                  <c:v>113</c:v>
                </c:pt>
                <c:pt idx="545">
                  <c:v>106</c:v>
                </c:pt>
                <c:pt idx="546">
                  <c:v>91</c:v>
                </c:pt>
                <c:pt idx="547">
                  <c:v>128</c:v>
                </c:pt>
                <c:pt idx="548">
                  <c:v>98</c:v>
                </c:pt>
                <c:pt idx="549">
                  <c:v>134</c:v>
                </c:pt>
                <c:pt idx="550">
                  <c:v>97</c:v>
                </c:pt>
                <c:pt idx="551">
                  <c:v>112</c:v>
                </c:pt>
                <c:pt idx="552">
                  <c:v>153</c:v>
                </c:pt>
                <c:pt idx="553">
                  <c:v>110</c:v>
                </c:pt>
                <c:pt idx="554">
                  <c:v>122</c:v>
                </c:pt>
                <c:pt idx="555">
                  <c:v>87</c:v>
                </c:pt>
                <c:pt idx="556">
                  <c:v>178</c:v>
                </c:pt>
                <c:pt idx="557">
                  <c:v>125</c:v>
                </c:pt>
                <c:pt idx="558">
                  <c:v>87</c:v>
                </c:pt>
                <c:pt idx="559">
                  <c:v>152</c:v>
                </c:pt>
                <c:pt idx="560">
                  <c:v>116</c:v>
                </c:pt>
                <c:pt idx="561">
                  <c:v>109</c:v>
                </c:pt>
                <c:pt idx="562">
                  <c:v>108</c:v>
                </c:pt>
                <c:pt idx="563">
                  <c:v>85</c:v>
                </c:pt>
                <c:pt idx="564">
                  <c:v>106</c:v>
                </c:pt>
                <c:pt idx="565">
                  <c:v>93</c:v>
                </c:pt>
                <c:pt idx="566">
                  <c:v>117</c:v>
                </c:pt>
                <c:pt idx="567">
                  <c:v>116</c:v>
                </c:pt>
                <c:pt idx="568">
                  <c:v>132</c:v>
                </c:pt>
                <c:pt idx="569">
                  <c:v>92</c:v>
                </c:pt>
                <c:pt idx="570">
                  <c:v>139</c:v>
                </c:pt>
                <c:pt idx="571">
                  <c:v>153</c:v>
                </c:pt>
                <c:pt idx="572">
                  <c:v>142</c:v>
                </c:pt>
                <c:pt idx="573">
                  <c:v>124</c:v>
                </c:pt>
                <c:pt idx="574">
                  <c:v>117</c:v>
                </c:pt>
                <c:pt idx="575">
                  <c:v>141</c:v>
                </c:pt>
                <c:pt idx="576">
                  <c:v>110</c:v>
                </c:pt>
                <c:pt idx="577">
                  <c:v>109</c:v>
                </c:pt>
                <c:pt idx="578">
                  <c:v>88</c:v>
                </c:pt>
                <c:pt idx="579">
                  <c:v>124</c:v>
                </c:pt>
                <c:pt idx="580">
                  <c:v>119</c:v>
                </c:pt>
                <c:pt idx="581">
                  <c:v>103</c:v>
                </c:pt>
                <c:pt idx="582">
                  <c:v>116</c:v>
                </c:pt>
                <c:pt idx="583">
                  <c:v>125</c:v>
                </c:pt>
                <c:pt idx="584">
                  <c:v>125</c:v>
                </c:pt>
                <c:pt idx="585">
                  <c:v>146</c:v>
                </c:pt>
                <c:pt idx="586">
                  <c:v>118</c:v>
                </c:pt>
                <c:pt idx="587">
                  <c:v>171</c:v>
                </c:pt>
                <c:pt idx="588">
                  <c:v>136</c:v>
                </c:pt>
                <c:pt idx="589">
                  <c:v>92</c:v>
                </c:pt>
                <c:pt idx="590">
                  <c:v>116</c:v>
                </c:pt>
                <c:pt idx="591">
                  <c:v>127</c:v>
                </c:pt>
                <c:pt idx="592">
                  <c:v>136</c:v>
                </c:pt>
                <c:pt idx="593">
                  <c:v>111</c:v>
                </c:pt>
                <c:pt idx="594">
                  <c:v>116</c:v>
                </c:pt>
                <c:pt idx="595">
                  <c:v>113</c:v>
                </c:pt>
                <c:pt idx="596">
                  <c:v>97</c:v>
                </c:pt>
                <c:pt idx="597">
                  <c:v>88</c:v>
                </c:pt>
                <c:pt idx="598">
                  <c:v>136</c:v>
                </c:pt>
                <c:pt idx="599">
                  <c:v>125</c:v>
                </c:pt>
                <c:pt idx="600">
                  <c:v>116</c:v>
                </c:pt>
                <c:pt idx="601">
                  <c:v>98</c:v>
                </c:pt>
                <c:pt idx="602">
                  <c:v>91</c:v>
                </c:pt>
                <c:pt idx="603">
                  <c:v>97</c:v>
                </c:pt>
                <c:pt idx="604">
                  <c:v>95</c:v>
                </c:pt>
                <c:pt idx="605">
                  <c:v>88</c:v>
                </c:pt>
                <c:pt idx="606">
                  <c:v>133</c:v>
                </c:pt>
                <c:pt idx="607">
                  <c:v>106</c:v>
                </c:pt>
                <c:pt idx="608">
                  <c:v>116</c:v>
                </c:pt>
                <c:pt idx="609">
                  <c:v>115</c:v>
                </c:pt>
                <c:pt idx="610">
                  <c:v>99</c:v>
                </c:pt>
                <c:pt idx="611">
                  <c:v>124</c:v>
                </c:pt>
                <c:pt idx="612">
                  <c:v>124</c:v>
                </c:pt>
                <c:pt idx="613">
                  <c:v>124</c:v>
                </c:pt>
                <c:pt idx="614">
                  <c:v>87</c:v>
                </c:pt>
                <c:pt idx="615">
                  <c:v>105</c:v>
                </c:pt>
                <c:pt idx="616">
                  <c:v>125</c:v>
                </c:pt>
                <c:pt idx="617">
                  <c:v>141</c:v>
                </c:pt>
                <c:pt idx="618">
                  <c:v>121</c:v>
                </c:pt>
                <c:pt idx="619">
                  <c:v>111</c:v>
                </c:pt>
                <c:pt idx="620">
                  <c:v>157</c:v>
                </c:pt>
                <c:pt idx="621">
                  <c:v>117</c:v>
                </c:pt>
                <c:pt idx="622">
                  <c:v>128</c:v>
                </c:pt>
                <c:pt idx="623">
                  <c:v>114</c:v>
                </c:pt>
                <c:pt idx="624">
                  <c:v>105</c:v>
                </c:pt>
                <c:pt idx="625">
                  <c:v>113</c:v>
                </c:pt>
                <c:pt idx="626">
                  <c:v>121</c:v>
                </c:pt>
                <c:pt idx="627">
                  <c:v>102</c:v>
                </c:pt>
                <c:pt idx="628">
                  <c:v>169</c:v>
                </c:pt>
                <c:pt idx="629">
                  <c:v>132</c:v>
                </c:pt>
                <c:pt idx="630">
                  <c:v>127</c:v>
                </c:pt>
                <c:pt idx="631">
                  <c:v>103</c:v>
                </c:pt>
                <c:pt idx="632">
                  <c:v>136</c:v>
                </c:pt>
                <c:pt idx="633">
                  <c:v>150</c:v>
                </c:pt>
                <c:pt idx="634">
                  <c:v>136</c:v>
                </c:pt>
                <c:pt idx="635">
                  <c:v>140</c:v>
                </c:pt>
                <c:pt idx="636">
                  <c:v>104</c:v>
                </c:pt>
                <c:pt idx="637">
                  <c:v>158</c:v>
                </c:pt>
                <c:pt idx="638">
                  <c:v>119</c:v>
                </c:pt>
                <c:pt idx="639">
                  <c:v>106</c:v>
                </c:pt>
                <c:pt idx="640">
                  <c:v>136</c:v>
                </c:pt>
                <c:pt idx="641">
                  <c:v>95</c:v>
                </c:pt>
                <c:pt idx="642">
                  <c:v>137</c:v>
                </c:pt>
                <c:pt idx="643">
                  <c:v>130</c:v>
                </c:pt>
                <c:pt idx="644">
                  <c:v>124</c:v>
                </c:pt>
                <c:pt idx="645">
                  <c:v>108</c:v>
                </c:pt>
                <c:pt idx="646">
                  <c:v>104</c:v>
                </c:pt>
                <c:pt idx="647">
                  <c:v>129</c:v>
                </c:pt>
                <c:pt idx="648">
                  <c:v>117</c:v>
                </c:pt>
                <c:pt idx="649">
                  <c:v>99</c:v>
                </c:pt>
                <c:pt idx="650">
                  <c:v>159</c:v>
                </c:pt>
                <c:pt idx="651">
                  <c:v>118</c:v>
                </c:pt>
                <c:pt idx="652">
                  <c:v>105</c:v>
                </c:pt>
                <c:pt idx="653">
                  <c:v>103</c:v>
                </c:pt>
                <c:pt idx="654">
                  <c:v>122</c:v>
                </c:pt>
                <c:pt idx="655">
                  <c:v>114</c:v>
                </c:pt>
                <c:pt idx="656">
                  <c:v>143</c:v>
                </c:pt>
                <c:pt idx="657">
                  <c:v>96</c:v>
                </c:pt>
                <c:pt idx="658">
                  <c:v>111</c:v>
                </c:pt>
                <c:pt idx="659">
                  <c:v>121</c:v>
                </c:pt>
                <c:pt idx="660">
                  <c:v>135</c:v>
                </c:pt>
                <c:pt idx="661">
                  <c:v>101</c:v>
                </c:pt>
                <c:pt idx="662">
                  <c:v>151</c:v>
                </c:pt>
                <c:pt idx="663">
                  <c:v>131</c:v>
                </c:pt>
                <c:pt idx="664">
                  <c:v>100</c:v>
                </c:pt>
                <c:pt idx="665">
                  <c:v>105</c:v>
                </c:pt>
                <c:pt idx="666">
                  <c:v>92</c:v>
                </c:pt>
                <c:pt idx="667">
                  <c:v>130</c:v>
                </c:pt>
                <c:pt idx="668">
                  <c:v>100</c:v>
                </c:pt>
                <c:pt idx="669">
                  <c:v>102</c:v>
                </c:pt>
                <c:pt idx="670">
                  <c:v>133</c:v>
                </c:pt>
                <c:pt idx="671">
                  <c:v>121</c:v>
                </c:pt>
                <c:pt idx="672">
                  <c:v>147</c:v>
                </c:pt>
                <c:pt idx="673">
                  <c:v>94</c:v>
                </c:pt>
                <c:pt idx="674">
                  <c:v>94</c:v>
                </c:pt>
                <c:pt idx="675">
                  <c:v>127</c:v>
                </c:pt>
                <c:pt idx="676">
                  <c:v>212</c:v>
                </c:pt>
                <c:pt idx="677">
                  <c:v>141</c:v>
                </c:pt>
                <c:pt idx="678">
                  <c:v>103</c:v>
                </c:pt>
                <c:pt idx="679">
                  <c:v>98</c:v>
                </c:pt>
                <c:pt idx="680">
                  <c:v>116</c:v>
                </c:pt>
                <c:pt idx="681">
                  <c:v>114</c:v>
                </c:pt>
                <c:pt idx="682">
                  <c:v>87</c:v>
                </c:pt>
                <c:pt idx="683">
                  <c:v>125</c:v>
                </c:pt>
                <c:pt idx="684">
                  <c:v>187</c:v>
                </c:pt>
                <c:pt idx="685">
                  <c:v>93</c:v>
                </c:pt>
                <c:pt idx="686">
                  <c:v>95</c:v>
                </c:pt>
                <c:pt idx="687">
                  <c:v>117</c:v>
                </c:pt>
                <c:pt idx="688">
                  <c:v>106</c:v>
                </c:pt>
                <c:pt idx="689">
                  <c:v>115</c:v>
                </c:pt>
                <c:pt idx="690">
                  <c:v>189</c:v>
                </c:pt>
                <c:pt idx="691">
                  <c:v>100</c:v>
                </c:pt>
                <c:pt idx="692">
                  <c:v>81</c:v>
                </c:pt>
                <c:pt idx="693">
                  <c:v>149</c:v>
                </c:pt>
                <c:pt idx="694">
                  <c:v>119</c:v>
                </c:pt>
                <c:pt idx="695">
                  <c:v>130</c:v>
                </c:pt>
                <c:pt idx="696">
                  <c:v>116</c:v>
                </c:pt>
                <c:pt idx="697">
                  <c:v>103</c:v>
                </c:pt>
                <c:pt idx="698">
                  <c:v>99</c:v>
                </c:pt>
                <c:pt idx="699">
                  <c:v>92</c:v>
                </c:pt>
                <c:pt idx="700">
                  <c:v>109</c:v>
                </c:pt>
                <c:pt idx="701">
                  <c:v>87</c:v>
                </c:pt>
                <c:pt idx="702">
                  <c:v>111</c:v>
                </c:pt>
                <c:pt idx="703">
                  <c:v>101</c:v>
                </c:pt>
                <c:pt idx="704">
                  <c:v>83</c:v>
                </c:pt>
                <c:pt idx="705">
                  <c:v>113</c:v>
                </c:pt>
                <c:pt idx="706">
                  <c:v>107</c:v>
                </c:pt>
                <c:pt idx="707">
                  <c:v>94</c:v>
                </c:pt>
                <c:pt idx="708">
                  <c:v>132</c:v>
                </c:pt>
                <c:pt idx="709">
                  <c:v>140</c:v>
                </c:pt>
                <c:pt idx="710">
                  <c:v>125</c:v>
                </c:pt>
                <c:pt idx="711">
                  <c:v>111</c:v>
                </c:pt>
                <c:pt idx="712">
                  <c:v>156</c:v>
                </c:pt>
                <c:pt idx="713">
                  <c:v>170</c:v>
                </c:pt>
                <c:pt idx="714">
                  <c:v>120</c:v>
                </c:pt>
                <c:pt idx="715">
                  <c:v>100</c:v>
                </c:pt>
                <c:pt idx="716">
                  <c:v>115</c:v>
                </c:pt>
                <c:pt idx="717">
                  <c:v>130</c:v>
                </c:pt>
                <c:pt idx="718">
                  <c:v>105</c:v>
                </c:pt>
                <c:pt idx="719">
                  <c:v>111</c:v>
                </c:pt>
                <c:pt idx="720">
                  <c:v>106</c:v>
                </c:pt>
                <c:pt idx="721">
                  <c:v>89</c:v>
                </c:pt>
                <c:pt idx="722">
                  <c:v>100</c:v>
                </c:pt>
                <c:pt idx="723">
                  <c:v>91</c:v>
                </c:pt>
                <c:pt idx="724">
                  <c:v>146</c:v>
                </c:pt>
                <c:pt idx="725">
                  <c:v>98</c:v>
                </c:pt>
                <c:pt idx="726">
                  <c:v>101</c:v>
                </c:pt>
                <c:pt idx="727">
                  <c:v>94</c:v>
                </c:pt>
                <c:pt idx="728">
                  <c:v>132</c:v>
                </c:pt>
                <c:pt idx="729">
                  <c:v>115</c:v>
                </c:pt>
                <c:pt idx="730">
                  <c:v>92</c:v>
                </c:pt>
                <c:pt idx="731">
                  <c:v>124</c:v>
                </c:pt>
                <c:pt idx="732">
                  <c:v>119</c:v>
                </c:pt>
                <c:pt idx="733">
                  <c:v>124</c:v>
                </c:pt>
                <c:pt idx="734">
                  <c:v>93</c:v>
                </c:pt>
                <c:pt idx="735">
                  <c:v>98</c:v>
                </c:pt>
                <c:pt idx="736">
                  <c:v>92</c:v>
                </c:pt>
                <c:pt idx="737">
                  <c:v>105</c:v>
                </c:pt>
                <c:pt idx="738">
                  <c:v>124</c:v>
                </c:pt>
                <c:pt idx="739">
                  <c:v>99</c:v>
                </c:pt>
                <c:pt idx="740">
                  <c:v>116</c:v>
                </c:pt>
                <c:pt idx="741">
                  <c:v>124</c:v>
                </c:pt>
                <c:pt idx="742">
                  <c:v>96</c:v>
                </c:pt>
                <c:pt idx="743">
                  <c:v>104</c:v>
                </c:pt>
                <c:pt idx="744">
                  <c:v>100</c:v>
                </c:pt>
                <c:pt idx="745">
                  <c:v>115</c:v>
                </c:pt>
                <c:pt idx="746">
                  <c:v>101</c:v>
                </c:pt>
                <c:pt idx="747">
                  <c:v>113</c:v>
                </c:pt>
                <c:pt idx="748">
                  <c:v>100</c:v>
                </c:pt>
                <c:pt idx="749">
                  <c:v>134</c:v>
                </c:pt>
                <c:pt idx="750">
                  <c:v>127</c:v>
                </c:pt>
                <c:pt idx="751">
                  <c:v>125</c:v>
                </c:pt>
                <c:pt idx="752">
                  <c:v>94</c:v>
                </c:pt>
                <c:pt idx="753">
                  <c:v>107</c:v>
                </c:pt>
                <c:pt idx="754">
                  <c:v>91</c:v>
                </c:pt>
                <c:pt idx="755">
                  <c:v>116</c:v>
                </c:pt>
                <c:pt idx="756">
                  <c:v>100</c:v>
                </c:pt>
                <c:pt idx="757">
                  <c:v>111</c:v>
                </c:pt>
                <c:pt idx="758">
                  <c:v>117</c:v>
                </c:pt>
                <c:pt idx="759">
                  <c:v>110</c:v>
                </c:pt>
                <c:pt idx="760">
                  <c:v>96</c:v>
                </c:pt>
                <c:pt idx="761">
                  <c:v>101</c:v>
                </c:pt>
                <c:pt idx="762">
                  <c:v>111</c:v>
                </c:pt>
                <c:pt idx="763">
                  <c:v>117</c:v>
                </c:pt>
                <c:pt idx="764">
                  <c:v>126</c:v>
                </c:pt>
                <c:pt idx="765">
                  <c:v>152</c:v>
                </c:pt>
                <c:pt idx="766">
                  <c:v>86</c:v>
                </c:pt>
                <c:pt idx="767">
                  <c:v>101</c:v>
                </c:pt>
                <c:pt idx="768">
                  <c:v>87</c:v>
                </c:pt>
                <c:pt idx="769">
                  <c:v>85</c:v>
                </c:pt>
                <c:pt idx="770">
                  <c:v>130</c:v>
                </c:pt>
                <c:pt idx="771">
                  <c:v>104</c:v>
                </c:pt>
                <c:pt idx="772">
                  <c:v>121</c:v>
                </c:pt>
                <c:pt idx="773">
                  <c:v>140</c:v>
                </c:pt>
                <c:pt idx="774">
                  <c:v>131</c:v>
                </c:pt>
                <c:pt idx="775">
                  <c:v>91</c:v>
                </c:pt>
                <c:pt idx="776">
                  <c:v>118</c:v>
                </c:pt>
                <c:pt idx="777">
                  <c:v>130</c:v>
                </c:pt>
                <c:pt idx="778">
                  <c:v>90</c:v>
                </c:pt>
                <c:pt idx="779">
                  <c:v>103</c:v>
                </c:pt>
                <c:pt idx="780">
                  <c:v>122</c:v>
                </c:pt>
                <c:pt idx="781">
                  <c:v>106</c:v>
                </c:pt>
                <c:pt idx="782">
                  <c:v>103</c:v>
                </c:pt>
                <c:pt idx="783">
                  <c:v>107</c:v>
                </c:pt>
                <c:pt idx="784">
                  <c:v>156</c:v>
                </c:pt>
                <c:pt idx="785">
                  <c:v>127</c:v>
                </c:pt>
                <c:pt idx="786">
                  <c:v>119</c:v>
                </c:pt>
                <c:pt idx="787">
                  <c:v>132</c:v>
                </c:pt>
                <c:pt idx="788">
                  <c:v>108</c:v>
                </c:pt>
                <c:pt idx="789">
                  <c:v>114</c:v>
                </c:pt>
                <c:pt idx="790">
                  <c:v>133</c:v>
                </c:pt>
                <c:pt idx="791">
                  <c:v>103</c:v>
                </c:pt>
                <c:pt idx="792">
                  <c:v>95</c:v>
                </c:pt>
                <c:pt idx="793">
                  <c:v>90</c:v>
                </c:pt>
                <c:pt idx="794">
                  <c:v>87</c:v>
                </c:pt>
                <c:pt idx="795">
                  <c:v>114</c:v>
                </c:pt>
                <c:pt idx="796">
                  <c:v>119</c:v>
                </c:pt>
                <c:pt idx="797">
                  <c:v>103</c:v>
                </c:pt>
                <c:pt idx="798">
                  <c:v>125</c:v>
                </c:pt>
                <c:pt idx="799">
                  <c:v>97</c:v>
                </c:pt>
                <c:pt idx="800">
                  <c:v>125</c:v>
                </c:pt>
                <c:pt idx="801">
                  <c:v>136</c:v>
                </c:pt>
                <c:pt idx="802">
                  <c:v>116</c:v>
                </c:pt>
                <c:pt idx="803">
                  <c:v>103</c:v>
                </c:pt>
                <c:pt idx="804">
                  <c:v>97</c:v>
                </c:pt>
                <c:pt idx="805">
                  <c:v>96</c:v>
                </c:pt>
                <c:pt idx="806">
                  <c:v>131</c:v>
                </c:pt>
                <c:pt idx="807">
                  <c:v>95</c:v>
                </c:pt>
                <c:pt idx="808">
                  <c:v>86</c:v>
                </c:pt>
                <c:pt idx="809">
                  <c:v>142</c:v>
                </c:pt>
                <c:pt idx="810">
                  <c:v>92</c:v>
                </c:pt>
                <c:pt idx="811">
                  <c:v>108</c:v>
                </c:pt>
                <c:pt idx="812">
                  <c:v>84</c:v>
                </c:pt>
                <c:pt idx="813">
                  <c:v>188</c:v>
                </c:pt>
                <c:pt idx="814">
                  <c:v>95</c:v>
                </c:pt>
                <c:pt idx="815">
                  <c:v>118</c:v>
                </c:pt>
                <c:pt idx="816">
                  <c:v>92</c:v>
                </c:pt>
                <c:pt idx="817">
                  <c:v>74</c:v>
                </c:pt>
                <c:pt idx="818">
                  <c:v>134</c:v>
                </c:pt>
                <c:pt idx="819">
                  <c:v>101</c:v>
                </c:pt>
                <c:pt idx="820">
                  <c:v>100</c:v>
                </c:pt>
                <c:pt idx="821">
                  <c:v>132</c:v>
                </c:pt>
                <c:pt idx="822">
                  <c:v>105</c:v>
                </c:pt>
                <c:pt idx="823">
                  <c:v>123</c:v>
                </c:pt>
                <c:pt idx="824">
                  <c:v>117</c:v>
                </c:pt>
                <c:pt idx="825">
                  <c:v>98</c:v>
                </c:pt>
                <c:pt idx="826">
                  <c:v>128</c:v>
                </c:pt>
                <c:pt idx="827">
                  <c:v>114</c:v>
                </c:pt>
                <c:pt idx="828">
                  <c:v>111</c:v>
                </c:pt>
                <c:pt idx="829">
                  <c:v>85</c:v>
                </c:pt>
                <c:pt idx="830">
                  <c:v>137</c:v>
                </c:pt>
                <c:pt idx="831">
                  <c:v>97</c:v>
                </c:pt>
                <c:pt idx="832">
                  <c:v>104</c:v>
                </c:pt>
                <c:pt idx="833">
                  <c:v>110</c:v>
                </c:pt>
                <c:pt idx="834">
                  <c:v>133</c:v>
                </c:pt>
                <c:pt idx="835">
                  <c:v>94</c:v>
                </c:pt>
                <c:pt idx="836">
                  <c:v>104</c:v>
                </c:pt>
                <c:pt idx="837">
                  <c:v>91</c:v>
                </c:pt>
                <c:pt idx="838">
                  <c:v>145</c:v>
                </c:pt>
                <c:pt idx="839">
                  <c:v>135</c:v>
                </c:pt>
                <c:pt idx="840">
                  <c:v>122</c:v>
                </c:pt>
                <c:pt idx="841">
                  <c:v>110</c:v>
                </c:pt>
                <c:pt idx="842">
                  <c:v>95</c:v>
                </c:pt>
                <c:pt idx="843">
                  <c:v>102</c:v>
                </c:pt>
                <c:pt idx="844">
                  <c:v>94</c:v>
                </c:pt>
                <c:pt idx="845">
                  <c:v>126</c:v>
                </c:pt>
                <c:pt idx="846">
                  <c:v>118</c:v>
                </c:pt>
                <c:pt idx="847">
                  <c:v>99</c:v>
                </c:pt>
                <c:pt idx="848">
                  <c:v>88</c:v>
                </c:pt>
                <c:pt idx="849">
                  <c:v>141</c:v>
                </c:pt>
                <c:pt idx="850">
                  <c:v>107</c:v>
                </c:pt>
                <c:pt idx="851">
                  <c:v>116</c:v>
                </c:pt>
                <c:pt idx="852">
                  <c:v>143</c:v>
                </c:pt>
                <c:pt idx="853">
                  <c:v>114</c:v>
                </c:pt>
                <c:pt idx="854">
                  <c:v>93</c:v>
                </c:pt>
                <c:pt idx="855">
                  <c:v>280</c:v>
                </c:pt>
                <c:pt idx="856">
                  <c:v>100</c:v>
                </c:pt>
                <c:pt idx="857">
                  <c:v>107</c:v>
                </c:pt>
                <c:pt idx="858">
                  <c:v>119</c:v>
                </c:pt>
                <c:pt idx="859">
                  <c:v>95</c:v>
                </c:pt>
                <c:pt idx="860">
                  <c:v>119</c:v>
                </c:pt>
                <c:pt idx="861">
                  <c:v>133</c:v>
                </c:pt>
                <c:pt idx="862">
                  <c:v>152</c:v>
                </c:pt>
                <c:pt idx="863">
                  <c:v>96</c:v>
                </c:pt>
                <c:pt idx="864">
                  <c:v>117</c:v>
                </c:pt>
                <c:pt idx="865">
                  <c:v>123</c:v>
                </c:pt>
                <c:pt idx="866">
                  <c:v>92</c:v>
                </c:pt>
                <c:pt idx="867">
                  <c:v>170</c:v>
                </c:pt>
                <c:pt idx="868">
                  <c:v>123</c:v>
                </c:pt>
                <c:pt idx="869">
                  <c:v>110</c:v>
                </c:pt>
                <c:pt idx="870">
                  <c:v>116</c:v>
                </c:pt>
                <c:pt idx="871">
                  <c:v>121</c:v>
                </c:pt>
                <c:pt idx="872">
                  <c:v>128</c:v>
                </c:pt>
                <c:pt idx="873">
                  <c:v>99</c:v>
                </c:pt>
                <c:pt idx="874">
                  <c:v>94</c:v>
                </c:pt>
                <c:pt idx="875">
                  <c:v>127</c:v>
                </c:pt>
                <c:pt idx="876">
                  <c:v>89</c:v>
                </c:pt>
                <c:pt idx="877">
                  <c:v>123</c:v>
                </c:pt>
                <c:pt idx="878">
                  <c:v>135</c:v>
                </c:pt>
                <c:pt idx="879">
                  <c:v>118</c:v>
                </c:pt>
                <c:pt idx="880">
                  <c:v>189</c:v>
                </c:pt>
                <c:pt idx="881">
                  <c:v>172</c:v>
                </c:pt>
                <c:pt idx="882">
                  <c:v>124</c:v>
                </c:pt>
                <c:pt idx="883">
                  <c:v>141</c:v>
                </c:pt>
                <c:pt idx="884">
                  <c:v>157</c:v>
                </c:pt>
                <c:pt idx="885">
                  <c:v>106</c:v>
                </c:pt>
                <c:pt idx="886">
                  <c:v>108</c:v>
                </c:pt>
                <c:pt idx="887">
                  <c:v>125</c:v>
                </c:pt>
                <c:pt idx="888">
                  <c:v>107</c:v>
                </c:pt>
                <c:pt idx="889">
                  <c:v>215</c:v>
                </c:pt>
                <c:pt idx="890">
                  <c:v>118</c:v>
                </c:pt>
                <c:pt idx="891">
                  <c:v>118</c:v>
                </c:pt>
                <c:pt idx="892">
                  <c:v>178</c:v>
                </c:pt>
                <c:pt idx="893">
                  <c:v>92</c:v>
                </c:pt>
                <c:pt idx="894">
                  <c:v>104</c:v>
                </c:pt>
                <c:pt idx="895">
                  <c:v>116</c:v>
                </c:pt>
                <c:pt idx="896">
                  <c:v>90</c:v>
                </c:pt>
                <c:pt idx="897">
                  <c:v>93</c:v>
                </c:pt>
                <c:pt idx="898">
                  <c:v>130</c:v>
                </c:pt>
                <c:pt idx="899">
                  <c:v>90</c:v>
                </c:pt>
                <c:pt idx="900">
                  <c:v>106</c:v>
                </c:pt>
                <c:pt idx="901">
                  <c:v>155</c:v>
                </c:pt>
                <c:pt idx="902">
                  <c:v>139</c:v>
                </c:pt>
                <c:pt idx="903">
                  <c:v>112</c:v>
                </c:pt>
                <c:pt idx="904">
                  <c:v>139</c:v>
                </c:pt>
                <c:pt idx="905">
                  <c:v>115</c:v>
                </c:pt>
                <c:pt idx="906">
                  <c:v>143</c:v>
                </c:pt>
                <c:pt idx="907">
                  <c:v>96</c:v>
                </c:pt>
                <c:pt idx="908">
                  <c:v>112</c:v>
                </c:pt>
                <c:pt idx="909">
                  <c:v>131</c:v>
                </c:pt>
                <c:pt idx="910">
                  <c:v>116</c:v>
                </c:pt>
                <c:pt idx="911">
                  <c:v>112</c:v>
                </c:pt>
                <c:pt idx="912">
                  <c:v>123</c:v>
                </c:pt>
                <c:pt idx="913">
                  <c:v>104</c:v>
                </c:pt>
                <c:pt idx="914">
                  <c:v>107</c:v>
                </c:pt>
                <c:pt idx="915">
                  <c:v>124</c:v>
                </c:pt>
                <c:pt idx="916">
                  <c:v>96</c:v>
                </c:pt>
                <c:pt idx="917">
                  <c:v>125</c:v>
                </c:pt>
                <c:pt idx="918">
                  <c:v>129</c:v>
                </c:pt>
                <c:pt idx="919">
                  <c:v>90</c:v>
                </c:pt>
                <c:pt idx="920">
                  <c:v>109</c:v>
                </c:pt>
                <c:pt idx="921">
                  <c:v>124</c:v>
                </c:pt>
                <c:pt idx="922">
                  <c:v>121</c:v>
                </c:pt>
                <c:pt idx="923">
                  <c:v>95</c:v>
                </c:pt>
                <c:pt idx="924">
                  <c:v>128</c:v>
                </c:pt>
                <c:pt idx="925">
                  <c:v>118</c:v>
                </c:pt>
                <c:pt idx="926">
                  <c:v>80</c:v>
                </c:pt>
                <c:pt idx="927">
                  <c:v>99</c:v>
                </c:pt>
                <c:pt idx="928">
                  <c:v>133</c:v>
                </c:pt>
                <c:pt idx="929">
                  <c:v>127</c:v>
                </c:pt>
                <c:pt idx="930">
                  <c:v>106</c:v>
                </c:pt>
                <c:pt idx="931">
                  <c:v>98</c:v>
                </c:pt>
                <c:pt idx="932">
                  <c:v>132</c:v>
                </c:pt>
                <c:pt idx="933">
                  <c:v>114</c:v>
                </c:pt>
                <c:pt idx="934">
                  <c:v>78</c:v>
                </c:pt>
                <c:pt idx="935">
                  <c:v>101</c:v>
                </c:pt>
                <c:pt idx="936">
                  <c:v>113</c:v>
                </c:pt>
                <c:pt idx="937">
                  <c:v>98</c:v>
                </c:pt>
                <c:pt idx="938">
                  <c:v>124</c:v>
                </c:pt>
                <c:pt idx="939">
                  <c:v>109</c:v>
                </c:pt>
                <c:pt idx="940">
                  <c:v>128</c:v>
                </c:pt>
                <c:pt idx="941">
                  <c:v>144</c:v>
                </c:pt>
                <c:pt idx="942">
                  <c:v>95</c:v>
                </c:pt>
                <c:pt idx="943">
                  <c:v>105</c:v>
                </c:pt>
                <c:pt idx="944">
                  <c:v>121</c:v>
                </c:pt>
                <c:pt idx="945">
                  <c:v>125</c:v>
                </c:pt>
                <c:pt idx="946">
                  <c:v>129</c:v>
                </c:pt>
                <c:pt idx="947">
                  <c:v>132</c:v>
                </c:pt>
                <c:pt idx="948">
                  <c:v>118</c:v>
                </c:pt>
                <c:pt idx="949">
                  <c:v>113</c:v>
                </c:pt>
                <c:pt idx="950">
                  <c:v>140</c:v>
                </c:pt>
                <c:pt idx="951">
                  <c:v>89</c:v>
                </c:pt>
                <c:pt idx="952">
                  <c:v>104</c:v>
                </c:pt>
                <c:pt idx="953">
                  <c:v>106</c:v>
                </c:pt>
                <c:pt idx="954">
                  <c:v>141</c:v>
                </c:pt>
                <c:pt idx="955">
                  <c:v>124</c:v>
                </c:pt>
                <c:pt idx="956">
                  <c:v>98</c:v>
                </c:pt>
                <c:pt idx="957">
                  <c:v>108</c:v>
                </c:pt>
                <c:pt idx="958">
                  <c:v>114</c:v>
                </c:pt>
                <c:pt idx="959">
                  <c:v>101</c:v>
                </c:pt>
                <c:pt idx="960">
                  <c:v>93</c:v>
                </c:pt>
                <c:pt idx="961">
                  <c:v>119</c:v>
                </c:pt>
                <c:pt idx="962">
                  <c:v>119</c:v>
                </c:pt>
                <c:pt idx="963">
                  <c:v>99</c:v>
                </c:pt>
                <c:pt idx="964">
                  <c:v>137</c:v>
                </c:pt>
                <c:pt idx="965">
                  <c:v>117</c:v>
                </c:pt>
                <c:pt idx="966">
                  <c:v>87</c:v>
                </c:pt>
                <c:pt idx="967">
                  <c:v>129</c:v>
                </c:pt>
                <c:pt idx="968">
                  <c:v>115</c:v>
                </c:pt>
                <c:pt idx="969">
                  <c:v>132</c:v>
                </c:pt>
                <c:pt idx="970">
                  <c:v>131</c:v>
                </c:pt>
                <c:pt idx="971">
                  <c:v>95</c:v>
                </c:pt>
                <c:pt idx="972">
                  <c:v>125</c:v>
                </c:pt>
                <c:pt idx="973">
                  <c:v>98</c:v>
                </c:pt>
                <c:pt idx="974">
                  <c:v>110</c:v>
                </c:pt>
                <c:pt idx="975">
                  <c:v>118</c:v>
                </c:pt>
                <c:pt idx="976">
                  <c:v>101</c:v>
                </c:pt>
                <c:pt idx="977">
                  <c:v>90</c:v>
                </c:pt>
                <c:pt idx="978">
                  <c:v>119</c:v>
                </c:pt>
                <c:pt idx="979">
                  <c:v>139</c:v>
                </c:pt>
                <c:pt idx="980">
                  <c:v>130</c:v>
                </c:pt>
                <c:pt idx="981">
                  <c:v>100</c:v>
                </c:pt>
                <c:pt idx="982">
                  <c:v>114</c:v>
                </c:pt>
                <c:pt idx="983">
                  <c:v>96</c:v>
                </c:pt>
                <c:pt idx="984">
                  <c:v>110</c:v>
                </c:pt>
                <c:pt idx="985">
                  <c:v>158</c:v>
                </c:pt>
                <c:pt idx="986">
                  <c:v>102</c:v>
                </c:pt>
                <c:pt idx="987">
                  <c:v>84</c:v>
                </c:pt>
                <c:pt idx="988">
                  <c:v>115</c:v>
                </c:pt>
                <c:pt idx="989">
                  <c:v>99</c:v>
                </c:pt>
                <c:pt idx="990">
                  <c:v>135</c:v>
                </c:pt>
                <c:pt idx="991">
                  <c:v>108</c:v>
                </c:pt>
                <c:pt idx="992">
                  <c:v>127</c:v>
                </c:pt>
                <c:pt idx="993">
                  <c:v>107</c:v>
                </c:pt>
                <c:pt idx="994">
                  <c:v>95</c:v>
                </c:pt>
                <c:pt idx="995">
                  <c:v>124</c:v>
                </c:pt>
                <c:pt idx="996">
                  <c:v>109</c:v>
                </c:pt>
                <c:pt idx="997">
                  <c:v>102</c:v>
                </c:pt>
                <c:pt idx="998">
                  <c:v>88</c:v>
                </c:pt>
                <c:pt idx="999">
                  <c:v>87</c:v>
                </c:pt>
                <c:pt idx="1000">
                  <c:v>104</c:v>
                </c:pt>
                <c:pt idx="1001">
                  <c:v>96</c:v>
                </c:pt>
                <c:pt idx="1002">
                  <c:v>85</c:v>
                </c:pt>
                <c:pt idx="1003">
                  <c:v>104</c:v>
                </c:pt>
                <c:pt idx="1004">
                  <c:v>135</c:v>
                </c:pt>
                <c:pt idx="1005">
                  <c:v>190</c:v>
                </c:pt>
                <c:pt idx="1006">
                  <c:v>127</c:v>
                </c:pt>
                <c:pt idx="1007">
                  <c:v>129</c:v>
                </c:pt>
                <c:pt idx="1008">
                  <c:v>120</c:v>
                </c:pt>
                <c:pt idx="1009">
                  <c:v>118</c:v>
                </c:pt>
                <c:pt idx="1010">
                  <c:v>112</c:v>
                </c:pt>
                <c:pt idx="1011">
                  <c:v>89</c:v>
                </c:pt>
                <c:pt idx="1012">
                  <c:v>114</c:v>
                </c:pt>
                <c:pt idx="1013">
                  <c:v>137</c:v>
                </c:pt>
                <c:pt idx="1014">
                  <c:v>112</c:v>
                </c:pt>
                <c:pt idx="1015">
                  <c:v>120</c:v>
                </c:pt>
                <c:pt idx="1016">
                  <c:v>123</c:v>
                </c:pt>
                <c:pt idx="1017">
                  <c:v>93</c:v>
                </c:pt>
                <c:pt idx="1018">
                  <c:v>123</c:v>
                </c:pt>
                <c:pt idx="1019">
                  <c:v>122</c:v>
                </c:pt>
                <c:pt idx="1020">
                  <c:v>115</c:v>
                </c:pt>
                <c:pt idx="1021">
                  <c:v>123</c:v>
                </c:pt>
                <c:pt idx="1022">
                  <c:v>96</c:v>
                </c:pt>
                <c:pt idx="1023">
                  <c:v>110</c:v>
                </c:pt>
                <c:pt idx="1024">
                  <c:v>105</c:v>
                </c:pt>
                <c:pt idx="1025">
                  <c:v>113</c:v>
                </c:pt>
                <c:pt idx="1026">
                  <c:v>132</c:v>
                </c:pt>
                <c:pt idx="1027">
                  <c:v>93</c:v>
                </c:pt>
                <c:pt idx="1028">
                  <c:v>115</c:v>
                </c:pt>
                <c:pt idx="1029">
                  <c:v>75</c:v>
                </c:pt>
                <c:pt idx="1030">
                  <c:v>108</c:v>
                </c:pt>
                <c:pt idx="1031">
                  <c:v>105</c:v>
                </c:pt>
                <c:pt idx="1032">
                  <c:v>102</c:v>
                </c:pt>
                <c:pt idx="1033">
                  <c:v>118</c:v>
                </c:pt>
                <c:pt idx="1034">
                  <c:v>111</c:v>
                </c:pt>
                <c:pt idx="1035">
                  <c:v>81</c:v>
                </c:pt>
                <c:pt idx="1036">
                  <c:v>116</c:v>
                </c:pt>
                <c:pt idx="1037">
                  <c:v>86</c:v>
                </c:pt>
                <c:pt idx="1038">
                  <c:v>127</c:v>
                </c:pt>
                <c:pt idx="1039">
                  <c:v>140</c:v>
                </c:pt>
                <c:pt idx="1040">
                  <c:v>91</c:v>
                </c:pt>
                <c:pt idx="1041">
                  <c:v>98</c:v>
                </c:pt>
                <c:pt idx="1042">
                  <c:v>84</c:v>
                </c:pt>
                <c:pt idx="1043">
                  <c:v>109</c:v>
                </c:pt>
                <c:pt idx="1044">
                  <c:v>93</c:v>
                </c:pt>
                <c:pt idx="1045">
                  <c:v>113</c:v>
                </c:pt>
                <c:pt idx="1046">
                  <c:v>141</c:v>
                </c:pt>
                <c:pt idx="1047">
                  <c:v>119</c:v>
                </c:pt>
                <c:pt idx="1048">
                  <c:v>97</c:v>
                </c:pt>
                <c:pt idx="1049">
                  <c:v>117</c:v>
                </c:pt>
                <c:pt idx="1050">
                  <c:v>101</c:v>
                </c:pt>
                <c:pt idx="1051">
                  <c:v>153</c:v>
                </c:pt>
                <c:pt idx="1052">
                  <c:v>122</c:v>
                </c:pt>
                <c:pt idx="1053">
                  <c:v>102</c:v>
                </c:pt>
                <c:pt idx="1054">
                  <c:v>83</c:v>
                </c:pt>
                <c:pt idx="1055">
                  <c:v>103</c:v>
                </c:pt>
                <c:pt idx="1056">
                  <c:v>110</c:v>
                </c:pt>
                <c:pt idx="1057">
                  <c:v>136</c:v>
                </c:pt>
                <c:pt idx="1058">
                  <c:v>91</c:v>
                </c:pt>
                <c:pt idx="1059">
                  <c:v>89</c:v>
                </c:pt>
                <c:pt idx="1060">
                  <c:v>107</c:v>
                </c:pt>
                <c:pt idx="1061">
                  <c:v>129</c:v>
                </c:pt>
                <c:pt idx="1062">
                  <c:v>95</c:v>
                </c:pt>
                <c:pt idx="1063">
                  <c:v>122</c:v>
                </c:pt>
                <c:pt idx="1064">
                  <c:v>110</c:v>
                </c:pt>
                <c:pt idx="1065">
                  <c:v>135</c:v>
                </c:pt>
                <c:pt idx="1066">
                  <c:v>111</c:v>
                </c:pt>
                <c:pt idx="1067">
                  <c:v>95</c:v>
                </c:pt>
                <c:pt idx="1068">
                  <c:v>109</c:v>
                </c:pt>
                <c:pt idx="1069">
                  <c:v>93</c:v>
                </c:pt>
                <c:pt idx="1070">
                  <c:v>94</c:v>
                </c:pt>
                <c:pt idx="1071">
                  <c:v>117</c:v>
                </c:pt>
                <c:pt idx="1072">
                  <c:v>112</c:v>
                </c:pt>
                <c:pt idx="1073">
                  <c:v>111</c:v>
                </c:pt>
                <c:pt idx="1074">
                  <c:v>96</c:v>
                </c:pt>
                <c:pt idx="1075">
                  <c:v>141</c:v>
                </c:pt>
                <c:pt idx="1076">
                  <c:v>94</c:v>
                </c:pt>
                <c:pt idx="1077">
                  <c:v>87</c:v>
                </c:pt>
                <c:pt idx="1078">
                  <c:v>88</c:v>
                </c:pt>
                <c:pt idx="1079">
                  <c:v>177</c:v>
                </c:pt>
                <c:pt idx="1080">
                  <c:v>133</c:v>
                </c:pt>
                <c:pt idx="1081">
                  <c:v>119</c:v>
                </c:pt>
                <c:pt idx="1082">
                  <c:v>102</c:v>
                </c:pt>
                <c:pt idx="1083">
                  <c:v>101</c:v>
                </c:pt>
                <c:pt idx="1084">
                  <c:v>91</c:v>
                </c:pt>
                <c:pt idx="1085">
                  <c:v>117</c:v>
                </c:pt>
                <c:pt idx="1086">
                  <c:v>86</c:v>
                </c:pt>
                <c:pt idx="1087">
                  <c:v>124</c:v>
                </c:pt>
                <c:pt idx="1088">
                  <c:v>134</c:v>
                </c:pt>
                <c:pt idx="1089">
                  <c:v>100</c:v>
                </c:pt>
                <c:pt idx="1090">
                  <c:v>220</c:v>
                </c:pt>
                <c:pt idx="1091">
                  <c:v>212</c:v>
                </c:pt>
                <c:pt idx="1092">
                  <c:v>128</c:v>
                </c:pt>
                <c:pt idx="1093">
                  <c:v>106</c:v>
                </c:pt>
                <c:pt idx="1094">
                  <c:v>160</c:v>
                </c:pt>
                <c:pt idx="1095">
                  <c:v>114</c:v>
                </c:pt>
                <c:pt idx="1096">
                  <c:v>99</c:v>
                </c:pt>
                <c:pt idx="1097">
                  <c:v>74</c:v>
                </c:pt>
                <c:pt idx="1098">
                  <c:v>139</c:v>
                </c:pt>
                <c:pt idx="1099">
                  <c:v>103</c:v>
                </c:pt>
                <c:pt idx="1100">
                  <c:v>101</c:v>
                </c:pt>
                <c:pt idx="1101">
                  <c:v>91</c:v>
                </c:pt>
                <c:pt idx="1102">
                  <c:v>130</c:v>
                </c:pt>
                <c:pt idx="1103">
                  <c:v>130</c:v>
                </c:pt>
                <c:pt idx="1104">
                  <c:v>110</c:v>
                </c:pt>
                <c:pt idx="1105">
                  <c:v>147</c:v>
                </c:pt>
                <c:pt idx="1106">
                  <c:v>96</c:v>
                </c:pt>
                <c:pt idx="1107">
                  <c:v>118</c:v>
                </c:pt>
                <c:pt idx="1108">
                  <c:v>88</c:v>
                </c:pt>
                <c:pt idx="1109">
                  <c:v>325</c:v>
                </c:pt>
                <c:pt idx="1110">
                  <c:v>102</c:v>
                </c:pt>
                <c:pt idx="1111">
                  <c:v>110</c:v>
                </c:pt>
                <c:pt idx="1112">
                  <c:v>136</c:v>
                </c:pt>
                <c:pt idx="1113">
                  <c:v>103</c:v>
                </c:pt>
                <c:pt idx="1114">
                  <c:v>103</c:v>
                </c:pt>
                <c:pt idx="1115">
                  <c:v>90</c:v>
                </c:pt>
                <c:pt idx="1116">
                  <c:v>154</c:v>
                </c:pt>
                <c:pt idx="1117">
                  <c:v>99</c:v>
                </c:pt>
                <c:pt idx="1118">
                  <c:v>93</c:v>
                </c:pt>
                <c:pt idx="1119">
                  <c:v>109</c:v>
                </c:pt>
                <c:pt idx="1120">
                  <c:v>124</c:v>
                </c:pt>
                <c:pt idx="1121">
                  <c:v>84</c:v>
                </c:pt>
                <c:pt idx="1122">
                  <c:v>90</c:v>
                </c:pt>
                <c:pt idx="1123">
                  <c:v>117</c:v>
                </c:pt>
                <c:pt idx="1124">
                  <c:v>123</c:v>
                </c:pt>
                <c:pt idx="1125">
                  <c:v>251</c:v>
                </c:pt>
                <c:pt idx="1126">
                  <c:v>105</c:v>
                </c:pt>
                <c:pt idx="1127">
                  <c:v>115</c:v>
                </c:pt>
                <c:pt idx="1128">
                  <c:v>122</c:v>
                </c:pt>
                <c:pt idx="1129">
                  <c:v>119</c:v>
                </c:pt>
                <c:pt idx="1130">
                  <c:v>81</c:v>
                </c:pt>
                <c:pt idx="1131">
                  <c:v>133</c:v>
                </c:pt>
                <c:pt idx="1132">
                  <c:v>100</c:v>
                </c:pt>
                <c:pt idx="1133">
                  <c:v>120</c:v>
                </c:pt>
                <c:pt idx="1134">
                  <c:v>104</c:v>
                </c:pt>
                <c:pt idx="1135">
                  <c:v>122</c:v>
                </c:pt>
                <c:pt idx="1136">
                  <c:v>80</c:v>
                </c:pt>
                <c:pt idx="1137">
                  <c:v>91</c:v>
                </c:pt>
                <c:pt idx="1138">
                  <c:v>112</c:v>
                </c:pt>
                <c:pt idx="1139">
                  <c:v>100</c:v>
                </c:pt>
                <c:pt idx="1140">
                  <c:v>105</c:v>
                </c:pt>
                <c:pt idx="1141">
                  <c:v>110</c:v>
                </c:pt>
                <c:pt idx="1142">
                  <c:v>101</c:v>
                </c:pt>
                <c:pt idx="1143">
                  <c:v>144</c:v>
                </c:pt>
                <c:pt idx="1144">
                  <c:v>108</c:v>
                </c:pt>
                <c:pt idx="1145">
                  <c:v>107</c:v>
                </c:pt>
                <c:pt idx="1146">
                  <c:v>102</c:v>
                </c:pt>
                <c:pt idx="1147">
                  <c:v>100</c:v>
                </c:pt>
                <c:pt idx="1148">
                  <c:v>126</c:v>
                </c:pt>
                <c:pt idx="1149">
                  <c:v>138</c:v>
                </c:pt>
                <c:pt idx="1150">
                  <c:v>108</c:v>
                </c:pt>
                <c:pt idx="1151">
                  <c:v>105</c:v>
                </c:pt>
                <c:pt idx="1152">
                  <c:v>108</c:v>
                </c:pt>
                <c:pt idx="1153">
                  <c:v>89</c:v>
                </c:pt>
                <c:pt idx="1154">
                  <c:v>129</c:v>
                </c:pt>
                <c:pt idx="1155">
                  <c:v>84</c:v>
                </c:pt>
                <c:pt idx="1156">
                  <c:v>149</c:v>
                </c:pt>
                <c:pt idx="1157">
                  <c:v>94</c:v>
                </c:pt>
                <c:pt idx="1158">
                  <c:v>121</c:v>
                </c:pt>
                <c:pt idx="1159">
                  <c:v>128</c:v>
                </c:pt>
                <c:pt idx="1160">
                  <c:v>134</c:v>
                </c:pt>
                <c:pt idx="1161">
                  <c:v>120</c:v>
                </c:pt>
                <c:pt idx="1162">
                  <c:v>129</c:v>
                </c:pt>
                <c:pt idx="1163">
                  <c:v>89</c:v>
                </c:pt>
                <c:pt idx="1164">
                  <c:v>116</c:v>
                </c:pt>
                <c:pt idx="1165">
                  <c:v>118</c:v>
                </c:pt>
                <c:pt idx="1166">
                  <c:v>107</c:v>
                </c:pt>
                <c:pt idx="1167">
                  <c:v>155</c:v>
                </c:pt>
                <c:pt idx="1168">
                  <c:v>123</c:v>
                </c:pt>
                <c:pt idx="1169">
                  <c:v>128</c:v>
                </c:pt>
                <c:pt idx="1170">
                  <c:v>139</c:v>
                </c:pt>
                <c:pt idx="1171">
                  <c:v>109</c:v>
                </c:pt>
                <c:pt idx="1172">
                  <c:v>120</c:v>
                </c:pt>
                <c:pt idx="1173">
                  <c:v>121</c:v>
                </c:pt>
                <c:pt idx="1174">
                  <c:v>102</c:v>
                </c:pt>
                <c:pt idx="1175">
                  <c:v>117</c:v>
                </c:pt>
                <c:pt idx="1176">
                  <c:v>178</c:v>
                </c:pt>
                <c:pt idx="1177">
                  <c:v>147</c:v>
                </c:pt>
                <c:pt idx="1178">
                  <c:v>90</c:v>
                </c:pt>
                <c:pt idx="1179">
                  <c:v>105</c:v>
                </c:pt>
                <c:pt idx="1180">
                  <c:v>114</c:v>
                </c:pt>
                <c:pt idx="1181">
                  <c:v>206</c:v>
                </c:pt>
                <c:pt idx="1182">
                  <c:v>99</c:v>
                </c:pt>
                <c:pt idx="1183">
                  <c:v>123</c:v>
                </c:pt>
                <c:pt idx="1184">
                  <c:v>102</c:v>
                </c:pt>
                <c:pt idx="1185">
                  <c:v>109</c:v>
                </c:pt>
                <c:pt idx="1186">
                  <c:v>82</c:v>
                </c:pt>
                <c:pt idx="1187">
                  <c:v>142</c:v>
                </c:pt>
                <c:pt idx="1188">
                  <c:v>106</c:v>
                </c:pt>
                <c:pt idx="1189">
                  <c:v>114</c:v>
                </c:pt>
                <c:pt idx="1190">
                  <c:v>106</c:v>
                </c:pt>
                <c:pt idx="1191">
                  <c:v>108</c:v>
                </c:pt>
                <c:pt idx="1192">
                  <c:v>98</c:v>
                </c:pt>
                <c:pt idx="1193">
                  <c:v>131</c:v>
                </c:pt>
                <c:pt idx="1194">
                  <c:v>118</c:v>
                </c:pt>
                <c:pt idx="1195">
                  <c:v>113</c:v>
                </c:pt>
                <c:pt idx="1196">
                  <c:v>130</c:v>
                </c:pt>
                <c:pt idx="1197">
                  <c:v>116</c:v>
                </c:pt>
                <c:pt idx="1198">
                  <c:v>89</c:v>
                </c:pt>
                <c:pt idx="1199">
                  <c:v>139</c:v>
                </c:pt>
                <c:pt idx="1200">
                  <c:v>130</c:v>
                </c:pt>
                <c:pt idx="1201">
                  <c:v>107</c:v>
                </c:pt>
                <c:pt idx="1202">
                  <c:v>116</c:v>
                </c:pt>
                <c:pt idx="1203">
                  <c:v>96</c:v>
                </c:pt>
                <c:pt idx="1204">
                  <c:v>99</c:v>
                </c:pt>
                <c:pt idx="1205">
                  <c:v>104</c:v>
                </c:pt>
                <c:pt idx="1206">
                  <c:v>105</c:v>
                </c:pt>
                <c:pt idx="1207">
                  <c:v>101</c:v>
                </c:pt>
                <c:pt idx="1208">
                  <c:v>134</c:v>
                </c:pt>
                <c:pt idx="1209">
                  <c:v>135</c:v>
                </c:pt>
                <c:pt idx="1210">
                  <c:v>98</c:v>
                </c:pt>
                <c:pt idx="1211">
                  <c:v>155</c:v>
                </c:pt>
                <c:pt idx="1212">
                  <c:v>106</c:v>
                </c:pt>
                <c:pt idx="1213">
                  <c:v>102</c:v>
                </c:pt>
                <c:pt idx="1214">
                  <c:v>95</c:v>
                </c:pt>
                <c:pt idx="1215">
                  <c:v>103</c:v>
                </c:pt>
                <c:pt idx="1216">
                  <c:v>95</c:v>
                </c:pt>
                <c:pt idx="1217">
                  <c:v>109</c:v>
                </c:pt>
                <c:pt idx="1218">
                  <c:v>95</c:v>
                </c:pt>
                <c:pt idx="1219">
                  <c:v>111</c:v>
                </c:pt>
                <c:pt idx="1220">
                  <c:v>123</c:v>
                </c:pt>
                <c:pt idx="1221">
                  <c:v>140</c:v>
                </c:pt>
                <c:pt idx="1222">
                  <c:v>94</c:v>
                </c:pt>
                <c:pt idx="1223">
                  <c:v>94</c:v>
                </c:pt>
                <c:pt idx="1224">
                  <c:v>92</c:v>
                </c:pt>
                <c:pt idx="1225">
                  <c:v>102</c:v>
                </c:pt>
                <c:pt idx="1226">
                  <c:v>123</c:v>
                </c:pt>
                <c:pt idx="1227">
                  <c:v>104</c:v>
                </c:pt>
                <c:pt idx="1228">
                  <c:v>102</c:v>
                </c:pt>
                <c:pt idx="1229">
                  <c:v>136</c:v>
                </c:pt>
                <c:pt idx="1230">
                  <c:v>93</c:v>
                </c:pt>
                <c:pt idx="1231">
                  <c:v>129</c:v>
                </c:pt>
                <c:pt idx="1232">
                  <c:v>107</c:v>
                </c:pt>
                <c:pt idx="1233">
                  <c:v>117</c:v>
                </c:pt>
                <c:pt idx="1234">
                  <c:v>116</c:v>
                </c:pt>
                <c:pt idx="1235">
                  <c:v>135</c:v>
                </c:pt>
                <c:pt idx="1236">
                  <c:v>107</c:v>
                </c:pt>
                <c:pt idx="1237">
                  <c:v>90</c:v>
                </c:pt>
                <c:pt idx="1238">
                  <c:v>99</c:v>
                </c:pt>
                <c:pt idx="1239">
                  <c:v>104</c:v>
                </c:pt>
                <c:pt idx="1240">
                  <c:v>115</c:v>
                </c:pt>
                <c:pt idx="1241">
                  <c:v>119</c:v>
                </c:pt>
                <c:pt idx="1242">
                  <c:v>99</c:v>
                </c:pt>
                <c:pt idx="1243">
                  <c:v>112</c:v>
                </c:pt>
                <c:pt idx="1244">
                  <c:v>128</c:v>
                </c:pt>
                <c:pt idx="1245">
                  <c:v>112</c:v>
                </c:pt>
                <c:pt idx="1246">
                  <c:v>86</c:v>
                </c:pt>
                <c:pt idx="1247">
                  <c:v>108</c:v>
                </c:pt>
                <c:pt idx="1248">
                  <c:v>128</c:v>
                </c:pt>
                <c:pt idx="1249">
                  <c:v>84</c:v>
                </c:pt>
                <c:pt idx="1250">
                  <c:v>111</c:v>
                </c:pt>
                <c:pt idx="1251">
                  <c:v>131</c:v>
                </c:pt>
                <c:pt idx="1252">
                  <c:v>123</c:v>
                </c:pt>
                <c:pt idx="1253">
                  <c:v>101</c:v>
                </c:pt>
                <c:pt idx="1254">
                  <c:v>102</c:v>
                </c:pt>
                <c:pt idx="1255">
                  <c:v>114</c:v>
                </c:pt>
                <c:pt idx="1256">
                  <c:v>107</c:v>
                </c:pt>
                <c:pt idx="1257">
                  <c:v>87</c:v>
                </c:pt>
                <c:pt idx="1258">
                  <c:v>103</c:v>
                </c:pt>
                <c:pt idx="1259">
                  <c:v>99</c:v>
                </c:pt>
                <c:pt idx="1260">
                  <c:v>122</c:v>
                </c:pt>
                <c:pt idx="1261">
                  <c:v>91</c:v>
                </c:pt>
                <c:pt idx="1262">
                  <c:v>103</c:v>
                </c:pt>
                <c:pt idx="1263">
                  <c:v>107</c:v>
                </c:pt>
                <c:pt idx="1264">
                  <c:v>106</c:v>
                </c:pt>
                <c:pt idx="1265">
                  <c:v>101</c:v>
                </c:pt>
                <c:pt idx="1266">
                  <c:v>109</c:v>
                </c:pt>
                <c:pt idx="1267">
                  <c:v>89</c:v>
                </c:pt>
                <c:pt idx="1268">
                  <c:v>100</c:v>
                </c:pt>
                <c:pt idx="1269">
                  <c:v>119</c:v>
                </c:pt>
                <c:pt idx="1270">
                  <c:v>83</c:v>
                </c:pt>
                <c:pt idx="1271">
                  <c:v>108</c:v>
                </c:pt>
                <c:pt idx="1272">
                  <c:v>102</c:v>
                </c:pt>
                <c:pt idx="1273">
                  <c:v>93</c:v>
                </c:pt>
                <c:pt idx="1274">
                  <c:v>84</c:v>
                </c:pt>
                <c:pt idx="1275">
                  <c:v>107</c:v>
                </c:pt>
                <c:pt idx="1276">
                  <c:v>91</c:v>
                </c:pt>
                <c:pt idx="1277">
                  <c:v>94</c:v>
                </c:pt>
                <c:pt idx="1278">
                  <c:v>115</c:v>
                </c:pt>
                <c:pt idx="1279">
                  <c:v>93</c:v>
                </c:pt>
                <c:pt idx="1280">
                  <c:v>105</c:v>
                </c:pt>
                <c:pt idx="1281">
                  <c:v>107</c:v>
                </c:pt>
                <c:pt idx="1282">
                  <c:v>101</c:v>
                </c:pt>
                <c:pt idx="1283">
                  <c:v>111</c:v>
                </c:pt>
                <c:pt idx="1284">
                  <c:v>113</c:v>
                </c:pt>
                <c:pt idx="1285">
                  <c:v>112</c:v>
                </c:pt>
                <c:pt idx="1286">
                  <c:v>126</c:v>
                </c:pt>
                <c:pt idx="1287">
                  <c:v>90</c:v>
                </c:pt>
                <c:pt idx="1288">
                  <c:v>93</c:v>
                </c:pt>
                <c:pt idx="1289">
                  <c:v>98</c:v>
                </c:pt>
                <c:pt idx="1290">
                  <c:v>159</c:v>
                </c:pt>
                <c:pt idx="1291">
                  <c:v>107</c:v>
                </c:pt>
                <c:pt idx="1292">
                  <c:v>102</c:v>
                </c:pt>
                <c:pt idx="1293">
                  <c:v>87</c:v>
                </c:pt>
                <c:pt idx="1294">
                  <c:v>119</c:v>
                </c:pt>
                <c:pt idx="1295">
                  <c:v>110</c:v>
                </c:pt>
                <c:pt idx="1296">
                  <c:v>125</c:v>
                </c:pt>
                <c:pt idx="1297">
                  <c:v>113</c:v>
                </c:pt>
                <c:pt idx="1298">
                  <c:v>150</c:v>
                </c:pt>
                <c:pt idx="1299">
                  <c:v>108</c:v>
                </c:pt>
                <c:pt idx="1300">
                  <c:v>96</c:v>
                </c:pt>
                <c:pt idx="1301">
                  <c:v>93</c:v>
                </c:pt>
                <c:pt idx="1302">
                  <c:v>100</c:v>
                </c:pt>
                <c:pt idx="1303">
                  <c:v>118</c:v>
                </c:pt>
                <c:pt idx="1304">
                  <c:v>122</c:v>
                </c:pt>
                <c:pt idx="1305">
                  <c:v>120</c:v>
                </c:pt>
                <c:pt idx="1306">
                  <c:v>88</c:v>
                </c:pt>
                <c:pt idx="1307">
                  <c:v>146</c:v>
                </c:pt>
                <c:pt idx="1308">
                  <c:v>115</c:v>
                </c:pt>
                <c:pt idx="1309">
                  <c:v>123</c:v>
                </c:pt>
                <c:pt idx="1310">
                  <c:v>94</c:v>
                </c:pt>
                <c:pt idx="1311">
                  <c:v>102</c:v>
                </c:pt>
                <c:pt idx="1312">
                  <c:v>98</c:v>
                </c:pt>
                <c:pt idx="1313">
                  <c:v>133</c:v>
                </c:pt>
                <c:pt idx="1314">
                  <c:v>118</c:v>
                </c:pt>
                <c:pt idx="1315">
                  <c:v>105</c:v>
                </c:pt>
                <c:pt idx="1316">
                  <c:v>109</c:v>
                </c:pt>
                <c:pt idx="1317">
                  <c:v>129</c:v>
                </c:pt>
                <c:pt idx="1318">
                  <c:v>109</c:v>
                </c:pt>
                <c:pt idx="1319">
                  <c:v>127</c:v>
                </c:pt>
                <c:pt idx="1320">
                  <c:v>118</c:v>
                </c:pt>
                <c:pt idx="1321">
                  <c:v>110</c:v>
                </c:pt>
                <c:pt idx="1322">
                  <c:v>90</c:v>
                </c:pt>
                <c:pt idx="1323">
                  <c:v>144</c:v>
                </c:pt>
                <c:pt idx="1324">
                  <c:v>97</c:v>
                </c:pt>
                <c:pt idx="1325">
                  <c:v>130</c:v>
                </c:pt>
                <c:pt idx="1326">
                  <c:v>112</c:v>
                </c:pt>
                <c:pt idx="1327">
                  <c:v>133</c:v>
                </c:pt>
                <c:pt idx="1328">
                  <c:v>150</c:v>
                </c:pt>
                <c:pt idx="1329">
                  <c:v>110</c:v>
                </c:pt>
                <c:pt idx="1330">
                  <c:v>96</c:v>
                </c:pt>
                <c:pt idx="1331">
                  <c:v>96</c:v>
                </c:pt>
                <c:pt idx="1332">
                  <c:v>123</c:v>
                </c:pt>
                <c:pt idx="1333">
                  <c:v>188</c:v>
                </c:pt>
                <c:pt idx="1334">
                  <c:v>107</c:v>
                </c:pt>
                <c:pt idx="1335">
                  <c:v>110</c:v>
                </c:pt>
                <c:pt idx="1336">
                  <c:v>113</c:v>
                </c:pt>
                <c:pt idx="1337">
                  <c:v>122</c:v>
                </c:pt>
                <c:pt idx="1338">
                  <c:v>116</c:v>
                </c:pt>
                <c:pt idx="1339">
                  <c:v>93</c:v>
                </c:pt>
                <c:pt idx="1340">
                  <c:v>118</c:v>
                </c:pt>
                <c:pt idx="1341">
                  <c:v>115</c:v>
                </c:pt>
                <c:pt idx="1342">
                  <c:v>93</c:v>
                </c:pt>
                <c:pt idx="1343">
                  <c:v>121</c:v>
                </c:pt>
                <c:pt idx="1344">
                  <c:v>101</c:v>
                </c:pt>
                <c:pt idx="1345">
                  <c:v>107</c:v>
                </c:pt>
                <c:pt idx="1346">
                  <c:v>124</c:v>
                </c:pt>
                <c:pt idx="1347">
                  <c:v>109</c:v>
                </c:pt>
                <c:pt idx="1348">
                  <c:v>105</c:v>
                </c:pt>
                <c:pt idx="1349">
                  <c:v>130</c:v>
                </c:pt>
                <c:pt idx="1350">
                  <c:v>127</c:v>
                </c:pt>
                <c:pt idx="1351">
                  <c:v>114</c:v>
                </c:pt>
                <c:pt idx="1352">
                  <c:v>106</c:v>
                </c:pt>
                <c:pt idx="1353">
                  <c:v>95</c:v>
                </c:pt>
                <c:pt idx="1354">
                  <c:v>81</c:v>
                </c:pt>
                <c:pt idx="1355">
                  <c:v>95</c:v>
                </c:pt>
                <c:pt idx="1356">
                  <c:v>108</c:v>
                </c:pt>
                <c:pt idx="1357">
                  <c:v>105</c:v>
                </c:pt>
                <c:pt idx="1358">
                  <c:v>95</c:v>
                </c:pt>
                <c:pt idx="1359">
                  <c:v>126</c:v>
                </c:pt>
                <c:pt idx="1360">
                  <c:v>102</c:v>
                </c:pt>
                <c:pt idx="1361">
                  <c:v>121</c:v>
                </c:pt>
                <c:pt idx="1362">
                  <c:v>129</c:v>
                </c:pt>
                <c:pt idx="1363">
                  <c:v>88</c:v>
                </c:pt>
                <c:pt idx="1364">
                  <c:v>106</c:v>
                </c:pt>
                <c:pt idx="1365">
                  <c:v>110</c:v>
                </c:pt>
                <c:pt idx="1366">
                  <c:v>109</c:v>
                </c:pt>
                <c:pt idx="1367">
                  <c:v>143</c:v>
                </c:pt>
                <c:pt idx="1368">
                  <c:v>120</c:v>
                </c:pt>
                <c:pt idx="1369">
                  <c:v>128</c:v>
                </c:pt>
                <c:pt idx="1370">
                  <c:v>123</c:v>
                </c:pt>
                <c:pt idx="1371">
                  <c:v>129</c:v>
                </c:pt>
                <c:pt idx="1372">
                  <c:v>105</c:v>
                </c:pt>
                <c:pt idx="1373">
                  <c:v>162</c:v>
                </c:pt>
                <c:pt idx="1374">
                  <c:v>138</c:v>
                </c:pt>
                <c:pt idx="1375">
                  <c:v>100</c:v>
                </c:pt>
                <c:pt idx="1376">
                  <c:v>90</c:v>
                </c:pt>
                <c:pt idx="1377">
                  <c:v>108</c:v>
                </c:pt>
                <c:pt idx="1378">
                  <c:v>101</c:v>
                </c:pt>
                <c:pt idx="1379">
                  <c:v>109</c:v>
                </c:pt>
                <c:pt idx="1380">
                  <c:v>132</c:v>
                </c:pt>
                <c:pt idx="1381">
                  <c:v>123</c:v>
                </c:pt>
                <c:pt idx="1382">
                  <c:v>87</c:v>
                </c:pt>
                <c:pt idx="1383">
                  <c:v>109</c:v>
                </c:pt>
                <c:pt idx="1384">
                  <c:v>109</c:v>
                </c:pt>
                <c:pt idx="1385">
                  <c:v>92</c:v>
                </c:pt>
                <c:pt idx="1386">
                  <c:v>125</c:v>
                </c:pt>
                <c:pt idx="1387">
                  <c:v>202</c:v>
                </c:pt>
                <c:pt idx="1388">
                  <c:v>134</c:v>
                </c:pt>
                <c:pt idx="1389">
                  <c:v>88</c:v>
                </c:pt>
                <c:pt idx="1390">
                  <c:v>92</c:v>
                </c:pt>
                <c:pt idx="1391">
                  <c:v>91</c:v>
                </c:pt>
                <c:pt idx="1392">
                  <c:v>75</c:v>
                </c:pt>
                <c:pt idx="1393">
                  <c:v>98</c:v>
                </c:pt>
                <c:pt idx="1394">
                  <c:v>147</c:v>
                </c:pt>
                <c:pt idx="1395">
                  <c:v>100</c:v>
                </c:pt>
                <c:pt idx="1396">
                  <c:v>120</c:v>
                </c:pt>
                <c:pt idx="1397">
                  <c:v>104</c:v>
                </c:pt>
                <c:pt idx="1398">
                  <c:v>103</c:v>
                </c:pt>
                <c:pt idx="1399">
                  <c:v>109</c:v>
                </c:pt>
                <c:pt idx="1400">
                  <c:v>104</c:v>
                </c:pt>
                <c:pt idx="1401">
                  <c:v>112</c:v>
                </c:pt>
                <c:pt idx="1402">
                  <c:v>95</c:v>
                </c:pt>
                <c:pt idx="1403">
                  <c:v>102</c:v>
                </c:pt>
                <c:pt idx="1404">
                  <c:v>102</c:v>
                </c:pt>
                <c:pt idx="1405">
                  <c:v>150</c:v>
                </c:pt>
                <c:pt idx="1406">
                  <c:v>101</c:v>
                </c:pt>
                <c:pt idx="1407">
                  <c:v>108</c:v>
                </c:pt>
                <c:pt idx="1408">
                  <c:v>98</c:v>
                </c:pt>
                <c:pt idx="1409">
                  <c:v>137</c:v>
                </c:pt>
                <c:pt idx="1410">
                  <c:v>112</c:v>
                </c:pt>
                <c:pt idx="1411">
                  <c:v>101</c:v>
                </c:pt>
                <c:pt idx="1412">
                  <c:v>103</c:v>
                </c:pt>
                <c:pt idx="1413">
                  <c:v>101</c:v>
                </c:pt>
                <c:pt idx="1414">
                  <c:v>112</c:v>
                </c:pt>
                <c:pt idx="1415">
                  <c:v>111</c:v>
                </c:pt>
                <c:pt idx="1416">
                  <c:v>102</c:v>
                </c:pt>
                <c:pt idx="1417">
                  <c:v>101</c:v>
                </c:pt>
                <c:pt idx="1418">
                  <c:v>155</c:v>
                </c:pt>
                <c:pt idx="1419">
                  <c:v>93</c:v>
                </c:pt>
                <c:pt idx="1420">
                  <c:v>109</c:v>
                </c:pt>
                <c:pt idx="1421">
                  <c:v>140</c:v>
                </c:pt>
                <c:pt idx="1422">
                  <c:v>108</c:v>
                </c:pt>
                <c:pt idx="1423">
                  <c:v>96</c:v>
                </c:pt>
                <c:pt idx="1424">
                  <c:v>123</c:v>
                </c:pt>
                <c:pt idx="1425">
                  <c:v>106</c:v>
                </c:pt>
                <c:pt idx="1426">
                  <c:v>76</c:v>
                </c:pt>
                <c:pt idx="1427">
                  <c:v>107</c:v>
                </c:pt>
                <c:pt idx="1428">
                  <c:v>82</c:v>
                </c:pt>
                <c:pt idx="1429">
                  <c:v>109</c:v>
                </c:pt>
                <c:pt idx="1430">
                  <c:v>99</c:v>
                </c:pt>
                <c:pt idx="1431">
                  <c:v>91</c:v>
                </c:pt>
                <c:pt idx="1432">
                  <c:v>87</c:v>
                </c:pt>
                <c:pt idx="1433">
                  <c:v>125</c:v>
                </c:pt>
                <c:pt idx="1434">
                  <c:v>118</c:v>
                </c:pt>
                <c:pt idx="1435">
                  <c:v>98</c:v>
                </c:pt>
                <c:pt idx="1436">
                  <c:v>92</c:v>
                </c:pt>
                <c:pt idx="1437">
                  <c:v>93</c:v>
                </c:pt>
                <c:pt idx="1438">
                  <c:v>116</c:v>
                </c:pt>
                <c:pt idx="1439">
                  <c:v>92</c:v>
                </c:pt>
                <c:pt idx="1440">
                  <c:v>115</c:v>
                </c:pt>
                <c:pt idx="1441">
                  <c:v>120</c:v>
                </c:pt>
                <c:pt idx="1442">
                  <c:v>111</c:v>
                </c:pt>
                <c:pt idx="1443">
                  <c:v>94</c:v>
                </c:pt>
                <c:pt idx="1444">
                  <c:v>100</c:v>
                </c:pt>
                <c:pt idx="1445">
                  <c:v>101</c:v>
                </c:pt>
                <c:pt idx="1446">
                  <c:v>139</c:v>
                </c:pt>
                <c:pt idx="1447">
                  <c:v>91</c:v>
                </c:pt>
                <c:pt idx="1448">
                  <c:v>109</c:v>
                </c:pt>
                <c:pt idx="1449">
                  <c:v>102</c:v>
                </c:pt>
                <c:pt idx="1450">
                  <c:v>103</c:v>
                </c:pt>
                <c:pt idx="1451">
                  <c:v>83</c:v>
                </c:pt>
                <c:pt idx="1452">
                  <c:v>123</c:v>
                </c:pt>
                <c:pt idx="1453">
                  <c:v>101</c:v>
                </c:pt>
                <c:pt idx="1454">
                  <c:v>117</c:v>
                </c:pt>
                <c:pt idx="1455">
                  <c:v>114</c:v>
                </c:pt>
                <c:pt idx="1456">
                  <c:v>330</c:v>
                </c:pt>
                <c:pt idx="1457">
                  <c:v>121</c:v>
                </c:pt>
                <c:pt idx="1458">
                  <c:v>114</c:v>
                </c:pt>
                <c:pt idx="1459">
                  <c:v>156</c:v>
                </c:pt>
                <c:pt idx="1460">
                  <c:v>135</c:v>
                </c:pt>
                <c:pt idx="1461">
                  <c:v>148</c:v>
                </c:pt>
                <c:pt idx="1462">
                  <c:v>148</c:v>
                </c:pt>
                <c:pt idx="1463">
                  <c:v>93</c:v>
                </c:pt>
                <c:pt idx="1464">
                  <c:v>113</c:v>
                </c:pt>
                <c:pt idx="1465">
                  <c:v>91</c:v>
                </c:pt>
                <c:pt idx="1466">
                  <c:v>139</c:v>
                </c:pt>
                <c:pt idx="1467">
                  <c:v>96</c:v>
                </c:pt>
                <c:pt idx="1468">
                  <c:v>102</c:v>
                </c:pt>
                <c:pt idx="1469">
                  <c:v>96</c:v>
                </c:pt>
                <c:pt idx="1470">
                  <c:v>101</c:v>
                </c:pt>
                <c:pt idx="1471">
                  <c:v>128</c:v>
                </c:pt>
                <c:pt idx="1472">
                  <c:v>109</c:v>
                </c:pt>
                <c:pt idx="1473">
                  <c:v>114</c:v>
                </c:pt>
                <c:pt idx="1474">
                  <c:v>105</c:v>
                </c:pt>
                <c:pt idx="1475">
                  <c:v>141</c:v>
                </c:pt>
                <c:pt idx="1476">
                  <c:v>195</c:v>
                </c:pt>
                <c:pt idx="1477">
                  <c:v>138</c:v>
                </c:pt>
                <c:pt idx="1478">
                  <c:v>101</c:v>
                </c:pt>
                <c:pt idx="1479">
                  <c:v>99</c:v>
                </c:pt>
                <c:pt idx="1480">
                  <c:v>85</c:v>
                </c:pt>
                <c:pt idx="1481">
                  <c:v>89</c:v>
                </c:pt>
                <c:pt idx="1482">
                  <c:v>99</c:v>
                </c:pt>
                <c:pt idx="1483">
                  <c:v>105</c:v>
                </c:pt>
                <c:pt idx="1484">
                  <c:v>97</c:v>
                </c:pt>
                <c:pt idx="1485">
                  <c:v>140</c:v>
                </c:pt>
                <c:pt idx="1486">
                  <c:v>118</c:v>
                </c:pt>
                <c:pt idx="1487">
                  <c:v>94</c:v>
                </c:pt>
                <c:pt idx="1488">
                  <c:v>124</c:v>
                </c:pt>
                <c:pt idx="1489">
                  <c:v>134</c:v>
                </c:pt>
                <c:pt idx="1490">
                  <c:v>113</c:v>
                </c:pt>
                <c:pt idx="1491">
                  <c:v>124</c:v>
                </c:pt>
                <c:pt idx="1492">
                  <c:v>98</c:v>
                </c:pt>
                <c:pt idx="1493">
                  <c:v>97</c:v>
                </c:pt>
                <c:pt idx="1494">
                  <c:v>123</c:v>
                </c:pt>
                <c:pt idx="1495">
                  <c:v>99</c:v>
                </c:pt>
                <c:pt idx="1496">
                  <c:v>101</c:v>
                </c:pt>
                <c:pt idx="1497">
                  <c:v>92</c:v>
                </c:pt>
                <c:pt idx="1498">
                  <c:v>131</c:v>
                </c:pt>
                <c:pt idx="1499">
                  <c:v>107</c:v>
                </c:pt>
                <c:pt idx="1500">
                  <c:v>103</c:v>
                </c:pt>
                <c:pt idx="1501">
                  <c:v>129</c:v>
                </c:pt>
                <c:pt idx="1502">
                  <c:v>107</c:v>
                </c:pt>
                <c:pt idx="1503">
                  <c:v>89</c:v>
                </c:pt>
                <c:pt idx="1504">
                  <c:v>113</c:v>
                </c:pt>
                <c:pt idx="1505">
                  <c:v>93</c:v>
                </c:pt>
                <c:pt idx="1506">
                  <c:v>120</c:v>
                </c:pt>
                <c:pt idx="1507">
                  <c:v>98</c:v>
                </c:pt>
                <c:pt idx="1508">
                  <c:v>105</c:v>
                </c:pt>
                <c:pt idx="1509">
                  <c:v>142</c:v>
                </c:pt>
                <c:pt idx="1510">
                  <c:v>98</c:v>
                </c:pt>
                <c:pt idx="1511">
                  <c:v>96</c:v>
                </c:pt>
                <c:pt idx="1512">
                  <c:v>87</c:v>
                </c:pt>
                <c:pt idx="1513">
                  <c:v>107</c:v>
                </c:pt>
                <c:pt idx="1514">
                  <c:v>90</c:v>
                </c:pt>
                <c:pt idx="1515">
                  <c:v>121</c:v>
                </c:pt>
                <c:pt idx="1516">
                  <c:v>119</c:v>
                </c:pt>
                <c:pt idx="1517">
                  <c:v>107</c:v>
                </c:pt>
                <c:pt idx="1518">
                  <c:v>110</c:v>
                </c:pt>
                <c:pt idx="1519">
                  <c:v>100</c:v>
                </c:pt>
                <c:pt idx="1520">
                  <c:v>75</c:v>
                </c:pt>
                <c:pt idx="1521">
                  <c:v>132</c:v>
                </c:pt>
                <c:pt idx="1522">
                  <c:v>105</c:v>
                </c:pt>
                <c:pt idx="1523">
                  <c:v>93</c:v>
                </c:pt>
                <c:pt idx="1524">
                  <c:v>289</c:v>
                </c:pt>
                <c:pt idx="1525">
                  <c:v>102</c:v>
                </c:pt>
                <c:pt idx="1526">
                  <c:v>143</c:v>
                </c:pt>
                <c:pt idx="1527">
                  <c:v>113</c:v>
                </c:pt>
                <c:pt idx="1528">
                  <c:v>161</c:v>
                </c:pt>
                <c:pt idx="1529">
                  <c:v>138</c:v>
                </c:pt>
                <c:pt idx="1530">
                  <c:v>126</c:v>
                </c:pt>
                <c:pt idx="1531">
                  <c:v>99</c:v>
                </c:pt>
                <c:pt idx="1532">
                  <c:v>101</c:v>
                </c:pt>
                <c:pt idx="1533">
                  <c:v>103</c:v>
                </c:pt>
                <c:pt idx="1534">
                  <c:v>118</c:v>
                </c:pt>
                <c:pt idx="1535">
                  <c:v>99</c:v>
                </c:pt>
                <c:pt idx="1536">
                  <c:v>105</c:v>
                </c:pt>
                <c:pt idx="1537">
                  <c:v>113</c:v>
                </c:pt>
                <c:pt idx="1538">
                  <c:v>93</c:v>
                </c:pt>
                <c:pt idx="1539">
                  <c:v>108</c:v>
                </c:pt>
                <c:pt idx="1540">
                  <c:v>74</c:v>
                </c:pt>
                <c:pt idx="1541">
                  <c:v>116</c:v>
                </c:pt>
                <c:pt idx="1542">
                  <c:v>104</c:v>
                </c:pt>
                <c:pt idx="1543">
                  <c:v>106</c:v>
                </c:pt>
                <c:pt idx="1544">
                  <c:v>120</c:v>
                </c:pt>
                <c:pt idx="1545">
                  <c:v>135</c:v>
                </c:pt>
                <c:pt idx="1546">
                  <c:v>132</c:v>
                </c:pt>
                <c:pt idx="1547">
                  <c:v>92</c:v>
                </c:pt>
                <c:pt idx="1548">
                  <c:v>99</c:v>
                </c:pt>
                <c:pt idx="1549">
                  <c:v>90</c:v>
                </c:pt>
                <c:pt idx="1550">
                  <c:v>111</c:v>
                </c:pt>
                <c:pt idx="1551">
                  <c:v>103</c:v>
                </c:pt>
                <c:pt idx="1552">
                  <c:v>127</c:v>
                </c:pt>
                <c:pt idx="1553">
                  <c:v>112</c:v>
                </c:pt>
                <c:pt idx="1554">
                  <c:v>87</c:v>
                </c:pt>
                <c:pt idx="1555">
                  <c:v>138</c:v>
                </c:pt>
                <c:pt idx="1556">
                  <c:v>132</c:v>
                </c:pt>
                <c:pt idx="1557">
                  <c:v>103</c:v>
                </c:pt>
                <c:pt idx="1558">
                  <c:v>123</c:v>
                </c:pt>
                <c:pt idx="1559">
                  <c:v>111</c:v>
                </c:pt>
                <c:pt idx="1560">
                  <c:v>102</c:v>
                </c:pt>
                <c:pt idx="1561">
                  <c:v>78</c:v>
                </c:pt>
                <c:pt idx="1562">
                  <c:v>132</c:v>
                </c:pt>
                <c:pt idx="1563">
                  <c:v>133</c:v>
                </c:pt>
                <c:pt idx="1564">
                  <c:v>108</c:v>
                </c:pt>
                <c:pt idx="1565">
                  <c:v>125</c:v>
                </c:pt>
                <c:pt idx="1566">
                  <c:v>98</c:v>
                </c:pt>
                <c:pt idx="1567">
                  <c:v>119</c:v>
                </c:pt>
                <c:pt idx="1568">
                  <c:v>87</c:v>
                </c:pt>
                <c:pt idx="1569">
                  <c:v>91</c:v>
                </c:pt>
                <c:pt idx="1570">
                  <c:v>100</c:v>
                </c:pt>
                <c:pt idx="1571">
                  <c:v>118</c:v>
                </c:pt>
                <c:pt idx="1572">
                  <c:v>109</c:v>
                </c:pt>
                <c:pt idx="1573">
                  <c:v>99</c:v>
                </c:pt>
                <c:pt idx="1574">
                  <c:v>114</c:v>
                </c:pt>
                <c:pt idx="1575">
                  <c:v>89</c:v>
                </c:pt>
                <c:pt idx="1576">
                  <c:v>95</c:v>
                </c:pt>
                <c:pt idx="1577">
                  <c:v>98</c:v>
                </c:pt>
                <c:pt idx="1578">
                  <c:v>94</c:v>
                </c:pt>
                <c:pt idx="1579">
                  <c:v>85</c:v>
                </c:pt>
                <c:pt idx="1580">
                  <c:v>124</c:v>
                </c:pt>
                <c:pt idx="1581">
                  <c:v>131</c:v>
                </c:pt>
                <c:pt idx="1582">
                  <c:v>107</c:v>
                </c:pt>
                <c:pt idx="1583">
                  <c:v>99</c:v>
                </c:pt>
                <c:pt idx="1584">
                  <c:v>83</c:v>
                </c:pt>
                <c:pt idx="1585">
                  <c:v>131</c:v>
                </c:pt>
                <c:pt idx="1586">
                  <c:v>85</c:v>
                </c:pt>
                <c:pt idx="1587">
                  <c:v>126</c:v>
                </c:pt>
                <c:pt idx="1588">
                  <c:v>102</c:v>
                </c:pt>
                <c:pt idx="1589">
                  <c:v>123</c:v>
                </c:pt>
                <c:pt idx="1590">
                  <c:v>105</c:v>
                </c:pt>
                <c:pt idx="1591">
                  <c:v>125</c:v>
                </c:pt>
                <c:pt idx="1592">
                  <c:v>92</c:v>
                </c:pt>
                <c:pt idx="1593">
                  <c:v>77</c:v>
                </c:pt>
                <c:pt idx="1594">
                  <c:v>118</c:v>
                </c:pt>
                <c:pt idx="1595">
                  <c:v>121</c:v>
                </c:pt>
                <c:pt idx="1596">
                  <c:v>124</c:v>
                </c:pt>
                <c:pt idx="1597">
                  <c:v>99</c:v>
                </c:pt>
                <c:pt idx="1598">
                  <c:v>112</c:v>
                </c:pt>
                <c:pt idx="1599">
                  <c:v>111</c:v>
                </c:pt>
                <c:pt idx="1600">
                  <c:v>107</c:v>
                </c:pt>
                <c:pt idx="1601">
                  <c:v>104</c:v>
                </c:pt>
                <c:pt idx="1602">
                  <c:v>113</c:v>
                </c:pt>
                <c:pt idx="1603">
                  <c:v>113</c:v>
                </c:pt>
                <c:pt idx="1604">
                  <c:v>95</c:v>
                </c:pt>
                <c:pt idx="1605">
                  <c:v>86</c:v>
                </c:pt>
                <c:pt idx="1606">
                  <c:v>126</c:v>
                </c:pt>
                <c:pt idx="1607">
                  <c:v>101</c:v>
                </c:pt>
                <c:pt idx="1608">
                  <c:v>102</c:v>
                </c:pt>
                <c:pt idx="1609">
                  <c:v>111</c:v>
                </c:pt>
                <c:pt idx="1610">
                  <c:v>95</c:v>
                </c:pt>
                <c:pt idx="1611">
                  <c:v>98</c:v>
                </c:pt>
                <c:pt idx="1612">
                  <c:v>100</c:v>
                </c:pt>
                <c:pt idx="1613">
                  <c:v>118</c:v>
                </c:pt>
                <c:pt idx="1614">
                  <c:v>125</c:v>
                </c:pt>
                <c:pt idx="1615">
                  <c:v>94</c:v>
                </c:pt>
                <c:pt idx="1616">
                  <c:v>79</c:v>
                </c:pt>
                <c:pt idx="1617">
                  <c:v>106</c:v>
                </c:pt>
                <c:pt idx="1618">
                  <c:v>111</c:v>
                </c:pt>
                <c:pt idx="1619">
                  <c:v>63</c:v>
                </c:pt>
                <c:pt idx="1620">
                  <c:v>85</c:v>
                </c:pt>
                <c:pt idx="1621">
                  <c:v>108</c:v>
                </c:pt>
                <c:pt idx="1622">
                  <c:v>139</c:v>
                </c:pt>
                <c:pt idx="1623">
                  <c:v>127</c:v>
                </c:pt>
                <c:pt idx="1624">
                  <c:v>106</c:v>
                </c:pt>
                <c:pt idx="1625">
                  <c:v>95</c:v>
                </c:pt>
                <c:pt idx="1626">
                  <c:v>118</c:v>
                </c:pt>
                <c:pt idx="1627">
                  <c:v>108</c:v>
                </c:pt>
                <c:pt idx="1628">
                  <c:v>105</c:v>
                </c:pt>
                <c:pt idx="1629">
                  <c:v>131</c:v>
                </c:pt>
                <c:pt idx="1630">
                  <c:v>104</c:v>
                </c:pt>
                <c:pt idx="1631">
                  <c:v>133</c:v>
                </c:pt>
                <c:pt idx="1632">
                  <c:v>94</c:v>
                </c:pt>
                <c:pt idx="1633">
                  <c:v>109</c:v>
                </c:pt>
                <c:pt idx="1634">
                  <c:v>96</c:v>
                </c:pt>
                <c:pt idx="1635">
                  <c:v>105</c:v>
                </c:pt>
                <c:pt idx="1636">
                  <c:v>99</c:v>
                </c:pt>
                <c:pt idx="1637">
                  <c:v>112</c:v>
                </c:pt>
                <c:pt idx="1638">
                  <c:v>108</c:v>
                </c:pt>
                <c:pt idx="1639">
                  <c:v>126</c:v>
                </c:pt>
                <c:pt idx="1640">
                  <c:v>98</c:v>
                </c:pt>
                <c:pt idx="1641">
                  <c:v>104</c:v>
                </c:pt>
                <c:pt idx="1642">
                  <c:v>110</c:v>
                </c:pt>
                <c:pt idx="1643">
                  <c:v>130</c:v>
                </c:pt>
                <c:pt idx="1644">
                  <c:v>93</c:v>
                </c:pt>
                <c:pt idx="1645">
                  <c:v>96</c:v>
                </c:pt>
                <c:pt idx="1646">
                  <c:v>114</c:v>
                </c:pt>
                <c:pt idx="1647">
                  <c:v>106</c:v>
                </c:pt>
                <c:pt idx="1648">
                  <c:v>150</c:v>
                </c:pt>
                <c:pt idx="1649">
                  <c:v>100</c:v>
                </c:pt>
                <c:pt idx="1650">
                  <c:v>100</c:v>
                </c:pt>
                <c:pt idx="1651">
                  <c:v>100</c:v>
                </c:pt>
                <c:pt idx="1652">
                  <c:v>107</c:v>
                </c:pt>
                <c:pt idx="1653">
                  <c:v>102</c:v>
                </c:pt>
                <c:pt idx="1654">
                  <c:v>101</c:v>
                </c:pt>
                <c:pt idx="1655">
                  <c:v>86</c:v>
                </c:pt>
                <c:pt idx="1656">
                  <c:v>108</c:v>
                </c:pt>
                <c:pt idx="1657">
                  <c:v>123</c:v>
                </c:pt>
                <c:pt idx="1658">
                  <c:v>134</c:v>
                </c:pt>
                <c:pt idx="1659">
                  <c:v>88</c:v>
                </c:pt>
                <c:pt idx="1660">
                  <c:v>109</c:v>
                </c:pt>
                <c:pt idx="1661">
                  <c:v>122</c:v>
                </c:pt>
                <c:pt idx="1662">
                  <c:v>251</c:v>
                </c:pt>
                <c:pt idx="1663">
                  <c:v>118</c:v>
                </c:pt>
                <c:pt idx="1664">
                  <c:v>131</c:v>
                </c:pt>
                <c:pt idx="1665">
                  <c:v>109</c:v>
                </c:pt>
                <c:pt idx="1666">
                  <c:v>80</c:v>
                </c:pt>
                <c:pt idx="1667">
                  <c:v>88</c:v>
                </c:pt>
                <c:pt idx="1668">
                  <c:v>103</c:v>
                </c:pt>
                <c:pt idx="1669">
                  <c:v>87</c:v>
                </c:pt>
                <c:pt idx="1670">
                  <c:v>160</c:v>
                </c:pt>
                <c:pt idx="1671">
                  <c:v>121</c:v>
                </c:pt>
                <c:pt idx="1672">
                  <c:v>91</c:v>
                </c:pt>
                <c:pt idx="1673">
                  <c:v>92</c:v>
                </c:pt>
                <c:pt idx="1674">
                  <c:v>129</c:v>
                </c:pt>
                <c:pt idx="1675">
                  <c:v>93</c:v>
                </c:pt>
                <c:pt idx="1676">
                  <c:v>118</c:v>
                </c:pt>
                <c:pt idx="1677">
                  <c:v>110</c:v>
                </c:pt>
                <c:pt idx="1678">
                  <c:v>103</c:v>
                </c:pt>
                <c:pt idx="1679">
                  <c:v>85</c:v>
                </c:pt>
                <c:pt idx="1680">
                  <c:v>110</c:v>
                </c:pt>
                <c:pt idx="1681">
                  <c:v>89</c:v>
                </c:pt>
                <c:pt idx="1682">
                  <c:v>115</c:v>
                </c:pt>
                <c:pt idx="1683">
                  <c:v>153</c:v>
                </c:pt>
                <c:pt idx="1684">
                  <c:v>128</c:v>
                </c:pt>
                <c:pt idx="1685">
                  <c:v>89</c:v>
                </c:pt>
                <c:pt idx="1686">
                  <c:v>122</c:v>
                </c:pt>
                <c:pt idx="1687">
                  <c:v>113</c:v>
                </c:pt>
                <c:pt idx="1688">
                  <c:v>99</c:v>
                </c:pt>
                <c:pt idx="1689">
                  <c:v>99</c:v>
                </c:pt>
                <c:pt idx="1690">
                  <c:v>147</c:v>
                </c:pt>
                <c:pt idx="1691">
                  <c:v>112</c:v>
                </c:pt>
                <c:pt idx="1692">
                  <c:v>88</c:v>
                </c:pt>
                <c:pt idx="1693">
                  <c:v>94</c:v>
                </c:pt>
                <c:pt idx="1694">
                  <c:v>90</c:v>
                </c:pt>
                <c:pt idx="1695">
                  <c:v>167</c:v>
                </c:pt>
                <c:pt idx="1696">
                  <c:v>118</c:v>
                </c:pt>
                <c:pt idx="1697">
                  <c:v>83</c:v>
                </c:pt>
                <c:pt idx="1698">
                  <c:v>104</c:v>
                </c:pt>
                <c:pt idx="1699">
                  <c:v>110</c:v>
                </c:pt>
                <c:pt idx="1700">
                  <c:v>102</c:v>
                </c:pt>
                <c:pt idx="1701">
                  <c:v>131</c:v>
                </c:pt>
                <c:pt idx="1702">
                  <c:v>101</c:v>
                </c:pt>
                <c:pt idx="1703">
                  <c:v>130</c:v>
                </c:pt>
                <c:pt idx="1704">
                  <c:v>120</c:v>
                </c:pt>
                <c:pt idx="1705">
                  <c:v>135</c:v>
                </c:pt>
                <c:pt idx="1706">
                  <c:v>110</c:v>
                </c:pt>
                <c:pt idx="1707">
                  <c:v>103</c:v>
                </c:pt>
                <c:pt idx="1708">
                  <c:v>115</c:v>
                </c:pt>
                <c:pt idx="1709">
                  <c:v>110</c:v>
                </c:pt>
                <c:pt idx="1710">
                  <c:v>91</c:v>
                </c:pt>
                <c:pt idx="1711">
                  <c:v>105</c:v>
                </c:pt>
                <c:pt idx="1712">
                  <c:v>127</c:v>
                </c:pt>
                <c:pt idx="1713">
                  <c:v>82</c:v>
                </c:pt>
                <c:pt idx="1714">
                  <c:v>99</c:v>
                </c:pt>
                <c:pt idx="1715">
                  <c:v>90</c:v>
                </c:pt>
                <c:pt idx="1716">
                  <c:v>115</c:v>
                </c:pt>
                <c:pt idx="1717">
                  <c:v>96</c:v>
                </c:pt>
                <c:pt idx="1718">
                  <c:v>104</c:v>
                </c:pt>
                <c:pt idx="1719">
                  <c:v>117</c:v>
                </c:pt>
                <c:pt idx="1720">
                  <c:v>83</c:v>
                </c:pt>
                <c:pt idx="1721">
                  <c:v>99</c:v>
                </c:pt>
                <c:pt idx="1722">
                  <c:v>81</c:v>
                </c:pt>
                <c:pt idx="1723">
                  <c:v>135</c:v>
                </c:pt>
                <c:pt idx="1724">
                  <c:v>117</c:v>
                </c:pt>
                <c:pt idx="1725">
                  <c:v>139</c:v>
                </c:pt>
                <c:pt idx="1726">
                  <c:v>123</c:v>
                </c:pt>
                <c:pt idx="1727">
                  <c:v>117</c:v>
                </c:pt>
                <c:pt idx="1728">
                  <c:v>97</c:v>
                </c:pt>
                <c:pt idx="1729">
                  <c:v>81</c:v>
                </c:pt>
                <c:pt idx="1730">
                  <c:v>103</c:v>
                </c:pt>
                <c:pt idx="1731">
                  <c:v>119</c:v>
                </c:pt>
                <c:pt idx="1732">
                  <c:v>94</c:v>
                </c:pt>
                <c:pt idx="1733">
                  <c:v>89</c:v>
                </c:pt>
                <c:pt idx="1734">
                  <c:v>98</c:v>
                </c:pt>
                <c:pt idx="1735">
                  <c:v>107</c:v>
                </c:pt>
                <c:pt idx="1736">
                  <c:v>108</c:v>
                </c:pt>
                <c:pt idx="1737">
                  <c:v>134</c:v>
                </c:pt>
                <c:pt idx="1738">
                  <c:v>110</c:v>
                </c:pt>
                <c:pt idx="1739">
                  <c:v>103</c:v>
                </c:pt>
                <c:pt idx="1740">
                  <c:v>145</c:v>
                </c:pt>
                <c:pt idx="1741">
                  <c:v>100</c:v>
                </c:pt>
                <c:pt idx="1742">
                  <c:v>131</c:v>
                </c:pt>
                <c:pt idx="1743">
                  <c:v>133</c:v>
                </c:pt>
                <c:pt idx="1744">
                  <c:v>109</c:v>
                </c:pt>
                <c:pt idx="1745">
                  <c:v>114</c:v>
                </c:pt>
                <c:pt idx="1746">
                  <c:v>164</c:v>
                </c:pt>
                <c:pt idx="1747">
                  <c:v>92</c:v>
                </c:pt>
                <c:pt idx="1748">
                  <c:v>122</c:v>
                </c:pt>
                <c:pt idx="1749">
                  <c:v>110</c:v>
                </c:pt>
                <c:pt idx="1750">
                  <c:v>116</c:v>
                </c:pt>
                <c:pt idx="1751">
                  <c:v>115</c:v>
                </c:pt>
                <c:pt idx="1752">
                  <c:v>148</c:v>
                </c:pt>
                <c:pt idx="1753">
                  <c:v>119</c:v>
                </c:pt>
                <c:pt idx="1754">
                  <c:v>118</c:v>
                </c:pt>
                <c:pt idx="1755">
                  <c:v>101</c:v>
                </c:pt>
                <c:pt idx="1756">
                  <c:v>82</c:v>
                </c:pt>
                <c:pt idx="1757">
                  <c:v>110</c:v>
                </c:pt>
                <c:pt idx="1758">
                  <c:v>193</c:v>
                </c:pt>
                <c:pt idx="1759">
                  <c:v>130</c:v>
                </c:pt>
                <c:pt idx="1760">
                  <c:v>94</c:v>
                </c:pt>
                <c:pt idx="1761">
                  <c:v>111</c:v>
                </c:pt>
                <c:pt idx="1762">
                  <c:v>110</c:v>
                </c:pt>
                <c:pt idx="1763">
                  <c:v>109</c:v>
                </c:pt>
                <c:pt idx="1764">
                  <c:v>123</c:v>
                </c:pt>
                <c:pt idx="1765">
                  <c:v>109</c:v>
                </c:pt>
                <c:pt idx="1766">
                  <c:v>99</c:v>
                </c:pt>
                <c:pt idx="1767">
                  <c:v>106</c:v>
                </c:pt>
                <c:pt idx="1768">
                  <c:v>89</c:v>
                </c:pt>
                <c:pt idx="1769">
                  <c:v>98</c:v>
                </c:pt>
                <c:pt idx="1770">
                  <c:v>93</c:v>
                </c:pt>
                <c:pt idx="1771">
                  <c:v>112</c:v>
                </c:pt>
                <c:pt idx="1772">
                  <c:v>101</c:v>
                </c:pt>
                <c:pt idx="1773">
                  <c:v>104</c:v>
                </c:pt>
                <c:pt idx="1774">
                  <c:v>120</c:v>
                </c:pt>
                <c:pt idx="1775">
                  <c:v>135</c:v>
                </c:pt>
                <c:pt idx="1776">
                  <c:v>91</c:v>
                </c:pt>
                <c:pt idx="1777">
                  <c:v>97</c:v>
                </c:pt>
                <c:pt idx="1778">
                  <c:v>133</c:v>
                </c:pt>
                <c:pt idx="1779">
                  <c:v>123</c:v>
                </c:pt>
                <c:pt idx="1780">
                  <c:v>114</c:v>
                </c:pt>
                <c:pt idx="1781">
                  <c:v>111</c:v>
                </c:pt>
                <c:pt idx="1782">
                  <c:v>117</c:v>
                </c:pt>
                <c:pt idx="1783">
                  <c:v>121</c:v>
                </c:pt>
                <c:pt idx="1784">
                  <c:v>139</c:v>
                </c:pt>
                <c:pt idx="1785">
                  <c:v>115</c:v>
                </c:pt>
                <c:pt idx="1786">
                  <c:v>175</c:v>
                </c:pt>
                <c:pt idx="1787">
                  <c:v>85</c:v>
                </c:pt>
                <c:pt idx="1788">
                  <c:v>90</c:v>
                </c:pt>
                <c:pt idx="1789">
                  <c:v>107</c:v>
                </c:pt>
                <c:pt idx="1790">
                  <c:v>100</c:v>
                </c:pt>
                <c:pt idx="1791">
                  <c:v>129</c:v>
                </c:pt>
                <c:pt idx="1792">
                  <c:v>109</c:v>
                </c:pt>
                <c:pt idx="1793">
                  <c:v>94</c:v>
                </c:pt>
                <c:pt idx="1794">
                  <c:v>133</c:v>
                </c:pt>
                <c:pt idx="1795">
                  <c:v>105</c:v>
                </c:pt>
                <c:pt idx="1796">
                  <c:v>100</c:v>
                </c:pt>
                <c:pt idx="1797">
                  <c:v>113</c:v>
                </c:pt>
                <c:pt idx="1798">
                  <c:v>118</c:v>
                </c:pt>
                <c:pt idx="1799">
                  <c:v>110</c:v>
                </c:pt>
                <c:pt idx="1800">
                  <c:v>110</c:v>
                </c:pt>
                <c:pt idx="1801">
                  <c:v>99</c:v>
                </c:pt>
                <c:pt idx="1802">
                  <c:v>101</c:v>
                </c:pt>
                <c:pt idx="1803">
                  <c:v>100</c:v>
                </c:pt>
                <c:pt idx="1804">
                  <c:v>103</c:v>
                </c:pt>
                <c:pt idx="1805">
                  <c:v>100</c:v>
                </c:pt>
                <c:pt idx="1806">
                  <c:v>95</c:v>
                </c:pt>
                <c:pt idx="1807">
                  <c:v>117</c:v>
                </c:pt>
                <c:pt idx="1808">
                  <c:v>129</c:v>
                </c:pt>
                <c:pt idx="1809">
                  <c:v>120</c:v>
                </c:pt>
                <c:pt idx="1810">
                  <c:v>125</c:v>
                </c:pt>
                <c:pt idx="1811">
                  <c:v>133</c:v>
                </c:pt>
                <c:pt idx="1812">
                  <c:v>116</c:v>
                </c:pt>
                <c:pt idx="1813">
                  <c:v>129</c:v>
                </c:pt>
                <c:pt idx="1814">
                  <c:v>93</c:v>
                </c:pt>
                <c:pt idx="1815">
                  <c:v>118</c:v>
                </c:pt>
                <c:pt idx="1816">
                  <c:v>129</c:v>
                </c:pt>
                <c:pt idx="1817">
                  <c:v>185</c:v>
                </c:pt>
                <c:pt idx="1818">
                  <c:v>146</c:v>
                </c:pt>
                <c:pt idx="1819">
                  <c:v>128</c:v>
                </c:pt>
                <c:pt idx="1820">
                  <c:v>93</c:v>
                </c:pt>
                <c:pt idx="1821">
                  <c:v>107</c:v>
                </c:pt>
                <c:pt idx="1822">
                  <c:v>97</c:v>
                </c:pt>
                <c:pt idx="1823">
                  <c:v>101</c:v>
                </c:pt>
                <c:pt idx="1824">
                  <c:v>82</c:v>
                </c:pt>
                <c:pt idx="1825">
                  <c:v>85</c:v>
                </c:pt>
                <c:pt idx="1826">
                  <c:v>88</c:v>
                </c:pt>
                <c:pt idx="1827">
                  <c:v>119</c:v>
                </c:pt>
                <c:pt idx="1828">
                  <c:v>122</c:v>
                </c:pt>
                <c:pt idx="1829">
                  <c:v>99</c:v>
                </c:pt>
                <c:pt idx="1830">
                  <c:v>97</c:v>
                </c:pt>
                <c:pt idx="1831">
                  <c:v>121</c:v>
                </c:pt>
                <c:pt idx="1832">
                  <c:v>95</c:v>
                </c:pt>
                <c:pt idx="1833">
                  <c:v>105</c:v>
                </c:pt>
                <c:pt idx="1834">
                  <c:v>108</c:v>
                </c:pt>
                <c:pt idx="1835">
                  <c:v>134</c:v>
                </c:pt>
                <c:pt idx="1836">
                  <c:v>115</c:v>
                </c:pt>
                <c:pt idx="1837">
                  <c:v>107</c:v>
                </c:pt>
                <c:pt idx="1838">
                  <c:v>86</c:v>
                </c:pt>
                <c:pt idx="1839">
                  <c:v>101</c:v>
                </c:pt>
                <c:pt idx="1840">
                  <c:v>96</c:v>
                </c:pt>
                <c:pt idx="1841">
                  <c:v>101</c:v>
                </c:pt>
                <c:pt idx="1842">
                  <c:v>100</c:v>
                </c:pt>
                <c:pt idx="1843">
                  <c:v>117</c:v>
                </c:pt>
                <c:pt idx="1844">
                  <c:v>101</c:v>
                </c:pt>
                <c:pt idx="1845">
                  <c:v>98</c:v>
                </c:pt>
                <c:pt idx="1846">
                  <c:v>146</c:v>
                </c:pt>
                <c:pt idx="1847">
                  <c:v>102</c:v>
                </c:pt>
                <c:pt idx="1848">
                  <c:v>97</c:v>
                </c:pt>
                <c:pt idx="1849">
                  <c:v>142</c:v>
                </c:pt>
                <c:pt idx="1850">
                  <c:v>98</c:v>
                </c:pt>
                <c:pt idx="1851">
                  <c:v>219</c:v>
                </c:pt>
                <c:pt idx="1852">
                  <c:v>109</c:v>
                </c:pt>
                <c:pt idx="1853">
                  <c:v>97</c:v>
                </c:pt>
                <c:pt idx="1854">
                  <c:v>158</c:v>
                </c:pt>
                <c:pt idx="1855">
                  <c:v>85</c:v>
                </c:pt>
                <c:pt idx="1856">
                  <c:v>80</c:v>
                </c:pt>
                <c:pt idx="1857">
                  <c:v>86</c:v>
                </c:pt>
                <c:pt idx="1858">
                  <c:v>119</c:v>
                </c:pt>
                <c:pt idx="1859">
                  <c:v>98</c:v>
                </c:pt>
                <c:pt idx="1860">
                  <c:v>97</c:v>
                </c:pt>
                <c:pt idx="1861">
                  <c:v>105</c:v>
                </c:pt>
                <c:pt idx="1862">
                  <c:v>124</c:v>
                </c:pt>
                <c:pt idx="1863">
                  <c:v>97</c:v>
                </c:pt>
                <c:pt idx="1864">
                  <c:v>105</c:v>
                </c:pt>
                <c:pt idx="1865">
                  <c:v>104</c:v>
                </c:pt>
                <c:pt idx="1866">
                  <c:v>101</c:v>
                </c:pt>
                <c:pt idx="1867">
                  <c:v>101</c:v>
                </c:pt>
                <c:pt idx="1868">
                  <c:v>114</c:v>
                </c:pt>
                <c:pt idx="1869">
                  <c:v>105</c:v>
                </c:pt>
                <c:pt idx="1870">
                  <c:v>90</c:v>
                </c:pt>
                <c:pt idx="1871">
                  <c:v>97</c:v>
                </c:pt>
                <c:pt idx="1872">
                  <c:v>144</c:v>
                </c:pt>
                <c:pt idx="1873">
                  <c:v>114</c:v>
                </c:pt>
                <c:pt idx="1874">
                  <c:v>124</c:v>
                </c:pt>
                <c:pt idx="1875">
                  <c:v>89</c:v>
                </c:pt>
                <c:pt idx="1876">
                  <c:v>160</c:v>
                </c:pt>
                <c:pt idx="1877">
                  <c:v>93</c:v>
                </c:pt>
                <c:pt idx="1878">
                  <c:v>87</c:v>
                </c:pt>
                <c:pt idx="1879">
                  <c:v>88</c:v>
                </c:pt>
                <c:pt idx="1880">
                  <c:v>142</c:v>
                </c:pt>
                <c:pt idx="1881">
                  <c:v>92</c:v>
                </c:pt>
                <c:pt idx="1882">
                  <c:v>117</c:v>
                </c:pt>
                <c:pt idx="1883">
                  <c:v>111</c:v>
                </c:pt>
                <c:pt idx="1884">
                  <c:v>121</c:v>
                </c:pt>
                <c:pt idx="1885">
                  <c:v>98</c:v>
                </c:pt>
                <c:pt idx="1886">
                  <c:v>107</c:v>
                </c:pt>
                <c:pt idx="1887">
                  <c:v>106</c:v>
                </c:pt>
                <c:pt idx="1888">
                  <c:v>136</c:v>
                </c:pt>
                <c:pt idx="1889">
                  <c:v>97</c:v>
                </c:pt>
                <c:pt idx="1890">
                  <c:v>108</c:v>
                </c:pt>
                <c:pt idx="1891">
                  <c:v>97</c:v>
                </c:pt>
                <c:pt idx="1892">
                  <c:v>99</c:v>
                </c:pt>
                <c:pt idx="1893">
                  <c:v>103</c:v>
                </c:pt>
                <c:pt idx="1894">
                  <c:v>95</c:v>
                </c:pt>
                <c:pt idx="1895">
                  <c:v>93</c:v>
                </c:pt>
                <c:pt idx="1896">
                  <c:v>98</c:v>
                </c:pt>
                <c:pt idx="1897">
                  <c:v>90</c:v>
                </c:pt>
                <c:pt idx="1898">
                  <c:v>107</c:v>
                </c:pt>
                <c:pt idx="1899">
                  <c:v>90</c:v>
                </c:pt>
                <c:pt idx="1900">
                  <c:v>120</c:v>
                </c:pt>
                <c:pt idx="1901">
                  <c:v>115</c:v>
                </c:pt>
                <c:pt idx="1902">
                  <c:v>93</c:v>
                </c:pt>
                <c:pt idx="1903">
                  <c:v>99</c:v>
                </c:pt>
                <c:pt idx="1904">
                  <c:v>107</c:v>
                </c:pt>
                <c:pt idx="1905">
                  <c:v>110</c:v>
                </c:pt>
                <c:pt idx="1906">
                  <c:v>101</c:v>
                </c:pt>
                <c:pt idx="1907">
                  <c:v>85</c:v>
                </c:pt>
                <c:pt idx="1908">
                  <c:v>132</c:v>
                </c:pt>
                <c:pt idx="1909">
                  <c:v>88</c:v>
                </c:pt>
                <c:pt idx="1910">
                  <c:v>90</c:v>
                </c:pt>
                <c:pt idx="1911">
                  <c:v>145</c:v>
                </c:pt>
                <c:pt idx="1912">
                  <c:v>110</c:v>
                </c:pt>
                <c:pt idx="1913">
                  <c:v>101</c:v>
                </c:pt>
                <c:pt idx="1914">
                  <c:v>122</c:v>
                </c:pt>
                <c:pt idx="1915">
                  <c:v>107</c:v>
                </c:pt>
                <c:pt idx="1916">
                  <c:v>127</c:v>
                </c:pt>
                <c:pt idx="1917">
                  <c:v>99</c:v>
                </c:pt>
                <c:pt idx="1918">
                  <c:v>104</c:v>
                </c:pt>
                <c:pt idx="1919">
                  <c:v>140</c:v>
                </c:pt>
                <c:pt idx="1920">
                  <c:v>133</c:v>
                </c:pt>
                <c:pt idx="1921">
                  <c:v>271</c:v>
                </c:pt>
                <c:pt idx="1922">
                  <c:v>112</c:v>
                </c:pt>
                <c:pt idx="1923">
                  <c:v>99</c:v>
                </c:pt>
                <c:pt idx="1924">
                  <c:v>100</c:v>
                </c:pt>
                <c:pt idx="1925">
                  <c:v>92</c:v>
                </c:pt>
                <c:pt idx="1926">
                  <c:v>105</c:v>
                </c:pt>
                <c:pt idx="1927">
                  <c:v>110</c:v>
                </c:pt>
                <c:pt idx="1928">
                  <c:v>116</c:v>
                </c:pt>
                <c:pt idx="1929">
                  <c:v>88</c:v>
                </c:pt>
                <c:pt idx="1930">
                  <c:v>111</c:v>
                </c:pt>
                <c:pt idx="1931">
                  <c:v>117</c:v>
                </c:pt>
                <c:pt idx="1932">
                  <c:v>95</c:v>
                </c:pt>
                <c:pt idx="1933">
                  <c:v>95</c:v>
                </c:pt>
                <c:pt idx="1934">
                  <c:v>127</c:v>
                </c:pt>
                <c:pt idx="1935">
                  <c:v>104</c:v>
                </c:pt>
                <c:pt idx="1936">
                  <c:v>95</c:v>
                </c:pt>
                <c:pt idx="1937">
                  <c:v>121</c:v>
                </c:pt>
                <c:pt idx="1938">
                  <c:v>92</c:v>
                </c:pt>
                <c:pt idx="1939">
                  <c:v>80</c:v>
                </c:pt>
                <c:pt idx="1940">
                  <c:v>107</c:v>
                </c:pt>
                <c:pt idx="1941">
                  <c:v>91</c:v>
                </c:pt>
                <c:pt idx="1942">
                  <c:v>117</c:v>
                </c:pt>
                <c:pt idx="1943">
                  <c:v>107</c:v>
                </c:pt>
                <c:pt idx="1944">
                  <c:v>131</c:v>
                </c:pt>
                <c:pt idx="1945">
                  <c:v>122</c:v>
                </c:pt>
                <c:pt idx="1946">
                  <c:v>88</c:v>
                </c:pt>
                <c:pt idx="1947">
                  <c:v>134</c:v>
                </c:pt>
                <c:pt idx="1948">
                  <c:v>117</c:v>
                </c:pt>
                <c:pt idx="1949">
                  <c:v>80</c:v>
                </c:pt>
                <c:pt idx="1950">
                  <c:v>85</c:v>
                </c:pt>
                <c:pt idx="1951">
                  <c:v>138</c:v>
                </c:pt>
                <c:pt idx="1952">
                  <c:v>121</c:v>
                </c:pt>
                <c:pt idx="1953">
                  <c:v>134</c:v>
                </c:pt>
                <c:pt idx="1954">
                  <c:v>100</c:v>
                </c:pt>
                <c:pt idx="1955">
                  <c:v>100</c:v>
                </c:pt>
                <c:pt idx="1956">
                  <c:v>119</c:v>
                </c:pt>
                <c:pt idx="1957">
                  <c:v>137</c:v>
                </c:pt>
                <c:pt idx="1958">
                  <c:v>119</c:v>
                </c:pt>
                <c:pt idx="1959">
                  <c:v>139</c:v>
                </c:pt>
                <c:pt idx="1960">
                  <c:v>120</c:v>
                </c:pt>
                <c:pt idx="1961">
                  <c:v>98</c:v>
                </c:pt>
                <c:pt idx="1962">
                  <c:v>106</c:v>
                </c:pt>
                <c:pt idx="1963">
                  <c:v>98</c:v>
                </c:pt>
                <c:pt idx="1964">
                  <c:v>107</c:v>
                </c:pt>
                <c:pt idx="1965">
                  <c:v>88</c:v>
                </c:pt>
                <c:pt idx="1966">
                  <c:v>137</c:v>
                </c:pt>
                <c:pt idx="1967">
                  <c:v>100</c:v>
                </c:pt>
                <c:pt idx="1968">
                  <c:v>115</c:v>
                </c:pt>
                <c:pt idx="1969">
                  <c:v>101</c:v>
                </c:pt>
                <c:pt idx="1970">
                  <c:v>110</c:v>
                </c:pt>
                <c:pt idx="1971">
                  <c:v>94</c:v>
                </c:pt>
                <c:pt idx="1972">
                  <c:v>88</c:v>
                </c:pt>
                <c:pt idx="1973">
                  <c:v>127</c:v>
                </c:pt>
                <c:pt idx="1974">
                  <c:v>95</c:v>
                </c:pt>
                <c:pt idx="1975">
                  <c:v>87</c:v>
                </c:pt>
                <c:pt idx="1976">
                  <c:v>118</c:v>
                </c:pt>
                <c:pt idx="1977">
                  <c:v>107</c:v>
                </c:pt>
                <c:pt idx="1978">
                  <c:v>124</c:v>
                </c:pt>
                <c:pt idx="1979">
                  <c:v>89</c:v>
                </c:pt>
                <c:pt idx="1980">
                  <c:v>88</c:v>
                </c:pt>
                <c:pt idx="1981">
                  <c:v>118</c:v>
                </c:pt>
                <c:pt idx="1982">
                  <c:v>93</c:v>
                </c:pt>
                <c:pt idx="1983">
                  <c:v>80</c:v>
                </c:pt>
                <c:pt idx="1984">
                  <c:v>120</c:v>
                </c:pt>
                <c:pt idx="1985">
                  <c:v>98</c:v>
                </c:pt>
                <c:pt idx="1986">
                  <c:v>119</c:v>
                </c:pt>
                <c:pt idx="1987">
                  <c:v>88</c:v>
                </c:pt>
                <c:pt idx="1988">
                  <c:v>90</c:v>
                </c:pt>
                <c:pt idx="1989">
                  <c:v>127</c:v>
                </c:pt>
                <c:pt idx="1990">
                  <c:v>119</c:v>
                </c:pt>
                <c:pt idx="1991">
                  <c:v>85</c:v>
                </c:pt>
                <c:pt idx="1992">
                  <c:v>98</c:v>
                </c:pt>
                <c:pt idx="1993">
                  <c:v>101</c:v>
                </c:pt>
                <c:pt idx="1994">
                  <c:v>112</c:v>
                </c:pt>
                <c:pt idx="1995">
                  <c:v>97</c:v>
                </c:pt>
                <c:pt idx="1996">
                  <c:v>126</c:v>
                </c:pt>
                <c:pt idx="1997">
                  <c:v>97</c:v>
                </c:pt>
                <c:pt idx="1998">
                  <c:v>100</c:v>
                </c:pt>
                <c:pt idx="1999">
                  <c:v>114</c:v>
                </c:pt>
                <c:pt idx="2000">
                  <c:v>88</c:v>
                </c:pt>
                <c:pt idx="2001">
                  <c:v>93</c:v>
                </c:pt>
                <c:pt idx="2002">
                  <c:v>92</c:v>
                </c:pt>
                <c:pt idx="2003">
                  <c:v>98</c:v>
                </c:pt>
                <c:pt idx="2004">
                  <c:v>94</c:v>
                </c:pt>
                <c:pt idx="2005">
                  <c:v>102</c:v>
                </c:pt>
                <c:pt idx="2006">
                  <c:v>98</c:v>
                </c:pt>
                <c:pt idx="2007">
                  <c:v>121</c:v>
                </c:pt>
                <c:pt idx="2008">
                  <c:v>111</c:v>
                </c:pt>
                <c:pt idx="2009">
                  <c:v>90</c:v>
                </c:pt>
                <c:pt idx="2010">
                  <c:v>100</c:v>
                </c:pt>
                <c:pt idx="2011">
                  <c:v>141</c:v>
                </c:pt>
                <c:pt idx="2012">
                  <c:v>139</c:v>
                </c:pt>
                <c:pt idx="2013">
                  <c:v>114</c:v>
                </c:pt>
                <c:pt idx="2014">
                  <c:v>96</c:v>
                </c:pt>
                <c:pt idx="2015">
                  <c:v>111</c:v>
                </c:pt>
                <c:pt idx="2016">
                  <c:v>127</c:v>
                </c:pt>
                <c:pt idx="2017">
                  <c:v>107</c:v>
                </c:pt>
                <c:pt idx="2018">
                  <c:v>97</c:v>
                </c:pt>
                <c:pt idx="2019">
                  <c:v>127</c:v>
                </c:pt>
                <c:pt idx="2020">
                  <c:v>110</c:v>
                </c:pt>
                <c:pt idx="2021">
                  <c:v>135</c:v>
                </c:pt>
                <c:pt idx="2022">
                  <c:v>84</c:v>
                </c:pt>
                <c:pt idx="2023">
                  <c:v>240</c:v>
                </c:pt>
                <c:pt idx="2024">
                  <c:v>122</c:v>
                </c:pt>
                <c:pt idx="2025">
                  <c:v>114</c:v>
                </c:pt>
                <c:pt idx="2026">
                  <c:v>132</c:v>
                </c:pt>
                <c:pt idx="2027">
                  <c:v>170</c:v>
                </c:pt>
                <c:pt idx="2028">
                  <c:v>133</c:v>
                </c:pt>
                <c:pt idx="2029">
                  <c:v>112</c:v>
                </c:pt>
                <c:pt idx="2030">
                  <c:v>108</c:v>
                </c:pt>
                <c:pt idx="2031">
                  <c:v>115</c:v>
                </c:pt>
                <c:pt idx="2032">
                  <c:v>83</c:v>
                </c:pt>
                <c:pt idx="2033">
                  <c:v>105</c:v>
                </c:pt>
                <c:pt idx="2034">
                  <c:v>108</c:v>
                </c:pt>
                <c:pt idx="2035">
                  <c:v>96</c:v>
                </c:pt>
                <c:pt idx="2036">
                  <c:v>94</c:v>
                </c:pt>
                <c:pt idx="2037">
                  <c:v>142</c:v>
                </c:pt>
                <c:pt idx="2038">
                  <c:v>104</c:v>
                </c:pt>
                <c:pt idx="2039">
                  <c:v>106</c:v>
                </c:pt>
                <c:pt idx="2040">
                  <c:v>106</c:v>
                </c:pt>
                <c:pt idx="2041">
                  <c:v>98</c:v>
                </c:pt>
                <c:pt idx="2042">
                  <c:v>100</c:v>
                </c:pt>
                <c:pt idx="2043">
                  <c:v>95</c:v>
                </c:pt>
                <c:pt idx="2044">
                  <c:v>107</c:v>
                </c:pt>
                <c:pt idx="2045">
                  <c:v>104</c:v>
                </c:pt>
                <c:pt idx="2046">
                  <c:v>104</c:v>
                </c:pt>
                <c:pt idx="2047">
                  <c:v>143</c:v>
                </c:pt>
                <c:pt idx="2048">
                  <c:v>77</c:v>
                </c:pt>
                <c:pt idx="2049">
                  <c:v>96</c:v>
                </c:pt>
                <c:pt idx="2050">
                  <c:v>114</c:v>
                </c:pt>
                <c:pt idx="2051">
                  <c:v>145</c:v>
                </c:pt>
                <c:pt idx="2052">
                  <c:v>116</c:v>
                </c:pt>
                <c:pt idx="2053">
                  <c:v>100</c:v>
                </c:pt>
                <c:pt idx="2054">
                  <c:v>104</c:v>
                </c:pt>
                <c:pt idx="2055">
                  <c:v>92</c:v>
                </c:pt>
                <c:pt idx="2056">
                  <c:v>92</c:v>
                </c:pt>
                <c:pt idx="2057">
                  <c:v>105</c:v>
                </c:pt>
                <c:pt idx="2058">
                  <c:v>120</c:v>
                </c:pt>
                <c:pt idx="2059">
                  <c:v>116</c:v>
                </c:pt>
                <c:pt idx="2060">
                  <c:v>119</c:v>
                </c:pt>
                <c:pt idx="2061">
                  <c:v>101</c:v>
                </c:pt>
                <c:pt idx="2062">
                  <c:v>117</c:v>
                </c:pt>
                <c:pt idx="2063">
                  <c:v>106</c:v>
                </c:pt>
                <c:pt idx="2064">
                  <c:v>112</c:v>
                </c:pt>
                <c:pt idx="2065">
                  <c:v>136</c:v>
                </c:pt>
                <c:pt idx="2066">
                  <c:v>81</c:v>
                </c:pt>
                <c:pt idx="2067">
                  <c:v>87</c:v>
                </c:pt>
                <c:pt idx="2068">
                  <c:v>96</c:v>
                </c:pt>
                <c:pt idx="2069">
                  <c:v>106</c:v>
                </c:pt>
                <c:pt idx="2070">
                  <c:v>122</c:v>
                </c:pt>
                <c:pt idx="2071">
                  <c:v>123</c:v>
                </c:pt>
                <c:pt idx="2072">
                  <c:v>133</c:v>
                </c:pt>
                <c:pt idx="2073">
                  <c:v>92</c:v>
                </c:pt>
                <c:pt idx="2074">
                  <c:v>110</c:v>
                </c:pt>
                <c:pt idx="2075">
                  <c:v>104</c:v>
                </c:pt>
                <c:pt idx="2076">
                  <c:v>98</c:v>
                </c:pt>
                <c:pt idx="2077">
                  <c:v>120</c:v>
                </c:pt>
                <c:pt idx="2078">
                  <c:v>112</c:v>
                </c:pt>
                <c:pt idx="2079">
                  <c:v>127</c:v>
                </c:pt>
                <c:pt idx="2080">
                  <c:v>102</c:v>
                </c:pt>
                <c:pt idx="2081">
                  <c:v>91</c:v>
                </c:pt>
                <c:pt idx="2082">
                  <c:v>114</c:v>
                </c:pt>
                <c:pt idx="2083">
                  <c:v>115</c:v>
                </c:pt>
                <c:pt idx="2084">
                  <c:v>115</c:v>
                </c:pt>
                <c:pt idx="2085">
                  <c:v>120</c:v>
                </c:pt>
                <c:pt idx="2086">
                  <c:v>135</c:v>
                </c:pt>
                <c:pt idx="2087">
                  <c:v>90</c:v>
                </c:pt>
                <c:pt idx="2088">
                  <c:v>100</c:v>
                </c:pt>
                <c:pt idx="2089">
                  <c:v>105</c:v>
                </c:pt>
                <c:pt idx="2090">
                  <c:v>138</c:v>
                </c:pt>
                <c:pt idx="2091">
                  <c:v>94</c:v>
                </c:pt>
                <c:pt idx="2092">
                  <c:v>101</c:v>
                </c:pt>
                <c:pt idx="2093">
                  <c:v>131</c:v>
                </c:pt>
                <c:pt idx="2094">
                  <c:v>91</c:v>
                </c:pt>
                <c:pt idx="2095">
                  <c:v>112</c:v>
                </c:pt>
                <c:pt idx="2096">
                  <c:v>95</c:v>
                </c:pt>
                <c:pt idx="2097">
                  <c:v>100</c:v>
                </c:pt>
                <c:pt idx="2098">
                  <c:v>108</c:v>
                </c:pt>
                <c:pt idx="2099">
                  <c:v>101</c:v>
                </c:pt>
                <c:pt idx="2100">
                  <c:v>109</c:v>
                </c:pt>
                <c:pt idx="2101">
                  <c:v>115</c:v>
                </c:pt>
                <c:pt idx="2102">
                  <c:v>117</c:v>
                </c:pt>
                <c:pt idx="2103">
                  <c:v>107</c:v>
                </c:pt>
                <c:pt idx="2104">
                  <c:v>134</c:v>
                </c:pt>
                <c:pt idx="2105">
                  <c:v>118</c:v>
                </c:pt>
                <c:pt idx="2106">
                  <c:v>121</c:v>
                </c:pt>
                <c:pt idx="2107">
                  <c:v>105</c:v>
                </c:pt>
                <c:pt idx="2108">
                  <c:v>110</c:v>
                </c:pt>
                <c:pt idx="2109">
                  <c:v>114</c:v>
                </c:pt>
                <c:pt idx="2110">
                  <c:v>104</c:v>
                </c:pt>
                <c:pt idx="2111">
                  <c:v>100</c:v>
                </c:pt>
                <c:pt idx="2112">
                  <c:v>85</c:v>
                </c:pt>
                <c:pt idx="2113">
                  <c:v>72</c:v>
                </c:pt>
                <c:pt idx="2114">
                  <c:v>128</c:v>
                </c:pt>
                <c:pt idx="2115">
                  <c:v>72</c:v>
                </c:pt>
                <c:pt idx="2116">
                  <c:v>89</c:v>
                </c:pt>
                <c:pt idx="2117">
                  <c:v>96</c:v>
                </c:pt>
                <c:pt idx="2118">
                  <c:v>77</c:v>
                </c:pt>
                <c:pt idx="2119">
                  <c:v>123</c:v>
                </c:pt>
                <c:pt idx="2120">
                  <c:v>111</c:v>
                </c:pt>
                <c:pt idx="2121">
                  <c:v>93</c:v>
                </c:pt>
                <c:pt idx="2122">
                  <c:v>128</c:v>
                </c:pt>
                <c:pt idx="2123">
                  <c:v>110</c:v>
                </c:pt>
                <c:pt idx="2124">
                  <c:v>137</c:v>
                </c:pt>
                <c:pt idx="2125">
                  <c:v>124</c:v>
                </c:pt>
                <c:pt idx="2126">
                  <c:v>93</c:v>
                </c:pt>
                <c:pt idx="2127">
                  <c:v>115</c:v>
                </c:pt>
                <c:pt idx="2128">
                  <c:v>98</c:v>
                </c:pt>
                <c:pt idx="2129">
                  <c:v>105</c:v>
                </c:pt>
                <c:pt idx="2130">
                  <c:v>127</c:v>
                </c:pt>
                <c:pt idx="2131">
                  <c:v>82</c:v>
                </c:pt>
                <c:pt idx="2132">
                  <c:v>143</c:v>
                </c:pt>
                <c:pt idx="2133">
                  <c:v>103</c:v>
                </c:pt>
                <c:pt idx="2134">
                  <c:v>104</c:v>
                </c:pt>
                <c:pt idx="2135">
                  <c:v>98</c:v>
                </c:pt>
                <c:pt idx="2136">
                  <c:v>92</c:v>
                </c:pt>
                <c:pt idx="2137">
                  <c:v>123</c:v>
                </c:pt>
                <c:pt idx="2138">
                  <c:v>88</c:v>
                </c:pt>
                <c:pt idx="2139">
                  <c:v>158</c:v>
                </c:pt>
                <c:pt idx="2140">
                  <c:v>128</c:v>
                </c:pt>
                <c:pt idx="2141">
                  <c:v>107</c:v>
                </c:pt>
                <c:pt idx="2142">
                  <c:v>91</c:v>
                </c:pt>
                <c:pt idx="2143">
                  <c:v>90</c:v>
                </c:pt>
                <c:pt idx="2144">
                  <c:v>115</c:v>
                </c:pt>
                <c:pt idx="2145">
                  <c:v>101</c:v>
                </c:pt>
                <c:pt idx="2146">
                  <c:v>113</c:v>
                </c:pt>
                <c:pt idx="2147">
                  <c:v>113</c:v>
                </c:pt>
                <c:pt idx="2148">
                  <c:v>87</c:v>
                </c:pt>
                <c:pt idx="2149">
                  <c:v>101</c:v>
                </c:pt>
                <c:pt idx="2150">
                  <c:v>111</c:v>
                </c:pt>
                <c:pt idx="2151">
                  <c:v>108</c:v>
                </c:pt>
                <c:pt idx="2152">
                  <c:v>105</c:v>
                </c:pt>
                <c:pt idx="2153">
                  <c:v>109</c:v>
                </c:pt>
                <c:pt idx="2154">
                  <c:v>109</c:v>
                </c:pt>
                <c:pt idx="2155">
                  <c:v>99</c:v>
                </c:pt>
                <c:pt idx="2156">
                  <c:v>98</c:v>
                </c:pt>
                <c:pt idx="2157">
                  <c:v>104</c:v>
                </c:pt>
                <c:pt idx="2158">
                  <c:v>109</c:v>
                </c:pt>
                <c:pt idx="2159">
                  <c:v>75</c:v>
                </c:pt>
                <c:pt idx="2160">
                  <c:v>119</c:v>
                </c:pt>
                <c:pt idx="2161">
                  <c:v>90</c:v>
                </c:pt>
                <c:pt idx="2162">
                  <c:v>97</c:v>
                </c:pt>
                <c:pt idx="2163">
                  <c:v>103</c:v>
                </c:pt>
                <c:pt idx="2164">
                  <c:v>89</c:v>
                </c:pt>
                <c:pt idx="2165">
                  <c:v>106</c:v>
                </c:pt>
                <c:pt idx="2166">
                  <c:v>96</c:v>
                </c:pt>
                <c:pt idx="2167">
                  <c:v>115</c:v>
                </c:pt>
                <c:pt idx="2168">
                  <c:v>104</c:v>
                </c:pt>
                <c:pt idx="2169">
                  <c:v>108</c:v>
                </c:pt>
                <c:pt idx="2170">
                  <c:v>112</c:v>
                </c:pt>
                <c:pt idx="2171">
                  <c:v>104</c:v>
                </c:pt>
                <c:pt idx="2172">
                  <c:v>113</c:v>
                </c:pt>
                <c:pt idx="2173">
                  <c:v>98</c:v>
                </c:pt>
                <c:pt idx="2174">
                  <c:v>121</c:v>
                </c:pt>
                <c:pt idx="2175">
                  <c:v>114</c:v>
                </c:pt>
                <c:pt idx="2176">
                  <c:v>124</c:v>
                </c:pt>
                <c:pt idx="2177">
                  <c:v>148</c:v>
                </c:pt>
                <c:pt idx="2178">
                  <c:v>108</c:v>
                </c:pt>
                <c:pt idx="2179">
                  <c:v>95</c:v>
                </c:pt>
                <c:pt idx="2180">
                  <c:v>108</c:v>
                </c:pt>
                <c:pt idx="2181">
                  <c:v>68</c:v>
                </c:pt>
                <c:pt idx="2182">
                  <c:v>103</c:v>
                </c:pt>
                <c:pt idx="2183">
                  <c:v>99</c:v>
                </c:pt>
                <c:pt idx="2184">
                  <c:v>88</c:v>
                </c:pt>
                <c:pt idx="2185">
                  <c:v>128</c:v>
                </c:pt>
                <c:pt idx="2186">
                  <c:v>124</c:v>
                </c:pt>
                <c:pt idx="2187">
                  <c:v>84</c:v>
                </c:pt>
                <c:pt idx="2188">
                  <c:v>101</c:v>
                </c:pt>
                <c:pt idx="2189">
                  <c:v>98</c:v>
                </c:pt>
                <c:pt idx="2190">
                  <c:v>105</c:v>
                </c:pt>
                <c:pt idx="2191">
                  <c:v>225</c:v>
                </c:pt>
                <c:pt idx="2192">
                  <c:v>111</c:v>
                </c:pt>
                <c:pt idx="2193">
                  <c:v>88</c:v>
                </c:pt>
                <c:pt idx="2194">
                  <c:v>88</c:v>
                </c:pt>
                <c:pt idx="2195">
                  <c:v>94</c:v>
                </c:pt>
                <c:pt idx="2196">
                  <c:v>117</c:v>
                </c:pt>
                <c:pt idx="2197">
                  <c:v>95</c:v>
                </c:pt>
                <c:pt idx="2198">
                  <c:v>99</c:v>
                </c:pt>
                <c:pt idx="2199">
                  <c:v>96</c:v>
                </c:pt>
                <c:pt idx="2200">
                  <c:v>98</c:v>
                </c:pt>
                <c:pt idx="2201">
                  <c:v>123</c:v>
                </c:pt>
                <c:pt idx="2202">
                  <c:v>101</c:v>
                </c:pt>
                <c:pt idx="2203">
                  <c:v>102</c:v>
                </c:pt>
                <c:pt idx="2204">
                  <c:v>94</c:v>
                </c:pt>
                <c:pt idx="2205">
                  <c:v>102</c:v>
                </c:pt>
                <c:pt idx="2206">
                  <c:v>108</c:v>
                </c:pt>
                <c:pt idx="2207">
                  <c:v>116</c:v>
                </c:pt>
                <c:pt idx="2208">
                  <c:v>93</c:v>
                </c:pt>
                <c:pt idx="2209">
                  <c:v>102</c:v>
                </c:pt>
                <c:pt idx="2210">
                  <c:v>103</c:v>
                </c:pt>
                <c:pt idx="2211">
                  <c:v>115</c:v>
                </c:pt>
                <c:pt idx="2212">
                  <c:v>96</c:v>
                </c:pt>
                <c:pt idx="2213">
                  <c:v>98</c:v>
                </c:pt>
                <c:pt idx="2214">
                  <c:v>101</c:v>
                </c:pt>
                <c:pt idx="2215">
                  <c:v>106</c:v>
                </c:pt>
                <c:pt idx="2216">
                  <c:v>101</c:v>
                </c:pt>
                <c:pt idx="2217">
                  <c:v>111</c:v>
                </c:pt>
                <c:pt idx="2218">
                  <c:v>99</c:v>
                </c:pt>
                <c:pt idx="2219">
                  <c:v>88</c:v>
                </c:pt>
                <c:pt idx="2220">
                  <c:v>83</c:v>
                </c:pt>
                <c:pt idx="2221">
                  <c:v>91</c:v>
                </c:pt>
                <c:pt idx="2222">
                  <c:v>108</c:v>
                </c:pt>
                <c:pt idx="2223">
                  <c:v>154</c:v>
                </c:pt>
                <c:pt idx="2224">
                  <c:v>148</c:v>
                </c:pt>
                <c:pt idx="2225">
                  <c:v>77</c:v>
                </c:pt>
                <c:pt idx="2226">
                  <c:v>110</c:v>
                </c:pt>
                <c:pt idx="2227">
                  <c:v>83</c:v>
                </c:pt>
                <c:pt idx="2228">
                  <c:v>107</c:v>
                </c:pt>
                <c:pt idx="2229">
                  <c:v>100</c:v>
                </c:pt>
                <c:pt idx="2230">
                  <c:v>87</c:v>
                </c:pt>
                <c:pt idx="2231">
                  <c:v>154</c:v>
                </c:pt>
                <c:pt idx="2232">
                  <c:v>106</c:v>
                </c:pt>
                <c:pt idx="2233">
                  <c:v>99</c:v>
                </c:pt>
                <c:pt idx="2234">
                  <c:v>100</c:v>
                </c:pt>
                <c:pt idx="2235">
                  <c:v>116</c:v>
                </c:pt>
                <c:pt idx="2236">
                  <c:v>94</c:v>
                </c:pt>
                <c:pt idx="2237">
                  <c:v>111</c:v>
                </c:pt>
                <c:pt idx="2238">
                  <c:v>100</c:v>
                </c:pt>
                <c:pt idx="2239">
                  <c:v>125</c:v>
                </c:pt>
                <c:pt idx="2240">
                  <c:v>114</c:v>
                </c:pt>
                <c:pt idx="2241">
                  <c:v>119</c:v>
                </c:pt>
                <c:pt idx="2242">
                  <c:v>135</c:v>
                </c:pt>
                <c:pt idx="2243">
                  <c:v>93</c:v>
                </c:pt>
                <c:pt idx="2244">
                  <c:v>114</c:v>
                </c:pt>
                <c:pt idx="2245">
                  <c:v>124</c:v>
                </c:pt>
                <c:pt idx="2246">
                  <c:v>134</c:v>
                </c:pt>
                <c:pt idx="2247">
                  <c:v>114</c:v>
                </c:pt>
                <c:pt idx="2248">
                  <c:v>124</c:v>
                </c:pt>
                <c:pt idx="2249">
                  <c:v>104</c:v>
                </c:pt>
                <c:pt idx="2250">
                  <c:v>118</c:v>
                </c:pt>
                <c:pt idx="2251">
                  <c:v>80</c:v>
                </c:pt>
                <c:pt idx="2252">
                  <c:v>107</c:v>
                </c:pt>
                <c:pt idx="2253">
                  <c:v>125</c:v>
                </c:pt>
                <c:pt idx="2254">
                  <c:v>115</c:v>
                </c:pt>
                <c:pt idx="2255">
                  <c:v>88</c:v>
                </c:pt>
                <c:pt idx="2256">
                  <c:v>122</c:v>
                </c:pt>
                <c:pt idx="2257">
                  <c:v>103</c:v>
                </c:pt>
                <c:pt idx="2258">
                  <c:v>101</c:v>
                </c:pt>
                <c:pt idx="2259">
                  <c:v>101</c:v>
                </c:pt>
                <c:pt idx="2260">
                  <c:v>107</c:v>
                </c:pt>
                <c:pt idx="2261">
                  <c:v>86</c:v>
                </c:pt>
                <c:pt idx="2262">
                  <c:v>118</c:v>
                </c:pt>
                <c:pt idx="2263">
                  <c:v>107</c:v>
                </c:pt>
                <c:pt idx="2264">
                  <c:v>100</c:v>
                </c:pt>
                <c:pt idx="2265">
                  <c:v>110</c:v>
                </c:pt>
                <c:pt idx="2266">
                  <c:v>106</c:v>
                </c:pt>
                <c:pt idx="2267">
                  <c:v>7</c:v>
                </c:pt>
                <c:pt idx="2268">
                  <c:v>102</c:v>
                </c:pt>
                <c:pt idx="2269">
                  <c:v>98</c:v>
                </c:pt>
                <c:pt idx="2270">
                  <c:v>83</c:v>
                </c:pt>
                <c:pt idx="2271">
                  <c:v>153</c:v>
                </c:pt>
                <c:pt idx="2272">
                  <c:v>98</c:v>
                </c:pt>
                <c:pt idx="2273">
                  <c:v>105</c:v>
                </c:pt>
                <c:pt idx="2274">
                  <c:v>96</c:v>
                </c:pt>
                <c:pt idx="2275">
                  <c:v>105</c:v>
                </c:pt>
                <c:pt idx="2276">
                  <c:v>125</c:v>
                </c:pt>
                <c:pt idx="2277">
                  <c:v>184</c:v>
                </c:pt>
                <c:pt idx="2278">
                  <c:v>236</c:v>
                </c:pt>
                <c:pt idx="2279">
                  <c:v>97</c:v>
                </c:pt>
                <c:pt idx="2280">
                  <c:v>113</c:v>
                </c:pt>
                <c:pt idx="2281">
                  <c:v>95</c:v>
                </c:pt>
                <c:pt idx="2282">
                  <c:v>103</c:v>
                </c:pt>
                <c:pt idx="2283">
                  <c:v>91</c:v>
                </c:pt>
                <c:pt idx="2284">
                  <c:v>146</c:v>
                </c:pt>
                <c:pt idx="2285">
                  <c:v>116</c:v>
                </c:pt>
                <c:pt idx="2286">
                  <c:v>93</c:v>
                </c:pt>
                <c:pt idx="2287">
                  <c:v>113</c:v>
                </c:pt>
                <c:pt idx="2288">
                  <c:v>90</c:v>
                </c:pt>
                <c:pt idx="2289">
                  <c:v>101</c:v>
                </c:pt>
                <c:pt idx="2290">
                  <c:v>95</c:v>
                </c:pt>
                <c:pt idx="2291">
                  <c:v>109</c:v>
                </c:pt>
                <c:pt idx="2292">
                  <c:v>85</c:v>
                </c:pt>
                <c:pt idx="2293">
                  <c:v>101</c:v>
                </c:pt>
                <c:pt idx="2294">
                  <c:v>125</c:v>
                </c:pt>
                <c:pt idx="2295">
                  <c:v>118</c:v>
                </c:pt>
                <c:pt idx="2296">
                  <c:v>132</c:v>
                </c:pt>
                <c:pt idx="2297">
                  <c:v>131</c:v>
                </c:pt>
                <c:pt idx="2298">
                  <c:v>129</c:v>
                </c:pt>
                <c:pt idx="2299">
                  <c:v>100</c:v>
                </c:pt>
                <c:pt idx="2300">
                  <c:v>172</c:v>
                </c:pt>
                <c:pt idx="2301">
                  <c:v>97</c:v>
                </c:pt>
                <c:pt idx="2302">
                  <c:v>121</c:v>
                </c:pt>
                <c:pt idx="2303">
                  <c:v>92</c:v>
                </c:pt>
                <c:pt idx="2304">
                  <c:v>116</c:v>
                </c:pt>
                <c:pt idx="2305">
                  <c:v>110</c:v>
                </c:pt>
                <c:pt idx="2306">
                  <c:v>90</c:v>
                </c:pt>
                <c:pt idx="2307">
                  <c:v>81</c:v>
                </c:pt>
                <c:pt idx="2308">
                  <c:v>97</c:v>
                </c:pt>
                <c:pt idx="2309">
                  <c:v>107</c:v>
                </c:pt>
                <c:pt idx="2310">
                  <c:v>118</c:v>
                </c:pt>
                <c:pt idx="2311">
                  <c:v>100</c:v>
                </c:pt>
                <c:pt idx="2312">
                  <c:v>97</c:v>
                </c:pt>
                <c:pt idx="2313">
                  <c:v>114</c:v>
                </c:pt>
                <c:pt idx="2314">
                  <c:v>130</c:v>
                </c:pt>
                <c:pt idx="2315">
                  <c:v>82</c:v>
                </c:pt>
                <c:pt idx="2316">
                  <c:v>96</c:v>
                </c:pt>
                <c:pt idx="2317">
                  <c:v>105</c:v>
                </c:pt>
                <c:pt idx="2318">
                  <c:v>122</c:v>
                </c:pt>
                <c:pt idx="2319">
                  <c:v>88</c:v>
                </c:pt>
                <c:pt idx="2320">
                  <c:v>110</c:v>
                </c:pt>
                <c:pt idx="2321">
                  <c:v>103</c:v>
                </c:pt>
                <c:pt idx="2322">
                  <c:v>106</c:v>
                </c:pt>
                <c:pt idx="2323">
                  <c:v>98</c:v>
                </c:pt>
                <c:pt idx="2324">
                  <c:v>68</c:v>
                </c:pt>
                <c:pt idx="2325">
                  <c:v>94</c:v>
                </c:pt>
                <c:pt idx="2326">
                  <c:v>99</c:v>
                </c:pt>
                <c:pt idx="2327">
                  <c:v>107</c:v>
                </c:pt>
                <c:pt idx="2328">
                  <c:v>180</c:v>
                </c:pt>
                <c:pt idx="2329">
                  <c:v>89</c:v>
                </c:pt>
                <c:pt idx="2330">
                  <c:v>97</c:v>
                </c:pt>
                <c:pt idx="2331">
                  <c:v>113</c:v>
                </c:pt>
                <c:pt idx="2332">
                  <c:v>131</c:v>
                </c:pt>
                <c:pt idx="2333">
                  <c:v>103</c:v>
                </c:pt>
                <c:pt idx="2334">
                  <c:v>119</c:v>
                </c:pt>
                <c:pt idx="2335">
                  <c:v>98</c:v>
                </c:pt>
                <c:pt idx="2336">
                  <c:v>111</c:v>
                </c:pt>
                <c:pt idx="2337">
                  <c:v>94</c:v>
                </c:pt>
                <c:pt idx="2338">
                  <c:v>81</c:v>
                </c:pt>
                <c:pt idx="2339">
                  <c:v>89</c:v>
                </c:pt>
                <c:pt idx="2340">
                  <c:v>106</c:v>
                </c:pt>
                <c:pt idx="2341">
                  <c:v>122</c:v>
                </c:pt>
                <c:pt idx="2342">
                  <c:v>86</c:v>
                </c:pt>
                <c:pt idx="2343">
                  <c:v>103</c:v>
                </c:pt>
                <c:pt idx="2344">
                  <c:v>121</c:v>
                </c:pt>
                <c:pt idx="2345">
                  <c:v>109</c:v>
                </c:pt>
                <c:pt idx="2346">
                  <c:v>109</c:v>
                </c:pt>
                <c:pt idx="2347">
                  <c:v>123</c:v>
                </c:pt>
                <c:pt idx="2348">
                  <c:v>94</c:v>
                </c:pt>
                <c:pt idx="2349">
                  <c:v>94</c:v>
                </c:pt>
                <c:pt idx="2350">
                  <c:v>115</c:v>
                </c:pt>
                <c:pt idx="2351">
                  <c:v>107</c:v>
                </c:pt>
                <c:pt idx="2352">
                  <c:v>91</c:v>
                </c:pt>
                <c:pt idx="2353">
                  <c:v>125</c:v>
                </c:pt>
                <c:pt idx="2354">
                  <c:v>122</c:v>
                </c:pt>
                <c:pt idx="2355">
                  <c:v>102</c:v>
                </c:pt>
                <c:pt idx="2356">
                  <c:v>90</c:v>
                </c:pt>
                <c:pt idx="2357">
                  <c:v>98</c:v>
                </c:pt>
                <c:pt idx="2358">
                  <c:v>109</c:v>
                </c:pt>
                <c:pt idx="2359">
                  <c:v>107</c:v>
                </c:pt>
                <c:pt idx="2360">
                  <c:v>90</c:v>
                </c:pt>
                <c:pt idx="2361">
                  <c:v>112</c:v>
                </c:pt>
                <c:pt idx="2362">
                  <c:v>94</c:v>
                </c:pt>
                <c:pt idx="2363">
                  <c:v>105</c:v>
                </c:pt>
                <c:pt idx="2364">
                  <c:v>104</c:v>
                </c:pt>
                <c:pt idx="2365">
                  <c:v>112</c:v>
                </c:pt>
                <c:pt idx="2366">
                  <c:v>108</c:v>
                </c:pt>
                <c:pt idx="2367">
                  <c:v>112</c:v>
                </c:pt>
                <c:pt idx="2368">
                  <c:v>127</c:v>
                </c:pt>
                <c:pt idx="2369">
                  <c:v>111</c:v>
                </c:pt>
                <c:pt idx="2370">
                  <c:v>126</c:v>
                </c:pt>
                <c:pt idx="2371">
                  <c:v>114</c:v>
                </c:pt>
                <c:pt idx="2372">
                  <c:v>99</c:v>
                </c:pt>
                <c:pt idx="2373">
                  <c:v>150</c:v>
                </c:pt>
                <c:pt idx="2374">
                  <c:v>117</c:v>
                </c:pt>
                <c:pt idx="2375">
                  <c:v>112</c:v>
                </c:pt>
                <c:pt idx="2376">
                  <c:v>108</c:v>
                </c:pt>
                <c:pt idx="2377">
                  <c:v>116</c:v>
                </c:pt>
                <c:pt idx="2378">
                  <c:v>144</c:v>
                </c:pt>
                <c:pt idx="2379">
                  <c:v>92</c:v>
                </c:pt>
                <c:pt idx="2380">
                  <c:v>93</c:v>
                </c:pt>
                <c:pt idx="2381">
                  <c:v>103</c:v>
                </c:pt>
                <c:pt idx="2382">
                  <c:v>93</c:v>
                </c:pt>
                <c:pt idx="2383">
                  <c:v>98</c:v>
                </c:pt>
                <c:pt idx="2384">
                  <c:v>114</c:v>
                </c:pt>
                <c:pt idx="2385">
                  <c:v>121</c:v>
                </c:pt>
                <c:pt idx="2386">
                  <c:v>87</c:v>
                </c:pt>
                <c:pt idx="2387">
                  <c:v>92</c:v>
                </c:pt>
                <c:pt idx="2388">
                  <c:v>105</c:v>
                </c:pt>
                <c:pt idx="2389">
                  <c:v>89</c:v>
                </c:pt>
                <c:pt idx="2390">
                  <c:v>114</c:v>
                </c:pt>
                <c:pt idx="2391">
                  <c:v>119</c:v>
                </c:pt>
                <c:pt idx="2392">
                  <c:v>103</c:v>
                </c:pt>
                <c:pt idx="2393">
                  <c:v>91</c:v>
                </c:pt>
                <c:pt idx="2394">
                  <c:v>98</c:v>
                </c:pt>
                <c:pt idx="2395">
                  <c:v>80</c:v>
                </c:pt>
                <c:pt idx="2396">
                  <c:v>121</c:v>
                </c:pt>
                <c:pt idx="2397">
                  <c:v>94</c:v>
                </c:pt>
                <c:pt idx="2398">
                  <c:v>93</c:v>
                </c:pt>
                <c:pt idx="2399">
                  <c:v>93</c:v>
                </c:pt>
                <c:pt idx="2400">
                  <c:v>116</c:v>
                </c:pt>
                <c:pt idx="2401">
                  <c:v>101</c:v>
                </c:pt>
                <c:pt idx="2402">
                  <c:v>154</c:v>
                </c:pt>
                <c:pt idx="2403">
                  <c:v>170</c:v>
                </c:pt>
                <c:pt idx="2404">
                  <c:v>99</c:v>
                </c:pt>
                <c:pt idx="2405">
                  <c:v>104</c:v>
                </c:pt>
                <c:pt idx="2406">
                  <c:v>126</c:v>
                </c:pt>
                <c:pt idx="2407">
                  <c:v>110</c:v>
                </c:pt>
                <c:pt idx="2408">
                  <c:v>101</c:v>
                </c:pt>
                <c:pt idx="2409">
                  <c:v>87</c:v>
                </c:pt>
                <c:pt idx="2410">
                  <c:v>123</c:v>
                </c:pt>
                <c:pt idx="2411">
                  <c:v>109</c:v>
                </c:pt>
                <c:pt idx="2412">
                  <c:v>90</c:v>
                </c:pt>
                <c:pt idx="2413">
                  <c:v>96</c:v>
                </c:pt>
                <c:pt idx="2414">
                  <c:v>82</c:v>
                </c:pt>
                <c:pt idx="2415">
                  <c:v>86</c:v>
                </c:pt>
                <c:pt idx="2416">
                  <c:v>108</c:v>
                </c:pt>
                <c:pt idx="2417">
                  <c:v>98</c:v>
                </c:pt>
                <c:pt idx="2418">
                  <c:v>129</c:v>
                </c:pt>
                <c:pt idx="2419">
                  <c:v>99</c:v>
                </c:pt>
                <c:pt idx="2420">
                  <c:v>105</c:v>
                </c:pt>
                <c:pt idx="2421">
                  <c:v>112</c:v>
                </c:pt>
                <c:pt idx="2422">
                  <c:v>108</c:v>
                </c:pt>
                <c:pt idx="2423">
                  <c:v>121</c:v>
                </c:pt>
                <c:pt idx="2424">
                  <c:v>89</c:v>
                </c:pt>
                <c:pt idx="2425">
                  <c:v>89</c:v>
                </c:pt>
                <c:pt idx="2426">
                  <c:v>73</c:v>
                </c:pt>
                <c:pt idx="2427">
                  <c:v>132</c:v>
                </c:pt>
                <c:pt idx="2428">
                  <c:v>154</c:v>
                </c:pt>
                <c:pt idx="2429">
                  <c:v>96</c:v>
                </c:pt>
                <c:pt idx="2430">
                  <c:v>98</c:v>
                </c:pt>
                <c:pt idx="2431">
                  <c:v>107</c:v>
                </c:pt>
                <c:pt idx="2432">
                  <c:v>134</c:v>
                </c:pt>
                <c:pt idx="2433">
                  <c:v>94</c:v>
                </c:pt>
                <c:pt idx="2434">
                  <c:v>122</c:v>
                </c:pt>
                <c:pt idx="2435">
                  <c:v>128</c:v>
                </c:pt>
                <c:pt idx="2436">
                  <c:v>97</c:v>
                </c:pt>
                <c:pt idx="2437">
                  <c:v>110</c:v>
                </c:pt>
                <c:pt idx="2438">
                  <c:v>102</c:v>
                </c:pt>
                <c:pt idx="2439">
                  <c:v>98</c:v>
                </c:pt>
                <c:pt idx="2440">
                  <c:v>120</c:v>
                </c:pt>
                <c:pt idx="2441">
                  <c:v>160</c:v>
                </c:pt>
                <c:pt idx="2442">
                  <c:v>80</c:v>
                </c:pt>
                <c:pt idx="2443">
                  <c:v>91</c:v>
                </c:pt>
                <c:pt idx="2444">
                  <c:v>83</c:v>
                </c:pt>
                <c:pt idx="2445">
                  <c:v>102</c:v>
                </c:pt>
                <c:pt idx="2446">
                  <c:v>122</c:v>
                </c:pt>
                <c:pt idx="2447">
                  <c:v>126</c:v>
                </c:pt>
                <c:pt idx="2448">
                  <c:v>136</c:v>
                </c:pt>
                <c:pt idx="2449">
                  <c:v>120</c:v>
                </c:pt>
                <c:pt idx="2450">
                  <c:v>108</c:v>
                </c:pt>
                <c:pt idx="2451">
                  <c:v>126</c:v>
                </c:pt>
                <c:pt idx="2452">
                  <c:v>128</c:v>
                </c:pt>
                <c:pt idx="2453">
                  <c:v>113</c:v>
                </c:pt>
                <c:pt idx="2454">
                  <c:v>89</c:v>
                </c:pt>
                <c:pt idx="2455">
                  <c:v>129</c:v>
                </c:pt>
                <c:pt idx="2456">
                  <c:v>94</c:v>
                </c:pt>
                <c:pt idx="2457">
                  <c:v>106</c:v>
                </c:pt>
                <c:pt idx="2458">
                  <c:v>100</c:v>
                </c:pt>
                <c:pt idx="2459">
                  <c:v>89</c:v>
                </c:pt>
                <c:pt idx="2460">
                  <c:v>94</c:v>
                </c:pt>
                <c:pt idx="2461">
                  <c:v>83</c:v>
                </c:pt>
                <c:pt idx="2462">
                  <c:v>111</c:v>
                </c:pt>
                <c:pt idx="2463">
                  <c:v>80</c:v>
                </c:pt>
                <c:pt idx="2464">
                  <c:v>112</c:v>
                </c:pt>
                <c:pt idx="2465">
                  <c:v>94</c:v>
                </c:pt>
                <c:pt idx="2466">
                  <c:v>130</c:v>
                </c:pt>
                <c:pt idx="2467">
                  <c:v>91</c:v>
                </c:pt>
                <c:pt idx="2468">
                  <c:v>91</c:v>
                </c:pt>
                <c:pt idx="2469">
                  <c:v>110</c:v>
                </c:pt>
                <c:pt idx="2470">
                  <c:v>121</c:v>
                </c:pt>
                <c:pt idx="2471">
                  <c:v>114</c:v>
                </c:pt>
                <c:pt idx="2472">
                  <c:v>96</c:v>
                </c:pt>
                <c:pt idx="2473">
                  <c:v>270</c:v>
                </c:pt>
                <c:pt idx="2474">
                  <c:v>94</c:v>
                </c:pt>
                <c:pt idx="2475">
                  <c:v>109</c:v>
                </c:pt>
                <c:pt idx="2476">
                  <c:v>107</c:v>
                </c:pt>
                <c:pt idx="2477">
                  <c:v>96</c:v>
                </c:pt>
                <c:pt idx="2478">
                  <c:v>88</c:v>
                </c:pt>
                <c:pt idx="2479">
                  <c:v>113</c:v>
                </c:pt>
                <c:pt idx="2480">
                  <c:v>101</c:v>
                </c:pt>
                <c:pt idx="2481">
                  <c:v>105</c:v>
                </c:pt>
                <c:pt idx="2482">
                  <c:v>125</c:v>
                </c:pt>
                <c:pt idx="2483">
                  <c:v>100</c:v>
                </c:pt>
                <c:pt idx="2484">
                  <c:v>97</c:v>
                </c:pt>
                <c:pt idx="2485">
                  <c:v>108</c:v>
                </c:pt>
                <c:pt idx="2486">
                  <c:v>112</c:v>
                </c:pt>
                <c:pt idx="2487">
                  <c:v>112</c:v>
                </c:pt>
                <c:pt idx="2488">
                  <c:v>95</c:v>
                </c:pt>
                <c:pt idx="2489">
                  <c:v>110</c:v>
                </c:pt>
                <c:pt idx="2490">
                  <c:v>118</c:v>
                </c:pt>
                <c:pt idx="2491">
                  <c:v>97</c:v>
                </c:pt>
                <c:pt idx="2492">
                  <c:v>120</c:v>
                </c:pt>
                <c:pt idx="2493">
                  <c:v>135</c:v>
                </c:pt>
                <c:pt idx="2494">
                  <c:v>101</c:v>
                </c:pt>
                <c:pt idx="2495">
                  <c:v>92</c:v>
                </c:pt>
                <c:pt idx="2496">
                  <c:v>106</c:v>
                </c:pt>
                <c:pt idx="2497">
                  <c:v>92</c:v>
                </c:pt>
                <c:pt idx="2498">
                  <c:v>161</c:v>
                </c:pt>
                <c:pt idx="2499">
                  <c:v>92</c:v>
                </c:pt>
                <c:pt idx="2500">
                  <c:v>93</c:v>
                </c:pt>
                <c:pt idx="2501">
                  <c:v>110</c:v>
                </c:pt>
                <c:pt idx="2502">
                  <c:v>122</c:v>
                </c:pt>
                <c:pt idx="2503">
                  <c:v>91</c:v>
                </c:pt>
                <c:pt idx="2504">
                  <c:v>115</c:v>
                </c:pt>
                <c:pt idx="2505">
                  <c:v>94</c:v>
                </c:pt>
                <c:pt idx="2506">
                  <c:v>93</c:v>
                </c:pt>
                <c:pt idx="2507">
                  <c:v>94</c:v>
                </c:pt>
                <c:pt idx="2508">
                  <c:v>95</c:v>
                </c:pt>
                <c:pt idx="2509">
                  <c:v>105</c:v>
                </c:pt>
                <c:pt idx="2510">
                  <c:v>103</c:v>
                </c:pt>
                <c:pt idx="2511">
                  <c:v>102</c:v>
                </c:pt>
                <c:pt idx="2512">
                  <c:v>116</c:v>
                </c:pt>
                <c:pt idx="2513">
                  <c:v>110</c:v>
                </c:pt>
                <c:pt idx="2514">
                  <c:v>120</c:v>
                </c:pt>
                <c:pt idx="2515">
                  <c:v>122</c:v>
                </c:pt>
                <c:pt idx="2516">
                  <c:v>118</c:v>
                </c:pt>
                <c:pt idx="2517">
                  <c:v>107</c:v>
                </c:pt>
                <c:pt idx="2518">
                  <c:v>102</c:v>
                </c:pt>
                <c:pt idx="2519">
                  <c:v>154</c:v>
                </c:pt>
                <c:pt idx="2520">
                  <c:v>103</c:v>
                </c:pt>
                <c:pt idx="2521">
                  <c:v>114</c:v>
                </c:pt>
                <c:pt idx="2522">
                  <c:v>109</c:v>
                </c:pt>
                <c:pt idx="2523">
                  <c:v>124</c:v>
                </c:pt>
                <c:pt idx="2524">
                  <c:v>94</c:v>
                </c:pt>
                <c:pt idx="2525">
                  <c:v>100</c:v>
                </c:pt>
                <c:pt idx="2526">
                  <c:v>98</c:v>
                </c:pt>
                <c:pt idx="2527">
                  <c:v>102</c:v>
                </c:pt>
                <c:pt idx="2528">
                  <c:v>94</c:v>
                </c:pt>
                <c:pt idx="2529">
                  <c:v>92</c:v>
                </c:pt>
                <c:pt idx="2530">
                  <c:v>113</c:v>
                </c:pt>
                <c:pt idx="2531">
                  <c:v>115</c:v>
                </c:pt>
                <c:pt idx="2532">
                  <c:v>95</c:v>
                </c:pt>
                <c:pt idx="2533">
                  <c:v>87</c:v>
                </c:pt>
                <c:pt idx="2534">
                  <c:v>88</c:v>
                </c:pt>
                <c:pt idx="2535">
                  <c:v>183</c:v>
                </c:pt>
                <c:pt idx="2536">
                  <c:v>97</c:v>
                </c:pt>
                <c:pt idx="2537">
                  <c:v>94</c:v>
                </c:pt>
                <c:pt idx="2538">
                  <c:v>112</c:v>
                </c:pt>
                <c:pt idx="2539">
                  <c:v>98</c:v>
                </c:pt>
                <c:pt idx="2540">
                  <c:v>104</c:v>
                </c:pt>
                <c:pt idx="2541">
                  <c:v>118</c:v>
                </c:pt>
                <c:pt idx="2542">
                  <c:v>120</c:v>
                </c:pt>
                <c:pt idx="2543">
                  <c:v>99</c:v>
                </c:pt>
                <c:pt idx="2544">
                  <c:v>109</c:v>
                </c:pt>
                <c:pt idx="2545">
                  <c:v>106</c:v>
                </c:pt>
                <c:pt idx="2546">
                  <c:v>123</c:v>
                </c:pt>
                <c:pt idx="2547">
                  <c:v>86</c:v>
                </c:pt>
                <c:pt idx="2548">
                  <c:v>120</c:v>
                </c:pt>
                <c:pt idx="2549">
                  <c:v>227</c:v>
                </c:pt>
                <c:pt idx="2550">
                  <c:v>119</c:v>
                </c:pt>
                <c:pt idx="2551">
                  <c:v>115</c:v>
                </c:pt>
                <c:pt idx="2552">
                  <c:v>114</c:v>
                </c:pt>
                <c:pt idx="2553">
                  <c:v>90</c:v>
                </c:pt>
                <c:pt idx="2554">
                  <c:v>94</c:v>
                </c:pt>
                <c:pt idx="2555">
                  <c:v>98</c:v>
                </c:pt>
                <c:pt idx="2556">
                  <c:v>126</c:v>
                </c:pt>
                <c:pt idx="2557">
                  <c:v>100</c:v>
                </c:pt>
                <c:pt idx="2558">
                  <c:v>89</c:v>
                </c:pt>
                <c:pt idx="2559">
                  <c:v>111</c:v>
                </c:pt>
                <c:pt idx="2560">
                  <c:v>100</c:v>
                </c:pt>
                <c:pt idx="2561">
                  <c:v>115</c:v>
                </c:pt>
                <c:pt idx="2562">
                  <c:v>106</c:v>
                </c:pt>
                <c:pt idx="2563">
                  <c:v>124</c:v>
                </c:pt>
                <c:pt idx="2564">
                  <c:v>107</c:v>
                </c:pt>
                <c:pt idx="2565">
                  <c:v>99</c:v>
                </c:pt>
                <c:pt idx="2566">
                  <c:v>90</c:v>
                </c:pt>
                <c:pt idx="2567">
                  <c:v>101</c:v>
                </c:pt>
                <c:pt idx="2568">
                  <c:v>119</c:v>
                </c:pt>
                <c:pt idx="2569">
                  <c:v>103</c:v>
                </c:pt>
                <c:pt idx="2570">
                  <c:v>134</c:v>
                </c:pt>
                <c:pt idx="2571">
                  <c:v>155</c:v>
                </c:pt>
                <c:pt idx="2572">
                  <c:v>94</c:v>
                </c:pt>
                <c:pt idx="2573">
                  <c:v>95</c:v>
                </c:pt>
                <c:pt idx="2574">
                  <c:v>89</c:v>
                </c:pt>
                <c:pt idx="2575">
                  <c:v>97</c:v>
                </c:pt>
                <c:pt idx="2576">
                  <c:v>90</c:v>
                </c:pt>
                <c:pt idx="2577">
                  <c:v>92</c:v>
                </c:pt>
                <c:pt idx="2578">
                  <c:v>100</c:v>
                </c:pt>
                <c:pt idx="2579">
                  <c:v>117</c:v>
                </c:pt>
                <c:pt idx="2580">
                  <c:v>84</c:v>
                </c:pt>
                <c:pt idx="2581">
                  <c:v>140</c:v>
                </c:pt>
                <c:pt idx="2582">
                  <c:v>108</c:v>
                </c:pt>
                <c:pt idx="2583">
                  <c:v>109</c:v>
                </c:pt>
                <c:pt idx="2584">
                  <c:v>131</c:v>
                </c:pt>
                <c:pt idx="2585">
                  <c:v>114</c:v>
                </c:pt>
                <c:pt idx="2586">
                  <c:v>97</c:v>
                </c:pt>
                <c:pt idx="2587">
                  <c:v>122</c:v>
                </c:pt>
                <c:pt idx="2588">
                  <c:v>87</c:v>
                </c:pt>
                <c:pt idx="2589">
                  <c:v>85</c:v>
                </c:pt>
                <c:pt idx="2590">
                  <c:v>85</c:v>
                </c:pt>
                <c:pt idx="2591">
                  <c:v>101</c:v>
                </c:pt>
                <c:pt idx="2592">
                  <c:v>121</c:v>
                </c:pt>
                <c:pt idx="2593">
                  <c:v>107</c:v>
                </c:pt>
                <c:pt idx="2594">
                  <c:v>111</c:v>
                </c:pt>
                <c:pt idx="2595">
                  <c:v>92</c:v>
                </c:pt>
                <c:pt idx="2596">
                  <c:v>97</c:v>
                </c:pt>
                <c:pt idx="2597">
                  <c:v>97</c:v>
                </c:pt>
                <c:pt idx="2598">
                  <c:v>125</c:v>
                </c:pt>
                <c:pt idx="2599">
                  <c:v>124</c:v>
                </c:pt>
                <c:pt idx="2600">
                  <c:v>76</c:v>
                </c:pt>
                <c:pt idx="2601">
                  <c:v>107</c:v>
                </c:pt>
                <c:pt idx="2602">
                  <c:v>91</c:v>
                </c:pt>
                <c:pt idx="2603">
                  <c:v>96</c:v>
                </c:pt>
                <c:pt idx="2604">
                  <c:v>142</c:v>
                </c:pt>
                <c:pt idx="2605">
                  <c:v>103</c:v>
                </c:pt>
                <c:pt idx="2606">
                  <c:v>117</c:v>
                </c:pt>
                <c:pt idx="2607">
                  <c:v>116</c:v>
                </c:pt>
                <c:pt idx="2608">
                  <c:v>118</c:v>
                </c:pt>
                <c:pt idx="2609">
                  <c:v>108</c:v>
                </c:pt>
                <c:pt idx="2610">
                  <c:v>94</c:v>
                </c:pt>
                <c:pt idx="2611">
                  <c:v>97</c:v>
                </c:pt>
                <c:pt idx="2612">
                  <c:v>97</c:v>
                </c:pt>
                <c:pt idx="2613">
                  <c:v>99</c:v>
                </c:pt>
                <c:pt idx="2614">
                  <c:v>91</c:v>
                </c:pt>
                <c:pt idx="2615">
                  <c:v>107</c:v>
                </c:pt>
                <c:pt idx="2616">
                  <c:v>95</c:v>
                </c:pt>
                <c:pt idx="2617">
                  <c:v>102</c:v>
                </c:pt>
                <c:pt idx="2618">
                  <c:v>88</c:v>
                </c:pt>
                <c:pt idx="2619">
                  <c:v>106</c:v>
                </c:pt>
                <c:pt idx="2620">
                  <c:v>92</c:v>
                </c:pt>
                <c:pt idx="2621">
                  <c:v>105</c:v>
                </c:pt>
                <c:pt idx="2622">
                  <c:v>107</c:v>
                </c:pt>
                <c:pt idx="2623">
                  <c:v>120</c:v>
                </c:pt>
                <c:pt idx="2624">
                  <c:v>103</c:v>
                </c:pt>
                <c:pt idx="2625">
                  <c:v>92</c:v>
                </c:pt>
                <c:pt idx="2626">
                  <c:v>147</c:v>
                </c:pt>
                <c:pt idx="2627">
                  <c:v>98</c:v>
                </c:pt>
                <c:pt idx="2628">
                  <c:v>98</c:v>
                </c:pt>
                <c:pt idx="2629">
                  <c:v>103</c:v>
                </c:pt>
                <c:pt idx="2630">
                  <c:v>111</c:v>
                </c:pt>
                <c:pt idx="2631">
                  <c:v>98</c:v>
                </c:pt>
                <c:pt idx="2632">
                  <c:v>111</c:v>
                </c:pt>
                <c:pt idx="2633">
                  <c:v>111</c:v>
                </c:pt>
                <c:pt idx="2634">
                  <c:v>100</c:v>
                </c:pt>
                <c:pt idx="2635">
                  <c:v>116</c:v>
                </c:pt>
                <c:pt idx="2636">
                  <c:v>145</c:v>
                </c:pt>
                <c:pt idx="2637">
                  <c:v>84</c:v>
                </c:pt>
                <c:pt idx="2638">
                  <c:v>115</c:v>
                </c:pt>
                <c:pt idx="2639">
                  <c:v>105</c:v>
                </c:pt>
                <c:pt idx="2640">
                  <c:v>98</c:v>
                </c:pt>
                <c:pt idx="2641">
                  <c:v>99</c:v>
                </c:pt>
                <c:pt idx="2642">
                  <c:v>110</c:v>
                </c:pt>
                <c:pt idx="2643">
                  <c:v>97</c:v>
                </c:pt>
                <c:pt idx="2644">
                  <c:v>88</c:v>
                </c:pt>
                <c:pt idx="2645">
                  <c:v>103</c:v>
                </c:pt>
                <c:pt idx="2646">
                  <c:v>104</c:v>
                </c:pt>
                <c:pt idx="2647">
                  <c:v>90</c:v>
                </c:pt>
                <c:pt idx="2648">
                  <c:v>105</c:v>
                </c:pt>
                <c:pt idx="2649">
                  <c:v>93</c:v>
                </c:pt>
                <c:pt idx="2650">
                  <c:v>141</c:v>
                </c:pt>
                <c:pt idx="2651">
                  <c:v>85</c:v>
                </c:pt>
                <c:pt idx="2652">
                  <c:v>109</c:v>
                </c:pt>
                <c:pt idx="2653">
                  <c:v>105</c:v>
                </c:pt>
                <c:pt idx="2654">
                  <c:v>98</c:v>
                </c:pt>
                <c:pt idx="2655">
                  <c:v>119</c:v>
                </c:pt>
                <c:pt idx="2656">
                  <c:v>124</c:v>
                </c:pt>
                <c:pt idx="2657">
                  <c:v>101</c:v>
                </c:pt>
                <c:pt idx="2658">
                  <c:v>115</c:v>
                </c:pt>
                <c:pt idx="2659">
                  <c:v>120</c:v>
                </c:pt>
                <c:pt idx="2660">
                  <c:v>111</c:v>
                </c:pt>
                <c:pt idx="2661">
                  <c:v>94</c:v>
                </c:pt>
                <c:pt idx="2662">
                  <c:v>131</c:v>
                </c:pt>
                <c:pt idx="2663">
                  <c:v>139</c:v>
                </c:pt>
                <c:pt idx="2664">
                  <c:v>120</c:v>
                </c:pt>
                <c:pt idx="2665">
                  <c:v>119</c:v>
                </c:pt>
                <c:pt idx="2666">
                  <c:v>125</c:v>
                </c:pt>
                <c:pt idx="2667">
                  <c:v>65</c:v>
                </c:pt>
                <c:pt idx="2668">
                  <c:v>108</c:v>
                </c:pt>
                <c:pt idx="2669">
                  <c:v>101</c:v>
                </c:pt>
                <c:pt idx="2670">
                  <c:v>145</c:v>
                </c:pt>
                <c:pt idx="2671">
                  <c:v>98</c:v>
                </c:pt>
                <c:pt idx="2672">
                  <c:v>101</c:v>
                </c:pt>
                <c:pt idx="2673">
                  <c:v>109</c:v>
                </c:pt>
                <c:pt idx="2674">
                  <c:v>123</c:v>
                </c:pt>
                <c:pt idx="2675">
                  <c:v>99</c:v>
                </c:pt>
                <c:pt idx="2676">
                  <c:v>110</c:v>
                </c:pt>
                <c:pt idx="2677">
                  <c:v>107</c:v>
                </c:pt>
                <c:pt idx="2678">
                  <c:v>81</c:v>
                </c:pt>
                <c:pt idx="2679">
                  <c:v>105</c:v>
                </c:pt>
                <c:pt idx="2680">
                  <c:v>82</c:v>
                </c:pt>
                <c:pt idx="2681">
                  <c:v>109</c:v>
                </c:pt>
                <c:pt idx="2682">
                  <c:v>95</c:v>
                </c:pt>
                <c:pt idx="2683">
                  <c:v>100</c:v>
                </c:pt>
                <c:pt idx="2684">
                  <c:v>118</c:v>
                </c:pt>
                <c:pt idx="2685">
                  <c:v>91</c:v>
                </c:pt>
                <c:pt idx="2686">
                  <c:v>90</c:v>
                </c:pt>
                <c:pt idx="2687">
                  <c:v>108</c:v>
                </c:pt>
                <c:pt idx="2688">
                  <c:v>103</c:v>
                </c:pt>
                <c:pt idx="2689">
                  <c:v>96</c:v>
                </c:pt>
                <c:pt idx="2690">
                  <c:v>117</c:v>
                </c:pt>
                <c:pt idx="2691">
                  <c:v>93</c:v>
                </c:pt>
                <c:pt idx="2692">
                  <c:v>136</c:v>
                </c:pt>
                <c:pt idx="2693">
                  <c:v>115</c:v>
                </c:pt>
                <c:pt idx="2694">
                  <c:v>94</c:v>
                </c:pt>
                <c:pt idx="2695">
                  <c:v>85</c:v>
                </c:pt>
                <c:pt idx="2696">
                  <c:v>112</c:v>
                </c:pt>
                <c:pt idx="2697">
                  <c:v>86</c:v>
                </c:pt>
                <c:pt idx="2698">
                  <c:v>86</c:v>
                </c:pt>
                <c:pt idx="2699">
                  <c:v>112</c:v>
                </c:pt>
                <c:pt idx="2700">
                  <c:v>137</c:v>
                </c:pt>
                <c:pt idx="2701">
                  <c:v>90</c:v>
                </c:pt>
                <c:pt idx="2702">
                  <c:v>107</c:v>
                </c:pt>
                <c:pt idx="2703">
                  <c:v>98</c:v>
                </c:pt>
                <c:pt idx="2704">
                  <c:v>84</c:v>
                </c:pt>
                <c:pt idx="2705">
                  <c:v>139</c:v>
                </c:pt>
                <c:pt idx="2706">
                  <c:v>97</c:v>
                </c:pt>
                <c:pt idx="2707">
                  <c:v>127</c:v>
                </c:pt>
                <c:pt idx="2708">
                  <c:v>150</c:v>
                </c:pt>
                <c:pt idx="2709">
                  <c:v>104</c:v>
                </c:pt>
                <c:pt idx="2710">
                  <c:v>132</c:v>
                </c:pt>
                <c:pt idx="2711">
                  <c:v>117</c:v>
                </c:pt>
                <c:pt idx="2712">
                  <c:v>115</c:v>
                </c:pt>
                <c:pt idx="2713">
                  <c:v>186</c:v>
                </c:pt>
                <c:pt idx="2714">
                  <c:v>90</c:v>
                </c:pt>
                <c:pt idx="2715">
                  <c:v>90</c:v>
                </c:pt>
                <c:pt idx="2716">
                  <c:v>134</c:v>
                </c:pt>
                <c:pt idx="2717">
                  <c:v>97</c:v>
                </c:pt>
                <c:pt idx="2718">
                  <c:v>107</c:v>
                </c:pt>
                <c:pt idx="2719">
                  <c:v>99</c:v>
                </c:pt>
                <c:pt idx="2720">
                  <c:v>124</c:v>
                </c:pt>
                <c:pt idx="2721">
                  <c:v>110</c:v>
                </c:pt>
                <c:pt idx="2722">
                  <c:v>105</c:v>
                </c:pt>
                <c:pt idx="2723">
                  <c:v>178</c:v>
                </c:pt>
                <c:pt idx="2724">
                  <c:v>125</c:v>
                </c:pt>
                <c:pt idx="2725">
                  <c:v>108</c:v>
                </c:pt>
                <c:pt idx="2726">
                  <c:v>121</c:v>
                </c:pt>
                <c:pt idx="2727">
                  <c:v>100</c:v>
                </c:pt>
                <c:pt idx="2728">
                  <c:v>115</c:v>
                </c:pt>
                <c:pt idx="2729">
                  <c:v>108</c:v>
                </c:pt>
                <c:pt idx="2730">
                  <c:v>220</c:v>
                </c:pt>
                <c:pt idx="2731">
                  <c:v>112</c:v>
                </c:pt>
                <c:pt idx="2732">
                  <c:v>99</c:v>
                </c:pt>
                <c:pt idx="2733">
                  <c:v>109</c:v>
                </c:pt>
                <c:pt idx="2734">
                  <c:v>83</c:v>
                </c:pt>
                <c:pt idx="2735">
                  <c:v>107</c:v>
                </c:pt>
                <c:pt idx="2736">
                  <c:v>102</c:v>
                </c:pt>
                <c:pt idx="2737">
                  <c:v>100</c:v>
                </c:pt>
                <c:pt idx="2738">
                  <c:v>97</c:v>
                </c:pt>
                <c:pt idx="2739">
                  <c:v>92</c:v>
                </c:pt>
                <c:pt idx="2740">
                  <c:v>84</c:v>
                </c:pt>
                <c:pt idx="2741">
                  <c:v>86</c:v>
                </c:pt>
                <c:pt idx="2742">
                  <c:v>120</c:v>
                </c:pt>
                <c:pt idx="2743">
                  <c:v>89</c:v>
                </c:pt>
                <c:pt idx="2744">
                  <c:v>117</c:v>
                </c:pt>
                <c:pt idx="2745">
                  <c:v>97</c:v>
                </c:pt>
                <c:pt idx="2746">
                  <c:v>91</c:v>
                </c:pt>
                <c:pt idx="2747">
                  <c:v>100</c:v>
                </c:pt>
                <c:pt idx="2748">
                  <c:v>72</c:v>
                </c:pt>
                <c:pt idx="2749">
                  <c:v>84</c:v>
                </c:pt>
                <c:pt idx="2750">
                  <c:v>126</c:v>
                </c:pt>
                <c:pt idx="2751">
                  <c:v>108</c:v>
                </c:pt>
                <c:pt idx="2752">
                  <c:v>112</c:v>
                </c:pt>
                <c:pt idx="2753">
                  <c:v>90</c:v>
                </c:pt>
                <c:pt idx="2754">
                  <c:v>91</c:v>
                </c:pt>
                <c:pt idx="2755">
                  <c:v>135</c:v>
                </c:pt>
                <c:pt idx="2756">
                  <c:v>141</c:v>
                </c:pt>
                <c:pt idx="2757">
                  <c:v>104</c:v>
                </c:pt>
                <c:pt idx="2758">
                  <c:v>84</c:v>
                </c:pt>
                <c:pt idx="2759">
                  <c:v>118</c:v>
                </c:pt>
                <c:pt idx="2760">
                  <c:v>82</c:v>
                </c:pt>
                <c:pt idx="2761">
                  <c:v>95</c:v>
                </c:pt>
                <c:pt idx="2762">
                  <c:v>94</c:v>
                </c:pt>
                <c:pt idx="2763">
                  <c:v>88</c:v>
                </c:pt>
                <c:pt idx="2764">
                  <c:v>99</c:v>
                </c:pt>
                <c:pt idx="2765">
                  <c:v>121</c:v>
                </c:pt>
                <c:pt idx="2766">
                  <c:v>84</c:v>
                </c:pt>
                <c:pt idx="2767">
                  <c:v>93</c:v>
                </c:pt>
                <c:pt idx="2768">
                  <c:v>93</c:v>
                </c:pt>
                <c:pt idx="2769">
                  <c:v>120</c:v>
                </c:pt>
                <c:pt idx="2770">
                  <c:v>112</c:v>
                </c:pt>
                <c:pt idx="2771">
                  <c:v>107</c:v>
                </c:pt>
                <c:pt idx="2772">
                  <c:v>112</c:v>
                </c:pt>
                <c:pt idx="2773">
                  <c:v>96</c:v>
                </c:pt>
                <c:pt idx="2774">
                  <c:v>91</c:v>
                </c:pt>
                <c:pt idx="2775">
                  <c:v>125</c:v>
                </c:pt>
                <c:pt idx="2776">
                  <c:v>102</c:v>
                </c:pt>
                <c:pt idx="2777">
                  <c:v>87</c:v>
                </c:pt>
                <c:pt idx="2778">
                  <c:v>118</c:v>
                </c:pt>
                <c:pt idx="2779">
                  <c:v>115</c:v>
                </c:pt>
                <c:pt idx="2780">
                  <c:v>91</c:v>
                </c:pt>
                <c:pt idx="2781">
                  <c:v>88</c:v>
                </c:pt>
                <c:pt idx="2782">
                  <c:v>127</c:v>
                </c:pt>
                <c:pt idx="2783">
                  <c:v>94</c:v>
                </c:pt>
                <c:pt idx="2784">
                  <c:v>115</c:v>
                </c:pt>
                <c:pt idx="2785">
                  <c:v>90</c:v>
                </c:pt>
                <c:pt idx="2786">
                  <c:v>102</c:v>
                </c:pt>
                <c:pt idx="2787">
                  <c:v>117</c:v>
                </c:pt>
                <c:pt idx="2788">
                  <c:v>109</c:v>
                </c:pt>
                <c:pt idx="2789">
                  <c:v>121</c:v>
                </c:pt>
                <c:pt idx="2790">
                  <c:v>111</c:v>
                </c:pt>
                <c:pt idx="2791">
                  <c:v>100</c:v>
                </c:pt>
                <c:pt idx="2792">
                  <c:v>109</c:v>
                </c:pt>
                <c:pt idx="2793">
                  <c:v>93</c:v>
                </c:pt>
                <c:pt idx="2794">
                  <c:v>101</c:v>
                </c:pt>
                <c:pt idx="2795">
                  <c:v>101</c:v>
                </c:pt>
                <c:pt idx="2796">
                  <c:v>106</c:v>
                </c:pt>
                <c:pt idx="2797">
                  <c:v>94</c:v>
                </c:pt>
                <c:pt idx="2798">
                  <c:v>140</c:v>
                </c:pt>
                <c:pt idx="2799">
                  <c:v>132</c:v>
                </c:pt>
                <c:pt idx="2800">
                  <c:v>99</c:v>
                </c:pt>
                <c:pt idx="2801">
                  <c:v>90</c:v>
                </c:pt>
                <c:pt idx="2802">
                  <c:v>105</c:v>
                </c:pt>
                <c:pt idx="2803">
                  <c:v>108</c:v>
                </c:pt>
                <c:pt idx="2804">
                  <c:v>69</c:v>
                </c:pt>
                <c:pt idx="2805">
                  <c:v>148</c:v>
                </c:pt>
                <c:pt idx="2806">
                  <c:v>118</c:v>
                </c:pt>
                <c:pt idx="2807">
                  <c:v>132</c:v>
                </c:pt>
                <c:pt idx="2808">
                  <c:v>130</c:v>
                </c:pt>
                <c:pt idx="2809">
                  <c:v>95</c:v>
                </c:pt>
                <c:pt idx="2810">
                  <c:v>80</c:v>
                </c:pt>
                <c:pt idx="2811">
                  <c:v>94</c:v>
                </c:pt>
                <c:pt idx="2812">
                  <c:v>122</c:v>
                </c:pt>
                <c:pt idx="2813">
                  <c:v>102</c:v>
                </c:pt>
                <c:pt idx="2814">
                  <c:v>116</c:v>
                </c:pt>
                <c:pt idx="2815">
                  <c:v>78</c:v>
                </c:pt>
                <c:pt idx="2816">
                  <c:v>114</c:v>
                </c:pt>
                <c:pt idx="2817">
                  <c:v>112</c:v>
                </c:pt>
                <c:pt idx="2818">
                  <c:v>110</c:v>
                </c:pt>
                <c:pt idx="2819">
                  <c:v>104</c:v>
                </c:pt>
                <c:pt idx="2820">
                  <c:v>81</c:v>
                </c:pt>
                <c:pt idx="2821">
                  <c:v>154</c:v>
                </c:pt>
                <c:pt idx="2822">
                  <c:v>102</c:v>
                </c:pt>
                <c:pt idx="2823">
                  <c:v>89</c:v>
                </c:pt>
                <c:pt idx="2824">
                  <c:v>132</c:v>
                </c:pt>
                <c:pt idx="2825">
                  <c:v>103</c:v>
                </c:pt>
                <c:pt idx="2826">
                  <c:v>93</c:v>
                </c:pt>
                <c:pt idx="2827">
                  <c:v>93</c:v>
                </c:pt>
                <c:pt idx="2828">
                  <c:v>172</c:v>
                </c:pt>
                <c:pt idx="2829">
                  <c:v>96</c:v>
                </c:pt>
                <c:pt idx="2830">
                  <c:v>89</c:v>
                </c:pt>
                <c:pt idx="2831">
                  <c:v>92</c:v>
                </c:pt>
                <c:pt idx="2832">
                  <c:v>97</c:v>
                </c:pt>
                <c:pt idx="2833">
                  <c:v>93</c:v>
                </c:pt>
                <c:pt idx="2834">
                  <c:v>89</c:v>
                </c:pt>
                <c:pt idx="2835">
                  <c:v>123</c:v>
                </c:pt>
                <c:pt idx="2836">
                  <c:v>93</c:v>
                </c:pt>
                <c:pt idx="2837">
                  <c:v>133</c:v>
                </c:pt>
                <c:pt idx="2838">
                  <c:v>121</c:v>
                </c:pt>
                <c:pt idx="2839">
                  <c:v>102</c:v>
                </c:pt>
                <c:pt idx="2840">
                  <c:v>102</c:v>
                </c:pt>
                <c:pt idx="2841">
                  <c:v>99</c:v>
                </c:pt>
                <c:pt idx="2842">
                  <c:v>98</c:v>
                </c:pt>
                <c:pt idx="2843">
                  <c:v>118</c:v>
                </c:pt>
                <c:pt idx="2844">
                  <c:v>125</c:v>
                </c:pt>
                <c:pt idx="2845">
                  <c:v>104</c:v>
                </c:pt>
                <c:pt idx="2846">
                  <c:v>109</c:v>
                </c:pt>
                <c:pt idx="2847">
                  <c:v>86</c:v>
                </c:pt>
                <c:pt idx="2848">
                  <c:v>115</c:v>
                </c:pt>
                <c:pt idx="2849">
                  <c:v>92</c:v>
                </c:pt>
                <c:pt idx="2850">
                  <c:v>91</c:v>
                </c:pt>
                <c:pt idx="2851">
                  <c:v>94</c:v>
                </c:pt>
                <c:pt idx="2852">
                  <c:v>93</c:v>
                </c:pt>
                <c:pt idx="2853">
                  <c:v>93</c:v>
                </c:pt>
                <c:pt idx="2854">
                  <c:v>100</c:v>
                </c:pt>
                <c:pt idx="2855">
                  <c:v>100</c:v>
                </c:pt>
                <c:pt idx="2856">
                  <c:v>113</c:v>
                </c:pt>
                <c:pt idx="2857">
                  <c:v>122</c:v>
                </c:pt>
                <c:pt idx="2858">
                  <c:v>100</c:v>
                </c:pt>
                <c:pt idx="2859">
                  <c:v>293</c:v>
                </c:pt>
                <c:pt idx="2860">
                  <c:v>93</c:v>
                </c:pt>
                <c:pt idx="2861">
                  <c:v>123</c:v>
                </c:pt>
                <c:pt idx="2862">
                  <c:v>119</c:v>
                </c:pt>
                <c:pt idx="2863">
                  <c:v>107</c:v>
                </c:pt>
                <c:pt idx="2864">
                  <c:v>106</c:v>
                </c:pt>
                <c:pt idx="2865">
                  <c:v>109</c:v>
                </c:pt>
                <c:pt idx="2866">
                  <c:v>81</c:v>
                </c:pt>
                <c:pt idx="2867">
                  <c:v>95</c:v>
                </c:pt>
                <c:pt idx="2868">
                  <c:v>86</c:v>
                </c:pt>
                <c:pt idx="2869">
                  <c:v>113</c:v>
                </c:pt>
                <c:pt idx="2870">
                  <c:v>122</c:v>
                </c:pt>
                <c:pt idx="2871">
                  <c:v>90</c:v>
                </c:pt>
                <c:pt idx="2872">
                  <c:v>108</c:v>
                </c:pt>
                <c:pt idx="2873">
                  <c:v>113</c:v>
                </c:pt>
                <c:pt idx="2874">
                  <c:v>110</c:v>
                </c:pt>
                <c:pt idx="2875">
                  <c:v>109</c:v>
                </c:pt>
                <c:pt idx="2876">
                  <c:v>100</c:v>
                </c:pt>
                <c:pt idx="2877">
                  <c:v>101</c:v>
                </c:pt>
                <c:pt idx="2878">
                  <c:v>97</c:v>
                </c:pt>
                <c:pt idx="2879">
                  <c:v>172</c:v>
                </c:pt>
                <c:pt idx="2880">
                  <c:v>104</c:v>
                </c:pt>
                <c:pt idx="2881">
                  <c:v>99</c:v>
                </c:pt>
                <c:pt idx="2882">
                  <c:v>129</c:v>
                </c:pt>
                <c:pt idx="2883">
                  <c:v>91</c:v>
                </c:pt>
                <c:pt idx="2884">
                  <c:v>100</c:v>
                </c:pt>
                <c:pt idx="2885">
                  <c:v>111</c:v>
                </c:pt>
                <c:pt idx="2886">
                  <c:v>114</c:v>
                </c:pt>
                <c:pt idx="2887">
                  <c:v>86</c:v>
                </c:pt>
                <c:pt idx="2888">
                  <c:v>107</c:v>
                </c:pt>
                <c:pt idx="2889">
                  <c:v>90</c:v>
                </c:pt>
                <c:pt idx="2890">
                  <c:v>103</c:v>
                </c:pt>
                <c:pt idx="2891">
                  <c:v>120</c:v>
                </c:pt>
                <c:pt idx="2892">
                  <c:v>134</c:v>
                </c:pt>
                <c:pt idx="2893">
                  <c:v>110</c:v>
                </c:pt>
                <c:pt idx="2894">
                  <c:v>95</c:v>
                </c:pt>
                <c:pt idx="2895">
                  <c:v>95</c:v>
                </c:pt>
                <c:pt idx="2896">
                  <c:v>132</c:v>
                </c:pt>
                <c:pt idx="2897">
                  <c:v>89</c:v>
                </c:pt>
                <c:pt idx="2898">
                  <c:v>138</c:v>
                </c:pt>
                <c:pt idx="2899">
                  <c:v>113</c:v>
                </c:pt>
                <c:pt idx="2900">
                  <c:v>99</c:v>
                </c:pt>
                <c:pt idx="2901">
                  <c:v>111</c:v>
                </c:pt>
                <c:pt idx="2902">
                  <c:v>99</c:v>
                </c:pt>
                <c:pt idx="2903">
                  <c:v>104</c:v>
                </c:pt>
                <c:pt idx="2904">
                  <c:v>89</c:v>
                </c:pt>
                <c:pt idx="2905">
                  <c:v>103</c:v>
                </c:pt>
                <c:pt idx="2906">
                  <c:v>134</c:v>
                </c:pt>
                <c:pt idx="2907">
                  <c:v>100</c:v>
                </c:pt>
                <c:pt idx="2908">
                  <c:v>130</c:v>
                </c:pt>
                <c:pt idx="2909">
                  <c:v>106</c:v>
                </c:pt>
                <c:pt idx="2910">
                  <c:v>125</c:v>
                </c:pt>
                <c:pt idx="2911">
                  <c:v>109</c:v>
                </c:pt>
                <c:pt idx="2912">
                  <c:v>200</c:v>
                </c:pt>
                <c:pt idx="2913">
                  <c:v>114</c:v>
                </c:pt>
                <c:pt idx="2914">
                  <c:v>112</c:v>
                </c:pt>
                <c:pt idx="2915">
                  <c:v>116</c:v>
                </c:pt>
                <c:pt idx="2916">
                  <c:v>92</c:v>
                </c:pt>
                <c:pt idx="2917">
                  <c:v>120</c:v>
                </c:pt>
                <c:pt idx="2918">
                  <c:v>107</c:v>
                </c:pt>
                <c:pt idx="2919">
                  <c:v>92</c:v>
                </c:pt>
                <c:pt idx="2920">
                  <c:v>107</c:v>
                </c:pt>
                <c:pt idx="2921">
                  <c:v>100</c:v>
                </c:pt>
                <c:pt idx="2922">
                  <c:v>81</c:v>
                </c:pt>
                <c:pt idx="2923">
                  <c:v>101</c:v>
                </c:pt>
                <c:pt idx="2924">
                  <c:v>122</c:v>
                </c:pt>
                <c:pt idx="2925">
                  <c:v>97</c:v>
                </c:pt>
                <c:pt idx="2926">
                  <c:v>92</c:v>
                </c:pt>
                <c:pt idx="2927">
                  <c:v>92</c:v>
                </c:pt>
                <c:pt idx="2928">
                  <c:v>110</c:v>
                </c:pt>
                <c:pt idx="2929">
                  <c:v>86</c:v>
                </c:pt>
                <c:pt idx="2930">
                  <c:v>91</c:v>
                </c:pt>
                <c:pt idx="2931">
                  <c:v>145</c:v>
                </c:pt>
                <c:pt idx="2932">
                  <c:v>100</c:v>
                </c:pt>
                <c:pt idx="2933">
                  <c:v>111</c:v>
                </c:pt>
                <c:pt idx="2934">
                  <c:v>184</c:v>
                </c:pt>
                <c:pt idx="2935">
                  <c:v>89</c:v>
                </c:pt>
                <c:pt idx="2936">
                  <c:v>84</c:v>
                </c:pt>
                <c:pt idx="2937">
                  <c:v>98</c:v>
                </c:pt>
                <c:pt idx="2938">
                  <c:v>95</c:v>
                </c:pt>
                <c:pt idx="2939">
                  <c:v>100</c:v>
                </c:pt>
                <c:pt idx="2940">
                  <c:v>109</c:v>
                </c:pt>
                <c:pt idx="2941">
                  <c:v>118</c:v>
                </c:pt>
                <c:pt idx="2942">
                  <c:v>88</c:v>
                </c:pt>
                <c:pt idx="2943">
                  <c:v>86</c:v>
                </c:pt>
                <c:pt idx="2944">
                  <c:v>118</c:v>
                </c:pt>
                <c:pt idx="2945">
                  <c:v>125</c:v>
                </c:pt>
                <c:pt idx="2946">
                  <c:v>125</c:v>
                </c:pt>
                <c:pt idx="2947">
                  <c:v>94</c:v>
                </c:pt>
                <c:pt idx="2948">
                  <c:v>113</c:v>
                </c:pt>
                <c:pt idx="2949">
                  <c:v>104</c:v>
                </c:pt>
                <c:pt idx="2950">
                  <c:v>95</c:v>
                </c:pt>
                <c:pt idx="2951">
                  <c:v>102</c:v>
                </c:pt>
                <c:pt idx="2952">
                  <c:v>124</c:v>
                </c:pt>
                <c:pt idx="2953">
                  <c:v>105</c:v>
                </c:pt>
                <c:pt idx="2954">
                  <c:v>104</c:v>
                </c:pt>
                <c:pt idx="2955">
                  <c:v>111</c:v>
                </c:pt>
                <c:pt idx="2956">
                  <c:v>95</c:v>
                </c:pt>
                <c:pt idx="2957">
                  <c:v>96</c:v>
                </c:pt>
                <c:pt idx="2958">
                  <c:v>97</c:v>
                </c:pt>
                <c:pt idx="2959">
                  <c:v>118</c:v>
                </c:pt>
                <c:pt idx="2960">
                  <c:v>193</c:v>
                </c:pt>
                <c:pt idx="2961">
                  <c:v>97</c:v>
                </c:pt>
                <c:pt idx="2962">
                  <c:v>98</c:v>
                </c:pt>
                <c:pt idx="2963">
                  <c:v>103</c:v>
                </c:pt>
                <c:pt idx="2964">
                  <c:v>161</c:v>
                </c:pt>
                <c:pt idx="2965">
                  <c:v>120</c:v>
                </c:pt>
                <c:pt idx="2966">
                  <c:v>97</c:v>
                </c:pt>
                <c:pt idx="2967">
                  <c:v>97</c:v>
                </c:pt>
                <c:pt idx="2968">
                  <c:v>99</c:v>
                </c:pt>
                <c:pt idx="2969">
                  <c:v>144</c:v>
                </c:pt>
                <c:pt idx="2970">
                  <c:v>145</c:v>
                </c:pt>
                <c:pt idx="2971">
                  <c:v>106</c:v>
                </c:pt>
                <c:pt idx="2972">
                  <c:v>126</c:v>
                </c:pt>
                <c:pt idx="2973">
                  <c:v>106</c:v>
                </c:pt>
                <c:pt idx="2974">
                  <c:v>121</c:v>
                </c:pt>
                <c:pt idx="2975">
                  <c:v>117</c:v>
                </c:pt>
                <c:pt idx="2976">
                  <c:v>98</c:v>
                </c:pt>
                <c:pt idx="2977">
                  <c:v>109</c:v>
                </c:pt>
                <c:pt idx="2978">
                  <c:v>95</c:v>
                </c:pt>
                <c:pt idx="2979">
                  <c:v>96</c:v>
                </c:pt>
                <c:pt idx="2980">
                  <c:v>101</c:v>
                </c:pt>
                <c:pt idx="2981">
                  <c:v>107</c:v>
                </c:pt>
                <c:pt idx="2982">
                  <c:v>119</c:v>
                </c:pt>
                <c:pt idx="2983">
                  <c:v>178</c:v>
                </c:pt>
                <c:pt idx="2984">
                  <c:v>100</c:v>
                </c:pt>
                <c:pt idx="2985">
                  <c:v>98</c:v>
                </c:pt>
                <c:pt idx="2986">
                  <c:v>92</c:v>
                </c:pt>
                <c:pt idx="2987">
                  <c:v>90</c:v>
                </c:pt>
                <c:pt idx="2988">
                  <c:v>90</c:v>
                </c:pt>
                <c:pt idx="2989">
                  <c:v>153</c:v>
                </c:pt>
                <c:pt idx="2990">
                  <c:v>124</c:v>
                </c:pt>
                <c:pt idx="2991">
                  <c:v>82</c:v>
                </c:pt>
                <c:pt idx="2992">
                  <c:v>107</c:v>
                </c:pt>
                <c:pt idx="2993">
                  <c:v>75</c:v>
                </c:pt>
                <c:pt idx="2994">
                  <c:v>97</c:v>
                </c:pt>
                <c:pt idx="2995">
                  <c:v>80</c:v>
                </c:pt>
                <c:pt idx="2996">
                  <c:v>85</c:v>
                </c:pt>
                <c:pt idx="2997">
                  <c:v>97</c:v>
                </c:pt>
                <c:pt idx="2998">
                  <c:v>109</c:v>
                </c:pt>
                <c:pt idx="2999">
                  <c:v>140</c:v>
                </c:pt>
                <c:pt idx="3000">
                  <c:v>90</c:v>
                </c:pt>
                <c:pt idx="3001">
                  <c:v>130</c:v>
                </c:pt>
                <c:pt idx="3002">
                  <c:v>98</c:v>
                </c:pt>
                <c:pt idx="3003">
                  <c:v>101</c:v>
                </c:pt>
                <c:pt idx="3004">
                  <c:v>114</c:v>
                </c:pt>
                <c:pt idx="3005">
                  <c:v>100</c:v>
                </c:pt>
                <c:pt idx="3006">
                  <c:v>85</c:v>
                </c:pt>
                <c:pt idx="3007">
                  <c:v>103</c:v>
                </c:pt>
                <c:pt idx="3008">
                  <c:v>100</c:v>
                </c:pt>
                <c:pt idx="3009">
                  <c:v>114</c:v>
                </c:pt>
                <c:pt idx="3010">
                  <c:v>102</c:v>
                </c:pt>
                <c:pt idx="3011">
                  <c:v>103</c:v>
                </c:pt>
                <c:pt idx="3012">
                  <c:v>97</c:v>
                </c:pt>
                <c:pt idx="3013">
                  <c:v>116</c:v>
                </c:pt>
                <c:pt idx="3014">
                  <c:v>96</c:v>
                </c:pt>
                <c:pt idx="3015">
                  <c:v>98</c:v>
                </c:pt>
                <c:pt idx="3016">
                  <c:v>105</c:v>
                </c:pt>
                <c:pt idx="3017">
                  <c:v>123</c:v>
                </c:pt>
                <c:pt idx="3018">
                  <c:v>107</c:v>
                </c:pt>
                <c:pt idx="3019">
                  <c:v>112</c:v>
                </c:pt>
                <c:pt idx="3020">
                  <c:v>93</c:v>
                </c:pt>
                <c:pt idx="3021">
                  <c:v>97</c:v>
                </c:pt>
                <c:pt idx="3022">
                  <c:v>122</c:v>
                </c:pt>
                <c:pt idx="3023">
                  <c:v>101</c:v>
                </c:pt>
                <c:pt idx="3024">
                  <c:v>100</c:v>
                </c:pt>
                <c:pt idx="3025">
                  <c:v>129</c:v>
                </c:pt>
                <c:pt idx="3026">
                  <c:v>81</c:v>
                </c:pt>
                <c:pt idx="3027">
                  <c:v>96</c:v>
                </c:pt>
                <c:pt idx="3028">
                  <c:v>84</c:v>
                </c:pt>
                <c:pt idx="3029">
                  <c:v>100</c:v>
                </c:pt>
                <c:pt idx="3030">
                  <c:v>110</c:v>
                </c:pt>
                <c:pt idx="3031">
                  <c:v>130</c:v>
                </c:pt>
                <c:pt idx="3032">
                  <c:v>84</c:v>
                </c:pt>
                <c:pt idx="3033">
                  <c:v>106</c:v>
                </c:pt>
                <c:pt idx="3034">
                  <c:v>89</c:v>
                </c:pt>
                <c:pt idx="3035">
                  <c:v>76</c:v>
                </c:pt>
                <c:pt idx="3036">
                  <c:v>99</c:v>
                </c:pt>
                <c:pt idx="3037">
                  <c:v>96</c:v>
                </c:pt>
                <c:pt idx="3038">
                  <c:v>104</c:v>
                </c:pt>
                <c:pt idx="3039">
                  <c:v>108</c:v>
                </c:pt>
                <c:pt idx="3040">
                  <c:v>108</c:v>
                </c:pt>
                <c:pt idx="3041">
                  <c:v>87</c:v>
                </c:pt>
                <c:pt idx="3042">
                  <c:v>89</c:v>
                </c:pt>
                <c:pt idx="3043">
                  <c:v>97</c:v>
                </c:pt>
                <c:pt idx="3044">
                  <c:v>106</c:v>
                </c:pt>
                <c:pt idx="3045">
                  <c:v>100</c:v>
                </c:pt>
                <c:pt idx="3046">
                  <c:v>89</c:v>
                </c:pt>
                <c:pt idx="3047">
                  <c:v>114</c:v>
                </c:pt>
                <c:pt idx="3048">
                  <c:v>95</c:v>
                </c:pt>
                <c:pt idx="3049">
                  <c:v>97</c:v>
                </c:pt>
                <c:pt idx="3050">
                  <c:v>94</c:v>
                </c:pt>
                <c:pt idx="3051">
                  <c:v>95</c:v>
                </c:pt>
                <c:pt idx="3052">
                  <c:v>101</c:v>
                </c:pt>
                <c:pt idx="3053">
                  <c:v>87</c:v>
                </c:pt>
                <c:pt idx="3054">
                  <c:v>101</c:v>
                </c:pt>
                <c:pt idx="3055">
                  <c:v>82</c:v>
                </c:pt>
                <c:pt idx="3056">
                  <c:v>74</c:v>
                </c:pt>
                <c:pt idx="3057">
                  <c:v>130</c:v>
                </c:pt>
                <c:pt idx="3058">
                  <c:v>112</c:v>
                </c:pt>
                <c:pt idx="3059">
                  <c:v>96</c:v>
                </c:pt>
                <c:pt idx="3060">
                  <c:v>89</c:v>
                </c:pt>
                <c:pt idx="3061">
                  <c:v>100</c:v>
                </c:pt>
                <c:pt idx="3062">
                  <c:v>78</c:v>
                </c:pt>
                <c:pt idx="3063">
                  <c:v>121</c:v>
                </c:pt>
                <c:pt idx="3064">
                  <c:v>85</c:v>
                </c:pt>
                <c:pt idx="3065">
                  <c:v>120</c:v>
                </c:pt>
                <c:pt idx="3066">
                  <c:v>106</c:v>
                </c:pt>
                <c:pt idx="3067">
                  <c:v>83</c:v>
                </c:pt>
                <c:pt idx="3068">
                  <c:v>120</c:v>
                </c:pt>
                <c:pt idx="3069">
                  <c:v>111</c:v>
                </c:pt>
                <c:pt idx="3070">
                  <c:v>100</c:v>
                </c:pt>
                <c:pt idx="3071">
                  <c:v>89</c:v>
                </c:pt>
                <c:pt idx="3072">
                  <c:v>115</c:v>
                </c:pt>
                <c:pt idx="3073">
                  <c:v>135</c:v>
                </c:pt>
                <c:pt idx="3074">
                  <c:v>92</c:v>
                </c:pt>
                <c:pt idx="3075">
                  <c:v>120</c:v>
                </c:pt>
                <c:pt idx="3076">
                  <c:v>97</c:v>
                </c:pt>
                <c:pt idx="3077">
                  <c:v>135</c:v>
                </c:pt>
                <c:pt idx="3078">
                  <c:v>93</c:v>
                </c:pt>
                <c:pt idx="3079">
                  <c:v>118</c:v>
                </c:pt>
                <c:pt idx="3080">
                  <c:v>97</c:v>
                </c:pt>
                <c:pt idx="3081">
                  <c:v>98</c:v>
                </c:pt>
                <c:pt idx="3082">
                  <c:v>98</c:v>
                </c:pt>
                <c:pt idx="3083">
                  <c:v>101</c:v>
                </c:pt>
                <c:pt idx="3084">
                  <c:v>132</c:v>
                </c:pt>
                <c:pt idx="3085">
                  <c:v>106</c:v>
                </c:pt>
                <c:pt idx="3086">
                  <c:v>168</c:v>
                </c:pt>
                <c:pt idx="3087">
                  <c:v>87</c:v>
                </c:pt>
                <c:pt idx="3088">
                  <c:v>98</c:v>
                </c:pt>
                <c:pt idx="3089">
                  <c:v>96</c:v>
                </c:pt>
                <c:pt idx="3090">
                  <c:v>104</c:v>
                </c:pt>
                <c:pt idx="3091">
                  <c:v>93</c:v>
                </c:pt>
                <c:pt idx="3092">
                  <c:v>95</c:v>
                </c:pt>
                <c:pt idx="3093">
                  <c:v>119</c:v>
                </c:pt>
                <c:pt idx="3094">
                  <c:v>89</c:v>
                </c:pt>
                <c:pt idx="3095">
                  <c:v>107</c:v>
                </c:pt>
                <c:pt idx="3096">
                  <c:v>85</c:v>
                </c:pt>
                <c:pt idx="3097">
                  <c:v>93</c:v>
                </c:pt>
                <c:pt idx="3098">
                  <c:v>101</c:v>
                </c:pt>
                <c:pt idx="3099">
                  <c:v>103</c:v>
                </c:pt>
                <c:pt idx="3100">
                  <c:v>101</c:v>
                </c:pt>
                <c:pt idx="3101">
                  <c:v>123</c:v>
                </c:pt>
                <c:pt idx="3102">
                  <c:v>111</c:v>
                </c:pt>
                <c:pt idx="3103">
                  <c:v>86</c:v>
                </c:pt>
                <c:pt idx="3104">
                  <c:v>99</c:v>
                </c:pt>
                <c:pt idx="3105">
                  <c:v>90</c:v>
                </c:pt>
                <c:pt idx="3106">
                  <c:v>82</c:v>
                </c:pt>
                <c:pt idx="3107">
                  <c:v>110</c:v>
                </c:pt>
                <c:pt idx="3108">
                  <c:v>83</c:v>
                </c:pt>
                <c:pt idx="3109">
                  <c:v>128</c:v>
                </c:pt>
                <c:pt idx="3110">
                  <c:v>125</c:v>
                </c:pt>
                <c:pt idx="3111">
                  <c:v>97</c:v>
                </c:pt>
                <c:pt idx="3112">
                  <c:v>86</c:v>
                </c:pt>
                <c:pt idx="3113">
                  <c:v>91</c:v>
                </c:pt>
                <c:pt idx="3114">
                  <c:v>90</c:v>
                </c:pt>
                <c:pt idx="3115">
                  <c:v>90</c:v>
                </c:pt>
                <c:pt idx="3116">
                  <c:v>94</c:v>
                </c:pt>
                <c:pt idx="3117">
                  <c:v>112</c:v>
                </c:pt>
                <c:pt idx="3118">
                  <c:v>85</c:v>
                </c:pt>
                <c:pt idx="3119">
                  <c:v>93</c:v>
                </c:pt>
                <c:pt idx="3120">
                  <c:v>104</c:v>
                </c:pt>
                <c:pt idx="3121">
                  <c:v>94</c:v>
                </c:pt>
                <c:pt idx="3122">
                  <c:v>85</c:v>
                </c:pt>
                <c:pt idx="3123">
                  <c:v>99</c:v>
                </c:pt>
                <c:pt idx="3124">
                  <c:v>91</c:v>
                </c:pt>
                <c:pt idx="3125">
                  <c:v>117</c:v>
                </c:pt>
                <c:pt idx="3126">
                  <c:v>85</c:v>
                </c:pt>
                <c:pt idx="3127">
                  <c:v>106</c:v>
                </c:pt>
                <c:pt idx="3128">
                  <c:v>81</c:v>
                </c:pt>
                <c:pt idx="3129">
                  <c:v>100</c:v>
                </c:pt>
                <c:pt idx="3130">
                  <c:v>90</c:v>
                </c:pt>
                <c:pt idx="3131">
                  <c:v>116</c:v>
                </c:pt>
                <c:pt idx="3132">
                  <c:v>84</c:v>
                </c:pt>
                <c:pt idx="3133">
                  <c:v>135</c:v>
                </c:pt>
                <c:pt idx="3134">
                  <c:v>84</c:v>
                </c:pt>
                <c:pt idx="3135">
                  <c:v>89</c:v>
                </c:pt>
                <c:pt idx="3136">
                  <c:v>107</c:v>
                </c:pt>
                <c:pt idx="3137">
                  <c:v>144</c:v>
                </c:pt>
                <c:pt idx="3138">
                  <c:v>98</c:v>
                </c:pt>
                <c:pt idx="3139">
                  <c:v>94</c:v>
                </c:pt>
                <c:pt idx="3140">
                  <c:v>117</c:v>
                </c:pt>
                <c:pt idx="3141">
                  <c:v>102</c:v>
                </c:pt>
                <c:pt idx="3142">
                  <c:v>127</c:v>
                </c:pt>
                <c:pt idx="3143">
                  <c:v>98</c:v>
                </c:pt>
                <c:pt idx="3144">
                  <c:v>88</c:v>
                </c:pt>
                <c:pt idx="3145">
                  <c:v>197</c:v>
                </c:pt>
                <c:pt idx="3146">
                  <c:v>121</c:v>
                </c:pt>
                <c:pt idx="3147">
                  <c:v>90</c:v>
                </c:pt>
                <c:pt idx="3148">
                  <c:v>89</c:v>
                </c:pt>
                <c:pt idx="3149">
                  <c:v>104</c:v>
                </c:pt>
                <c:pt idx="3150">
                  <c:v>94</c:v>
                </c:pt>
                <c:pt idx="3151">
                  <c:v>90</c:v>
                </c:pt>
                <c:pt idx="3152">
                  <c:v>130</c:v>
                </c:pt>
                <c:pt idx="3153">
                  <c:v>92</c:v>
                </c:pt>
                <c:pt idx="3154">
                  <c:v>176</c:v>
                </c:pt>
                <c:pt idx="3155">
                  <c:v>116</c:v>
                </c:pt>
                <c:pt idx="3156">
                  <c:v>88</c:v>
                </c:pt>
                <c:pt idx="3157">
                  <c:v>106</c:v>
                </c:pt>
                <c:pt idx="3158">
                  <c:v>181</c:v>
                </c:pt>
                <c:pt idx="3159">
                  <c:v>130</c:v>
                </c:pt>
                <c:pt idx="3160">
                  <c:v>93</c:v>
                </c:pt>
                <c:pt idx="3161">
                  <c:v>110</c:v>
                </c:pt>
                <c:pt idx="3162">
                  <c:v>123</c:v>
                </c:pt>
                <c:pt idx="3163">
                  <c:v>120</c:v>
                </c:pt>
                <c:pt idx="3164">
                  <c:v>87</c:v>
                </c:pt>
                <c:pt idx="3165">
                  <c:v>123</c:v>
                </c:pt>
                <c:pt idx="3166">
                  <c:v>103</c:v>
                </c:pt>
                <c:pt idx="3167">
                  <c:v>91</c:v>
                </c:pt>
                <c:pt idx="3168">
                  <c:v>88</c:v>
                </c:pt>
                <c:pt idx="3169">
                  <c:v>126</c:v>
                </c:pt>
                <c:pt idx="3170">
                  <c:v>120</c:v>
                </c:pt>
                <c:pt idx="3171">
                  <c:v>116</c:v>
                </c:pt>
                <c:pt idx="3172">
                  <c:v>94</c:v>
                </c:pt>
                <c:pt idx="3173">
                  <c:v>85</c:v>
                </c:pt>
                <c:pt idx="3174">
                  <c:v>137</c:v>
                </c:pt>
                <c:pt idx="3175">
                  <c:v>114</c:v>
                </c:pt>
                <c:pt idx="3176">
                  <c:v>76</c:v>
                </c:pt>
                <c:pt idx="3177">
                  <c:v>119</c:v>
                </c:pt>
                <c:pt idx="3178">
                  <c:v>99</c:v>
                </c:pt>
                <c:pt idx="3179">
                  <c:v>79</c:v>
                </c:pt>
                <c:pt idx="3180">
                  <c:v>114</c:v>
                </c:pt>
                <c:pt idx="3181">
                  <c:v>91</c:v>
                </c:pt>
                <c:pt idx="3182">
                  <c:v>95</c:v>
                </c:pt>
                <c:pt idx="3183">
                  <c:v>103</c:v>
                </c:pt>
                <c:pt idx="3184">
                  <c:v>92</c:v>
                </c:pt>
                <c:pt idx="3185">
                  <c:v>124</c:v>
                </c:pt>
                <c:pt idx="3186">
                  <c:v>156</c:v>
                </c:pt>
                <c:pt idx="3187">
                  <c:v>84</c:v>
                </c:pt>
                <c:pt idx="3188">
                  <c:v>300</c:v>
                </c:pt>
                <c:pt idx="3189">
                  <c:v>120</c:v>
                </c:pt>
                <c:pt idx="3190">
                  <c:v>98</c:v>
                </c:pt>
                <c:pt idx="3191">
                  <c:v>121</c:v>
                </c:pt>
                <c:pt idx="3192">
                  <c:v>97</c:v>
                </c:pt>
                <c:pt idx="3193">
                  <c:v>86</c:v>
                </c:pt>
                <c:pt idx="3194">
                  <c:v>45</c:v>
                </c:pt>
                <c:pt idx="3195">
                  <c:v>97</c:v>
                </c:pt>
                <c:pt idx="3196">
                  <c:v>102</c:v>
                </c:pt>
                <c:pt idx="3197">
                  <c:v>105</c:v>
                </c:pt>
                <c:pt idx="3198">
                  <c:v>103</c:v>
                </c:pt>
                <c:pt idx="3199">
                  <c:v>93</c:v>
                </c:pt>
                <c:pt idx="3200">
                  <c:v>76</c:v>
                </c:pt>
                <c:pt idx="3201">
                  <c:v>90</c:v>
                </c:pt>
                <c:pt idx="3202">
                  <c:v>122</c:v>
                </c:pt>
                <c:pt idx="3203">
                  <c:v>127</c:v>
                </c:pt>
                <c:pt idx="3204">
                  <c:v>84</c:v>
                </c:pt>
                <c:pt idx="3205">
                  <c:v>96</c:v>
                </c:pt>
                <c:pt idx="3206">
                  <c:v>97</c:v>
                </c:pt>
                <c:pt idx="3207">
                  <c:v>112</c:v>
                </c:pt>
                <c:pt idx="3208">
                  <c:v>125</c:v>
                </c:pt>
                <c:pt idx="3209">
                  <c:v>96</c:v>
                </c:pt>
                <c:pt idx="3210">
                  <c:v>98</c:v>
                </c:pt>
                <c:pt idx="3211">
                  <c:v>92</c:v>
                </c:pt>
                <c:pt idx="3212">
                  <c:v>103</c:v>
                </c:pt>
                <c:pt idx="3213">
                  <c:v>122</c:v>
                </c:pt>
                <c:pt idx="3214">
                  <c:v>101</c:v>
                </c:pt>
                <c:pt idx="3215">
                  <c:v>104</c:v>
                </c:pt>
                <c:pt idx="3216">
                  <c:v>101</c:v>
                </c:pt>
                <c:pt idx="3217">
                  <c:v>135</c:v>
                </c:pt>
                <c:pt idx="3218">
                  <c:v>119</c:v>
                </c:pt>
                <c:pt idx="3219">
                  <c:v>128</c:v>
                </c:pt>
                <c:pt idx="3220">
                  <c:v>106</c:v>
                </c:pt>
                <c:pt idx="3221">
                  <c:v>126</c:v>
                </c:pt>
                <c:pt idx="3222">
                  <c:v>128</c:v>
                </c:pt>
                <c:pt idx="3223">
                  <c:v>127</c:v>
                </c:pt>
                <c:pt idx="3224">
                  <c:v>160</c:v>
                </c:pt>
                <c:pt idx="3225">
                  <c:v>171</c:v>
                </c:pt>
                <c:pt idx="3226">
                  <c:v>150</c:v>
                </c:pt>
                <c:pt idx="3227">
                  <c:v>122</c:v>
                </c:pt>
                <c:pt idx="3228">
                  <c:v>178</c:v>
                </c:pt>
                <c:pt idx="3229">
                  <c:v>95</c:v>
                </c:pt>
                <c:pt idx="3230">
                  <c:v>117</c:v>
                </c:pt>
                <c:pt idx="3231">
                  <c:v>119</c:v>
                </c:pt>
                <c:pt idx="3232">
                  <c:v>174</c:v>
                </c:pt>
                <c:pt idx="3233">
                  <c:v>111</c:v>
                </c:pt>
                <c:pt idx="3234">
                  <c:v>101</c:v>
                </c:pt>
                <c:pt idx="3235">
                  <c:v>89</c:v>
                </c:pt>
                <c:pt idx="3236">
                  <c:v>113</c:v>
                </c:pt>
                <c:pt idx="3237">
                  <c:v>95</c:v>
                </c:pt>
                <c:pt idx="3238">
                  <c:v>112</c:v>
                </c:pt>
                <c:pt idx="3239">
                  <c:v>109</c:v>
                </c:pt>
                <c:pt idx="3240">
                  <c:v>108</c:v>
                </c:pt>
                <c:pt idx="3241">
                  <c:v>100</c:v>
                </c:pt>
                <c:pt idx="3242">
                  <c:v>90</c:v>
                </c:pt>
                <c:pt idx="3243">
                  <c:v>94</c:v>
                </c:pt>
                <c:pt idx="3244">
                  <c:v>93</c:v>
                </c:pt>
                <c:pt idx="3245">
                  <c:v>80</c:v>
                </c:pt>
                <c:pt idx="3246">
                  <c:v>111</c:v>
                </c:pt>
                <c:pt idx="3247">
                  <c:v>142</c:v>
                </c:pt>
                <c:pt idx="3248">
                  <c:v>107</c:v>
                </c:pt>
                <c:pt idx="3249">
                  <c:v>91</c:v>
                </c:pt>
                <c:pt idx="3250">
                  <c:v>112</c:v>
                </c:pt>
                <c:pt idx="3251">
                  <c:v>82</c:v>
                </c:pt>
                <c:pt idx="3252">
                  <c:v>97</c:v>
                </c:pt>
                <c:pt idx="3253">
                  <c:v>102</c:v>
                </c:pt>
                <c:pt idx="3254">
                  <c:v>93</c:v>
                </c:pt>
                <c:pt idx="3255">
                  <c:v>116</c:v>
                </c:pt>
                <c:pt idx="3256">
                  <c:v>138</c:v>
                </c:pt>
                <c:pt idx="3257">
                  <c:v>117</c:v>
                </c:pt>
                <c:pt idx="3258">
                  <c:v>93</c:v>
                </c:pt>
                <c:pt idx="3259">
                  <c:v>92</c:v>
                </c:pt>
                <c:pt idx="3260">
                  <c:v>110</c:v>
                </c:pt>
                <c:pt idx="3261">
                  <c:v>92</c:v>
                </c:pt>
                <c:pt idx="3262">
                  <c:v>104</c:v>
                </c:pt>
                <c:pt idx="3263">
                  <c:v>98</c:v>
                </c:pt>
                <c:pt idx="3264">
                  <c:v>89</c:v>
                </c:pt>
                <c:pt idx="3265">
                  <c:v>92</c:v>
                </c:pt>
                <c:pt idx="3266">
                  <c:v>140</c:v>
                </c:pt>
                <c:pt idx="3267">
                  <c:v>90</c:v>
                </c:pt>
                <c:pt idx="3268">
                  <c:v>129</c:v>
                </c:pt>
                <c:pt idx="3269">
                  <c:v>111</c:v>
                </c:pt>
                <c:pt idx="3270">
                  <c:v>79</c:v>
                </c:pt>
                <c:pt idx="3271">
                  <c:v>104</c:v>
                </c:pt>
                <c:pt idx="3272">
                  <c:v>101</c:v>
                </c:pt>
                <c:pt idx="3273">
                  <c:v>113</c:v>
                </c:pt>
                <c:pt idx="3274">
                  <c:v>92</c:v>
                </c:pt>
                <c:pt idx="3275">
                  <c:v>106</c:v>
                </c:pt>
                <c:pt idx="3276">
                  <c:v>98</c:v>
                </c:pt>
                <c:pt idx="3277">
                  <c:v>75</c:v>
                </c:pt>
                <c:pt idx="3278">
                  <c:v>104</c:v>
                </c:pt>
                <c:pt idx="3279">
                  <c:v>108</c:v>
                </c:pt>
                <c:pt idx="3280">
                  <c:v>99</c:v>
                </c:pt>
                <c:pt idx="3281">
                  <c:v>180</c:v>
                </c:pt>
                <c:pt idx="3282">
                  <c:v>109</c:v>
                </c:pt>
                <c:pt idx="3283">
                  <c:v>111</c:v>
                </c:pt>
                <c:pt idx="3284">
                  <c:v>93</c:v>
                </c:pt>
                <c:pt idx="3285">
                  <c:v>99</c:v>
                </c:pt>
                <c:pt idx="3286">
                  <c:v>98</c:v>
                </c:pt>
                <c:pt idx="3287">
                  <c:v>95</c:v>
                </c:pt>
                <c:pt idx="3288">
                  <c:v>107</c:v>
                </c:pt>
                <c:pt idx="3289">
                  <c:v>102</c:v>
                </c:pt>
                <c:pt idx="3290">
                  <c:v>97</c:v>
                </c:pt>
                <c:pt idx="3291">
                  <c:v>124</c:v>
                </c:pt>
                <c:pt idx="3292">
                  <c:v>97</c:v>
                </c:pt>
                <c:pt idx="3293">
                  <c:v>124</c:v>
                </c:pt>
                <c:pt idx="3294">
                  <c:v>96</c:v>
                </c:pt>
                <c:pt idx="3295">
                  <c:v>114</c:v>
                </c:pt>
                <c:pt idx="3296">
                  <c:v>90</c:v>
                </c:pt>
                <c:pt idx="3297">
                  <c:v>104</c:v>
                </c:pt>
                <c:pt idx="3298">
                  <c:v>102</c:v>
                </c:pt>
                <c:pt idx="3299">
                  <c:v>93</c:v>
                </c:pt>
                <c:pt idx="3300">
                  <c:v>90</c:v>
                </c:pt>
                <c:pt idx="3301">
                  <c:v>106</c:v>
                </c:pt>
                <c:pt idx="3302">
                  <c:v>99</c:v>
                </c:pt>
                <c:pt idx="3303">
                  <c:v>115</c:v>
                </c:pt>
                <c:pt idx="3304">
                  <c:v>89</c:v>
                </c:pt>
                <c:pt idx="3305">
                  <c:v>101</c:v>
                </c:pt>
                <c:pt idx="3306">
                  <c:v>92</c:v>
                </c:pt>
                <c:pt idx="3307">
                  <c:v>94</c:v>
                </c:pt>
                <c:pt idx="3308">
                  <c:v>100</c:v>
                </c:pt>
                <c:pt idx="3309">
                  <c:v>106</c:v>
                </c:pt>
                <c:pt idx="3310">
                  <c:v>109</c:v>
                </c:pt>
                <c:pt idx="3311">
                  <c:v>105</c:v>
                </c:pt>
                <c:pt idx="3312">
                  <c:v>102</c:v>
                </c:pt>
                <c:pt idx="3313">
                  <c:v>97</c:v>
                </c:pt>
                <c:pt idx="3314">
                  <c:v>118</c:v>
                </c:pt>
                <c:pt idx="3315">
                  <c:v>92</c:v>
                </c:pt>
                <c:pt idx="3316">
                  <c:v>112</c:v>
                </c:pt>
                <c:pt idx="3317">
                  <c:v>103</c:v>
                </c:pt>
                <c:pt idx="3318">
                  <c:v>93</c:v>
                </c:pt>
                <c:pt idx="3319">
                  <c:v>101</c:v>
                </c:pt>
                <c:pt idx="3320">
                  <c:v>113</c:v>
                </c:pt>
                <c:pt idx="3321">
                  <c:v>95</c:v>
                </c:pt>
                <c:pt idx="3322">
                  <c:v>153</c:v>
                </c:pt>
                <c:pt idx="3323">
                  <c:v>89</c:v>
                </c:pt>
                <c:pt idx="3324">
                  <c:v>92</c:v>
                </c:pt>
                <c:pt idx="3325">
                  <c:v>107</c:v>
                </c:pt>
                <c:pt idx="3326">
                  <c:v>118</c:v>
                </c:pt>
                <c:pt idx="3327">
                  <c:v>97</c:v>
                </c:pt>
                <c:pt idx="3328">
                  <c:v>100</c:v>
                </c:pt>
                <c:pt idx="3329">
                  <c:v>96</c:v>
                </c:pt>
                <c:pt idx="3330">
                  <c:v>104</c:v>
                </c:pt>
                <c:pt idx="3331">
                  <c:v>120</c:v>
                </c:pt>
                <c:pt idx="3332">
                  <c:v>175</c:v>
                </c:pt>
                <c:pt idx="3333">
                  <c:v>95</c:v>
                </c:pt>
                <c:pt idx="3334">
                  <c:v>95</c:v>
                </c:pt>
                <c:pt idx="3335">
                  <c:v>121</c:v>
                </c:pt>
                <c:pt idx="3336">
                  <c:v>110</c:v>
                </c:pt>
                <c:pt idx="3337">
                  <c:v>96</c:v>
                </c:pt>
                <c:pt idx="3338">
                  <c:v>121</c:v>
                </c:pt>
                <c:pt idx="3339">
                  <c:v>95</c:v>
                </c:pt>
                <c:pt idx="3340">
                  <c:v>112</c:v>
                </c:pt>
                <c:pt idx="3341">
                  <c:v>112</c:v>
                </c:pt>
                <c:pt idx="3342">
                  <c:v>93</c:v>
                </c:pt>
                <c:pt idx="3343">
                  <c:v>110</c:v>
                </c:pt>
                <c:pt idx="3344">
                  <c:v>104</c:v>
                </c:pt>
                <c:pt idx="3345">
                  <c:v>119</c:v>
                </c:pt>
                <c:pt idx="3346">
                  <c:v>125</c:v>
                </c:pt>
                <c:pt idx="3347">
                  <c:v>96</c:v>
                </c:pt>
                <c:pt idx="3348">
                  <c:v>100</c:v>
                </c:pt>
                <c:pt idx="3349">
                  <c:v>46</c:v>
                </c:pt>
                <c:pt idx="3350">
                  <c:v>89</c:v>
                </c:pt>
                <c:pt idx="3351">
                  <c:v>92</c:v>
                </c:pt>
                <c:pt idx="3352">
                  <c:v>109</c:v>
                </c:pt>
                <c:pt idx="3353">
                  <c:v>103</c:v>
                </c:pt>
                <c:pt idx="3354">
                  <c:v>95</c:v>
                </c:pt>
                <c:pt idx="3355">
                  <c:v>105</c:v>
                </c:pt>
                <c:pt idx="3356">
                  <c:v>79</c:v>
                </c:pt>
                <c:pt idx="3357">
                  <c:v>106</c:v>
                </c:pt>
                <c:pt idx="3358">
                  <c:v>100</c:v>
                </c:pt>
                <c:pt idx="3359">
                  <c:v>103</c:v>
                </c:pt>
                <c:pt idx="3360">
                  <c:v>116</c:v>
                </c:pt>
                <c:pt idx="3361">
                  <c:v>99</c:v>
                </c:pt>
                <c:pt idx="3362">
                  <c:v>164</c:v>
                </c:pt>
                <c:pt idx="3363">
                  <c:v>96</c:v>
                </c:pt>
                <c:pt idx="3364">
                  <c:v>122</c:v>
                </c:pt>
                <c:pt idx="3365">
                  <c:v>94</c:v>
                </c:pt>
                <c:pt idx="3366">
                  <c:v>93</c:v>
                </c:pt>
                <c:pt idx="3367">
                  <c:v>96</c:v>
                </c:pt>
                <c:pt idx="3368">
                  <c:v>113</c:v>
                </c:pt>
                <c:pt idx="3369">
                  <c:v>192</c:v>
                </c:pt>
                <c:pt idx="3370">
                  <c:v>99</c:v>
                </c:pt>
                <c:pt idx="3371">
                  <c:v>91</c:v>
                </c:pt>
                <c:pt idx="3372">
                  <c:v>100</c:v>
                </c:pt>
                <c:pt idx="3373">
                  <c:v>105</c:v>
                </c:pt>
                <c:pt idx="3374">
                  <c:v>99</c:v>
                </c:pt>
                <c:pt idx="3375">
                  <c:v>112</c:v>
                </c:pt>
                <c:pt idx="3376">
                  <c:v>100</c:v>
                </c:pt>
                <c:pt idx="3377">
                  <c:v>99</c:v>
                </c:pt>
                <c:pt idx="3378">
                  <c:v>100</c:v>
                </c:pt>
                <c:pt idx="3379">
                  <c:v>125</c:v>
                </c:pt>
                <c:pt idx="3380">
                  <c:v>107</c:v>
                </c:pt>
                <c:pt idx="3381">
                  <c:v>107</c:v>
                </c:pt>
                <c:pt idx="3382">
                  <c:v>97</c:v>
                </c:pt>
                <c:pt idx="3383">
                  <c:v>105</c:v>
                </c:pt>
                <c:pt idx="3384">
                  <c:v>95</c:v>
                </c:pt>
                <c:pt idx="3385">
                  <c:v>106</c:v>
                </c:pt>
                <c:pt idx="3386">
                  <c:v>93</c:v>
                </c:pt>
                <c:pt idx="3387">
                  <c:v>103</c:v>
                </c:pt>
                <c:pt idx="3388">
                  <c:v>96</c:v>
                </c:pt>
                <c:pt idx="3389">
                  <c:v>103</c:v>
                </c:pt>
                <c:pt idx="3390">
                  <c:v>108</c:v>
                </c:pt>
                <c:pt idx="3391">
                  <c:v>177</c:v>
                </c:pt>
                <c:pt idx="3392">
                  <c:v>118</c:v>
                </c:pt>
                <c:pt idx="3393">
                  <c:v>97</c:v>
                </c:pt>
                <c:pt idx="3394">
                  <c:v>102</c:v>
                </c:pt>
                <c:pt idx="3395">
                  <c:v>92</c:v>
                </c:pt>
                <c:pt idx="3396">
                  <c:v>88</c:v>
                </c:pt>
                <c:pt idx="3397">
                  <c:v>80</c:v>
                </c:pt>
                <c:pt idx="3398">
                  <c:v>115</c:v>
                </c:pt>
                <c:pt idx="3399">
                  <c:v>97</c:v>
                </c:pt>
                <c:pt idx="3400">
                  <c:v>102</c:v>
                </c:pt>
                <c:pt idx="3401">
                  <c:v>111</c:v>
                </c:pt>
                <c:pt idx="3402">
                  <c:v>96</c:v>
                </c:pt>
                <c:pt idx="3403">
                  <c:v>94</c:v>
                </c:pt>
                <c:pt idx="3404">
                  <c:v>125</c:v>
                </c:pt>
                <c:pt idx="3405">
                  <c:v>108</c:v>
                </c:pt>
                <c:pt idx="3406">
                  <c:v>101</c:v>
                </c:pt>
                <c:pt idx="3407">
                  <c:v>101</c:v>
                </c:pt>
                <c:pt idx="3408">
                  <c:v>139</c:v>
                </c:pt>
                <c:pt idx="3409">
                  <c:v>125</c:v>
                </c:pt>
                <c:pt idx="3410">
                  <c:v>88</c:v>
                </c:pt>
                <c:pt idx="3411">
                  <c:v>115</c:v>
                </c:pt>
                <c:pt idx="3412">
                  <c:v>99</c:v>
                </c:pt>
                <c:pt idx="3413">
                  <c:v>88</c:v>
                </c:pt>
                <c:pt idx="3414">
                  <c:v>112</c:v>
                </c:pt>
                <c:pt idx="3415">
                  <c:v>108</c:v>
                </c:pt>
                <c:pt idx="3416">
                  <c:v>107</c:v>
                </c:pt>
                <c:pt idx="3417">
                  <c:v>104</c:v>
                </c:pt>
                <c:pt idx="3418">
                  <c:v>108</c:v>
                </c:pt>
                <c:pt idx="3419">
                  <c:v>102</c:v>
                </c:pt>
                <c:pt idx="3420">
                  <c:v>88</c:v>
                </c:pt>
                <c:pt idx="3421">
                  <c:v>115</c:v>
                </c:pt>
                <c:pt idx="3422">
                  <c:v>91</c:v>
                </c:pt>
                <c:pt idx="3423">
                  <c:v>141</c:v>
                </c:pt>
                <c:pt idx="3424">
                  <c:v>101</c:v>
                </c:pt>
                <c:pt idx="3425">
                  <c:v>105</c:v>
                </c:pt>
                <c:pt idx="3426">
                  <c:v>100</c:v>
                </c:pt>
                <c:pt idx="3427">
                  <c:v>116</c:v>
                </c:pt>
                <c:pt idx="3428">
                  <c:v>97</c:v>
                </c:pt>
                <c:pt idx="3429">
                  <c:v>106</c:v>
                </c:pt>
                <c:pt idx="3430">
                  <c:v>105</c:v>
                </c:pt>
                <c:pt idx="3431">
                  <c:v>102</c:v>
                </c:pt>
                <c:pt idx="3432">
                  <c:v>122</c:v>
                </c:pt>
                <c:pt idx="3433">
                  <c:v>107</c:v>
                </c:pt>
                <c:pt idx="3434">
                  <c:v>121</c:v>
                </c:pt>
                <c:pt idx="3435">
                  <c:v>98</c:v>
                </c:pt>
                <c:pt idx="3436">
                  <c:v>108</c:v>
                </c:pt>
                <c:pt idx="3437">
                  <c:v>123</c:v>
                </c:pt>
                <c:pt idx="3438">
                  <c:v>110</c:v>
                </c:pt>
                <c:pt idx="3439">
                  <c:v>120</c:v>
                </c:pt>
                <c:pt idx="3440">
                  <c:v>122</c:v>
                </c:pt>
                <c:pt idx="3441">
                  <c:v>110</c:v>
                </c:pt>
                <c:pt idx="3442">
                  <c:v>139</c:v>
                </c:pt>
                <c:pt idx="3443">
                  <c:v>124</c:v>
                </c:pt>
                <c:pt idx="3444">
                  <c:v>152</c:v>
                </c:pt>
                <c:pt idx="3445">
                  <c:v>98</c:v>
                </c:pt>
                <c:pt idx="3446">
                  <c:v>106</c:v>
                </c:pt>
                <c:pt idx="3447">
                  <c:v>106</c:v>
                </c:pt>
                <c:pt idx="3448">
                  <c:v>106</c:v>
                </c:pt>
                <c:pt idx="3449">
                  <c:v>89</c:v>
                </c:pt>
                <c:pt idx="3450">
                  <c:v>94</c:v>
                </c:pt>
                <c:pt idx="3451">
                  <c:v>109</c:v>
                </c:pt>
                <c:pt idx="3452">
                  <c:v>144</c:v>
                </c:pt>
                <c:pt idx="3453">
                  <c:v>90</c:v>
                </c:pt>
                <c:pt idx="3454">
                  <c:v>106</c:v>
                </c:pt>
                <c:pt idx="3455">
                  <c:v>121</c:v>
                </c:pt>
                <c:pt idx="3456">
                  <c:v>89</c:v>
                </c:pt>
                <c:pt idx="3457">
                  <c:v>86</c:v>
                </c:pt>
                <c:pt idx="3458">
                  <c:v>91</c:v>
                </c:pt>
                <c:pt idx="3459">
                  <c:v>104</c:v>
                </c:pt>
                <c:pt idx="3460">
                  <c:v>99</c:v>
                </c:pt>
                <c:pt idx="3461">
                  <c:v>98</c:v>
                </c:pt>
                <c:pt idx="3462">
                  <c:v>121</c:v>
                </c:pt>
                <c:pt idx="3463">
                  <c:v>96</c:v>
                </c:pt>
                <c:pt idx="3464">
                  <c:v>99</c:v>
                </c:pt>
                <c:pt idx="3465">
                  <c:v>42</c:v>
                </c:pt>
                <c:pt idx="3466">
                  <c:v>122</c:v>
                </c:pt>
                <c:pt idx="3467">
                  <c:v>101</c:v>
                </c:pt>
                <c:pt idx="3468">
                  <c:v>102</c:v>
                </c:pt>
                <c:pt idx="3469">
                  <c:v>84</c:v>
                </c:pt>
                <c:pt idx="3470">
                  <c:v>104</c:v>
                </c:pt>
                <c:pt idx="3471">
                  <c:v>96</c:v>
                </c:pt>
                <c:pt idx="3472">
                  <c:v>94</c:v>
                </c:pt>
                <c:pt idx="3473">
                  <c:v>90</c:v>
                </c:pt>
                <c:pt idx="3474">
                  <c:v>97</c:v>
                </c:pt>
                <c:pt idx="3475">
                  <c:v>90</c:v>
                </c:pt>
                <c:pt idx="3476">
                  <c:v>106</c:v>
                </c:pt>
                <c:pt idx="3477">
                  <c:v>96</c:v>
                </c:pt>
                <c:pt idx="3478">
                  <c:v>95</c:v>
                </c:pt>
                <c:pt idx="3479">
                  <c:v>99</c:v>
                </c:pt>
                <c:pt idx="3480">
                  <c:v>93</c:v>
                </c:pt>
                <c:pt idx="3481">
                  <c:v>99</c:v>
                </c:pt>
                <c:pt idx="3482">
                  <c:v>95</c:v>
                </c:pt>
                <c:pt idx="3483">
                  <c:v>84</c:v>
                </c:pt>
                <c:pt idx="3484">
                  <c:v>144</c:v>
                </c:pt>
                <c:pt idx="3485">
                  <c:v>99</c:v>
                </c:pt>
                <c:pt idx="3486">
                  <c:v>110</c:v>
                </c:pt>
                <c:pt idx="3487">
                  <c:v>97</c:v>
                </c:pt>
                <c:pt idx="3488">
                  <c:v>107</c:v>
                </c:pt>
                <c:pt idx="3489">
                  <c:v>90</c:v>
                </c:pt>
                <c:pt idx="3490">
                  <c:v>104</c:v>
                </c:pt>
                <c:pt idx="3491">
                  <c:v>96</c:v>
                </c:pt>
                <c:pt idx="3492">
                  <c:v>104</c:v>
                </c:pt>
                <c:pt idx="3493">
                  <c:v>97</c:v>
                </c:pt>
                <c:pt idx="3494">
                  <c:v>107</c:v>
                </c:pt>
                <c:pt idx="3495">
                  <c:v>117</c:v>
                </c:pt>
                <c:pt idx="3496">
                  <c:v>85</c:v>
                </c:pt>
                <c:pt idx="3497">
                  <c:v>152</c:v>
                </c:pt>
                <c:pt idx="3498">
                  <c:v>85</c:v>
                </c:pt>
                <c:pt idx="3499">
                  <c:v>76</c:v>
                </c:pt>
                <c:pt idx="3500">
                  <c:v>87</c:v>
                </c:pt>
                <c:pt idx="3501">
                  <c:v>95</c:v>
                </c:pt>
                <c:pt idx="3502">
                  <c:v>101</c:v>
                </c:pt>
                <c:pt idx="3503">
                  <c:v>90</c:v>
                </c:pt>
                <c:pt idx="3504">
                  <c:v>89</c:v>
                </c:pt>
                <c:pt idx="3505">
                  <c:v>111</c:v>
                </c:pt>
                <c:pt idx="3506">
                  <c:v>86</c:v>
                </c:pt>
                <c:pt idx="3507">
                  <c:v>103</c:v>
                </c:pt>
                <c:pt idx="3508">
                  <c:v>90</c:v>
                </c:pt>
                <c:pt idx="3509">
                  <c:v>133</c:v>
                </c:pt>
                <c:pt idx="3510">
                  <c:v>88</c:v>
                </c:pt>
                <c:pt idx="3511">
                  <c:v>111</c:v>
                </c:pt>
                <c:pt idx="3512">
                  <c:v>94</c:v>
                </c:pt>
                <c:pt idx="3513">
                  <c:v>112</c:v>
                </c:pt>
                <c:pt idx="3514">
                  <c:v>141</c:v>
                </c:pt>
                <c:pt idx="3515">
                  <c:v>95</c:v>
                </c:pt>
                <c:pt idx="3516">
                  <c:v>141</c:v>
                </c:pt>
                <c:pt idx="3517">
                  <c:v>85</c:v>
                </c:pt>
                <c:pt idx="3518">
                  <c:v>105</c:v>
                </c:pt>
                <c:pt idx="3519">
                  <c:v>129</c:v>
                </c:pt>
                <c:pt idx="3520">
                  <c:v>125</c:v>
                </c:pt>
                <c:pt idx="3521">
                  <c:v>116</c:v>
                </c:pt>
                <c:pt idx="3522">
                  <c:v>105</c:v>
                </c:pt>
                <c:pt idx="3523">
                  <c:v>90</c:v>
                </c:pt>
                <c:pt idx="3524">
                  <c:v>105</c:v>
                </c:pt>
                <c:pt idx="3525">
                  <c:v>111</c:v>
                </c:pt>
                <c:pt idx="3526">
                  <c:v>91</c:v>
                </c:pt>
                <c:pt idx="3527">
                  <c:v>95</c:v>
                </c:pt>
                <c:pt idx="3528">
                  <c:v>97</c:v>
                </c:pt>
                <c:pt idx="3529">
                  <c:v>92</c:v>
                </c:pt>
                <c:pt idx="3530">
                  <c:v>104</c:v>
                </c:pt>
                <c:pt idx="3531">
                  <c:v>120</c:v>
                </c:pt>
                <c:pt idx="3532">
                  <c:v>99</c:v>
                </c:pt>
                <c:pt idx="3533">
                  <c:v>93</c:v>
                </c:pt>
                <c:pt idx="3534">
                  <c:v>99</c:v>
                </c:pt>
                <c:pt idx="3535">
                  <c:v>99</c:v>
                </c:pt>
                <c:pt idx="3536">
                  <c:v>157</c:v>
                </c:pt>
                <c:pt idx="3537">
                  <c:v>90</c:v>
                </c:pt>
                <c:pt idx="3538">
                  <c:v>96</c:v>
                </c:pt>
                <c:pt idx="3539">
                  <c:v>96</c:v>
                </c:pt>
                <c:pt idx="3540">
                  <c:v>90</c:v>
                </c:pt>
                <c:pt idx="3541">
                  <c:v>100</c:v>
                </c:pt>
                <c:pt idx="3542">
                  <c:v>94</c:v>
                </c:pt>
                <c:pt idx="3543">
                  <c:v>98</c:v>
                </c:pt>
                <c:pt idx="3544">
                  <c:v>129</c:v>
                </c:pt>
                <c:pt idx="3545">
                  <c:v>103</c:v>
                </c:pt>
                <c:pt idx="3546">
                  <c:v>128</c:v>
                </c:pt>
                <c:pt idx="3547">
                  <c:v>106</c:v>
                </c:pt>
                <c:pt idx="3548">
                  <c:v>95</c:v>
                </c:pt>
                <c:pt idx="3549">
                  <c:v>104</c:v>
                </c:pt>
                <c:pt idx="3550">
                  <c:v>87</c:v>
                </c:pt>
                <c:pt idx="3551">
                  <c:v>81</c:v>
                </c:pt>
                <c:pt idx="3552">
                  <c:v>94</c:v>
                </c:pt>
                <c:pt idx="3553">
                  <c:v>89</c:v>
                </c:pt>
                <c:pt idx="3554">
                  <c:v>88</c:v>
                </c:pt>
                <c:pt idx="3555">
                  <c:v>115</c:v>
                </c:pt>
                <c:pt idx="3556">
                  <c:v>96</c:v>
                </c:pt>
                <c:pt idx="3557">
                  <c:v>135</c:v>
                </c:pt>
                <c:pt idx="3558">
                  <c:v>113</c:v>
                </c:pt>
                <c:pt idx="3559">
                  <c:v>93</c:v>
                </c:pt>
                <c:pt idx="3560">
                  <c:v>109</c:v>
                </c:pt>
                <c:pt idx="3561">
                  <c:v>127</c:v>
                </c:pt>
                <c:pt idx="3562">
                  <c:v>101</c:v>
                </c:pt>
                <c:pt idx="3563">
                  <c:v>124</c:v>
                </c:pt>
                <c:pt idx="3564">
                  <c:v>117</c:v>
                </c:pt>
                <c:pt idx="3565">
                  <c:v>83</c:v>
                </c:pt>
                <c:pt idx="3566">
                  <c:v>113</c:v>
                </c:pt>
                <c:pt idx="3567">
                  <c:v>104</c:v>
                </c:pt>
                <c:pt idx="3568">
                  <c:v>97</c:v>
                </c:pt>
                <c:pt idx="3569">
                  <c:v>110</c:v>
                </c:pt>
                <c:pt idx="3570">
                  <c:v>103</c:v>
                </c:pt>
                <c:pt idx="3571">
                  <c:v>94</c:v>
                </c:pt>
                <c:pt idx="3572">
                  <c:v>102</c:v>
                </c:pt>
                <c:pt idx="3573">
                  <c:v>77</c:v>
                </c:pt>
                <c:pt idx="3574">
                  <c:v>134</c:v>
                </c:pt>
                <c:pt idx="3575">
                  <c:v>129</c:v>
                </c:pt>
                <c:pt idx="3576">
                  <c:v>90</c:v>
                </c:pt>
                <c:pt idx="3577">
                  <c:v>134</c:v>
                </c:pt>
                <c:pt idx="3578">
                  <c:v>104</c:v>
                </c:pt>
                <c:pt idx="3579">
                  <c:v>93</c:v>
                </c:pt>
                <c:pt idx="3580">
                  <c:v>106</c:v>
                </c:pt>
                <c:pt idx="3581">
                  <c:v>109</c:v>
                </c:pt>
                <c:pt idx="3582">
                  <c:v>101</c:v>
                </c:pt>
                <c:pt idx="3583">
                  <c:v>139</c:v>
                </c:pt>
                <c:pt idx="3584">
                  <c:v>99</c:v>
                </c:pt>
                <c:pt idx="3585">
                  <c:v>100</c:v>
                </c:pt>
                <c:pt idx="3586">
                  <c:v>95</c:v>
                </c:pt>
                <c:pt idx="3587">
                  <c:v>94</c:v>
                </c:pt>
                <c:pt idx="3588">
                  <c:v>93</c:v>
                </c:pt>
                <c:pt idx="3589">
                  <c:v>106</c:v>
                </c:pt>
                <c:pt idx="3590">
                  <c:v>99</c:v>
                </c:pt>
                <c:pt idx="3591">
                  <c:v>82</c:v>
                </c:pt>
                <c:pt idx="3592">
                  <c:v>135</c:v>
                </c:pt>
                <c:pt idx="3593">
                  <c:v>88</c:v>
                </c:pt>
                <c:pt idx="3594">
                  <c:v>89</c:v>
                </c:pt>
                <c:pt idx="3595">
                  <c:v>110</c:v>
                </c:pt>
                <c:pt idx="3596">
                  <c:v>107</c:v>
                </c:pt>
                <c:pt idx="3597">
                  <c:v>86</c:v>
                </c:pt>
                <c:pt idx="3598">
                  <c:v>91</c:v>
                </c:pt>
                <c:pt idx="3599">
                  <c:v>103</c:v>
                </c:pt>
                <c:pt idx="3600">
                  <c:v>90</c:v>
                </c:pt>
                <c:pt idx="3601">
                  <c:v>141</c:v>
                </c:pt>
                <c:pt idx="3602">
                  <c:v>92</c:v>
                </c:pt>
                <c:pt idx="3603">
                  <c:v>99</c:v>
                </c:pt>
                <c:pt idx="3604">
                  <c:v>79</c:v>
                </c:pt>
                <c:pt idx="3605">
                  <c:v>96</c:v>
                </c:pt>
                <c:pt idx="3606">
                  <c:v>82</c:v>
                </c:pt>
                <c:pt idx="3607">
                  <c:v>92</c:v>
                </c:pt>
                <c:pt idx="3608">
                  <c:v>112</c:v>
                </c:pt>
                <c:pt idx="3609">
                  <c:v>106</c:v>
                </c:pt>
                <c:pt idx="3610">
                  <c:v>90</c:v>
                </c:pt>
                <c:pt idx="3611">
                  <c:v>126</c:v>
                </c:pt>
                <c:pt idx="3612">
                  <c:v>150</c:v>
                </c:pt>
                <c:pt idx="3613">
                  <c:v>90</c:v>
                </c:pt>
                <c:pt idx="3614">
                  <c:v>91</c:v>
                </c:pt>
                <c:pt idx="3615">
                  <c:v>145</c:v>
                </c:pt>
                <c:pt idx="3616">
                  <c:v>95</c:v>
                </c:pt>
                <c:pt idx="3617">
                  <c:v>97</c:v>
                </c:pt>
                <c:pt idx="3618">
                  <c:v>90</c:v>
                </c:pt>
                <c:pt idx="3619">
                  <c:v>41</c:v>
                </c:pt>
                <c:pt idx="3620">
                  <c:v>112</c:v>
                </c:pt>
                <c:pt idx="3621">
                  <c:v>122</c:v>
                </c:pt>
                <c:pt idx="3622">
                  <c:v>110</c:v>
                </c:pt>
                <c:pt idx="3623">
                  <c:v>87</c:v>
                </c:pt>
                <c:pt idx="3624">
                  <c:v>108</c:v>
                </c:pt>
                <c:pt idx="3625">
                  <c:v>121</c:v>
                </c:pt>
                <c:pt idx="3626">
                  <c:v>97</c:v>
                </c:pt>
                <c:pt idx="3627">
                  <c:v>116</c:v>
                </c:pt>
                <c:pt idx="3628">
                  <c:v>94</c:v>
                </c:pt>
                <c:pt idx="3629">
                  <c:v>103</c:v>
                </c:pt>
                <c:pt idx="3630">
                  <c:v>112</c:v>
                </c:pt>
                <c:pt idx="3631">
                  <c:v>91</c:v>
                </c:pt>
                <c:pt idx="3632">
                  <c:v>98</c:v>
                </c:pt>
                <c:pt idx="3633">
                  <c:v>95</c:v>
                </c:pt>
                <c:pt idx="3634">
                  <c:v>88</c:v>
                </c:pt>
                <c:pt idx="3635">
                  <c:v>99</c:v>
                </c:pt>
                <c:pt idx="3636">
                  <c:v>91</c:v>
                </c:pt>
                <c:pt idx="3637">
                  <c:v>97</c:v>
                </c:pt>
                <c:pt idx="3638">
                  <c:v>136</c:v>
                </c:pt>
                <c:pt idx="3639">
                  <c:v>118</c:v>
                </c:pt>
                <c:pt idx="3640">
                  <c:v>94</c:v>
                </c:pt>
                <c:pt idx="3641">
                  <c:v>89</c:v>
                </c:pt>
                <c:pt idx="3642">
                  <c:v>90</c:v>
                </c:pt>
                <c:pt idx="3643">
                  <c:v>95</c:v>
                </c:pt>
                <c:pt idx="3644">
                  <c:v>90</c:v>
                </c:pt>
                <c:pt idx="3645">
                  <c:v>95</c:v>
                </c:pt>
                <c:pt idx="3646">
                  <c:v>94</c:v>
                </c:pt>
                <c:pt idx="3647">
                  <c:v>90</c:v>
                </c:pt>
                <c:pt idx="3648">
                  <c:v>103</c:v>
                </c:pt>
                <c:pt idx="3649">
                  <c:v>91</c:v>
                </c:pt>
                <c:pt idx="3650">
                  <c:v>102</c:v>
                </c:pt>
                <c:pt idx="3651">
                  <c:v>92</c:v>
                </c:pt>
                <c:pt idx="3652">
                  <c:v>87</c:v>
                </c:pt>
                <c:pt idx="3653">
                  <c:v>80</c:v>
                </c:pt>
                <c:pt idx="3654">
                  <c:v>90</c:v>
                </c:pt>
                <c:pt idx="3655">
                  <c:v>105</c:v>
                </c:pt>
                <c:pt idx="3656">
                  <c:v>67</c:v>
                </c:pt>
                <c:pt idx="3657">
                  <c:v>95</c:v>
                </c:pt>
                <c:pt idx="3658">
                  <c:v>87</c:v>
                </c:pt>
                <c:pt idx="3659">
                  <c:v>94</c:v>
                </c:pt>
                <c:pt idx="3660">
                  <c:v>109</c:v>
                </c:pt>
                <c:pt idx="3661">
                  <c:v>130</c:v>
                </c:pt>
                <c:pt idx="3662">
                  <c:v>88</c:v>
                </c:pt>
                <c:pt idx="3663">
                  <c:v>88</c:v>
                </c:pt>
                <c:pt idx="3664">
                  <c:v>97</c:v>
                </c:pt>
                <c:pt idx="3665">
                  <c:v>113</c:v>
                </c:pt>
                <c:pt idx="3666">
                  <c:v>99</c:v>
                </c:pt>
                <c:pt idx="3667">
                  <c:v>148</c:v>
                </c:pt>
                <c:pt idx="3668">
                  <c:v>107</c:v>
                </c:pt>
                <c:pt idx="3669">
                  <c:v>93</c:v>
                </c:pt>
                <c:pt idx="3670">
                  <c:v>94</c:v>
                </c:pt>
                <c:pt idx="3671">
                  <c:v>121</c:v>
                </c:pt>
                <c:pt idx="3672">
                  <c:v>118</c:v>
                </c:pt>
                <c:pt idx="3673">
                  <c:v>98</c:v>
                </c:pt>
                <c:pt idx="3674">
                  <c:v>82</c:v>
                </c:pt>
                <c:pt idx="3675">
                  <c:v>101</c:v>
                </c:pt>
                <c:pt idx="3676">
                  <c:v>106</c:v>
                </c:pt>
                <c:pt idx="3677">
                  <c:v>90</c:v>
                </c:pt>
                <c:pt idx="3678">
                  <c:v>79</c:v>
                </c:pt>
                <c:pt idx="3679">
                  <c:v>87</c:v>
                </c:pt>
                <c:pt idx="3680">
                  <c:v>105</c:v>
                </c:pt>
                <c:pt idx="3681">
                  <c:v>89</c:v>
                </c:pt>
                <c:pt idx="3682">
                  <c:v>100</c:v>
                </c:pt>
                <c:pt idx="3683">
                  <c:v>92</c:v>
                </c:pt>
                <c:pt idx="3684">
                  <c:v>97</c:v>
                </c:pt>
                <c:pt idx="3685">
                  <c:v>96</c:v>
                </c:pt>
                <c:pt idx="3686">
                  <c:v>104</c:v>
                </c:pt>
                <c:pt idx="3687">
                  <c:v>117</c:v>
                </c:pt>
                <c:pt idx="3688">
                  <c:v>90</c:v>
                </c:pt>
                <c:pt idx="3689">
                  <c:v>115</c:v>
                </c:pt>
                <c:pt idx="3690">
                  <c:v>108</c:v>
                </c:pt>
                <c:pt idx="3691">
                  <c:v>109</c:v>
                </c:pt>
                <c:pt idx="3692">
                  <c:v>102</c:v>
                </c:pt>
                <c:pt idx="3693">
                  <c:v>100</c:v>
                </c:pt>
                <c:pt idx="3694">
                  <c:v>115</c:v>
                </c:pt>
                <c:pt idx="3695">
                  <c:v>122</c:v>
                </c:pt>
                <c:pt idx="3696">
                  <c:v>98</c:v>
                </c:pt>
                <c:pt idx="3697">
                  <c:v>133</c:v>
                </c:pt>
                <c:pt idx="3698">
                  <c:v>105</c:v>
                </c:pt>
                <c:pt idx="3699">
                  <c:v>122</c:v>
                </c:pt>
                <c:pt idx="3700">
                  <c:v>106</c:v>
                </c:pt>
                <c:pt idx="3701">
                  <c:v>98</c:v>
                </c:pt>
                <c:pt idx="3702">
                  <c:v>112</c:v>
                </c:pt>
                <c:pt idx="3703">
                  <c:v>120</c:v>
                </c:pt>
                <c:pt idx="3704">
                  <c:v>99</c:v>
                </c:pt>
                <c:pt idx="3705">
                  <c:v>110</c:v>
                </c:pt>
                <c:pt idx="3706">
                  <c:v>102</c:v>
                </c:pt>
                <c:pt idx="3707">
                  <c:v>109</c:v>
                </c:pt>
                <c:pt idx="3708">
                  <c:v>104</c:v>
                </c:pt>
                <c:pt idx="3709">
                  <c:v>134</c:v>
                </c:pt>
                <c:pt idx="3710">
                  <c:v>133</c:v>
                </c:pt>
                <c:pt idx="3711">
                  <c:v>85</c:v>
                </c:pt>
                <c:pt idx="3712">
                  <c:v>130</c:v>
                </c:pt>
                <c:pt idx="3713">
                  <c:v>103</c:v>
                </c:pt>
                <c:pt idx="3714">
                  <c:v>112</c:v>
                </c:pt>
                <c:pt idx="3715">
                  <c:v>89</c:v>
                </c:pt>
                <c:pt idx="3716">
                  <c:v>124</c:v>
                </c:pt>
                <c:pt idx="3717">
                  <c:v>101</c:v>
                </c:pt>
                <c:pt idx="3718">
                  <c:v>133</c:v>
                </c:pt>
                <c:pt idx="3719">
                  <c:v>112</c:v>
                </c:pt>
                <c:pt idx="3720">
                  <c:v>98</c:v>
                </c:pt>
                <c:pt idx="3721">
                  <c:v>93</c:v>
                </c:pt>
                <c:pt idx="3722">
                  <c:v>104</c:v>
                </c:pt>
                <c:pt idx="3723">
                  <c:v>112</c:v>
                </c:pt>
                <c:pt idx="3724">
                  <c:v>94</c:v>
                </c:pt>
                <c:pt idx="3725">
                  <c:v>90</c:v>
                </c:pt>
                <c:pt idx="3726">
                  <c:v>96</c:v>
                </c:pt>
                <c:pt idx="3727">
                  <c:v>101</c:v>
                </c:pt>
                <c:pt idx="3728">
                  <c:v>93</c:v>
                </c:pt>
                <c:pt idx="3729">
                  <c:v>152</c:v>
                </c:pt>
                <c:pt idx="3730">
                  <c:v>112</c:v>
                </c:pt>
                <c:pt idx="3731">
                  <c:v>95</c:v>
                </c:pt>
                <c:pt idx="3732">
                  <c:v>111</c:v>
                </c:pt>
                <c:pt idx="3733">
                  <c:v>86</c:v>
                </c:pt>
                <c:pt idx="3734">
                  <c:v>105</c:v>
                </c:pt>
                <c:pt idx="3735">
                  <c:v>91</c:v>
                </c:pt>
                <c:pt idx="3736">
                  <c:v>105</c:v>
                </c:pt>
                <c:pt idx="3737">
                  <c:v>106</c:v>
                </c:pt>
                <c:pt idx="3738">
                  <c:v>93</c:v>
                </c:pt>
                <c:pt idx="3739">
                  <c:v>172</c:v>
                </c:pt>
                <c:pt idx="3740">
                  <c:v>109</c:v>
                </c:pt>
                <c:pt idx="3741">
                  <c:v>93</c:v>
                </c:pt>
                <c:pt idx="3742">
                  <c:v>165</c:v>
                </c:pt>
                <c:pt idx="3743">
                  <c:v>96</c:v>
                </c:pt>
                <c:pt idx="3744">
                  <c:v>93</c:v>
                </c:pt>
                <c:pt idx="3745">
                  <c:v>82</c:v>
                </c:pt>
                <c:pt idx="3746">
                  <c:v>101</c:v>
                </c:pt>
                <c:pt idx="3747">
                  <c:v>120</c:v>
                </c:pt>
                <c:pt idx="3748">
                  <c:v>81</c:v>
                </c:pt>
                <c:pt idx="3749">
                  <c:v>82</c:v>
                </c:pt>
                <c:pt idx="3750">
                  <c:v>105</c:v>
                </c:pt>
                <c:pt idx="3751">
                  <c:v>86</c:v>
                </c:pt>
                <c:pt idx="3752">
                  <c:v>110</c:v>
                </c:pt>
                <c:pt idx="3753">
                  <c:v>127</c:v>
                </c:pt>
                <c:pt idx="3754">
                  <c:v>90</c:v>
                </c:pt>
                <c:pt idx="3755">
                  <c:v>110</c:v>
                </c:pt>
                <c:pt idx="3756">
                  <c:v>104</c:v>
                </c:pt>
                <c:pt idx="3757">
                  <c:v>96</c:v>
                </c:pt>
                <c:pt idx="3758">
                  <c:v>110</c:v>
                </c:pt>
                <c:pt idx="3759">
                  <c:v>84</c:v>
                </c:pt>
                <c:pt idx="3760">
                  <c:v>94</c:v>
                </c:pt>
                <c:pt idx="3761">
                  <c:v>93</c:v>
                </c:pt>
                <c:pt idx="3762">
                  <c:v>96</c:v>
                </c:pt>
                <c:pt idx="3763">
                  <c:v>88</c:v>
                </c:pt>
                <c:pt idx="3764">
                  <c:v>101</c:v>
                </c:pt>
                <c:pt idx="3765">
                  <c:v>87</c:v>
                </c:pt>
                <c:pt idx="3766">
                  <c:v>83</c:v>
                </c:pt>
                <c:pt idx="3767">
                  <c:v>103</c:v>
                </c:pt>
                <c:pt idx="3768">
                  <c:v>99</c:v>
                </c:pt>
                <c:pt idx="3769">
                  <c:v>106</c:v>
                </c:pt>
                <c:pt idx="3770">
                  <c:v>115</c:v>
                </c:pt>
                <c:pt idx="3771">
                  <c:v>117</c:v>
                </c:pt>
                <c:pt idx="3772">
                  <c:v>99</c:v>
                </c:pt>
                <c:pt idx="3773">
                  <c:v>102</c:v>
                </c:pt>
                <c:pt idx="3774">
                  <c:v>85</c:v>
                </c:pt>
                <c:pt idx="3775">
                  <c:v>86</c:v>
                </c:pt>
                <c:pt idx="3776">
                  <c:v>120</c:v>
                </c:pt>
                <c:pt idx="3777">
                  <c:v>106</c:v>
                </c:pt>
                <c:pt idx="3778">
                  <c:v>103</c:v>
                </c:pt>
                <c:pt idx="3779">
                  <c:v>93</c:v>
                </c:pt>
                <c:pt idx="3780">
                  <c:v>112</c:v>
                </c:pt>
                <c:pt idx="3781">
                  <c:v>100</c:v>
                </c:pt>
                <c:pt idx="3782">
                  <c:v>113</c:v>
                </c:pt>
                <c:pt idx="3783">
                  <c:v>98</c:v>
                </c:pt>
                <c:pt idx="3784">
                  <c:v>92</c:v>
                </c:pt>
                <c:pt idx="3785">
                  <c:v>106</c:v>
                </c:pt>
                <c:pt idx="3786">
                  <c:v>119</c:v>
                </c:pt>
                <c:pt idx="3787">
                  <c:v>99</c:v>
                </c:pt>
                <c:pt idx="3788">
                  <c:v>90</c:v>
                </c:pt>
                <c:pt idx="3789">
                  <c:v>120</c:v>
                </c:pt>
                <c:pt idx="3790">
                  <c:v>168</c:v>
                </c:pt>
                <c:pt idx="3791">
                  <c:v>93</c:v>
                </c:pt>
                <c:pt idx="3792">
                  <c:v>96</c:v>
                </c:pt>
                <c:pt idx="3793">
                  <c:v>103</c:v>
                </c:pt>
                <c:pt idx="3794">
                  <c:v>93</c:v>
                </c:pt>
                <c:pt idx="3795">
                  <c:v>84</c:v>
                </c:pt>
                <c:pt idx="3796">
                  <c:v>81</c:v>
                </c:pt>
                <c:pt idx="3797">
                  <c:v>84</c:v>
                </c:pt>
                <c:pt idx="3798">
                  <c:v>94</c:v>
                </c:pt>
                <c:pt idx="3799">
                  <c:v>120</c:v>
                </c:pt>
                <c:pt idx="3800">
                  <c:v>121</c:v>
                </c:pt>
                <c:pt idx="3801">
                  <c:v>226</c:v>
                </c:pt>
                <c:pt idx="3802">
                  <c:v>104</c:v>
                </c:pt>
                <c:pt idx="3803">
                  <c:v>152</c:v>
                </c:pt>
                <c:pt idx="3804">
                  <c:v>92</c:v>
                </c:pt>
                <c:pt idx="3805">
                  <c:v>107</c:v>
                </c:pt>
                <c:pt idx="3806">
                  <c:v>97</c:v>
                </c:pt>
                <c:pt idx="3807">
                  <c:v>115</c:v>
                </c:pt>
                <c:pt idx="3808">
                  <c:v>95</c:v>
                </c:pt>
                <c:pt idx="3809">
                  <c:v>102</c:v>
                </c:pt>
                <c:pt idx="3810">
                  <c:v>99</c:v>
                </c:pt>
                <c:pt idx="3811">
                  <c:v>109</c:v>
                </c:pt>
                <c:pt idx="3812">
                  <c:v>113</c:v>
                </c:pt>
                <c:pt idx="3813">
                  <c:v>91</c:v>
                </c:pt>
                <c:pt idx="3814">
                  <c:v>88</c:v>
                </c:pt>
                <c:pt idx="3815">
                  <c:v>88</c:v>
                </c:pt>
                <c:pt idx="3816">
                  <c:v>97</c:v>
                </c:pt>
                <c:pt idx="3817">
                  <c:v>97</c:v>
                </c:pt>
                <c:pt idx="3818">
                  <c:v>85</c:v>
                </c:pt>
                <c:pt idx="3819">
                  <c:v>121</c:v>
                </c:pt>
                <c:pt idx="3820">
                  <c:v>134</c:v>
                </c:pt>
                <c:pt idx="3821">
                  <c:v>149</c:v>
                </c:pt>
                <c:pt idx="3822">
                  <c:v>121</c:v>
                </c:pt>
                <c:pt idx="3823">
                  <c:v>116</c:v>
                </c:pt>
                <c:pt idx="3824">
                  <c:v>92</c:v>
                </c:pt>
                <c:pt idx="3825">
                  <c:v>93</c:v>
                </c:pt>
                <c:pt idx="3826">
                  <c:v>96</c:v>
                </c:pt>
                <c:pt idx="3827">
                  <c:v>105</c:v>
                </c:pt>
                <c:pt idx="3828">
                  <c:v>129</c:v>
                </c:pt>
                <c:pt idx="3829">
                  <c:v>94</c:v>
                </c:pt>
                <c:pt idx="3830">
                  <c:v>37</c:v>
                </c:pt>
                <c:pt idx="3831">
                  <c:v>81</c:v>
                </c:pt>
                <c:pt idx="3832">
                  <c:v>97</c:v>
                </c:pt>
                <c:pt idx="3833">
                  <c:v>106</c:v>
                </c:pt>
                <c:pt idx="3834">
                  <c:v>103</c:v>
                </c:pt>
                <c:pt idx="3835">
                  <c:v>101</c:v>
                </c:pt>
                <c:pt idx="3836">
                  <c:v>98</c:v>
                </c:pt>
                <c:pt idx="3837">
                  <c:v>91</c:v>
                </c:pt>
                <c:pt idx="3838">
                  <c:v>105</c:v>
                </c:pt>
                <c:pt idx="3839">
                  <c:v>98</c:v>
                </c:pt>
                <c:pt idx="3840">
                  <c:v>104</c:v>
                </c:pt>
                <c:pt idx="3841">
                  <c:v>96</c:v>
                </c:pt>
                <c:pt idx="3842">
                  <c:v>148</c:v>
                </c:pt>
                <c:pt idx="3843">
                  <c:v>100</c:v>
                </c:pt>
                <c:pt idx="3844">
                  <c:v>86</c:v>
                </c:pt>
                <c:pt idx="3845">
                  <c:v>92</c:v>
                </c:pt>
                <c:pt idx="3846">
                  <c:v>88</c:v>
                </c:pt>
                <c:pt idx="3847">
                  <c:v>90</c:v>
                </c:pt>
                <c:pt idx="3848">
                  <c:v>94</c:v>
                </c:pt>
                <c:pt idx="3849">
                  <c:v>80</c:v>
                </c:pt>
                <c:pt idx="3850">
                  <c:v>107</c:v>
                </c:pt>
                <c:pt idx="3851">
                  <c:v>99</c:v>
                </c:pt>
                <c:pt idx="3852">
                  <c:v>92</c:v>
                </c:pt>
                <c:pt idx="3853">
                  <c:v>107</c:v>
                </c:pt>
                <c:pt idx="3854">
                  <c:v>135</c:v>
                </c:pt>
                <c:pt idx="3855">
                  <c:v>99</c:v>
                </c:pt>
                <c:pt idx="3856">
                  <c:v>102</c:v>
                </c:pt>
                <c:pt idx="3857">
                  <c:v>93</c:v>
                </c:pt>
                <c:pt idx="3858">
                  <c:v>115</c:v>
                </c:pt>
                <c:pt idx="3859">
                  <c:v>94</c:v>
                </c:pt>
                <c:pt idx="3860">
                  <c:v>91</c:v>
                </c:pt>
                <c:pt idx="3861">
                  <c:v>98</c:v>
                </c:pt>
                <c:pt idx="3862">
                  <c:v>97</c:v>
                </c:pt>
                <c:pt idx="3863">
                  <c:v>92</c:v>
                </c:pt>
                <c:pt idx="3864">
                  <c:v>128</c:v>
                </c:pt>
                <c:pt idx="3865">
                  <c:v>136</c:v>
                </c:pt>
                <c:pt idx="3866">
                  <c:v>113</c:v>
                </c:pt>
                <c:pt idx="3867">
                  <c:v>99</c:v>
                </c:pt>
                <c:pt idx="3868">
                  <c:v>101</c:v>
                </c:pt>
                <c:pt idx="3869">
                  <c:v>105</c:v>
                </c:pt>
                <c:pt idx="3870">
                  <c:v>95</c:v>
                </c:pt>
                <c:pt idx="3871">
                  <c:v>109</c:v>
                </c:pt>
                <c:pt idx="3872">
                  <c:v>110</c:v>
                </c:pt>
                <c:pt idx="3873">
                  <c:v>108</c:v>
                </c:pt>
                <c:pt idx="3874">
                  <c:v>118</c:v>
                </c:pt>
                <c:pt idx="3875">
                  <c:v>94</c:v>
                </c:pt>
                <c:pt idx="3876">
                  <c:v>115</c:v>
                </c:pt>
                <c:pt idx="3877">
                  <c:v>98</c:v>
                </c:pt>
                <c:pt idx="3878">
                  <c:v>91</c:v>
                </c:pt>
                <c:pt idx="3879">
                  <c:v>120</c:v>
                </c:pt>
                <c:pt idx="3880">
                  <c:v>109</c:v>
                </c:pt>
                <c:pt idx="3881">
                  <c:v>87</c:v>
                </c:pt>
                <c:pt idx="3882">
                  <c:v>117</c:v>
                </c:pt>
                <c:pt idx="3883">
                  <c:v>85</c:v>
                </c:pt>
                <c:pt idx="3884">
                  <c:v>110</c:v>
                </c:pt>
                <c:pt idx="3885">
                  <c:v>113</c:v>
                </c:pt>
                <c:pt idx="3886">
                  <c:v>108</c:v>
                </c:pt>
                <c:pt idx="3887">
                  <c:v>95</c:v>
                </c:pt>
                <c:pt idx="3888">
                  <c:v>98</c:v>
                </c:pt>
                <c:pt idx="3889">
                  <c:v>93</c:v>
                </c:pt>
                <c:pt idx="3890">
                  <c:v>86</c:v>
                </c:pt>
                <c:pt idx="3891">
                  <c:v>161</c:v>
                </c:pt>
                <c:pt idx="3892">
                  <c:v>100</c:v>
                </c:pt>
                <c:pt idx="3893">
                  <c:v>120</c:v>
                </c:pt>
                <c:pt idx="3894">
                  <c:v>125</c:v>
                </c:pt>
                <c:pt idx="3895">
                  <c:v>91</c:v>
                </c:pt>
                <c:pt idx="3896">
                  <c:v>128</c:v>
                </c:pt>
                <c:pt idx="3897">
                  <c:v>100</c:v>
                </c:pt>
                <c:pt idx="3898">
                  <c:v>84</c:v>
                </c:pt>
                <c:pt idx="3899">
                  <c:v>97</c:v>
                </c:pt>
                <c:pt idx="3900">
                  <c:v>84</c:v>
                </c:pt>
                <c:pt idx="3901">
                  <c:v>146</c:v>
                </c:pt>
                <c:pt idx="3902">
                  <c:v>186</c:v>
                </c:pt>
                <c:pt idx="3903">
                  <c:v>94</c:v>
                </c:pt>
                <c:pt idx="3904">
                  <c:v>126</c:v>
                </c:pt>
                <c:pt idx="3905">
                  <c:v>99</c:v>
                </c:pt>
                <c:pt idx="3906">
                  <c:v>109</c:v>
                </c:pt>
                <c:pt idx="3907">
                  <c:v>95</c:v>
                </c:pt>
                <c:pt idx="3908">
                  <c:v>97</c:v>
                </c:pt>
                <c:pt idx="3909">
                  <c:v>94</c:v>
                </c:pt>
                <c:pt idx="3910">
                  <c:v>90</c:v>
                </c:pt>
                <c:pt idx="3911">
                  <c:v>117</c:v>
                </c:pt>
                <c:pt idx="3912">
                  <c:v>96</c:v>
                </c:pt>
                <c:pt idx="3913">
                  <c:v>82</c:v>
                </c:pt>
                <c:pt idx="3914">
                  <c:v>109</c:v>
                </c:pt>
                <c:pt idx="3915">
                  <c:v>90</c:v>
                </c:pt>
                <c:pt idx="3916">
                  <c:v>89</c:v>
                </c:pt>
                <c:pt idx="3917">
                  <c:v>98</c:v>
                </c:pt>
                <c:pt idx="3918">
                  <c:v>95</c:v>
                </c:pt>
                <c:pt idx="3919">
                  <c:v>94</c:v>
                </c:pt>
                <c:pt idx="3920">
                  <c:v>104</c:v>
                </c:pt>
                <c:pt idx="3921">
                  <c:v>87</c:v>
                </c:pt>
                <c:pt idx="3922">
                  <c:v>108</c:v>
                </c:pt>
                <c:pt idx="3923">
                  <c:v>86</c:v>
                </c:pt>
                <c:pt idx="3924">
                  <c:v>94</c:v>
                </c:pt>
                <c:pt idx="3925">
                  <c:v>134</c:v>
                </c:pt>
                <c:pt idx="3926">
                  <c:v>89</c:v>
                </c:pt>
                <c:pt idx="3927">
                  <c:v>102</c:v>
                </c:pt>
                <c:pt idx="3928">
                  <c:v>120</c:v>
                </c:pt>
                <c:pt idx="3929">
                  <c:v>110</c:v>
                </c:pt>
                <c:pt idx="3930">
                  <c:v>86</c:v>
                </c:pt>
                <c:pt idx="3931">
                  <c:v>101</c:v>
                </c:pt>
                <c:pt idx="3932">
                  <c:v>102</c:v>
                </c:pt>
                <c:pt idx="3933">
                  <c:v>123</c:v>
                </c:pt>
                <c:pt idx="3934">
                  <c:v>99</c:v>
                </c:pt>
                <c:pt idx="3935">
                  <c:v>87</c:v>
                </c:pt>
                <c:pt idx="3936">
                  <c:v>120</c:v>
                </c:pt>
                <c:pt idx="3937">
                  <c:v>93</c:v>
                </c:pt>
                <c:pt idx="3938">
                  <c:v>98</c:v>
                </c:pt>
                <c:pt idx="3939">
                  <c:v>100</c:v>
                </c:pt>
                <c:pt idx="3940">
                  <c:v>88</c:v>
                </c:pt>
                <c:pt idx="3941">
                  <c:v>97</c:v>
                </c:pt>
                <c:pt idx="3942">
                  <c:v>122</c:v>
                </c:pt>
                <c:pt idx="3943">
                  <c:v>86</c:v>
                </c:pt>
                <c:pt idx="3944">
                  <c:v>83</c:v>
                </c:pt>
                <c:pt idx="3945">
                  <c:v>80</c:v>
                </c:pt>
                <c:pt idx="3946">
                  <c:v>90</c:v>
                </c:pt>
                <c:pt idx="3947">
                  <c:v>96</c:v>
                </c:pt>
                <c:pt idx="3948">
                  <c:v>85</c:v>
                </c:pt>
                <c:pt idx="3949">
                  <c:v>83</c:v>
                </c:pt>
                <c:pt idx="3950">
                  <c:v>80</c:v>
                </c:pt>
                <c:pt idx="3951">
                  <c:v>90</c:v>
                </c:pt>
                <c:pt idx="3952">
                  <c:v>92</c:v>
                </c:pt>
                <c:pt idx="3953">
                  <c:v>100</c:v>
                </c:pt>
                <c:pt idx="3954">
                  <c:v>88</c:v>
                </c:pt>
                <c:pt idx="3955">
                  <c:v>95</c:v>
                </c:pt>
                <c:pt idx="3956">
                  <c:v>82</c:v>
                </c:pt>
                <c:pt idx="3957">
                  <c:v>97</c:v>
                </c:pt>
                <c:pt idx="3958">
                  <c:v>94</c:v>
                </c:pt>
                <c:pt idx="3959">
                  <c:v>95</c:v>
                </c:pt>
                <c:pt idx="3960">
                  <c:v>113</c:v>
                </c:pt>
                <c:pt idx="3961">
                  <c:v>136</c:v>
                </c:pt>
                <c:pt idx="3962">
                  <c:v>80</c:v>
                </c:pt>
                <c:pt idx="3963">
                  <c:v>105</c:v>
                </c:pt>
                <c:pt idx="3964">
                  <c:v>90</c:v>
                </c:pt>
                <c:pt idx="3965">
                  <c:v>93</c:v>
                </c:pt>
                <c:pt idx="3966">
                  <c:v>89</c:v>
                </c:pt>
                <c:pt idx="3967">
                  <c:v>90</c:v>
                </c:pt>
                <c:pt idx="3968">
                  <c:v>89</c:v>
                </c:pt>
                <c:pt idx="3969">
                  <c:v>116</c:v>
                </c:pt>
                <c:pt idx="3970">
                  <c:v>120</c:v>
                </c:pt>
                <c:pt idx="3971">
                  <c:v>88</c:v>
                </c:pt>
                <c:pt idx="3972">
                  <c:v>102</c:v>
                </c:pt>
                <c:pt idx="3973">
                  <c:v>106</c:v>
                </c:pt>
                <c:pt idx="3974">
                  <c:v>95</c:v>
                </c:pt>
                <c:pt idx="3975">
                  <c:v>144</c:v>
                </c:pt>
                <c:pt idx="3976">
                  <c:v>113</c:v>
                </c:pt>
                <c:pt idx="3977">
                  <c:v>118</c:v>
                </c:pt>
                <c:pt idx="3978">
                  <c:v>141</c:v>
                </c:pt>
                <c:pt idx="3979">
                  <c:v>90</c:v>
                </c:pt>
                <c:pt idx="3980">
                  <c:v>109</c:v>
                </c:pt>
                <c:pt idx="3981">
                  <c:v>95</c:v>
                </c:pt>
                <c:pt idx="3982">
                  <c:v>122</c:v>
                </c:pt>
                <c:pt idx="3983">
                  <c:v>93</c:v>
                </c:pt>
                <c:pt idx="3984">
                  <c:v>97</c:v>
                </c:pt>
                <c:pt idx="3985">
                  <c:v>82</c:v>
                </c:pt>
                <c:pt idx="3986">
                  <c:v>140</c:v>
                </c:pt>
                <c:pt idx="3987">
                  <c:v>86</c:v>
                </c:pt>
                <c:pt idx="3988">
                  <c:v>105</c:v>
                </c:pt>
                <c:pt idx="3989">
                  <c:v>66</c:v>
                </c:pt>
                <c:pt idx="3990">
                  <c:v>99</c:v>
                </c:pt>
                <c:pt idx="3991">
                  <c:v>100</c:v>
                </c:pt>
                <c:pt idx="3992">
                  <c:v>103</c:v>
                </c:pt>
                <c:pt idx="3993">
                  <c:v>97</c:v>
                </c:pt>
                <c:pt idx="3994">
                  <c:v>86</c:v>
                </c:pt>
                <c:pt idx="3995">
                  <c:v>87</c:v>
                </c:pt>
                <c:pt idx="3996">
                  <c:v>149</c:v>
                </c:pt>
                <c:pt idx="3997">
                  <c:v>98</c:v>
                </c:pt>
                <c:pt idx="3998">
                  <c:v>98</c:v>
                </c:pt>
                <c:pt idx="3999">
                  <c:v>112</c:v>
                </c:pt>
                <c:pt idx="4000">
                  <c:v>75</c:v>
                </c:pt>
                <c:pt idx="4001">
                  <c:v>104</c:v>
                </c:pt>
                <c:pt idx="4002">
                  <c:v>102</c:v>
                </c:pt>
                <c:pt idx="4003">
                  <c:v>105</c:v>
                </c:pt>
                <c:pt idx="4004">
                  <c:v>99</c:v>
                </c:pt>
                <c:pt idx="4005">
                  <c:v>107</c:v>
                </c:pt>
                <c:pt idx="4006">
                  <c:v>96</c:v>
                </c:pt>
                <c:pt idx="4007">
                  <c:v>101</c:v>
                </c:pt>
                <c:pt idx="4008">
                  <c:v>89</c:v>
                </c:pt>
                <c:pt idx="4009">
                  <c:v>106</c:v>
                </c:pt>
                <c:pt idx="4010">
                  <c:v>95</c:v>
                </c:pt>
                <c:pt idx="4011">
                  <c:v>34</c:v>
                </c:pt>
                <c:pt idx="4012">
                  <c:v>101</c:v>
                </c:pt>
                <c:pt idx="4013">
                  <c:v>112</c:v>
                </c:pt>
                <c:pt idx="4014">
                  <c:v>100</c:v>
                </c:pt>
                <c:pt idx="4015">
                  <c:v>100</c:v>
                </c:pt>
                <c:pt idx="4016">
                  <c:v>80</c:v>
                </c:pt>
                <c:pt idx="4017">
                  <c:v>106</c:v>
                </c:pt>
                <c:pt idx="4018">
                  <c:v>103</c:v>
                </c:pt>
                <c:pt idx="4019">
                  <c:v>90</c:v>
                </c:pt>
                <c:pt idx="4020">
                  <c:v>96</c:v>
                </c:pt>
                <c:pt idx="4021">
                  <c:v>89</c:v>
                </c:pt>
                <c:pt idx="4022">
                  <c:v>87</c:v>
                </c:pt>
                <c:pt idx="4023">
                  <c:v>94</c:v>
                </c:pt>
                <c:pt idx="4024">
                  <c:v>120</c:v>
                </c:pt>
                <c:pt idx="4025">
                  <c:v>101</c:v>
                </c:pt>
                <c:pt idx="4026">
                  <c:v>84</c:v>
                </c:pt>
                <c:pt idx="4027">
                  <c:v>110</c:v>
                </c:pt>
                <c:pt idx="4028">
                  <c:v>101</c:v>
                </c:pt>
                <c:pt idx="4029">
                  <c:v>101</c:v>
                </c:pt>
                <c:pt idx="4030">
                  <c:v>101</c:v>
                </c:pt>
                <c:pt idx="4031">
                  <c:v>105</c:v>
                </c:pt>
                <c:pt idx="4032">
                  <c:v>97</c:v>
                </c:pt>
                <c:pt idx="4033">
                  <c:v>108</c:v>
                </c:pt>
                <c:pt idx="4034">
                  <c:v>95</c:v>
                </c:pt>
                <c:pt idx="4035">
                  <c:v>108</c:v>
                </c:pt>
                <c:pt idx="4036">
                  <c:v>90</c:v>
                </c:pt>
                <c:pt idx="4037">
                  <c:v>120</c:v>
                </c:pt>
                <c:pt idx="4038">
                  <c:v>90</c:v>
                </c:pt>
                <c:pt idx="4039">
                  <c:v>91</c:v>
                </c:pt>
                <c:pt idx="4040">
                  <c:v>92</c:v>
                </c:pt>
                <c:pt idx="4041">
                  <c:v>117</c:v>
                </c:pt>
                <c:pt idx="4042">
                  <c:v>120</c:v>
                </c:pt>
                <c:pt idx="4043">
                  <c:v>90</c:v>
                </c:pt>
                <c:pt idx="4044">
                  <c:v>119</c:v>
                </c:pt>
                <c:pt idx="4045">
                  <c:v>90</c:v>
                </c:pt>
                <c:pt idx="4046">
                  <c:v>90</c:v>
                </c:pt>
                <c:pt idx="4047">
                  <c:v>97</c:v>
                </c:pt>
                <c:pt idx="4048">
                  <c:v>90</c:v>
                </c:pt>
                <c:pt idx="4049">
                  <c:v>172</c:v>
                </c:pt>
                <c:pt idx="4050">
                  <c:v>115</c:v>
                </c:pt>
                <c:pt idx="4051">
                  <c:v>89</c:v>
                </c:pt>
                <c:pt idx="4052">
                  <c:v>125</c:v>
                </c:pt>
                <c:pt idx="4053">
                  <c:v>78</c:v>
                </c:pt>
                <c:pt idx="4054">
                  <c:v>89</c:v>
                </c:pt>
                <c:pt idx="4055">
                  <c:v>100</c:v>
                </c:pt>
                <c:pt idx="4056">
                  <c:v>77</c:v>
                </c:pt>
                <c:pt idx="4057">
                  <c:v>81</c:v>
                </c:pt>
                <c:pt idx="4058">
                  <c:v>115</c:v>
                </c:pt>
                <c:pt idx="4059">
                  <c:v>96</c:v>
                </c:pt>
                <c:pt idx="4060">
                  <c:v>89</c:v>
                </c:pt>
                <c:pt idx="4061">
                  <c:v>100</c:v>
                </c:pt>
                <c:pt idx="4062">
                  <c:v>88</c:v>
                </c:pt>
                <c:pt idx="4063">
                  <c:v>129</c:v>
                </c:pt>
                <c:pt idx="4064">
                  <c:v>87</c:v>
                </c:pt>
                <c:pt idx="4065">
                  <c:v>102</c:v>
                </c:pt>
                <c:pt idx="4066">
                  <c:v>118</c:v>
                </c:pt>
                <c:pt idx="4067">
                  <c:v>86</c:v>
                </c:pt>
                <c:pt idx="4068">
                  <c:v>137</c:v>
                </c:pt>
                <c:pt idx="4069">
                  <c:v>129</c:v>
                </c:pt>
                <c:pt idx="4070">
                  <c:v>134</c:v>
                </c:pt>
                <c:pt idx="4071">
                  <c:v>119</c:v>
                </c:pt>
                <c:pt idx="4072">
                  <c:v>80</c:v>
                </c:pt>
                <c:pt idx="4073">
                  <c:v>89</c:v>
                </c:pt>
                <c:pt idx="4074">
                  <c:v>101</c:v>
                </c:pt>
                <c:pt idx="4075">
                  <c:v>80</c:v>
                </c:pt>
                <c:pt idx="4076">
                  <c:v>115</c:v>
                </c:pt>
                <c:pt idx="4077">
                  <c:v>100</c:v>
                </c:pt>
                <c:pt idx="4078">
                  <c:v>118</c:v>
                </c:pt>
                <c:pt idx="4079">
                  <c:v>100</c:v>
                </c:pt>
                <c:pt idx="4080">
                  <c:v>106</c:v>
                </c:pt>
                <c:pt idx="4081">
                  <c:v>106</c:v>
                </c:pt>
                <c:pt idx="4082">
                  <c:v>91</c:v>
                </c:pt>
                <c:pt idx="4083">
                  <c:v>105</c:v>
                </c:pt>
                <c:pt idx="4084">
                  <c:v>96</c:v>
                </c:pt>
                <c:pt idx="4085">
                  <c:v>116</c:v>
                </c:pt>
                <c:pt idx="4086">
                  <c:v>116</c:v>
                </c:pt>
                <c:pt idx="4087">
                  <c:v>97</c:v>
                </c:pt>
                <c:pt idx="4088">
                  <c:v>101</c:v>
                </c:pt>
                <c:pt idx="4089">
                  <c:v>98</c:v>
                </c:pt>
                <c:pt idx="4090">
                  <c:v>101</c:v>
                </c:pt>
                <c:pt idx="4091">
                  <c:v>90</c:v>
                </c:pt>
                <c:pt idx="4092">
                  <c:v>120</c:v>
                </c:pt>
                <c:pt idx="4093">
                  <c:v>102</c:v>
                </c:pt>
                <c:pt idx="4094">
                  <c:v>102</c:v>
                </c:pt>
                <c:pt idx="4095">
                  <c:v>100</c:v>
                </c:pt>
                <c:pt idx="4096">
                  <c:v>104</c:v>
                </c:pt>
                <c:pt idx="4097">
                  <c:v>89</c:v>
                </c:pt>
                <c:pt idx="4098">
                  <c:v>99</c:v>
                </c:pt>
                <c:pt idx="4099">
                  <c:v>96</c:v>
                </c:pt>
                <c:pt idx="4100">
                  <c:v>86</c:v>
                </c:pt>
                <c:pt idx="4101">
                  <c:v>98</c:v>
                </c:pt>
                <c:pt idx="4102">
                  <c:v>96</c:v>
                </c:pt>
                <c:pt idx="4103">
                  <c:v>94</c:v>
                </c:pt>
                <c:pt idx="4104">
                  <c:v>91</c:v>
                </c:pt>
                <c:pt idx="4105">
                  <c:v>90</c:v>
                </c:pt>
                <c:pt idx="4106">
                  <c:v>85</c:v>
                </c:pt>
                <c:pt idx="4107">
                  <c:v>96</c:v>
                </c:pt>
                <c:pt idx="4108">
                  <c:v>129</c:v>
                </c:pt>
                <c:pt idx="4109">
                  <c:v>93</c:v>
                </c:pt>
                <c:pt idx="4110">
                  <c:v>100</c:v>
                </c:pt>
                <c:pt idx="4111">
                  <c:v>97</c:v>
                </c:pt>
                <c:pt idx="4112">
                  <c:v>94</c:v>
                </c:pt>
                <c:pt idx="4113">
                  <c:v>95</c:v>
                </c:pt>
                <c:pt idx="4114">
                  <c:v>97</c:v>
                </c:pt>
                <c:pt idx="4115">
                  <c:v>92</c:v>
                </c:pt>
                <c:pt idx="4116">
                  <c:v>96</c:v>
                </c:pt>
                <c:pt idx="4117">
                  <c:v>87</c:v>
                </c:pt>
                <c:pt idx="4118">
                  <c:v>91</c:v>
                </c:pt>
                <c:pt idx="4119">
                  <c:v>99</c:v>
                </c:pt>
                <c:pt idx="4120">
                  <c:v>88</c:v>
                </c:pt>
                <c:pt idx="4121">
                  <c:v>119</c:v>
                </c:pt>
                <c:pt idx="4122">
                  <c:v>99</c:v>
                </c:pt>
                <c:pt idx="4123">
                  <c:v>92</c:v>
                </c:pt>
                <c:pt idx="4124">
                  <c:v>86</c:v>
                </c:pt>
                <c:pt idx="4125">
                  <c:v>83</c:v>
                </c:pt>
                <c:pt idx="4126">
                  <c:v>81</c:v>
                </c:pt>
                <c:pt idx="4127">
                  <c:v>82</c:v>
                </c:pt>
                <c:pt idx="4128">
                  <c:v>102</c:v>
                </c:pt>
                <c:pt idx="4129">
                  <c:v>90</c:v>
                </c:pt>
                <c:pt idx="4130">
                  <c:v>92</c:v>
                </c:pt>
                <c:pt idx="4131">
                  <c:v>88</c:v>
                </c:pt>
                <c:pt idx="4132">
                  <c:v>97</c:v>
                </c:pt>
                <c:pt idx="4133">
                  <c:v>96</c:v>
                </c:pt>
                <c:pt idx="4134">
                  <c:v>87</c:v>
                </c:pt>
                <c:pt idx="4135">
                  <c:v>106</c:v>
                </c:pt>
                <c:pt idx="4136">
                  <c:v>107</c:v>
                </c:pt>
                <c:pt idx="4137">
                  <c:v>80</c:v>
                </c:pt>
                <c:pt idx="4138">
                  <c:v>91</c:v>
                </c:pt>
                <c:pt idx="4139">
                  <c:v>99</c:v>
                </c:pt>
                <c:pt idx="4140">
                  <c:v>102</c:v>
                </c:pt>
                <c:pt idx="4141">
                  <c:v>108</c:v>
                </c:pt>
                <c:pt idx="4142">
                  <c:v>88</c:v>
                </c:pt>
                <c:pt idx="4143">
                  <c:v>89</c:v>
                </c:pt>
                <c:pt idx="4144">
                  <c:v>92</c:v>
                </c:pt>
                <c:pt idx="4145">
                  <c:v>99</c:v>
                </c:pt>
                <c:pt idx="4146">
                  <c:v>103</c:v>
                </c:pt>
                <c:pt idx="4147">
                  <c:v>90</c:v>
                </c:pt>
                <c:pt idx="4148">
                  <c:v>95</c:v>
                </c:pt>
                <c:pt idx="4149">
                  <c:v>97</c:v>
                </c:pt>
                <c:pt idx="4150">
                  <c:v>108</c:v>
                </c:pt>
                <c:pt idx="4151">
                  <c:v>95</c:v>
                </c:pt>
                <c:pt idx="4152">
                  <c:v>160</c:v>
                </c:pt>
                <c:pt idx="4153">
                  <c:v>90</c:v>
                </c:pt>
                <c:pt idx="4154">
                  <c:v>86</c:v>
                </c:pt>
                <c:pt idx="4155">
                  <c:v>89</c:v>
                </c:pt>
                <c:pt idx="4156">
                  <c:v>87</c:v>
                </c:pt>
                <c:pt idx="4157">
                  <c:v>98</c:v>
                </c:pt>
                <c:pt idx="4158">
                  <c:v>125</c:v>
                </c:pt>
                <c:pt idx="4159">
                  <c:v>95</c:v>
                </c:pt>
                <c:pt idx="4160">
                  <c:v>118</c:v>
                </c:pt>
                <c:pt idx="4161">
                  <c:v>93</c:v>
                </c:pt>
                <c:pt idx="4162">
                  <c:v>96</c:v>
                </c:pt>
                <c:pt idx="4163">
                  <c:v>109</c:v>
                </c:pt>
                <c:pt idx="4164">
                  <c:v>109</c:v>
                </c:pt>
                <c:pt idx="4165">
                  <c:v>155</c:v>
                </c:pt>
                <c:pt idx="4166">
                  <c:v>90</c:v>
                </c:pt>
                <c:pt idx="4167">
                  <c:v>93</c:v>
                </c:pt>
                <c:pt idx="4168">
                  <c:v>108</c:v>
                </c:pt>
                <c:pt idx="4169">
                  <c:v>114</c:v>
                </c:pt>
                <c:pt idx="4170">
                  <c:v>87</c:v>
                </c:pt>
                <c:pt idx="4171">
                  <c:v>113</c:v>
                </c:pt>
                <c:pt idx="4172">
                  <c:v>87</c:v>
                </c:pt>
                <c:pt idx="4173">
                  <c:v>90</c:v>
                </c:pt>
                <c:pt idx="4174">
                  <c:v>111</c:v>
                </c:pt>
                <c:pt idx="4175">
                  <c:v>81</c:v>
                </c:pt>
                <c:pt idx="4176">
                  <c:v>93</c:v>
                </c:pt>
                <c:pt idx="4177">
                  <c:v>90</c:v>
                </c:pt>
                <c:pt idx="4178">
                  <c:v>112</c:v>
                </c:pt>
                <c:pt idx="4179">
                  <c:v>106</c:v>
                </c:pt>
                <c:pt idx="4180">
                  <c:v>88</c:v>
                </c:pt>
                <c:pt idx="4181">
                  <c:v>138</c:v>
                </c:pt>
                <c:pt idx="4182">
                  <c:v>105</c:v>
                </c:pt>
                <c:pt idx="4183">
                  <c:v>98</c:v>
                </c:pt>
                <c:pt idx="4184">
                  <c:v>86</c:v>
                </c:pt>
                <c:pt idx="4185">
                  <c:v>104</c:v>
                </c:pt>
                <c:pt idx="4186">
                  <c:v>100</c:v>
                </c:pt>
                <c:pt idx="4187">
                  <c:v>126</c:v>
                </c:pt>
                <c:pt idx="4188">
                  <c:v>118</c:v>
                </c:pt>
                <c:pt idx="4189">
                  <c:v>103</c:v>
                </c:pt>
                <c:pt idx="4190">
                  <c:v>102</c:v>
                </c:pt>
                <c:pt idx="4191">
                  <c:v>84</c:v>
                </c:pt>
                <c:pt idx="4192">
                  <c:v>95</c:v>
                </c:pt>
                <c:pt idx="4193">
                  <c:v>92</c:v>
                </c:pt>
                <c:pt idx="4194">
                  <c:v>90</c:v>
                </c:pt>
                <c:pt idx="4195">
                  <c:v>113</c:v>
                </c:pt>
                <c:pt idx="4196">
                  <c:v>123</c:v>
                </c:pt>
                <c:pt idx="4197">
                  <c:v>111</c:v>
                </c:pt>
                <c:pt idx="4198">
                  <c:v>99</c:v>
                </c:pt>
                <c:pt idx="4199">
                  <c:v>108</c:v>
                </c:pt>
                <c:pt idx="4200">
                  <c:v>92</c:v>
                </c:pt>
                <c:pt idx="4201">
                  <c:v>120</c:v>
                </c:pt>
                <c:pt idx="4202">
                  <c:v>91</c:v>
                </c:pt>
                <c:pt idx="4203">
                  <c:v>88</c:v>
                </c:pt>
                <c:pt idx="4204">
                  <c:v>97</c:v>
                </c:pt>
                <c:pt idx="4205">
                  <c:v>95</c:v>
                </c:pt>
                <c:pt idx="4206">
                  <c:v>103</c:v>
                </c:pt>
                <c:pt idx="4207">
                  <c:v>110</c:v>
                </c:pt>
                <c:pt idx="4208">
                  <c:v>103</c:v>
                </c:pt>
                <c:pt idx="4209">
                  <c:v>92</c:v>
                </c:pt>
                <c:pt idx="4210">
                  <c:v>114</c:v>
                </c:pt>
                <c:pt idx="4211">
                  <c:v>101</c:v>
                </c:pt>
                <c:pt idx="4212">
                  <c:v>112</c:v>
                </c:pt>
                <c:pt idx="4213">
                  <c:v>104</c:v>
                </c:pt>
                <c:pt idx="4214">
                  <c:v>99</c:v>
                </c:pt>
                <c:pt idx="4215">
                  <c:v>98</c:v>
                </c:pt>
                <c:pt idx="4216">
                  <c:v>107</c:v>
                </c:pt>
                <c:pt idx="4217">
                  <c:v>93</c:v>
                </c:pt>
                <c:pt idx="4218">
                  <c:v>100</c:v>
                </c:pt>
                <c:pt idx="4219">
                  <c:v>80</c:v>
                </c:pt>
                <c:pt idx="4220">
                  <c:v>94</c:v>
                </c:pt>
                <c:pt idx="4221">
                  <c:v>93</c:v>
                </c:pt>
                <c:pt idx="4222">
                  <c:v>87</c:v>
                </c:pt>
                <c:pt idx="4223">
                  <c:v>91</c:v>
                </c:pt>
                <c:pt idx="4224">
                  <c:v>84</c:v>
                </c:pt>
                <c:pt idx="4225">
                  <c:v>90</c:v>
                </c:pt>
                <c:pt idx="4226">
                  <c:v>98</c:v>
                </c:pt>
                <c:pt idx="4227">
                  <c:v>108</c:v>
                </c:pt>
                <c:pt idx="4228">
                  <c:v>124</c:v>
                </c:pt>
                <c:pt idx="4229">
                  <c:v>95</c:v>
                </c:pt>
                <c:pt idx="4230">
                  <c:v>90</c:v>
                </c:pt>
                <c:pt idx="4231">
                  <c:v>93</c:v>
                </c:pt>
                <c:pt idx="4232">
                  <c:v>101</c:v>
                </c:pt>
                <c:pt idx="4233">
                  <c:v>107</c:v>
                </c:pt>
                <c:pt idx="4234">
                  <c:v>20</c:v>
                </c:pt>
                <c:pt idx="4235">
                  <c:v>87</c:v>
                </c:pt>
                <c:pt idx="4236">
                  <c:v>98</c:v>
                </c:pt>
                <c:pt idx="4237">
                  <c:v>112</c:v>
                </c:pt>
                <c:pt idx="4238">
                  <c:v>82</c:v>
                </c:pt>
                <c:pt idx="4239">
                  <c:v>102</c:v>
                </c:pt>
                <c:pt idx="4240">
                  <c:v>97</c:v>
                </c:pt>
                <c:pt idx="4241">
                  <c:v>101</c:v>
                </c:pt>
                <c:pt idx="4242">
                  <c:v>93</c:v>
                </c:pt>
                <c:pt idx="4243">
                  <c:v>83</c:v>
                </c:pt>
                <c:pt idx="4244">
                  <c:v>106</c:v>
                </c:pt>
                <c:pt idx="4245">
                  <c:v>113</c:v>
                </c:pt>
                <c:pt idx="4246">
                  <c:v>94</c:v>
                </c:pt>
                <c:pt idx="4247">
                  <c:v>101</c:v>
                </c:pt>
                <c:pt idx="4248">
                  <c:v>99</c:v>
                </c:pt>
                <c:pt idx="4249">
                  <c:v>76</c:v>
                </c:pt>
                <c:pt idx="4250">
                  <c:v>91</c:v>
                </c:pt>
                <c:pt idx="4251">
                  <c:v>105</c:v>
                </c:pt>
                <c:pt idx="4252">
                  <c:v>120</c:v>
                </c:pt>
                <c:pt idx="4253">
                  <c:v>105</c:v>
                </c:pt>
                <c:pt idx="4254">
                  <c:v>105</c:v>
                </c:pt>
                <c:pt idx="4255">
                  <c:v>95</c:v>
                </c:pt>
                <c:pt idx="4256">
                  <c:v>135</c:v>
                </c:pt>
                <c:pt idx="4257">
                  <c:v>105</c:v>
                </c:pt>
                <c:pt idx="4258">
                  <c:v>83</c:v>
                </c:pt>
                <c:pt idx="4259">
                  <c:v>135</c:v>
                </c:pt>
                <c:pt idx="4260">
                  <c:v>88</c:v>
                </c:pt>
                <c:pt idx="4261">
                  <c:v>87</c:v>
                </c:pt>
                <c:pt idx="4262">
                  <c:v>97</c:v>
                </c:pt>
                <c:pt idx="4263">
                  <c:v>82</c:v>
                </c:pt>
                <c:pt idx="4264">
                  <c:v>103</c:v>
                </c:pt>
                <c:pt idx="4265">
                  <c:v>130</c:v>
                </c:pt>
                <c:pt idx="4266">
                  <c:v>87</c:v>
                </c:pt>
                <c:pt idx="4267">
                  <c:v>101</c:v>
                </c:pt>
                <c:pt idx="4268">
                  <c:v>96</c:v>
                </c:pt>
                <c:pt idx="4269">
                  <c:v>80</c:v>
                </c:pt>
                <c:pt idx="4270">
                  <c:v>87</c:v>
                </c:pt>
                <c:pt idx="4271">
                  <c:v>92</c:v>
                </c:pt>
                <c:pt idx="4272">
                  <c:v>118</c:v>
                </c:pt>
                <c:pt idx="4273">
                  <c:v>123</c:v>
                </c:pt>
                <c:pt idx="4274">
                  <c:v>100</c:v>
                </c:pt>
                <c:pt idx="4275">
                  <c:v>103</c:v>
                </c:pt>
                <c:pt idx="4276">
                  <c:v>100</c:v>
                </c:pt>
                <c:pt idx="4277">
                  <c:v>99</c:v>
                </c:pt>
                <c:pt idx="4278">
                  <c:v>89</c:v>
                </c:pt>
                <c:pt idx="4279">
                  <c:v>114</c:v>
                </c:pt>
                <c:pt idx="4280">
                  <c:v>111</c:v>
                </c:pt>
                <c:pt idx="4281">
                  <c:v>99</c:v>
                </c:pt>
                <c:pt idx="4282">
                  <c:v>85</c:v>
                </c:pt>
                <c:pt idx="4283">
                  <c:v>113</c:v>
                </c:pt>
                <c:pt idx="4284">
                  <c:v>99</c:v>
                </c:pt>
                <c:pt idx="4285">
                  <c:v>83</c:v>
                </c:pt>
                <c:pt idx="4286">
                  <c:v>142</c:v>
                </c:pt>
                <c:pt idx="4287">
                  <c:v>112</c:v>
                </c:pt>
                <c:pt idx="4288">
                  <c:v>108</c:v>
                </c:pt>
                <c:pt idx="4289">
                  <c:v>88</c:v>
                </c:pt>
                <c:pt idx="4290">
                  <c:v>97</c:v>
                </c:pt>
                <c:pt idx="4291">
                  <c:v>85</c:v>
                </c:pt>
                <c:pt idx="4292">
                  <c:v>103</c:v>
                </c:pt>
                <c:pt idx="4293">
                  <c:v>110</c:v>
                </c:pt>
                <c:pt idx="4294">
                  <c:v>88</c:v>
                </c:pt>
                <c:pt idx="4295">
                  <c:v>76</c:v>
                </c:pt>
                <c:pt idx="4296">
                  <c:v>100</c:v>
                </c:pt>
                <c:pt idx="4297">
                  <c:v>99</c:v>
                </c:pt>
                <c:pt idx="4298">
                  <c:v>84</c:v>
                </c:pt>
                <c:pt idx="4299">
                  <c:v>91</c:v>
                </c:pt>
                <c:pt idx="4300">
                  <c:v>97</c:v>
                </c:pt>
                <c:pt idx="4301">
                  <c:v>84</c:v>
                </c:pt>
                <c:pt idx="4302">
                  <c:v>100</c:v>
                </c:pt>
                <c:pt idx="4303">
                  <c:v>94</c:v>
                </c:pt>
                <c:pt idx="4304">
                  <c:v>90</c:v>
                </c:pt>
                <c:pt idx="4305">
                  <c:v>92</c:v>
                </c:pt>
                <c:pt idx="4306">
                  <c:v>105</c:v>
                </c:pt>
                <c:pt idx="4307">
                  <c:v>73</c:v>
                </c:pt>
                <c:pt idx="4308">
                  <c:v>116</c:v>
                </c:pt>
                <c:pt idx="4309">
                  <c:v>110</c:v>
                </c:pt>
                <c:pt idx="4310">
                  <c:v>102</c:v>
                </c:pt>
                <c:pt idx="4311">
                  <c:v>89</c:v>
                </c:pt>
                <c:pt idx="4312">
                  <c:v>76</c:v>
                </c:pt>
                <c:pt idx="4313">
                  <c:v>82</c:v>
                </c:pt>
                <c:pt idx="4314">
                  <c:v>89</c:v>
                </c:pt>
                <c:pt idx="4315">
                  <c:v>150</c:v>
                </c:pt>
                <c:pt idx="4316">
                  <c:v>89</c:v>
                </c:pt>
                <c:pt idx="4317">
                  <c:v>145</c:v>
                </c:pt>
                <c:pt idx="4318">
                  <c:v>91</c:v>
                </c:pt>
                <c:pt idx="4319">
                  <c:v>121</c:v>
                </c:pt>
                <c:pt idx="4320">
                  <c:v>83</c:v>
                </c:pt>
                <c:pt idx="4321">
                  <c:v>110</c:v>
                </c:pt>
                <c:pt idx="4322">
                  <c:v>91</c:v>
                </c:pt>
                <c:pt idx="4323">
                  <c:v>110</c:v>
                </c:pt>
                <c:pt idx="4324">
                  <c:v>86</c:v>
                </c:pt>
                <c:pt idx="4325">
                  <c:v>86</c:v>
                </c:pt>
                <c:pt idx="4326">
                  <c:v>120</c:v>
                </c:pt>
                <c:pt idx="4327">
                  <c:v>90</c:v>
                </c:pt>
                <c:pt idx="4328">
                  <c:v>99</c:v>
                </c:pt>
                <c:pt idx="4329">
                  <c:v>112</c:v>
                </c:pt>
                <c:pt idx="4330">
                  <c:v>103</c:v>
                </c:pt>
                <c:pt idx="4331">
                  <c:v>83</c:v>
                </c:pt>
                <c:pt idx="4332">
                  <c:v>109</c:v>
                </c:pt>
                <c:pt idx="4333">
                  <c:v>89</c:v>
                </c:pt>
                <c:pt idx="4334">
                  <c:v>96</c:v>
                </c:pt>
                <c:pt idx="4335">
                  <c:v>109</c:v>
                </c:pt>
                <c:pt idx="4336">
                  <c:v>122</c:v>
                </c:pt>
                <c:pt idx="4337">
                  <c:v>100</c:v>
                </c:pt>
                <c:pt idx="4338">
                  <c:v>109</c:v>
                </c:pt>
                <c:pt idx="4339">
                  <c:v>95</c:v>
                </c:pt>
                <c:pt idx="4340">
                  <c:v>94</c:v>
                </c:pt>
                <c:pt idx="4341">
                  <c:v>107</c:v>
                </c:pt>
                <c:pt idx="4342">
                  <c:v>104</c:v>
                </c:pt>
                <c:pt idx="4343">
                  <c:v>93</c:v>
                </c:pt>
                <c:pt idx="4344">
                  <c:v>102</c:v>
                </c:pt>
                <c:pt idx="4345">
                  <c:v>84</c:v>
                </c:pt>
                <c:pt idx="4346">
                  <c:v>97</c:v>
                </c:pt>
                <c:pt idx="4347">
                  <c:v>91</c:v>
                </c:pt>
                <c:pt idx="4348">
                  <c:v>84</c:v>
                </c:pt>
                <c:pt idx="4349">
                  <c:v>86</c:v>
                </c:pt>
                <c:pt idx="4350">
                  <c:v>92</c:v>
                </c:pt>
                <c:pt idx="4351">
                  <c:v>94</c:v>
                </c:pt>
                <c:pt idx="4352">
                  <c:v>92</c:v>
                </c:pt>
                <c:pt idx="4353">
                  <c:v>100</c:v>
                </c:pt>
                <c:pt idx="4354">
                  <c:v>119</c:v>
                </c:pt>
                <c:pt idx="4355">
                  <c:v>167</c:v>
                </c:pt>
                <c:pt idx="4356">
                  <c:v>92</c:v>
                </c:pt>
                <c:pt idx="4357">
                  <c:v>108</c:v>
                </c:pt>
                <c:pt idx="4358">
                  <c:v>97</c:v>
                </c:pt>
                <c:pt idx="4359">
                  <c:v>88</c:v>
                </c:pt>
                <c:pt idx="4360">
                  <c:v>100</c:v>
                </c:pt>
                <c:pt idx="4361">
                  <c:v>100</c:v>
                </c:pt>
                <c:pt idx="4362">
                  <c:v>124</c:v>
                </c:pt>
                <c:pt idx="4363">
                  <c:v>88</c:v>
                </c:pt>
                <c:pt idx="4364">
                  <c:v>106</c:v>
                </c:pt>
                <c:pt idx="4365">
                  <c:v>79</c:v>
                </c:pt>
                <c:pt idx="4366">
                  <c:v>96</c:v>
                </c:pt>
                <c:pt idx="4367">
                  <c:v>53</c:v>
                </c:pt>
                <c:pt idx="4368">
                  <c:v>97</c:v>
                </c:pt>
                <c:pt idx="4369">
                  <c:v>120</c:v>
                </c:pt>
                <c:pt idx="4370">
                  <c:v>90</c:v>
                </c:pt>
                <c:pt idx="4371">
                  <c:v>91</c:v>
                </c:pt>
                <c:pt idx="4372">
                  <c:v>93</c:v>
                </c:pt>
                <c:pt idx="4373">
                  <c:v>112</c:v>
                </c:pt>
                <c:pt idx="4374">
                  <c:v>160</c:v>
                </c:pt>
                <c:pt idx="4375">
                  <c:v>95</c:v>
                </c:pt>
                <c:pt idx="4376">
                  <c:v>93</c:v>
                </c:pt>
                <c:pt idx="4377">
                  <c:v>88</c:v>
                </c:pt>
                <c:pt idx="4378">
                  <c:v>105</c:v>
                </c:pt>
                <c:pt idx="4379">
                  <c:v>98</c:v>
                </c:pt>
                <c:pt idx="4380">
                  <c:v>82</c:v>
                </c:pt>
                <c:pt idx="4381">
                  <c:v>89</c:v>
                </c:pt>
                <c:pt idx="4382">
                  <c:v>78</c:v>
                </c:pt>
                <c:pt idx="4383">
                  <c:v>97</c:v>
                </c:pt>
                <c:pt idx="4384">
                  <c:v>81</c:v>
                </c:pt>
                <c:pt idx="4385">
                  <c:v>90</c:v>
                </c:pt>
                <c:pt idx="4386">
                  <c:v>97</c:v>
                </c:pt>
                <c:pt idx="4387">
                  <c:v>88</c:v>
                </c:pt>
                <c:pt idx="4388">
                  <c:v>96</c:v>
                </c:pt>
                <c:pt idx="4389">
                  <c:v>105</c:v>
                </c:pt>
                <c:pt idx="4390">
                  <c:v>76</c:v>
                </c:pt>
                <c:pt idx="4391">
                  <c:v>96</c:v>
                </c:pt>
                <c:pt idx="4392">
                  <c:v>99</c:v>
                </c:pt>
                <c:pt idx="4393">
                  <c:v>90</c:v>
                </c:pt>
                <c:pt idx="4394">
                  <c:v>94</c:v>
                </c:pt>
                <c:pt idx="4395">
                  <c:v>87</c:v>
                </c:pt>
                <c:pt idx="4396">
                  <c:v>93</c:v>
                </c:pt>
                <c:pt idx="4397">
                  <c:v>90</c:v>
                </c:pt>
                <c:pt idx="4398">
                  <c:v>89</c:v>
                </c:pt>
                <c:pt idx="4399">
                  <c:v>83</c:v>
                </c:pt>
                <c:pt idx="4400">
                  <c:v>96</c:v>
                </c:pt>
                <c:pt idx="4401">
                  <c:v>90</c:v>
                </c:pt>
                <c:pt idx="4402">
                  <c:v>138</c:v>
                </c:pt>
                <c:pt idx="4403">
                  <c:v>84</c:v>
                </c:pt>
                <c:pt idx="4404">
                  <c:v>83</c:v>
                </c:pt>
                <c:pt idx="4405">
                  <c:v>96</c:v>
                </c:pt>
                <c:pt idx="4406">
                  <c:v>94</c:v>
                </c:pt>
                <c:pt idx="4407">
                  <c:v>90</c:v>
                </c:pt>
                <c:pt idx="4408">
                  <c:v>95</c:v>
                </c:pt>
                <c:pt idx="4409">
                  <c:v>93</c:v>
                </c:pt>
                <c:pt idx="4410">
                  <c:v>103</c:v>
                </c:pt>
                <c:pt idx="4411">
                  <c:v>87</c:v>
                </c:pt>
                <c:pt idx="4412">
                  <c:v>100</c:v>
                </c:pt>
                <c:pt idx="4413">
                  <c:v>90</c:v>
                </c:pt>
                <c:pt idx="4414">
                  <c:v>83</c:v>
                </c:pt>
                <c:pt idx="4415">
                  <c:v>108</c:v>
                </c:pt>
                <c:pt idx="4416">
                  <c:v>100</c:v>
                </c:pt>
                <c:pt idx="4417">
                  <c:v>113</c:v>
                </c:pt>
                <c:pt idx="4418">
                  <c:v>97</c:v>
                </c:pt>
                <c:pt idx="4419">
                  <c:v>104</c:v>
                </c:pt>
                <c:pt idx="4420">
                  <c:v>91</c:v>
                </c:pt>
                <c:pt idx="4421">
                  <c:v>107</c:v>
                </c:pt>
                <c:pt idx="4422">
                  <c:v>85</c:v>
                </c:pt>
                <c:pt idx="4423">
                  <c:v>101</c:v>
                </c:pt>
                <c:pt idx="4424">
                  <c:v>70</c:v>
                </c:pt>
                <c:pt idx="4425">
                  <c:v>88</c:v>
                </c:pt>
                <c:pt idx="4426">
                  <c:v>107</c:v>
                </c:pt>
                <c:pt idx="4427">
                  <c:v>78</c:v>
                </c:pt>
                <c:pt idx="4428">
                  <c:v>90</c:v>
                </c:pt>
                <c:pt idx="4429">
                  <c:v>88</c:v>
                </c:pt>
                <c:pt idx="4430">
                  <c:v>92</c:v>
                </c:pt>
                <c:pt idx="4431">
                  <c:v>95</c:v>
                </c:pt>
                <c:pt idx="4432">
                  <c:v>85</c:v>
                </c:pt>
                <c:pt idx="4433">
                  <c:v>86</c:v>
                </c:pt>
                <c:pt idx="4434">
                  <c:v>90</c:v>
                </c:pt>
                <c:pt idx="4435">
                  <c:v>123</c:v>
                </c:pt>
                <c:pt idx="4436">
                  <c:v>93</c:v>
                </c:pt>
                <c:pt idx="4437">
                  <c:v>88</c:v>
                </c:pt>
                <c:pt idx="4438">
                  <c:v>114</c:v>
                </c:pt>
                <c:pt idx="4439">
                  <c:v>88</c:v>
                </c:pt>
                <c:pt idx="4440">
                  <c:v>110</c:v>
                </c:pt>
                <c:pt idx="4441">
                  <c:v>95</c:v>
                </c:pt>
                <c:pt idx="4442">
                  <c:v>83</c:v>
                </c:pt>
                <c:pt idx="4443">
                  <c:v>104</c:v>
                </c:pt>
                <c:pt idx="4444">
                  <c:v>94</c:v>
                </c:pt>
                <c:pt idx="4445">
                  <c:v>87</c:v>
                </c:pt>
                <c:pt idx="4446">
                  <c:v>93</c:v>
                </c:pt>
                <c:pt idx="4447">
                  <c:v>91</c:v>
                </c:pt>
                <c:pt idx="4448">
                  <c:v>90</c:v>
                </c:pt>
                <c:pt idx="4449">
                  <c:v>14</c:v>
                </c:pt>
                <c:pt idx="4450">
                  <c:v>112</c:v>
                </c:pt>
                <c:pt idx="4451">
                  <c:v>75</c:v>
                </c:pt>
                <c:pt idx="4452">
                  <c:v>86</c:v>
                </c:pt>
                <c:pt idx="4453">
                  <c:v>86</c:v>
                </c:pt>
                <c:pt idx="4454">
                  <c:v>89</c:v>
                </c:pt>
                <c:pt idx="4455">
                  <c:v>95</c:v>
                </c:pt>
                <c:pt idx="4456">
                  <c:v>101</c:v>
                </c:pt>
                <c:pt idx="4457">
                  <c:v>106</c:v>
                </c:pt>
                <c:pt idx="4458">
                  <c:v>88</c:v>
                </c:pt>
                <c:pt idx="4459">
                  <c:v>99</c:v>
                </c:pt>
                <c:pt idx="4460">
                  <c:v>90</c:v>
                </c:pt>
                <c:pt idx="4461">
                  <c:v>95</c:v>
                </c:pt>
                <c:pt idx="4462">
                  <c:v>85</c:v>
                </c:pt>
                <c:pt idx="4463">
                  <c:v>170</c:v>
                </c:pt>
                <c:pt idx="4464">
                  <c:v>86</c:v>
                </c:pt>
                <c:pt idx="4465">
                  <c:v>97</c:v>
                </c:pt>
                <c:pt idx="4466">
                  <c:v>104</c:v>
                </c:pt>
                <c:pt idx="4467">
                  <c:v>88</c:v>
                </c:pt>
                <c:pt idx="4468">
                  <c:v>106</c:v>
                </c:pt>
                <c:pt idx="4469">
                  <c:v>107</c:v>
                </c:pt>
                <c:pt idx="4470">
                  <c:v>84</c:v>
                </c:pt>
                <c:pt idx="4471">
                  <c:v>91</c:v>
                </c:pt>
                <c:pt idx="4472">
                  <c:v>90</c:v>
                </c:pt>
                <c:pt idx="4473">
                  <c:v>103</c:v>
                </c:pt>
                <c:pt idx="4474">
                  <c:v>71</c:v>
                </c:pt>
                <c:pt idx="4475">
                  <c:v>90</c:v>
                </c:pt>
                <c:pt idx="4476">
                  <c:v>67</c:v>
                </c:pt>
                <c:pt idx="4477">
                  <c:v>94</c:v>
                </c:pt>
                <c:pt idx="4478">
                  <c:v>81</c:v>
                </c:pt>
                <c:pt idx="4479">
                  <c:v>81</c:v>
                </c:pt>
                <c:pt idx="4480">
                  <c:v>215</c:v>
                </c:pt>
                <c:pt idx="4481">
                  <c:v>83</c:v>
                </c:pt>
                <c:pt idx="4482">
                  <c:v>106</c:v>
                </c:pt>
                <c:pt idx="4483">
                  <c:v>103</c:v>
                </c:pt>
                <c:pt idx="4484">
                  <c:v>90</c:v>
                </c:pt>
                <c:pt idx="4485">
                  <c:v>88</c:v>
                </c:pt>
                <c:pt idx="4486">
                  <c:v>105</c:v>
                </c:pt>
                <c:pt idx="4487">
                  <c:v>115</c:v>
                </c:pt>
                <c:pt idx="4488">
                  <c:v>90</c:v>
                </c:pt>
                <c:pt idx="4489">
                  <c:v>102</c:v>
                </c:pt>
                <c:pt idx="4490">
                  <c:v>98</c:v>
                </c:pt>
                <c:pt idx="4491">
                  <c:v>87</c:v>
                </c:pt>
                <c:pt idx="4492">
                  <c:v>80</c:v>
                </c:pt>
                <c:pt idx="4493">
                  <c:v>88</c:v>
                </c:pt>
                <c:pt idx="4494">
                  <c:v>83</c:v>
                </c:pt>
                <c:pt idx="4495">
                  <c:v>122</c:v>
                </c:pt>
                <c:pt idx="4496">
                  <c:v>115</c:v>
                </c:pt>
                <c:pt idx="4497">
                  <c:v>86</c:v>
                </c:pt>
                <c:pt idx="4498">
                  <c:v>79</c:v>
                </c:pt>
                <c:pt idx="4499">
                  <c:v>87</c:v>
                </c:pt>
                <c:pt idx="4500">
                  <c:v>97</c:v>
                </c:pt>
                <c:pt idx="4501">
                  <c:v>105</c:v>
                </c:pt>
                <c:pt idx="4502">
                  <c:v>89</c:v>
                </c:pt>
                <c:pt idx="4503">
                  <c:v>120</c:v>
                </c:pt>
                <c:pt idx="4504">
                  <c:v>94</c:v>
                </c:pt>
                <c:pt idx="4505">
                  <c:v>108</c:v>
                </c:pt>
                <c:pt idx="4506">
                  <c:v>102</c:v>
                </c:pt>
                <c:pt idx="4507">
                  <c:v>83</c:v>
                </c:pt>
                <c:pt idx="4508">
                  <c:v>93</c:v>
                </c:pt>
                <c:pt idx="4509">
                  <c:v>86</c:v>
                </c:pt>
                <c:pt idx="4510">
                  <c:v>101</c:v>
                </c:pt>
                <c:pt idx="4511">
                  <c:v>111</c:v>
                </c:pt>
                <c:pt idx="4512">
                  <c:v>90</c:v>
                </c:pt>
                <c:pt idx="4513">
                  <c:v>86</c:v>
                </c:pt>
                <c:pt idx="4514">
                  <c:v>98</c:v>
                </c:pt>
                <c:pt idx="4515">
                  <c:v>91</c:v>
                </c:pt>
                <c:pt idx="4516">
                  <c:v>91</c:v>
                </c:pt>
                <c:pt idx="4517">
                  <c:v>90</c:v>
                </c:pt>
                <c:pt idx="4518">
                  <c:v>88</c:v>
                </c:pt>
                <c:pt idx="4519">
                  <c:v>202</c:v>
                </c:pt>
                <c:pt idx="4520">
                  <c:v>89</c:v>
                </c:pt>
                <c:pt idx="4521">
                  <c:v>97</c:v>
                </c:pt>
                <c:pt idx="4522">
                  <c:v>84</c:v>
                </c:pt>
                <c:pt idx="4523">
                  <c:v>82</c:v>
                </c:pt>
                <c:pt idx="4524">
                  <c:v>100</c:v>
                </c:pt>
                <c:pt idx="4525">
                  <c:v>112</c:v>
                </c:pt>
                <c:pt idx="4526">
                  <c:v>94</c:v>
                </c:pt>
                <c:pt idx="4527">
                  <c:v>87</c:v>
                </c:pt>
                <c:pt idx="4528">
                  <c:v>91</c:v>
                </c:pt>
                <c:pt idx="4529">
                  <c:v>87</c:v>
                </c:pt>
                <c:pt idx="4530">
                  <c:v>98</c:v>
                </c:pt>
                <c:pt idx="4531">
                  <c:v>95</c:v>
                </c:pt>
                <c:pt idx="4532">
                  <c:v>87</c:v>
                </c:pt>
                <c:pt idx="4533">
                  <c:v>102</c:v>
                </c:pt>
                <c:pt idx="4534">
                  <c:v>127</c:v>
                </c:pt>
                <c:pt idx="4535">
                  <c:v>96</c:v>
                </c:pt>
                <c:pt idx="4536">
                  <c:v>103</c:v>
                </c:pt>
                <c:pt idx="4537">
                  <c:v>104</c:v>
                </c:pt>
                <c:pt idx="4538">
                  <c:v>90</c:v>
                </c:pt>
                <c:pt idx="4539">
                  <c:v>122</c:v>
                </c:pt>
                <c:pt idx="4540">
                  <c:v>90</c:v>
                </c:pt>
                <c:pt idx="4541">
                  <c:v>101</c:v>
                </c:pt>
                <c:pt idx="4542">
                  <c:v>94</c:v>
                </c:pt>
                <c:pt idx="4543">
                  <c:v>97</c:v>
                </c:pt>
                <c:pt idx="4544">
                  <c:v>90</c:v>
                </c:pt>
                <c:pt idx="4545">
                  <c:v>108</c:v>
                </c:pt>
                <c:pt idx="4546">
                  <c:v>82</c:v>
                </c:pt>
                <c:pt idx="4547">
                  <c:v>84</c:v>
                </c:pt>
                <c:pt idx="4548">
                  <c:v>91</c:v>
                </c:pt>
                <c:pt idx="4549">
                  <c:v>91</c:v>
                </c:pt>
                <c:pt idx="4550">
                  <c:v>107</c:v>
                </c:pt>
                <c:pt idx="4551">
                  <c:v>82</c:v>
                </c:pt>
                <c:pt idx="4552">
                  <c:v>84</c:v>
                </c:pt>
                <c:pt idx="4553">
                  <c:v>103</c:v>
                </c:pt>
                <c:pt idx="4554">
                  <c:v>86</c:v>
                </c:pt>
                <c:pt idx="4555">
                  <c:v>89</c:v>
                </c:pt>
                <c:pt idx="4556">
                  <c:v>52</c:v>
                </c:pt>
                <c:pt idx="4557">
                  <c:v>98</c:v>
                </c:pt>
                <c:pt idx="4558">
                  <c:v>133</c:v>
                </c:pt>
                <c:pt idx="4559">
                  <c:v>81</c:v>
                </c:pt>
                <c:pt idx="4560">
                  <c:v>92</c:v>
                </c:pt>
                <c:pt idx="4561">
                  <c:v>90</c:v>
                </c:pt>
                <c:pt idx="4562">
                  <c:v>84</c:v>
                </c:pt>
                <c:pt idx="4563">
                  <c:v>91</c:v>
                </c:pt>
                <c:pt idx="4564">
                  <c:v>91</c:v>
                </c:pt>
                <c:pt idx="4565">
                  <c:v>90</c:v>
                </c:pt>
                <c:pt idx="4566">
                  <c:v>96</c:v>
                </c:pt>
                <c:pt idx="4567">
                  <c:v>88</c:v>
                </c:pt>
                <c:pt idx="4568">
                  <c:v>92</c:v>
                </c:pt>
                <c:pt idx="4569">
                  <c:v>97</c:v>
                </c:pt>
                <c:pt idx="4570">
                  <c:v>82</c:v>
                </c:pt>
                <c:pt idx="4571">
                  <c:v>101</c:v>
                </c:pt>
                <c:pt idx="4572">
                  <c:v>80</c:v>
                </c:pt>
                <c:pt idx="4573">
                  <c:v>97</c:v>
                </c:pt>
                <c:pt idx="4574">
                  <c:v>84</c:v>
                </c:pt>
                <c:pt idx="4575">
                  <c:v>97</c:v>
                </c:pt>
                <c:pt idx="4576">
                  <c:v>91</c:v>
                </c:pt>
                <c:pt idx="4577">
                  <c:v>86</c:v>
                </c:pt>
                <c:pt idx="4578">
                  <c:v>100</c:v>
                </c:pt>
                <c:pt idx="4579">
                  <c:v>96</c:v>
                </c:pt>
                <c:pt idx="4580">
                  <c:v>89</c:v>
                </c:pt>
                <c:pt idx="4581">
                  <c:v>84</c:v>
                </c:pt>
                <c:pt idx="4582">
                  <c:v>88</c:v>
                </c:pt>
                <c:pt idx="4583">
                  <c:v>90</c:v>
                </c:pt>
                <c:pt idx="4584">
                  <c:v>90</c:v>
                </c:pt>
                <c:pt idx="4585">
                  <c:v>98</c:v>
                </c:pt>
                <c:pt idx="4586">
                  <c:v>96</c:v>
                </c:pt>
                <c:pt idx="4587">
                  <c:v>83</c:v>
                </c:pt>
                <c:pt idx="4588">
                  <c:v>65</c:v>
                </c:pt>
                <c:pt idx="4589">
                  <c:v>94</c:v>
                </c:pt>
                <c:pt idx="4590">
                  <c:v>112</c:v>
                </c:pt>
                <c:pt idx="4591">
                  <c:v>102</c:v>
                </c:pt>
                <c:pt idx="4592">
                  <c:v>98</c:v>
                </c:pt>
                <c:pt idx="4593">
                  <c:v>91</c:v>
                </c:pt>
                <c:pt idx="4594">
                  <c:v>80</c:v>
                </c:pt>
                <c:pt idx="4595">
                  <c:v>114</c:v>
                </c:pt>
                <c:pt idx="4596">
                  <c:v>76</c:v>
                </c:pt>
                <c:pt idx="4597">
                  <c:v>80</c:v>
                </c:pt>
                <c:pt idx="4598">
                  <c:v>88</c:v>
                </c:pt>
                <c:pt idx="4599">
                  <c:v>110</c:v>
                </c:pt>
                <c:pt idx="4600">
                  <c:v>104</c:v>
                </c:pt>
                <c:pt idx="4601">
                  <c:v>102</c:v>
                </c:pt>
                <c:pt idx="4602">
                  <c:v>95</c:v>
                </c:pt>
                <c:pt idx="4603">
                  <c:v>94</c:v>
                </c:pt>
                <c:pt idx="4604">
                  <c:v>109</c:v>
                </c:pt>
                <c:pt idx="4605">
                  <c:v>90</c:v>
                </c:pt>
                <c:pt idx="4606">
                  <c:v>110</c:v>
                </c:pt>
                <c:pt idx="4607">
                  <c:v>80</c:v>
                </c:pt>
                <c:pt idx="4608">
                  <c:v>95</c:v>
                </c:pt>
                <c:pt idx="4609">
                  <c:v>94</c:v>
                </c:pt>
                <c:pt idx="4610">
                  <c:v>98</c:v>
                </c:pt>
                <c:pt idx="4611">
                  <c:v>98</c:v>
                </c:pt>
                <c:pt idx="4612">
                  <c:v>96</c:v>
                </c:pt>
                <c:pt idx="4613">
                  <c:v>97</c:v>
                </c:pt>
                <c:pt idx="4614">
                  <c:v>90</c:v>
                </c:pt>
                <c:pt idx="4615">
                  <c:v>113</c:v>
                </c:pt>
                <c:pt idx="4616">
                  <c:v>91</c:v>
                </c:pt>
                <c:pt idx="4617">
                  <c:v>90</c:v>
                </c:pt>
                <c:pt idx="4618">
                  <c:v>98</c:v>
                </c:pt>
                <c:pt idx="4619">
                  <c:v>94</c:v>
                </c:pt>
                <c:pt idx="4620">
                  <c:v>96</c:v>
                </c:pt>
                <c:pt idx="4621">
                  <c:v>100</c:v>
                </c:pt>
                <c:pt idx="4622">
                  <c:v>90</c:v>
                </c:pt>
                <c:pt idx="4623">
                  <c:v>90</c:v>
                </c:pt>
                <c:pt idx="4624">
                  <c:v>76</c:v>
                </c:pt>
                <c:pt idx="4625">
                  <c:v>75</c:v>
                </c:pt>
                <c:pt idx="4626">
                  <c:v>78</c:v>
                </c:pt>
                <c:pt idx="4627">
                  <c:v>90</c:v>
                </c:pt>
                <c:pt idx="4628">
                  <c:v>96</c:v>
                </c:pt>
                <c:pt idx="4629">
                  <c:v>92</c:v>
                </c:pt>
                <c:pt idx="4630">
                  <c:v>75</c:v>
                </c:pt>
                <c:pt idx="4631">
                  <c:v>99</c:v>
                </c:pt>
                <c:pt idx="4632">
                  <c:v>86</c:v>
                </c:pt>
                <c:pt idx="4633">
                  <c:v>92</c:v>
                </c:pt>
                <c:pt idx="4634">
                  <c:v>101</c:v>
                </c:pt>
                <c:pt idx="4635">
                  <c:v>81</c:v>
                </c:pt>
                <c:pt idx="4636">
                  <c:v>93</c:v>
                </c:pt>
                <c:pt idx="4637">
                  <c:v>95</c:v>
                </c:pt>
                <c:pt idx="4638">
                  <c:v>107</c:v>
                </c:pt>
                <c:pt idx="4639">
                  <c:v>98</c:v>
                </c:pt>
                <c:pt idx="4640">
                  <c:v>35</c:v>
                </c:pt>
                <c:pt idx="4641">
                  <c:v>108</c:v>
                </c:pt>
                <c:pt idx="4642">
                  <c:v>66</c:v>
                </c:pt>
                <c:pt idx="4643">
                  <c:v>95</c:v>
                </c:pt>
                <c:pt idx="4644">
                  <c:v>108</c:v>
                </c:pt>
                <c:pt idx="4645">
                  <c:v>90</c:v>
                </c:pt>
                <c:pt idx="4646">
                  <c:v>83</c:v>
                </c:pt>
                <c:pt idx="4647">
                  <c:v>108</c:v>
                </c:pt>
                <c:pt idx="4648">
                  <c:v>92</c:v>
                </c:pt>
                <c:pt idx="4649">
                  <c:v>105</c:v>
                </c:pt>
                <c:pt idx="4650">
                  <c:v>86</c:v>
                </c:pt>
                <c:pt idx="4651">
                  <c:v>106</c:v>
                </c:pt>
                <c:pt idx="4652">
                  <c:v>93</c:v>
                </c:pt>
                <c:pt idx="4653">
                  <c:v>80</c:v>
                </c:pt>
                <c:pt idx="4654">
                  <c:v>93</c:v>
                </c:pt>
                <c:pt idx="4655">
                  <c:v>96</c:v>
                </c:pt>
                <c:pt idx="4656">
                  <c:v>99</c:v>
                </c:pt>
                <c:pt idx="4657">
                  <c:v>66</c:v>
                </c:pt>
                <c:pt idx="4658">
                  <c:v>85</c:v>
                </c:pt>
                <c:pt idx="4659">
                  <c:v>101</c:v>
                </c:pt>
                <c:pt idx="4660">
                  <c:v>97</c:v>
                </c:pt>
                <c:pt idx="4661">
                  <c:v>119</c:v>
                </c:pt>
                <c:pt idx="4662">
                  <c:v>103</c:v>
                </c:pt>
                <c:pt idx="4663">
                  <c:v>86</c:v>
                </c:pt>
                <c:pt idx="4664">
                  <c:v>90</c:v>
                </c:pt>
                <c:pt idx="4665">
                  <c:v>95</c:v>
                </c:pt>
                <c:pt idx="4666">
                  <c:v>94</c:v>
                </c:pt>
                <c:pt idx="4667">
                  <c:v>84</c:v>
                </c:pt>
                <c:pt idx="4668">
                  <c:v>89</c:v>
                </c:pt>
                <c:pt idx="4669">
                  <c:v>59</c:v>
                </c:pt>
                <c:pt idx="4670">
                  <c:v>126</c:v>
                </c:pt>
                <c:pt idx="4671">
                  <c:v>86</c:v>
                </c:pt>
                <c:pt idx="4672">
                  <c:v>87</c:v>
                </c:pt>
                <c:pt idx="4673">
                  <c:v>106</c:v>
                </c:pt>
                <c:pt idx="4674">
                  <c:v>86</c:v>
                </c:pt>
                <c:pt idx="4675">
                  <c:v>89</c:v>
                </c:pt>
                <c:pt idx="4676">
                  <c:v>105</c:v>
                </c:pt>
                <c:pt idx="4677">
                  <c:v>93</c:v>
                </c:pt>
                <c:pt idx="4678">
                  <c:v>94</c:v>
                </c:pt>
                <c:pt idx="4679">
                  <c:v>89</c:v>
                </c:pt>
                <c:pt idx="4680">
                  <c:v>97</c:v>
                </c:pt>
                <c:pt idx="4681">
                  <c:v>88</c:v>
                </c:pt>
                <c:pt idx="4682">
                  <c:v>78</c:v>
                </c:pt>
                <c:pt idx="4683">
                  <c:v>104</c:v>
                </c:pt>
                <c:pt idx="4684">
                  <c:v>92</c:v>
                </c:pt>
                <c:pt idx="4685">
                  <c:v>97</c:v>
                </c:pt>
                <c:pt idx="4686">
                  <c:v>109</c:v>
                </c:pt>
                <c:pt idx="4687">
                  <c:v>78</c:v>
                </c:pt>
                <c:pt idx="4688">
                  <c:v>85</c:v>
                </c:pt>
                <c:pt idx="4689">
                  <c:v>88</c:v>
                </c:pt>
                <c:pt idx="4690">
                  <c:v>93</c:v>
                </c:pt>
                <c:pt idx="4691">
                  <c:v>86</c:v>
                </c:pt>
                <c:pt idx="4692">
                  <c:v>98</c:v>
                </c:pt>
                <c:pt idx="4693">
                  <c:v>25</c:v>
                </c:pt>
                <c:pt idx="4694">
                  <c:v>72</c:v>
                </c:pt>
                <c:pt idx="4695">
                  <c:v>66</c:v>
                </c:pt>
                <c:pt idx="4696">
                  <c:v>80</c:v>
                </c:pt>
                <c:pt idx="4697">
                  <c:v>91</c:v>
                </c:pt>
                <c:pt idx="4698">
                  <c:v>89</c:v>
                </c:pt>
                <c:pt idx="4699">
                  <c:v>85</c:v>
                </c:pt>
                <c:pt idx="4700">
                  <c:v>62</c:v>
                </c:pt>
                <c:pt idx="4701">
                  <c:v>90</c:v>
                </c:pt>
                <c:pt idx="4702">
                  <c:v>90</c:v>
                </c:pt>
                <c:pt idx="4703">
                  <c:v>88</c:v>
                </c:pt>
                <c:pt idx="4704">
                  <c:v>94</c:v>
                </c:pt>
                <c:pt idx="4705">
                  <c:v>120</c:v>
                </c:pt>
                <c:pt idx="4706">
                  <c:v>77</c:v>
                </c:pt>
                <c:pt idx="4707">
                  <c:v>111</c:v>
                </c:pt>
                <c:pt idx="4708">
                  <c:v>81</c:v>
                </c:pt>
                <c:pt idx="4709">
                  <c:v>89</c:v>
                </c:pt>
                <c:pt idx="4710">
                  <c:v>81</c:v>
                </c:pt>
                <c:pt idx="4711">
                  <c:v>100</c:v>
                </c:pt>
                <c:pt idx="4712">
                  <c:v>99</c:v>
                </c:pt>
                <c:pt idx="4713">
                  <c:v>90</c:v>
                </c:pt>
                <c:pt idx="4714">
                  <c:v>82</c:v>
                </c:pt>
                <c:pt idx="4715">
                  <c:v>88</c:v>
                </c:pt>
                <c:pt idx="4716">
                  <c:v>103</c:v>
                </c:pt>
                <c:pt idx="4717">
                  <c:v>80</c:v>
                </c:pt>
                <c:pt idx="4718">
                  <c:v>68</c:v>
                </c:pt>
                <c:pt idx="4719">
                  <c:v>81</c:v>
                </c:pt>
                <c:pt idx="4720">
                  <c:v>106</c:v>
                </c:pt>
                <c:pt idx="4721">
                  <c:v>77</c:v>
                </c:pt>
                <c:pt idx="4722">
                  <c:v>80</c:v>
                </c:pt>
                <c:pt idx="4723">
                  <c:v>84</c:v>
                </c:pt>
                <c:pt idx="4724">
                  <c:v>86</c:v>
                </c:pt>
                <c:pt idx="4725">
                  <c:v>87</c:v>
                </c:pt>
                <c:pt idx="4726">
                  <c:v>80</c:v>
                </c:pt>
                <c:pt idx="4727">
                  <c:v>100</c:v>
                </c:pt>
                <c:pt idx="4728">
                  <c:v>82</c:v>
                </c:pt>
                <c:pt idx="4729">
                  <c:v>82</c:v>
                </c:pt>
                <c:pt idx="4730">
                  <c:v>70</c:v>
                </c:pt>
                <c:pt idx="4731">
                  <c:v>75</c:v>
                </c:pt>
                <c:pt idx="4732">
                  <c:v>87</c:v>
                </c:pt>
                <c:pt idx="4733">
                  <c:v>87</c:v>
                </c:pt>
                <c:pt idx="4734">
                  <c:v>98</c:v>
                </c:pt>
                <c:pt idx="4735">
                  <c:v>83</c:v>
                </c:pt>
                <c:pt idx="4736">
                  <c:v>99</c:v>
                </c:pt>
                <c:pt idx="4737">
                  <c:v>98</c:v>
                </c:pt>
                <c:pt idx="4738">
                  <c:v>93</c:v>
                </c:pt>
                <c:pt idx="4739">
                  <c:v>111</c:v>
                </c:pt>
                <c:pt idx="4740">
                  <c:v>47</c:v>
                </c:pt>
                <c:pt idx="4741">
                  <c:v>92</c:v>
                </c:pt>
                <c:pt idx="4742">
                  <c:v>97</c:v>
                </c:pt>
                <c:pt idx="4743">
                  <c:v>81</c:v>
                </c:pt>
                <c:pt idx="4744">
                  <c:v>83</c:v>
                </c:pt>
                <c:pt idx="4745">
                  <c:v>96</c:v>
                </c:pt>
                <c:pt idx="4746">
                  <c:v>90</c:v>
                </c:pt>
                <c:pt idx="4747">
                  <c:v>90</c:v>
                </c:pt>
                <c:pt idx="4748">
                  <c:v>95</c:v>
                </c:pt>
                <c:pt idx="4749">
                  <c:v>83</c:v>
                </c:pt>
                <c:pt idx="4750">
                  <c:v>117</c:v>
                </c:pt>
                <c:pt idx="4751">
                  <c:v>75</c:v>
                </c:pt>
                <c:pt idx="4752">
                  <c:v>79</c:v>
                </c:pt>
                <c:pt idx="4753">
                  <c:v>78</c:v>
                </c:pt>
                <c:pt idx="4754">
                  <c:v>109</c:v>
                </c:pt>
                <c:pt idx="4755">
                  <c:v>89</c:v>
                </c:pt>
                <c:pt idx="4756">
                  <c:v>93</c:v>
                </c:pt>
                <c:pt idx="4757">
                  <c:v>102</c:v>
                </c:pt>
                <c:pt idx="4758">
                  <c:v>65</c:v>
                </c:pt>
                <c:pt idx="4759">
                  <c:v>85</c:v>
                </c:pt>
                <c:pt idx="4760">
                  <c:v>97</c:v>
                </c:pt>
                <c:pt idx="4761">
                  <c:v>79</c:v>
                </c:pt>
                <c:pt idx="4762">
                  <c:v>80</c:v>
                </c:pt>
                <c:pt idx="4763">
                  <c:v>100</c:v>
                </c:pt>
                <c:pt idx="4764">
                  <c:v>90</c:v>
                </c:pt>
                <c:pt idx="4765">
                  <c:v>90</c:v>
                </c:pt>
                <c:pt idx="4766">
                  <c:v>120</c:v>
                </c:pt>
                <c:pt idx="4767">
                  <c:v>91</c:v>
                </c:pt>
                <c:pt idx="4768">
                  <c:v>143</c:v>
                </c:pt>
                <c:pt idx="4769">
                  <c:v>85</c:v>
                </c:pt>
                <c:pt idx="4770">
                  <c:v>60</c:v>
                </c:pt>
                <c:pt idx="4771">
                  <c:v>88</c:v>
                </c:pt>
                <c:pt idx="4772">
                  <c:v>78</c:v>
                </c:pt>
                <c:pt idx="4773">
                  <c:v>108</c:v>
                </c:pt>
                <c:pt idx="4774">
                  <c:v>110</c:v>
                </c:pt>
                <c:pt idx="4775">
                  <c:v>90</c:v>
                </c:pt>
                <c:pt idx="4776">
                  <c:v>83</c:v>
                </c:pt>
                <c:pt idx="4777">
                  <c:v>111</c:v>
                </c:pt>
                <c:pt idx="4778">
                  <c:v>84</c:v>
                </c:pt>
                <c:pt idx="4779">
                  <c:v>82</c:v>
                </c:pt>
                <c:pt idx="4780">
                  <c:v>98</c:v>
                </c:pt>
                <c:pt idx="4781">
                  <c:v>77</c:v>
                </c:pt>
                <c:pt idx="4782">
                  <c:v>80</c:v>
                </c:pt>
                <c:pt idx="4783">
                  <c:v>81</c:v>
                </c:pt>
                <c:pt idx="4784">
                  <c:v>84</c:v>
                </c:pt>
                <c:pt idx="4785">
                  <c:v>95</c:v>
                </c:pt>
                <c:pt idx="4786">
                  <c:v>87</c:v>
                </c:pt>
                <c:pt idx="4787">
                  <c:v>76</c:v>
                </c:pt>
                <c:pt idx="4788">
                  <c:v>100</c:v>
                </c:pt>
                <c:pt idx="4789">
                  <c:v>90</c:v>
                </c:pt>
              </c:numCache>
            </c:numRef>
          </c:xVal>
          <c:yVal>
            <c:numRef>
              <c:f>IMDB_Movies!$F$2:$F$4791</c:f>
              <c:numCache>
                <c:formatCode>General</c:formatCode>
                <c:ptCount val="4790"/>
                <c:pt idx="0">
                  <c:v>7.9</c:v>
                </c:pt>
                <c:pt idx="1">
                  <c:v>7.1</c:v>
                </c:pt>
                <c:pt idx="2">
                  <c:v>6.8</c:v>
                </c:pt>
                <c:pt idx="3">
                  <c:v>8.5</c:v>
                </c:pt>
                <c:pt idx="4">
                  <c:v>6.6</c:v>
                </c:pt>
                <c:pt idx="5">
                  <c:v>6.2</c:v>
                </c:pt>
                <c:pt idx="6">
                  <c:v>7.8</c:v>
                </c:pt>
                <c:pt idx="7">
                  <c:v>7.5</c:v>
                </c:pt>
                <c:pt idx="8">
                  <c:v>7.5</c:v>
                </c:pt>
                <c:pt idx="9">
                  <c:v>6.9</c:v>
                </c:pt>
                <c:pt idx="10">
                  <c:v>6.1</c:v>
                </c:pt>
                <c:pt idx="11">
                  <c:v>6.7</c:v>
                </c:pt>
                <c:pt idx="12">
                  <c:v>7.3</c:v>
                </c:pt>
                <c:pt idx="13">
                  <c:v>6.5</c:v>
                </c:pt>
                <c:pt idx="14">
                  <c:v>7.2</c:v>
                </c:pt>
                <c:pt idx="15">
                  <c:v>6.6</c:v>
                </c:pt>
                <c:pt idx="16">
                  <c:v>8.1</c:v>
                </c:pt>
                <c:pt idx="17">
                  <c:v>6.7</c:v>
                </c:pt>
                <c:pt idx="18">
                  <c:v>6.8</c:v>
                </c:pt>
                <c:pt idx="19">
                  <c:v>7.5</c:v>
                </c:pt>
                <c:pt idx="20">
                  <c:v>7</c:v>
                </c:pt>
                <c:pt idx="21">
                  <c:v>6.7</c:v>
                </c:pt>
                <c:pt idx="22">
                  <c:v>7.9</c:v>
                </c:pt>
                <c:pt idx="23">
                  <c:v>6.1</c:v>
                </c:pt>
                <c:pt idx="24">
                  <c:v>7.2</c:v>
                </c:pt>
                <c:pt idx="25">
                  <c:v>7.7</c:v>
                </c:pt>
                <c:pt idx="26">
                  <c:v>8.1999999999999993</c:v>
                </c:pt>
                <c:pt idx="27">
                  <c:v>5.9</c:v>
                </c:pt>
                <c:pt idx="28">
                  <c:v>7</c:v>
                </c:pt>
                <c:pt idx="29">
                  <c:v>7.8</c:v>
                </c:pt>
                <c:pt idx="30">
                  <c:v>7.3</c:v>
                </c:pt>
                <c:pt idx="31">
                  <c:v>7.2</c:v>
                </c:pt>
                <c:pt idx="32">
                  <c:v>6.5</c:v>
                </c:pt>
                <c:pt idx="33">
                  <c:v>6.8</c:v>
                </c:pt>
                <c:pt idx="34">
                  <c:v>7.3</c:v>
                </c:pt>
                <c:pt idx="35">
                  <c:v>6</c:v>
                </c:pt>
                <c:pt idx="36">
                  <c:v>5.7</c:v>
                </c:pt>
                <c:pt idx="37">
                  <c:v>6.4</c:v>
                </c:pt>
                <c:pt idx="38">
                  <c:v>6.7</c:v>
                </c:pt>
                <c:pt idx="39">
                  <c:v>6.8</c:v>
                </c:pt>
                <c:pt idx="40">
                  <c:v>6.3</c:v>
                </c:pt>
                <c:pt idx="41">
                  <c:v>5.6</c:v>
                </c:pt>
                <c:pt idx="42">
                  <c:v>8.3000000000000007</c:v>
                </c:pt>
                <c:pt idx="43">
                  <c:v>6.6</c:v>
                </c:pt>
                <c:pt idx="44">
                  <c:v>7.2</c:v>
                </c:pt>
                <c:pt idx="45">
                  <c:v>7</c:v>
                </c:pt>
                <c:pt idx="46">
                  <c:v>8</c:v>
                </c:pt>
                <c:pt idx="47">
                  <c:v>7.8</c:v>
                </c:pt>
                <c:pt idx="48">
                  <c:v>6.3</c:v>
                </c:pt>
                <c:pt idx="49">
                  <c:v>7.3</c:v>
                </c:pt>
                <c:pt idx="50">
                  <c:v>6.6</c:v>
                </c:pt>
                <c:pt idx="51">
                  <c:v>7</c:v>
                </c:pt>
                <c:pt idx="52">
                  <c:v>6.3</c:v>
                </c:pt>
                <c:pt idx="53">
                  <c:v>6.2</c:v>
                </c:pt>
                <c:pt idx="54">
                  <c:v>6.8</c:v>
                </c:pt>
                <c:pt idx="55">
                  <c:v>7.2</c:v>
                </c:pt>
                <c:pt idx="56">
                  <c:v>7.5</c:v>
                </c:pt>
                <c:pt idx="57">
                  <c:v>8.4</c:v>
                </c:pt>
                <c:pt idx="58">
                  <c:v>6.2</c:v>
                </c:pt>
                <c:pt idx="59">
                  <c:v>5.8</c:v>
                </c:pt>
                <c:pt idx="60">
                  <c:v>6.8</c:v>
                </c:pt>
                <c:pt idx="61">
                  <c:v>5.4</c:v>
                </c:pt>
                <c:pt idx="62">
                  <c:v>6.6</c:v>
                </c:pt>
                <c:pt idx="63">
                  <c:v>6.9</c:v>
                </c:pt>
                <c:pt idx="64">
                  <c:v>7.3</c:v>
                </c:pt>
                <c:pt idx="65">
                  <c:v>9</c:v>
                </c:pt>
                <c:pt idx="66">
                  <c:v>8.3000000000000007</c:v>
                </c:pt>
                <c:pt idx="67">
                  <c:v>6.5</c:v>
                </c:pt>
                <c:pt idx="68">
                  <c:v>7.9</c:v>
                </c:pt>
                <c:pt idx="69">
                  <c:v>7.5</c:v>
                </c:pt>
                <c:pt idx="70">
                  <c:v>4.8</c:v>
                </c:pt>
                <c:pt idx="71">
                  <c:v>5.2</c:v>
                </c:pt>
                <c:pt idx="72">
                  <c:v>6.9</c:v>
                </c:pt>
                <c:pt idx="73">
                  <c:v>5.4</c:v>
                </c:pt>
                <c:pt idx="74">
                  <c:v>7.9</c:v>
                </c:pt>
                <c:pt idx="75">
                  <c:v>6.1</c:v>
                </c:pt>
                <c:pt idx="76">
                  <c:v>5.8</c:v>
                </c:pt>
                <c:pt idx="77">
                  <c:v>8.3000000000000007</c:v>
                </c:pt>
                <c:pt idx="78">
                  <c:v>7.8</c:v>
                </c:pt>
                <c:pt idx="79">
                  <c:v>7</c:v>
                </c:pt>
                <c:pt idx="80">
                  <c:v>6.1</c:v>
                </c:pt>
                <c:pt idx="81">
                  <c:v>7</c:v>
                </c:pt>
                <c:pt idx="82">
                  <c:v>7.6</c:v>
                </c:pt>
                <c:pt idx="83">
                  <c:v>4.5</c:v>
                </c:pt>
                <c:pt idx="84">
                  <c:v>6.3</c:v>
                </c:pt>
                <c:pt idx="85">
                  <c:v>7.8</c:v>
                </c:pt>
                <c:pt idx="86">
                  <c:v>6.4</c:v>
                </c:pt>
                <c:pt idx="87">
                  <c:v>6.5</c:v>
                </c:pt>
                <c:pt idx="88">
                  <c:v>7.9</c:v>
                </c:pt>
                <c:pt idx="89">
                  <c:v>7.8</c:v>
                </c:pt>
                <c:pt idx="90">
                  <c:v>6.6</c:v>
                </c:pt>
                <c:pt idx="91">
                  <c:v>5.5</c:v>
                </c:pt>
                <c:pt idx="92">
                  <c:v>8.1999999999999993</c:v>
                </c:pt>
                <c:pt idx="93">
                  <c:v>6.4</c:v>
                </c:pt>
                <c:pt idx="94">
                  <c:v>8.1</c:v>
                </c:pt>
                <c:pt idx="95">
                  <c:v>8.6</c:v>
                </c:pt>
                <c:pt idx="96">
                  <c:v>8.8000000000000007</c:v>
                </c:pt>
                <c:pt idx="97">
                  <c:v>8.1999999999999993</c:v>
                </c:pt>
                <c:pt idx="98">
                  <c:v>7.9</c:v>
                </c:pt>
                <c:pt idx="99">
                  <c:v>6.7</c:v>
                </c:pt>
                <c:pt idx="100">
                  <c:v>7.8</c:v>
                </c:pt>
                <c:pt idx="101">
                  <c:v>7.8</c:v>
                </c:pt>
                <c:pt idx="102">
                  <c:v>6.6</c:v>
                </c:pt>
                <c:pt idx="103">
                  <c:v>6.1</c:v>
                </c:pt>
                <c:pt idx="104">
                  <c:v>5.6</c:v>
                </c:pt>
                <c:pt idx="105">
                  <c:v>6.4</c:v>
                </c:pt>
                <c:pt idx="106">
                  <c:v>6.1</c:v>
                </c:pt>
                <c:pt idx="107">
                  <c:v>7.3</c:v>
                </c:pt>
                <c:pt idx="108">
                  <c:v>6.6</c:v>
                </c:pt>
                <c:pt idx="109">
                  <c:v>6.3</c:v>
                </c:pt>
                <c:pt idx="110">
                  <c:v>6.1</c:v>
                </c:pt>
                <c:pt idx="111">
                  <c:v>7.1</c:v>
                </c:pt>
                <c:pt idx="112">
                  <c:v>5.5</c:v>
                </c:pt>
                <c:pt idx="113">
                  <c:v>7.5</c:v>
                </c:pt>
                <c:pt idx="114">
                  <c:v>7.6</c:v>
                </c:pt>
                <c:pt idx="115">
                  <c:v>6.4</c:v>
                </c:pt>
                <c:pt idx="116">
                  <c:v>7.2</c:v>
                </c:pt>
                <c:pt idx="117">
                  <c:v>6.7</c:v>
                </c:pt>
                <c:pt idx="118">
                  <c:v>8</c:v>
                </c:pt>
                <c:pt idx="119">
                  <c:v>8.3000000000000007</c:v>
                </c:pt>
                <c:pt idx="120">
                  <c:v>6.7</c:v>
                </c:pt>
                <c:pt idx="121">
                  <c:v>5.9</c:v>
                </c:pt>
                <c:pt idx="122">
                  <c:v>6.7</c:v>
                </c:pt>
                <c:pt idx="123">
                  <c:v>6.7</c:v>
                </c:pt>
                <c:pt idx="124">
                  <c:v>7.6</c:v>
                </c:pt>
                <c:pt idx="125">
                  <c:v>7.2</c:v>
                </c:pt>
                <c:pt idx="126">
                  <c:v>7.1</c:v>
                </c:pt>
                <c:pt idx="127">
                  <c:v>8.1</c:v>
                </c:pt>
                <c:pt idx="128">
                  <c:v>6.7</c:v>
                </c:pt>
                <c:pt idx="129">
                  <c:v>7</c:v>
                </c:pt>
                <c:pt idx="130">
                  <c:v>6.9</c:v>
                </c:pt>
                <c:pt idx="131">
                  <c:v>5.0999999999999996</c:v>
                </c:pt>
                <c:pt idx="132">
                  <c:v>5.8</c:v>
                </c:pt>
                <c:pt idx="133">
                  <c:v>6.2</c:v>
                </c:pt>
                <c:pt idx="134">
                  <c:v>7.4</c:v>
                </c:pt>
                <c:pt idx="135">
                  <c:v>5.8</c:v>
                </c:pt>
                <c:pt idx="136">
                  <c:v>6.2</c:v>
                </c:pt>
                <c:pt idx="137">
                  <c:v>7.3</c:v>
                </c:pt>
                <c:pt idx="138">
                  <c:v>4.2</c:v>
                </c:pt>
                <c:pt idx="139">
                  <c:v>6.9</c:v>
                </c:pt>
                <c:pt idx="140">
                  <c:v>6.4</c:v>
                </c:pt>
                <c:pt idx="141">
                  <c:v>5.4</c:v>
                </c:pt>
                <c:pt idx="142">
                  <c:v>6.7</c:v>
                </c:pt>
                <c:pt idx="143">
                  <c:v>5.8</c:v>
                </c:pt>
                <c:pt idx="144">
                  <c:v>6.9</c:v>
                </c:pt>
                <c:pt idx="145">
                  <c:v>7.2</c:v>
                </c:pt>
                <c:pt idx="146">
                  <c:v>6.9</c:v>
                </c:pt>
                <c:pt idx="147">
                  <c:v>6.1</c:v>
                </c:pt>
                <c:pt idx="148">
                  <c:v>5.5</c:v>
                </c:pt>
                <c:pt idx="149">
                  <c:v>6.6</c:v>
                </c:pt>
                <c:pt idx="150">
                  <c:v>6.1</c:v>
                </c:pt>
                <c:pt idx="151">
                  <c:v>6.3</c:v>
                </c:pt>
                <c:pt idx="152">
                  <c:v>7.2</c:v>
                </c:pt>
                <c:pt idx="153">
                  <c:v>7.4</c:v>
                </c:pt>
                <c:pt idx="154">
                  <c:v>7.3</c:v>
                </c:pt>
                <c:pt idx="155">
                  <c:v>6.1</c:v>
                </c:pt>
                <c:pt idx="156">
                  <c:v>7.7</c:v>
                </c:pt>
                <c:pt idx="157">
                  <c:v>6.1</c:v>
                </c:pt>
                <c:pt idx="158">
                  <c:v>8</c:v>
                </c:pt>
                <c:pt idx="159">
                  <c:v>7.3</c:v>
                </c:pt>
                <c:pt idx="160">
                  <c:v>7.9</c:v>
                </c:pt>
                <c:pt idx="161">
                  <c:v>5.5</c:v>
                </c:pt>
                <c:pt idx="162">
                  <c:v>5</c:v>
                </c:pt>
                <c:pt idx="163">
                  <c:v>7.7</c:v>
                </c:pt>
                <c:pt idx="164">
                  <c:v>6.6</c:v>
                </c:pt>
                <c:pt idx="165">
                  <c:v>5.7</c:v>
                </c:pt>
                <c:pt idx="166">
                  <c:v>5.8</c:v>
                </c:pt>
                <c:pt idx="167">
                  <c:v>6</c:v>
                </c:pt>
                <c:pt idx="168">
                  <c:v>6.4</c:v>
                </c:pt>
                <c:pt idx="169">
                  <c:v>6.9</c:v>
                </c:pt>
                <c:pt idx="170">
                  <c:v>6.4</c:v>
                </c:pt>
                <c:pt idx="171">
                  <c:v>7.4</c:v>
                </c:pt>
                <c:pt idx="172">
                  <c:v>5.5</c:v>
                </c:pt>
                <c:pt idx="173">
                  <c:v>5.9</c:v>
                </c:pt>
                <c:pt idx="174">
                  <c:v>6.8</c:v>
                </c:pt>
                <c:pt idx="175">
                  <c:v>6.8</c:v>
                </c:pt>
                <c:pt idx="176">
                  <c:v>8.1</c:v>
                </c:pt>
                <c:pt idx="177">
                  <c:v>6.5</c:v>
                </c:pt>
                <c:pt idx="178">
                  <c:v>7.2</c:v>
                </c:pt>
                <c:pt idx="179">
                  <c:v>6.7</c:v>
                </c:pt>
                <c:pt idx="180">
                  <c:v>8.1</c:v>
                </c:pt>
                <c:pt idx="181">
                  <c:v>7.6</c:v>
                </c:pt>
                <c:pt idx="182">
                  <c:v>7.4</c:v>
                </c:pt>
                <c:pt idx="183">
                  <c:v>7.6</c:v>
                </c:pt>
                <c:pt idx="184">
                  <c:v>6.7</c:v>
                </c:pt>
                <c:pt idx="185">
                  <c:v>6.5</c:v>
                </c:pt>
                <c:pt idx="186">
                  <c:v>6.6</c:v>
                </c:pt>
                <c:pt idx="187">
                  <c:v>6.7</c:v>
                </c:pt>
                <c:pt idx="188">
                  <c:v>6.4</c:v>
                </c:pt>
                <c:pt idx="189">
                  <c:v>5.8</c:v>
                </c:pt>
                <c:pt idx="190">
                  <c:v>7.4</c:v>
                </c:pt>
                <c:pt idx="191">
                  <c:v>7.8</c:v>
                </c:pt>
                <c:pt idx="192">
                  <c:v>6.6</c:v>
                </c:pt>
                <c:pt idx="193">
                  <c:v>4.9000000000000004</c:v>
                </c:pt>
                <c:pt idx="194">
                  <c:v>6.5</c:v>
                </c:pt>
                <c:pt idx="195">
                  <c:v>6.2</c:v>
                </c:pt>
                <c:pt idx="196">
                  <c:v>7.3</c:v>
                </c:pt>
                <c:pt idx="197">
                  <c:v>7.5</c:v>
                </c:pt>
                <c:pt idx="198">
                  <c:v>5.6</c:v>
                </c:pt>
                <c:pt idx="199">
                  <c:v>8.1</c:v>
                </c:pt>
                <c:pt idx="200">
                  <c:v>6.7</c:v>
                </c:pt>
                <c:pt idx="201">
                  <c:v>6.6</c:v>
                </c:pt>
                <c:pt idx="202">
                  <c:v>6.4</c:v>
                </c:pt>
                <c:pt idx="203">
                  <c:v>7.5</c:v>
                </c:pt>
                <c:pt idx="204">
                  <c:v>7.3</c:v>
                </c:pt>
                <c:pt idx="205">
                  <c:v>7.5</c:v>
                </c:pt>
                <c:pt idx="206">
                  <c:v>5.8</c:v>
                </c:pt>
                <c:pt idx="207">
                  <c:v>7.5</c:v>
                </c:pt>
                <c:pt idx="208">
                  <c:v>6.6</c:v>
                </c:pt>
                <c:pt idx="209">
                  <c:v>6.7</c:v>
                </c:pt>
                <c:pt idx="210">
                  <c:v>3.7</c:v>
                </c:pt>
                <c:pt idx="211">
                  <c:v>6</c:v>
                </c:pt>
                <c:pt idx="212">
                  <c:v>6.4</c:v>
                </c:pt>
                <c:pt idx="213">
                  <c:v>6.1</c:v>
                </c:pt>
                <c:pt idx="214">
                  <c:v>6.4</c:v>
                </c:pt>
                <c:pt idx="215">
                  <c:v>5.6</c:v>
                </c:pt>
                <c:pt idx="216">
                  <c:v>8</c:v>
                </c:pt>
                <c:pt idx="217">
                  <c:v>5.2</c:v>
                </c:pt>
                <c:pt idx="218">
                  <c:v>7.1</c:v>
                </c:pt>
                <c:pt idx="219">
                  <c:v>4.8</c:v>
                </c:pt>
                <c:pt idx="220">
                  <c:v>7</c:v>
                </c:pt>
                <c:pt idx="221">
                  <c:v>5.4</c:v>
                </c:pt>
                <c:pt idx="222">
                  <c:v>6.6</c:v>
                </c:pt>
                <c:pt idx="223">
                  <c:v>6.7</c:v>
                </c:pt>
                <c:pt idx="224">
                  <c:v>6.2</c:v>
                </c:pt>
                <c:pt idx="225">
                  <c:v>6.1</c:v>
                </c:pt>
                <c:pt idx="226">
                  <c:v>5.3</c:v>
                </c:pt>
                <c:pt idx="227">
                  <c:v>6.3</c:v>
                </c:pt>
                <c:pt idx="228">
                  <c:v>7</c:v>
                </c:pt>
                <c:pt idx="229">
                  <c:v>7.6</c:v>
                </c:pt>
                <c:pt idx="230">
                  <c:v>6.7</c:v>
                </c:pt>
                <c:pt idx="231">
                  <c:v>8.1</c:v>
                </c:pt>
                <c:pt idx="232">
                  <c:v>6.7</c:v>
                </c:pt>
                <c:pt idx="233">
                  <c:v>6.5</c:v>
                </c:pt>
                <c:pt idx="234">
                  <c:v>7.3</c:v>
                </c:pt>
                <c:pt idx="235">
                  <c:v>5.0999999999999996</c:v>
                </c:pt>
                <c:pt idx="236">
                  <c:v>6</c:v>
                </c:pt>
                <c:pt idx="237">
                  <c:v>6.1</c:v>
                </c:pt>
                <c:pt idx="238">
                  <c:v>5.9</c:v>
                </c:pt>
                <c:pt idx="239">
                  <c:v>7.8</c:v>
                </c:pt>
                <c:pt idx="240">
                  <c:v>5.8</c:v>
                </c:pt>
                <c:pt idx="241">
                  <c:v>6.3</c:v>
                </c:pt>
                <c:pt idx="242">
                  <c:v>4.3</c:v>
                </c:pt>
                <c:pt idx="243">
                  <c:v>6.4</c:v>
                </c:pt>
                <c:pt idx="244">
                  <c:v>6.1</c:v>
                </c:pt>
                <c:pt idx="245">
                  <c:v>6.5</c:v>
                </c:pt>
                <c:pt idx="246">
                  <c:v>7.1</c:v>
                </c:pt>
                <c:pt idx="247">
                  <c:v>6.4</c:v>
                </c:pt>
                <c:pt idx="248">
                  <c:v>6.5</c:v>
                </c:pt>
                <c:pt idx="249">
                  <c:v>6.3</c:v>
                </c:pt>
                <c:pt idx="250">
                  <c:v>7.5</c:v>
                </c:pt>
                <c:pt idx="251">
                  <c:v>4.9000000000000004</c:v>
                </c:pt>
                <c:pt idx="252">
                  <c:v>5.8</c:v>
                </c:pt>
                <c:pt idx="253">
                  <c:v>6.2</c:v>
                </c:pt>
                <c:pt idx="254">
                  <c:v>5.5</c:v>
                </c:pt>
                <c:pt idx="255">
                  <c:v>5.4</c:v>
                </c:pt>
                <c:pt idx="256">
                  <c:v>5.8</c:v>
                </c:pt>
                <c:pt idx="257">
                  <c:v>7.1</c:v>
                </c:pt>
                <c:pt idx="258">
                  <c:v>5.4</c:v>
                </c:pt>
                <c:pt idx="259">
                  <c:v>3.7</c:v>
                </c:pt>
                <c:pt idx="260">
                  <c:v>6.7</c:v>
                </c:pt>
                <c:pt idx="261">
                  <c:v>7.2</c:v>
                </c:pt>
                <c:pt idx="262">
                  <c:v>8.8000000000000007</c:v>
                </c:pt>
                <c:pt idx="263">
                  <c:v>5.8</c:v>
                </c:pt>
                <c:pt idx="264">
                  <c:v>6.8</c:v>
                </c:pt>
                <c:pt idx="265">
                  <c:v>3.8</c:v>
                </c:pt>
                <c:pt idx="266">
                  <c:v>7.1</c:v>
                </c:pt>
                <c:pt idx="267">
                  <c:v>7.2</c:v>
                </c:pt>
                <c:pt idx="268">
                  <c:v>5.9</c:v>
                </c:pt>
                <c:pt idx="269">
                  <c:v>7.1</c:v>
                </c:pt>
                <c:pt idx="270">
                  <c:v>8.1</c:v>
                </c:pt>
                <c:pt idx="271">
                  <c:v>6.9</c:v>
                </c:pt>
                <c:pt idx="272">
                  <c:v>4.4000000000000004</c:v>
                </c:pt>
                <c:pt idx="273">
                  <c:v>6.5</c:v>
                </c:pt>
                <c:pt idx="274">
                  <c:v>8.5</c:v>
                </c:pt>
                <c:pt idx="275">
                  <c:v>7.7</c:v>
                </c:pt>
                <c:pt idx="276">
                  <c:v>7.4</c:v>
                </c:pt>
                <c:pt idx="277">
                  <c:v>8</c:v>
                </c:pt>
                <c:pt idx="278">
                  <c:v>5.7</c:v>
                </c:pt>
                <c:pt idx="279">
                  <c:v>8.5</c:v>
                </c:pt>
                <c:pt idx="280">
                  <c:v>7</c:v>
                </c:pt>
                <c:pt idx="281">
                  <c:v>7.8</c:v>
                </c:pt>
                <c:pt idx="282">
                  <c:v>7.2</c:v>
                </c:pt>
                <c:pt idx="283">
                  <c:v>6.4</c:v>
                </c:pt>
                <c:pt idx="284">
                  <c:v>5.5</c:v>
                </c:pt>
                <c:pt idx="285">
                  <c:v>6.7</c:v>
                </c:pt>
                <c:pt idx="286">
                  <c:v>6.1</c:v>
                </c:pt>
                <c:pt idx="287">
                  <c:v>8.5</c:v>
                </c:pt>
                <c:pt idx="288">
                  <c:v>6.9</c:v>
                </c:pt>
                <c:pt idx="289">
                  <c:v>7.3</c:v>
                </c:pt>
                <c:pt idx="290">
                  <c:v>6.7</c:v>
                </c:pt>
                <c:pt idx="291">
                  <c:v>6.9</c:v>
                </c:pt>
                <c:pt idx="292">
                  <c:v>5.0999999999999996</c:v>
                </c:pt>
                <c:pt idx="293">
                  <c:v>6.8</c:v>
                </c:pt>
                <c:pt idx="294">
                  <c:v>6.7</c:v>
                </c:pt>
                <c:pt idx="295">
                  <c:v>6</c:v>
                </c:pt>
                <c:pt idx="296">
                  <c:v>5.7</c:v>
                </c:pt>
                <c:pt idx="297">
                  <c:v>8</c:v>
                </c:pt>
                <c:pt idx="298">
                  <c:v>8.1999999999999993</c:v>
                </c:pt>
                <c:pt idx="299">
                  <c:v>5.4</c:v>
                </c:pt>
                <c:pt idx="300">
                  <c:v>7.2</c:v>
                </c:pt>
                <c:pt idx="301">
                  <c:v>7.5</c:v>
                </c:pt>
                <c:pt idx="302">
                  <c:v>7</c:v>
                </c:pt>
                <c:pt idx="303">
                  <c:v>3.3</c:v>
                </c:pt>
                <c:pt idx="304">
                  <c:v>6</c:v>
                </c:pt>
                <c:pt idx="305">
                  <c:v>7.1</c:v>
                </c:pt>
                <c:pt idx="306">
                  <c:v>5.4</c:v>
                </c:pt>
                <c:pt idx="307">
                  <c:v>6.1</c:v>
                </c:pt>
                <c:pt idx="308">
                  <c:v>5.3</c:v>
                </c:pt>
                <c:pt idx="309">
                  <c:v>2.2000000000000002</c:v>
                </c:pt>
                <c:pt idx="310">
                  <c:v>7</c:v>
                </c:pt>
                <c:pt idx="311">
                  <c:v>3.8</c:v>
                </c:pt>
                <c:pt idx="312">
                  <c:v>6.9</c:v>
                </c:pt>
                <c:pt idx="313">
                  <c:v>7.2</c:v>
                </c:pt>
                <c:pt idx="314">
                  <c:v>7.3</c:v>
                </c:pt>
                <c:pt idx="315">
                  <c:v>6.3</c:v>
                </c:pt>
                <c:pt idx="316">
                  <c:v>7.5</c:v>
                </c:pt>
                <c:pt idx="317">
                  <c:v>7.6</c:v>
                </c:pt>
                <c:pt idx="318">
                  <c:v>6.8</c:v>
                </c:pt>
                <c:pt idx="319">
                  <c:v>5.2</c:v>
                </c:pt>
                <c:pt idx="320">
                  <c:v>7.7</c:v>
                </c:pt>
                <c:pt idx="321">
                  <c:v>6.2</c:v>
                </c:pt>
                <c:pt idx="322">
                  <c:v>7.7</c:v>
                </c:pt>
                <c:pt idx="323">
                  <c:v>4.3</c:v>
                </c:pt>
                <c:pt idx="324">
                  <c:v>6.9</c:v>
                </c:pt>
                <c:pt idx="325">
                  <c:v>6.6</c:v>
                </c:pt>
                <c:pt idx="326">
                  <c:v>7</c:v>
                </c:pt>
                <c:pt idx="327">
                  <c:v>6.7</c:v>
                </c:pt>
                <c:pt idx="328">
                  <c:v>8.1999999999999993</c:v>
                </c:pt>
                <c:pt idx="329">
                  <c:v>8.9</c:v>
                </c:pt>
                <c:pt idx="330">
                  <c:v>8.6999999999999993</c:v>
                </c:pt>
                <c:pt idx="331">
                  <c:v>5.5</c:v>
                </c:pt>
                <c:pt idx="332">
                  <c:v>5.7</c:v>
                </c:pt>
                <c:pt idx="333">
                  <c:v>6.3</c:v>
                </c:pt>
                <c:pt idx="334">
                  <c:v>5.9</c:v>
                </c:pt>
                <c:pt idx="335">
                  <c:v>7.6</c:v>
                </c:pt>
                <c:pt idx="336">
                  <c:v>6.6</c:v>
                </c:pt>
                <c:pt idx="337">
                  <c:v>5.3</c:v>
                </c:pt>
                <c:pt idx="338">
                  <c:v>6</c:v>
                </c:pt>
                <c:pt idx="339">
                  <c:v>8</c:v>
                </c:pt>
                <c:pt idx="340">
                  <c:v>5.6</c:v>
                </c:pt>
                <c:pt idx="341">
                  <c:v>5.9</c:v>
                </c:pt>
                <c:pt idx="342">
                  <c:v>7.3</c:v>
                </c:pt>
                <c:pt idx="343">
                  <c:v>7.9</c:v>
                </c:pt>
                <c:pt idx="344">
                  <c:v>6.8</c:v>
                </c:pt>
                <c:pt idx="345">
                  <c:v>6.6</c:v>
                </c:pt>
                <c:pt idx="346">
                  <c:v>6.6</c:v>
                </c:pt>
                <c:pt idx="347">
                  <c:v>7</c:v>
                </c:pt>
                <c:pt idx="348">
                  <c:v>7</c:v>
                </c:pt>
                <c:pt idx="349">
                  <c:v>7.3</c:v>
                </c:pt>
                <c:pt idx="350">
                  <c:v>5.5</c:v>
                </c:pt>
                <c:pt idx="351">
                  <c:v>8.5</c:v>
                </c:pt>
                <c:pt idx="352">
                  <c:v>7.5</c:v>
                </c:pt>
                <c:pt idx="353">
                  <c:v>7</c:v>
                </c:pt>
                <c:pt idx="354">
                  <c:v>7.8</c:v>
                </c:pt>
                <c:pt idx="355">
                  <c:v>7.6</c:v>
                </c:pt>
                <c:pt idx="356">
                  <c:v>7.6</c:v>
                </c:pt>
                <c:pt idx="357">
                  <c:v>6.1</c:v>
                </c:pt>
                <c:pt idx="358">
                  <c:v>6.8</c:v>
                </c:pt>
                <c:pt idx="359">
                  <c:v>5</c:v>
                </c:pt>
                <c:pt idx="360">
                  <c:v>7.1</c:v>
                </c:pt>
                <c:pt idx="361">
                  <c:v>5.5</c:v>
                </c:pt>
                <c:pt idx="362">
                  <c:v>5.6</c:v>
                </c:pt>
                <c:pt idx="363">
                  <c:v>7.1</c:v>
                </c:pt>
                <c:pt idx="364">
                  <c:v>4.9000000000000004</c:v>
                </c:pt>
                <c:pt idx="365">
                  <c:v>7.4</c:v>
                </c:pt>
                <c:pt idx="366">
                  <c:v>5.7</c:v>
                </c:pt>
                <c:pt idx="367">
                  <c:v>6.4</c:v>
                </c:pt>
                <c:pt idx="368">
                  <c:v>5.9</c:v>
                </c:pt>
                <c:pt idx="369">
                  <c:v>5.5</c:v>
                </c:pt>
                <c:pt idx="370">
                  <c:v>6.9</c:v>
                </c:pt>
                <c:pt idx="371">
                  <c:v>6.2</c:v>
                </c:pt>
                <c:pt idx="372">
                  <c:v>7</c:v>
                </c:pt>
                <c:pt idx="373">
                  <c:v>5.6</c:v>
                </c:pt>
                <c:pt idx="374">
                  <c:v>7</c:v>
                </c:pt>
                <c:pt idx="375">
                  <c:v>6.8</c:v>
                </c:pt>
                <c:pt idx="376">
                  <c:v>5.4</c:v>
                </c:pt>
                <c:pt idx="377">
                  <c:v>6.1</c:v>
                </c:pt>
                <c:pt idx="378">
                  <c:v>6.7</c:v>
                </c:pt>
                <c:pt idx="379">
                  <c:v>6.9</c:v>
                </c:pt>
                <c:pt idx="380">
                  <c:v>8</c:v>
                </c:pt>
                <c:pt idx="381">
                  <c:v>4.4000000000000004</c:v>
                </c:pt>
                <c:pt idx="382">
                  <c:v>7.3</c:v>
                </c:pt>
                <c:pt idx="383">
                  <c:v>6.3</c:v>
                </c:pt>
                <c:pt idx="384">
                  <c:v>7.7</c:v>
                </c:pt>
                <c:pt idx="385">
                  <c:v>6.5</c:v>
                </c:pt>
                <c:pt idx="386">
                  <c:v>7.8</c:v>
                </c:pt>
                <c:pt idx="387">
                  <c:v>6.4</c:v>
                </c:pt>
                <c:pt idx="388">
                  <c:v>7.8</c:v>
                </c:pt>
                <c:pt idx="389">
                  <c:v>5.8</c:v>
                </c:pt>
                <c:pt idx="390">
                  <c:v>7.1</c:v>
                </c:pt>
                <c:pt idx="391">
                  <c:v>7.1</c:v>
                </c:pt>
                <c:pt idx="392">
                  <c:v>6.8</c:v>
                </c:pt>
                <c:pt idx="393">
                  <c:v>4.8</c:v>
                </c:pt>
                <c:pt idx="394">
                  <c:v>6.2</c:v>
                </c:pt>
                <c:pt idx="395">
                  <c:v>6.9</c:v>
                </c:pt>
                <c:pt idx="396">
                  <c:v>7.3</c:v>
                </c:pt>
                <c:pt idx="397">
                  <c:v>6.6</c:v>
                </c:pt>
                <c:pt idx="398">
                  <c:v>6.9</c:v>
                </c:pt>
                <c:pt idx="399">
                  <c:v>6.2</c:v>
                </c:pt>
                <c:pt idx="400">
                  <c:v>6.7</c:v>
                </c:pt>
                <c:pt idx="401">
                  <c:v>7.6</c:v>
                </c:pt>
                <c:pt idx="402">
                  <c:v>6.7</c:v>
                </c:pt>
                <c:pt idx="403">
                  <c:v>6.2</c:v>
                </c:pt>
                <c:pt idx="404">
                  <c:v>7.3</c:v>
                </c:pt>
                <c:pt idx="405">
                  <c:v>6</c:v>
                </c:pt>
                <c:pt idx="406">
                  <c:v>7.1</c:v>
                </c:pt>
                <c:pt idx="407">
                  <c:v>7.1</c:v>
                </c:pt>
                <c:pt idx="408">
                  <c:v>5.5</c:v>
                </c:pt>
                <c:pt idx="409">
                  <c:v>7.8</c:v>
                </c:pt>
                <c:pt idx="410">
                  <c:v>5.6</c:v>
                </c:pt>
                <c:pt idx="411">
                  <c:v>7.5</c:v>
                </c:pt>
                <c:pt idx="412">
                  <c:v>5.4</c:v>
                </c:pt>
                <c:pt idx="413">
                  <c:v>4.3</c:v>
                </c:pt>
                <c:pt idx="414">
                  <c:v>4.9000000000000004</c:v>
                </c:pt>
                <c:pt idx="415">
                  <c:v>7.1</c:v>
                </c:pt>
                <c:pt idx="416">
                  <c:v>6.4</c:v>
                </c:pt>
                <c:pt idx="417">
                  <c:v>6.9</c:v>
                </c:pt>
                <c:pt idx="418">
                  <c:v>4.3</c:v>
                </c:pt>
                <c:pt idx="419">
                  <c:v>6.1</c:v>
                </c:pt>
                <c:pt idx="420">
                  <c:v>7</c:v>
                </c:pt>
                <c:pt idx="421">
                  <c:v>7.7</c:v>
                </c:pt>
                <c:pt idx="422">
                  <c:v>5.9</c:v>
                </c:pt>
                <c:pt idx="423">
                  <c:v>6.7</c:v>
                </c:pt>
                <c:pt idx="424">
                  <c:v>6.5</c:v>
                </c:pt>
                <c:pt idx="425">
                  <c:v>7.1</c:v>
                </c:pt>
                <c:pt idx="426">
                  <c:v>7.3</c:v>
                </c:pt>
                <c:pt idx="427">
                  <c:v>6.5</c:v>
                </c:pt>
                <c:pt idx="428">
                  <c:v>7</c:v>
                </c:pt>
                <c:pt idx="429">
                  <c:v>6.8</c:v>
                </c:pt>
                <c:pt idx="430">
                  <c:v>7.2</c:v>
                </c:pt>
                <c:pt idx="431">
                  <c:v>6.4</c:v>
                </c:pt>
                <c:pt idx="432">
                  <c:v>6.1</c:v>
                </c:pt>
                <c:pt idx="433">
                  <c:v>6.7</c:v>
                </c:pt>
                <c:pt idx="434">
                  <c:v>6.4</c:v>
                </c:pt>
                <c:pt idx="435">
                  <c:v>4.4000000000000004</c:v>
                </c:pt>
                <c:pt idx="436">
                  <c:v>5.4</c:v>
                </c:pt>
                <c:pt idx="437">
                  <c:v>6.5</c:v>
                </c:pt>
                <c:pt idx="438">
                  <c:v>6.7</c:v>
                </c:pt>
                <c:pt idx="439">
                  <c:v>8.1</c:v>
                </c:pt>
                <c:pt idx="440">
                  <c:v>5.6</c:v>
                </c:pt>
                <c:pt idx="441">
                  <c:v>6.3</c:v>
                </c:pt>
                <c:pt idx="442">
                  <c:v>7.3</c:v>
                </c:pt>
                <c:pt idx="443">
                  <c:v>6.1</c:v>
                </c:pt>
                <c:pt idx="444">
                  <c:v>7.7</c:v>
                </c:pt>
                <c:pt idx="445">
                  <c:v>6.4</c:v>
                </c:pt>
                <c:pt idx="446">
                  <c:v>6.8</c:v>
                </c:pt>
                <c:pt idx="447">
                  <c:v>6.6</c:v>
                </c:pt>
                <c:pt idx="448">
                  <c:v>7.2</c:v>
                </c:pt>
                <c:pt idx="449">
                  <c:v>6.9</c:v>
                </c:pt>
                <c:pt idx="450">
                  <c:v>5.2</c:v>
                </c:pt>
                <c:pt idx="451">
                  <c:v>4.9000000000000004</c:v>
                </c:pt>
                <c:pt idx="452">
                  <c:v>6.3</c:v>
                </c:pt>
                <c:pt idx="453">
                  <c:v>5.6</c:v>
                </c:pt>
                <c:pt idx="454">
                  <c:v>5.5</c:v>
                </c:pt>
                <c:pt idx="455">
                  <c:v>6.7</c:v>
                </c:pt>
                <c:pt idx="456">
                  <c:v>7.6</c:v>
                </c:pt>
                <c:pt idx="457">
                  <c:v>5.7</c:v>
                </c:pt>
                <c:pt idx="458">
                  <c:v>4.5999999999999996</c:v>
                </c:pt>
                <c:pt idx="459">
                  <c:v>7</c:v>
                </c:pt>
                <c:pt idx="460">
                  <c:v>5.2</c:v>
                </c:pt>
                <c:pt idx="461">
                  <c:v>5.0999999999999996</c:v>
                </c:pt>
                <c:pt idx="462">
                  <c:v>6.6</c:v>
                </c:pt>
                <c:pt idx="463">
                  <c:v>7</c:v>
                </c:pt>
                <c:pt idx="464">
                  <c:v>6.7</c:v>
                </c:pt>
                <c:pt idx="465">
                  <c:v>7.3</c:v>
                </c:pt>
                <c:pt idx="466">
                  <c:v>5.9</c:v>
                </c:pt>
                <c:pt idx="467">
                  <c:v>5.6</c:v>
                </c:pt>
                <c:pt idx="468">
                  <c:v>6.5</c:v>
                </c:pt>
                <c:pt idx="469">
                  <c:v>5.9</c:v>
                </c:pt>
                <c:pt idx="470">
                  <c:v>7</c:v>
                </c:pt>
                <c:pt idx="471">
                  <c:v>5.3</c:v>
                </c:pt>
                <c:pt idx="472">
                  <c:v>5.9</c:v>
                </c:pt>
                <c:pt idx="473">
                  <c:v>6.3</c:v>
                </c:pt>
                <c:pt idx="474">
                  <c:v>6.4</c:v>
                </c:pt>
                <c:pt idx="475">
                  <c:v>6.9</c:v>
                </c:pt>
                <c:pt idx="476">
                  <c:v>6.3</c:v>
                </c:pt>
                <c:pt idx="477">
                  <c:v>7.3</c:v>
                </c:pt>
                <c:pt idx="478">
                  <c:v>5.8</c:v>
                </c:pt>
                <c:pt idx="479">
                  <c:v>5.2</c:v>
                </c:pt>
                <c:pt idx="480">
                  <c:v>2.4</c:v>
                </c:pt>
                <c:pt idx="481">
                  <c:v>5.7</c:v>
                </c:pt>
                <c:pt idx="482">
                  <c:v>5.8</c:v>
                </c:pt>
                <c:pt idx="483">
                  <c:v>5.6</c:v>
                </c:pt>
                <c:pt idx="484">
                  <c:v>6</c:v>
                </c:pt>
                <c:pt idx="485">
                  <c:v>5.8</c:v>
                </c:pt>
                <c:pt idx="486">
                  <c:v>6</c:v>
                </c:pt>
                <c:pt idx="487">
                  <c:v>5.7</c:v>
                </c:pt>
                <c:pt idx="488">
                  <c:v>6</c:v>
                </c:pt>
                <c:pt idx="489">
                  <c:v>7.8</c:v>
                </c:pt>
                <c:pt idx="490">
                  <c:v>4.2</c:v>
                </c:pt>
                <c:pt idx="491">
                  <c:v>5.6</c:v>
                </c:pt>
                <c:pt idx="492">
                  <c:v>4.4000000000000004</c:v>
                </c:pt>
                <c:pt idx="493">
                  <c:v>8.1999999999999993</c:v>
                </c:pt>
                <c:pt idx="494">
                  <c:v>8.5</c:v>
                </c:pt>
                <c:pt idx="495">
                  <c:v>5.8</c:v>
                </c:pt>
                <c:pt idx="496">
                  <c:v>6.5</c:v>
                </c:pt>
                <c:pt idx="497">
                  <c:v>7.2</c:v>
                </c:pt>
                <c:pt idx="498">
                  <c:v>6.7</c:v>
                </c:pt>
                <c:pt idx="499">
                  <c:v>3.4</c:v>
                </c:pt>
                <c:pt idx="500">
                  <c:v>5.9</c:v>
                </c:pt>
                <c:pt idx="501">
                  <c:v>7.8</c:v>
                </c:pt>
                <c:pt idx="502">
                  <c:v>5.9</c:v>
                </c:pt>
                <c:pt idx="503">
                  <c:v>4.0999999999999996</c:v>
                </c:pt>
                <c:pt idx="504">
                  <c:v>6.8</c:v>
                </c:pt>
                <c:pt idx="505">
                  <c:v>5.8</c:v>
                </c:pt>
                <c:pt idx="506">
                  <c:v>7.5</c:v>
                </c:pt>
                <c:pt idx="507">
                  <c:v>6.9</c:v>
                </c:pt>
                <c:pt idx="508">
                  <c:v>6.5</c:v>
                </c:pt>
                <c:pt idx="509">
                  <c:v>6.9</c:v>
                </c:pt>
                <c:pt idx="510">
                  <c:v>7.9</c:v>
                </c:pt>
                <c:pt idx="511">
                  <c:v>7.4</c:v>
                </c:pt>
                <c:pt idx="512">
                  <c:v>6.7</c:v>
                </c:pt>
                <c:pt idx="513">
                  <c:v>7.4</c:v>
                </c:pt>
                <c:pt idx="514">
                  <c:v>6.9</c:v>
                </c:pt>
                <c:pt idx="515">
                  <c:v>6.8</c:v>
                </c:pt>
                <c:pt idx="516">
                  <c:v>6.7</c:v>
                </c:pt>
                <c:pt idx="517">
                  <c:v>5.0999999999999996</c:v>
                </c:pt>
                <c:pt idx="518">
                  <c:v>4.0999999999999996</c:v>
                </c:pt>
                <c:pt idx="519">
                  <c:v>7.3</c:v>
                </c:pt>
                <c:pt idx="520">
                  <c:v>6</c:v>
                </c:pt>
                <c:pt idx="521">
                  <c:v>7.3</c:v>
                </c:pt>
                <c:pt idx="522">
                  <c:v>5.4</c:v>
                </c:pt>
                <c:pt idx="523">
                  <c:v>5.9</c:v>
                </c:pt>
                <c:pt idx="524">
                  <c:v>7.1</c:v>
                </c:pt>
                <c:pt idx="525">
                  <c:v>6</c:v>
                </c:pt>
                <c:pt idx="526">
                  <c:v>6.5</c:v>
                </c:pt>
                <c:pt idx="527">
                  <c:v>5.7</c:v>
                </c:pt>
                <c:pt idx="528">
                  <c:v>7.6</c:v>
                </c:pt>
                <c:pt idx="529">
                  <c:v>6.6</c:v>
                </c:pt>
                <c:pt idx="530">
                  <c:v>5.4</c:v>
                </c:pt>
                <c:pt idx="531">
                  <c:v>7.3</c:v>
                </c:pt>
                <c:pt idx="532">
                  <c:v>6.5</c:v>
                </c:pt>
                <c:pt idx="533">
                  <c:v>6.6</c:v>
                </c:pt>
                <c:pt idx="534">
                  <c:v>6.6</c:v>
                </c:pt>
                <c:pt idx="535">
                  <c:v>5.9</c:v>
                </c:pt>
                <c:pt idx="536">
                  <c:v>6.7</c:v>
                </c:pt>
                <c:pt idx="537">
                  <c:v>6.1</c:v>
                </c:pt>
                <c:pt idx="538">
                  <c:v>6.6</c:v>
                </c:pt>
                <c:pt idx="539">
                  <c:v>6.6</c:v>
                </c:pt>
                <c:pt idx="540">
                  <c:v>5.3</c:v>
                </c:pt>
                <c:pt idx="541">
                  <c:v>6</c:v>
                </c:pt>
                <c:pt idx="542">
                  <c:v>6</c:v>
                </c:pt>
                <c:pt idx="543">
                  <c:v>4.7</c:v>
                </c:pt>
                <c:pt idx="544">
                  <c:v>6.1</c:v>
                </c:pt>
                <c:pt idx="545">
                  <c:v>7.2</c:v>
                </c:pt>
                <c:pt idx="546">
                  <c:v>6.4</c:v>
                </c:pt>
                <c:pt idx="547">
                  <c:v>6.1</c:v>
                </c:pt>
                <c:pt idx="548">
                  <c:v>5.9</c:v>
                </c:pt>
                <c:pt idx="549">
                  <c:v>6</c:v>
                </c:pt>
                <c:pt idx="550">
                  <c:v>6.3</c:v>
                </c:pt>
                <c:pt idx="551">
                  <c:v>5.6</c:v>
                </c:pt>
                <c:pt idx="552">
                  <c:v>6.4</c:v>
                </c:pt>
                <c:pt idx="553">
                  <c:v>7.1</c:v>
                </c:pt>
                <c:pt idx="554">
                  <c:v>6.6</c:v>
                </c:pt>
                <c:pt idx="555">
                  <c:v>4.5999999999999996</c:v>
                </c:pt>
                <c:pt idx="556">
                  <c:v>8.4</c:v>
                </c:pt>
                <c:pt idx="557">
                  <c:v>7.1</c:v>
                </c:pt>
                <c:pt idx="558">
                  <c:v>7.4</c:v>
                </c:pt>
                <c:pt idx="559">
                  <c:v>6.9</c:v>
                </c:pt>
                <c:pt idx="560">
                  <c:v>4.5</c:v>
                </c:pt>
                <c:pt idx="561">
                  <c:v>7.1</c:v>
                </c:pt>
                <c:pt idx="562">
                  <c:v>6.5</c:v>
                </c:pt>
                <c:pt idx="563">
                  <c:v>5.3</c:v>
                </c:pt>
                <c:pt idx="564">
                  <c:v>6.7</c:v>
                </c:pt>
                <c:pt idx="565">
                  <c:v>7.2</c:v>
                </c:pt>
                <c:pt idx="566">
                  <c:v>7.2</c:v>
                </c:pt>
                <c:pt idx="567">
                  <c:v>5.5</c:v>
                </c:pt>
                <c:pt idx="568">
                  <c:v>5.8</c:v>
                </c:pt>
                <c:pt idx="569">
                  <c:v>6</c:v>
                </c:pt>
                <c:pt idx="570">
                  <c:v>6.6</c:v>
                </c:pt>
                <c:pt idx="571">
                  <c:v>8.3000000000000007</c:v>
                </c:pt>
                <c:pt idx="572">
                  <c:v>6.7</c:v>
                </c:pt>
                <c:pt idx="573">
                  <c:v>7.1</c:v>
                </c:pt>
                <c:pt idx="574">
                  <c:v>6</c:v>
                </c:pt>
                <c:pt idx="575">
                  <c:v>6.9</c:v>
                </c:pt>
                <c:pt idx="576">
                  <c:v>5.6</c:v>
                </c:pt>
                <c:pt idx="577">
                  <c:v>5.6</c:v>
                </c:pt>
                <c:pt idx="578">
                  <c:v>4.5</c:v>
                </c:pt>
                <c:pt idx="579">
                  <c:v>7.1</c:v>
                </c:pt>
                <c:pt idx="580">
                  <c:v>6.5</c:v>
                </c:pt>
                <c:pt idx="581">
                  <c:v>6.4</c:v>
                </c:pt>
                <c:pt idx="582">
                  <c:v>5.8</c:v>
                </c:pt>
                <c:pt idx="583">
                  <c:v>8</c:v>
                </c:pt>
                <c:pt idx="584">
                  <c:v>6.2</c:v>
                </c:pt>
                <c:pt idx="585">
                  <c:v>7.2</c:v>
                </c:pt>
                <c:pt idx="586">
                  <c:v>6.1</c:v>
                </c:pt>
                <c:pt idx="587">
                  <c:v>7.6</c:v>
                </c:pt>
                <c:pt idx="588">
                  <c:v>6.3</c:v>
                </c:pt>
                <c:pt idx="589">
                  <c:v>6.3</c:v>
                </c:pt>
                <c:pt idx="590">
                  <c:v>6.3</c:v>
                </c:pt>
                <c:pt idx="591">
                  <c:v>7.7</c:v>
                </c:pt>
                <c:pt idx="592">
                  <c:v>7</c:v>
                </c:pt>
                <c:pt idx="593">
                  <c:v>5.3</c:v>
                </c:pt>
                <c:pt idx="594">
                  <c:v>5.6</c:v>
                </c:pt>
                <c:pt idx="595">
                  <c:v>5.2</c:v>
                </c:pt>
                <c:pt idx="596">
                  <c:v>5.4</c:v>
                </c:pt>
                <c:pt idx="597">
                  <c:v>6.4</c:v>
                </c:pt>
                <c:pt idx="598">
                  <c:v>5.9</c:v>
                </c:pt>
                <c:pt idx="599">
                  <c:v>6.3</c:v>
                </c:pt>
                <c:pt idx="600">
                  <c:v>6.5</c:v>
                </c:pt>
                <c:pt idx="601">
                  <c:v>3</c:v>
                </c:pt>
                <c:pt idx="602">
                  <c:v>3.6</c:v>
                </c:pt>
                <c:pt idx="603">
                  <c:v>5.8</c:v>
                </c:pt>
                <c:pt idx="604">
                  <c:v>6.2</c:v>
                </c:pt>
                <c:pt idx="605">
                  <c:v>5.6</c:v>
                </c:pt>
                <c:pt idx="606">
                  <c:v>5.4</c:v>
                </c:pt>
                <c:pt idx="607">
                  <c:v>6.1</c:v>
                </c:pt>
                <c:pt idx="608">
                  <c:v>4.2</c:v>
                </c:pt>
                <c:pt idx="609">
                  <c:v>6.7</c:v>
                </c:pt>
                <c:pt idx="610">
                  <c:v>4.2</c:v>
                </c:pt>
                <c:pt idx="611">
                  <c:v>6.4</c:v>
                </c:pt>
                <c:pt idx="612">
                  <c:v>4.9000000000000004</c:v>
                </c:pt>
                <c:pt idx="613">
                  <c:v>6.8</c:v>
                </c:pt>
                <c:pt idx="614">
                  <c:v>7.7</c:v>
                </c:pt>
                <c:pt idx="615">
                  <c:v>5.6</c:v>
                </c:pt>
                <c:pt idx="616">
                  <c:v>6.4</c:v>
                </c:pt>
                <c:pt idx="617">
                  <c:v>7.2</c:v>
                </c:pt>
                <c:pt idx="618">
                  <c:v>6</c:v>
                </c:pt>
                <c:pt idx="619">
                  <c:v>5.9</c:v>
                </c:pt>
                <c:pt idx="620">
                  <c:v>7.9</c:v>
                </c:pt>
                <c:pt idx="621">
                  <c:v>6.8</c:v>
                </c:pt>
                <c:pt idx="622">
                  <c:v>7.1</c:v>
                </c:pt>
                <c:pt idx="623">
                  <c:v>5.9</c:v>
                </c:pt>
                <c:pt idx="624">
                  <c:v>5.9</c:v>
                </c:pt>
                <c:pt idx="625">
                  <c:v>6.2</c:v>
                </c:pt>
                <c:pt idx="626">
                  <c:v>7</c:v>
                </c:pt>
                <c:pt idx="627">
                  <c:v>5.4</c:v>
                </c:pt>
                <c:pt idx="628">
                  <c:v>8.6</c:v>
                </c:pt>
                <c:pt idx="629">
                  <c:v>6.5</c:v>
                </c:pt>
                <c:pt idx="630">
                  <c:v>6.4</c:v>
                </c:pt>
                <c:pt idx="631">
                  <c:v>7.6</c:v>
                </c:pt>
                <c:pt idx="632">
                  <c:v>5.5</c:v>
                </c:pt>
                <c:pt idx="633">
                  <c:v>7.4</c:v>
                </c:pt>
                <c:pt idx="634">
                  <c:v>8.6999999999999993</c:v>
                </c:pt>
                <c:pt idx="635">
                  <c:v>7.6</c:v>
                </c:pt>
                <c:pt idx="636">
                  <c:v>5.5</c:v>
                </c:pt>
                <c:pt idx="637">
                  <c:v>7.6</c:v>
                </c:pt>
                <c:pt idx="638">
                  <c:v>6.5</c:v>
                </c:pt>
                <c:pt idx="639">
                  <c:v>6.9</c:v>
                </c:pt>
                <c:pt idx="640">
                  <c:v>6.7</c:v>
                </c:pt>
                <c:pt idx="641">
                  <c:v>6.6</c:v>
                </c:pt>
                <c:pt idx="642">
                  <c:v>7.2</c:v>
                </c:pt>
                <c:pt idx="643">
                  <c:v>6.4</c:v>
                </c:pt>
                <c:pt idx="644">
                  <c:v>6.4</c:v>
                </c:pt>
                <c:pt idx="645">
                  <c:v>6</c:v>
                </c:pt>
                <c:pt idx="646">
                  <c:v>6.1</c:v>
                </c:pt>
                <c:pt idx="647">
                  <c:v>6</c:v>
                </c:pt>
                <c:pt idx="648">
                  <c:v>6.4</c:v>
                </c:pt>
                <c:pt idx="649">
                  <c:v>6.4</c:v>
                </c:pt>
                <c:pt idx="650">
                  <c:v>7.3</c:v>
                </c:pt>
                <c:pt idx="651">
                  <c:v>5.2</c:v>
                </c:pt>
                <c:pt idx="652">
                  <c:v>6.6</c:v>
                </c:pt>
                <c:pt idx="653">
                  <c:v>6.3</c:v>
                </c:pt>
                <c:pt idx="654">
                  <c:v>5.9</c:v>
                </c:pt>
                <c:pt idx="655">
                  <c:v>6.4</c:v>
                </c:pt>
                <c:pt idx="656">
                  <c:v>6.7</c:v>
                </c:pt>
                <c:pt idx="657">
                  <c:v>5.4</c:v>
                </c:pt>
                <c:pt idx="658">
                  <c:v>6.4</c:v>
                </c:pt>
                <c:pt idx="659">
                  <c:v>6.7</c:v>
                </c:pt>
                <c:pt idx="660">
                  <c:v>6.2</c:v>
                </c:pt>
                <c:pt idx="661">
                  <c:v>6.1</c:v>
                </c:pt>
                <c:pt idx="662">
                  <c:v>8.8000000000000007</c:v>
                </c:pt>
                <c:pt idx="663">
                  <c:v>7.1</c:v>
                </c:pt>
                <c:pt idx="664">
                  <c:v>5.7</c:v>
                </c:pt>
                <c:pt idx="665">
                  <c:v>5</c:v>
                </c:pt>
                <c:pt idx="666">
                  <c:v>5.0999999999999996</c:v>
                </c:pt>
                <c:pt idx="667">
                  <c:v>6.9</c:v>
                </c:pt>
                <c:pt idx="668">
                  <c:v>4.8</c:v>
                </c:pt>
                <c:pt idx="669">
                  <c:v>6.5</c:v>
                </c:pt>
                <c:pt idx="670">
                  <c:v>5.0999999999999996</c:v>
                </c:pt>
                <c:pt idx="671">
                  <c:v>7.1</c:v>
                </c:pt>
                <c:pt idx="672">
                  <c:v>7.5</c:v>
                </c:pt>
                <c:pt idx="673">
                  <c:v>6.2</c:v>
                </c:pt>
                <c:pt idx="674">
                  <c:v>6.3</c:v>
                </c:pt>
                <c:pt idx="675">
                  <c:v>8.1</c:v>
                </c:pt>
                <c:pt idx="676">
                  <c:v>6.6</c:v>
                </c:pt>
                <c:pt idx="677">
                  <c:v>6.9</c:v>
                </c:pt>
                <c:pt idx="678">
                  <c:v>6.1</c:v>
                </c:pt>
                <c:pt idx="679">
                  <c:v>4.3</c:v>
                </c:pt>
                <c:pt idx="680">
                  <c:v>6.6</c:v>
                </c:pt>
                <c:pt idx="681">
                  <c:v>6.8</c:v>
                </c:pt>
                <c:pt idx="682">
                  <c:v>3.8</c:v>
                </c:pt>
                <c:pt idx="683">
                  <c:v>5.9</c:v>
                </c:pt>
                <c:pt idx="684">
                  <c:v>7.9</c:v>
                </c:pt>
                <c:pt idx="685">
                  <c:v>6.3</c:v>
                </c:pt>
                <c:pt idx="686">
                  <c:v>5.5</c:v>
                </c:pt>
                <c:pt idx="687">
                  <c:v>7.7</c:v>
                </c:pt>
                <c:pt idx="688">
                  <c:v>6.3</c:v>
                </c:pt>
                <c:pt idx="689">
                  <c:v>7.1</c:v>
                </c:pt>
                <c:pt idx="690">
                  <c:v>8.5</c:v>
                </c:pt>
                <c:pt idx="691">
                  <c:v>5.9</c:v>
                </c:pt>
                <c:pt idx="692">
                  <c:v>5.8</c:v>
                </c:pt>
                <c:pt idx="693">
                  <c:v>8.1</c:v>
                </c:pt>
                <c:pt idx="694">
                  <c:v>7.9</c:v>
                </c:pt>
                <c:pt idx="695">
                  <c:v>7.2</c:v>
                </c:pt>
                <c:pt idx="696">
                  <c:v>6.3</c:v>
                </c:pt>
                <c:pt idx="697">
                  <c:v>8.1</c:v>
                </c:pt>
                <c:pt idx="698">
                  <c:v>7</c:v>
                </c:pt>
                <c:pt idx="699">
                  <c:v>5.5</c:v>
                </c:pt>
                <c:pt idx="700">
                  <c:v>6.7</c:v>
                </c:pt>
                <c:pt idx="701">
                  <c:v>5.2</c:v>
                </c:pt>
                <c:pt idx="702">
                  <c:v>7</c:v>
                </c:pt>
                <c:pt idx="703">
                  <c:v>6.1</c:v>
                </c:pt>
                <c:pt idx="704">
                  <c:v>6.6</c:v>
                </c:pt>
                <c:pt idx="705">
                  <c:v>5.5</c:v>
                </c:pt>
                <c:pt idx="706">
                  <c:v>5.9</c:v>
                </c:pt>
                <c:pt idx="707">
                  <c:v>5.4</c:v>
                </c:pt>
                <c:pt idx="708">
                  <c:v>6.4</c:v>
                </c:pt>
                <c:pt idx="709">
                  <c:v>5.7</c:v>
                </c:pt>
                <c:pt idx="710">
                  <c:v>6.7</c:v>
                </c:pt>
                <c:pt idx="711">
                  <c:v>7.1</c:v>
                </c:pt>
                <c:pt idx="712">
                  <c:v>6.8</c:v>
                </c:pt>
                <c:pt idx="713">
                  <c:v>6.5</c:v>
                </c:pt>
                <c:pt idx="714">
                  <c:v>7.6</c:v>
                </c:pt>
                <c:pt idx="715">
                  <c:v>5.5</c:v>
                </c:pt>
                <c:pt idx="716">
                  <c:v>6.5</c:v>
                </c:pt>
                <c:pt idx="717">
                  <c:v>7</c:v>
                </c:pt>
                <c:pt idx="718">
                  <c:v>5.8</c:v>
                </c:pt>
                <c:pt idx="719">
                  <c:v>7.3</c:v>
                </c:pt>
                <c:pt idx="720">
                  <c:v>6.6</c:v>
                </c:pt>
                <c:pt idx="721">
                  <c:v>4.4000000000000004</c:v>
                </c:pt>
                <c:pt idx="722">
                  <c:v>7.7</c:v>
                </c:pt>
                <c:pt idx="723">
                  <c:v>5</c:v>
                </c:pt>
                <c:pt idx="724">
                  <c:v>7.7</c:v>
                </c:pt>
                <c:pt idx="725">
                  <c:v>4.4000000000000004</c:v>
                </c:pt>
                <c:pt idx="726">
                  <c:v>6.1</c:v>
                </c:pt>
                <c:pt idx="727">
                  <c:v>5.4</c:v>
                </c:pt>
                <c:pt idx="728">
                  <c:v>6.8</c:v>
                </c:pt>
                <c:pt idx="729">
                  <c:v>6.5</c:v>
                </c:pt>
                <c:pt idx="730">
                  <c:v>7</c:v>
                </c:pt>
                <c:pt idx="731">
                  <c:v>6.3</c:v>
                </c:pt>
                <c:pt idx="732">
                  <c:v>6.3</c:v>
                </c:pt>
                <c:pt idx="733">
                  <c:v>6.1</c:v>
                </c:pt>
                <c:pt idx="734">
                  <c:v>6.1</c:v>
                </c:pt>
                <c:pt idx="735">
                  <c:v>5.3</c:v>
                </c:pt>
                <c:pt idx="736">
                  <c:v>5.4</c:v>
                </c:pt>
                <c:pt idx="737">
                  <c:v>6.2</c:v>
                </c:pt>
                <c:pt idx="738">
                  <c:v>6.6</c:v>
                </c:pt>
                <c:pt idx="739">
                  <c:v>5.9</c:v>
                </c:pt>
                <c:pt idx="740">
                  <c:v>6.3</c:v>
                </c:pt>
                <c:pt idx="741">
                  <c:v>7.2</c:v>
                </c:pt>
                <c:pt idx="742">
                  <c:v>6.8</c:v>
                </c:pt>
                <c:pt idx="743">
                  <c:v>6.1</c:v>
                </c:pt>
                <c:pt idx="744">
                  <c:v>7.8</c:v>
                </c:pt>
                <c:pt idx="745">
                  <c:v>5</c:v>
                </c:pt>
                <c:pt idx="746">
                  <c:v>6.2</c:v>
                </c:pt>
                <c:pt idx="747">
                  <c:v>6.7</c:v>
                </c:pt>
                <c:pt idx="748">
                  <c:v>4.9000000000000004</c:v>
                </c:pt>
                <c:pt idx="749">
                  <c:v>7.4</c:v>
                </c:pt>
                <c:pt idx="750">
                  <c:v>7.1</c:v>
                </c:pt>
                <c:pt idx="751">
                  <c:v>6.2</c:v>
                </c:pt>
                <c:pt idx="752">
                  <c:v>4.9000000000000004</c:v>
                </c:pt>
                <c:pt idx="753">
                  <c:v>6.1</c:v>
                </c:pt>
                <c:pt idx="754">
                  <c:v>6.1</c:v>
                </c:pt>
                <c:pt idx="755">
                  <c:v>6.4</c:v>
                </c:pt>
                <c:pt idx="756">
                  <c:v>6.3</c:v>
                </c:pt>
                <c:pt idx="757">
                  <c:v>6.8</c:v>
                </c:pt>
                <c:pt idx="758">
                  <c:v>6.6</c:v>
                </c:pt>
                <c:pt idx="759">
                  <c:v>5.7</c:v>
                </c:pt>
                <c:pt idx="760">
                  <c:v>5.9</c:v>
                </c:pt>
                <c:pt idx="761">
                  <c:v>6</c:v>
                </c:pt>
                <c:pt idx="762">
                  <c:v>6.1</c:v>
                </c:pt>
                <c:pt idx="763">
                  <c:v>6.7</c:v>
                </c:pt>
                <c:pt idx="764">
                  <c:v>6.7</c:v>
                </c:pt>
                <c:pt idx="765">
                  <c:v>7.9</c:v>
                </c:pt>
                <c:pt idx="766">
                  <c:v>5</c:v>
                </c:pt>
                <c:pt idx="767">
                  <c:v>4.3</c:v>
                </c:pt>
                <c:pt idx="768">
                  <c:v>5.7</c:v>
                </c:pt>
                <c:pt idx="769">
                  <c:v>6.7</c:v>
                </c:pt>
                <c:pt idx="770">
                  <c:v>6.7</c:v>
                </c:pt>
                <c:pt idx="771">
                  <c:v>6.1</c:v>
                </c:pt>
                <c:pt idx="772">
                  <c:v>5.6</c:v>
                </c:pt>
                <c:pt idx="773">
                  <c:v>6.6</c:v>
                </c:pt>
                <c:pt idx="774">
                  <c:v>6.9</c:v>
                </c:pt>
                <c:pt idx="775">
                  <c:v>4.8</c:v>
                </c:pt>
                <c:pt idx="776">
                  <c:v>6.2</c:v>
                </c:pt>
                <c:pt idx="777">
                  <c:v>6</c:v>
                </c:pt>
                <c:pt idx="778">
                  <c:v>4.9000000000000004</c:v>
                </c:pt>
                <c:pt idx="779">
                  <c:v>5.6</c:v>
                </c:pt>
                <c:pt idx="780">
                  <c:v>6.1</c:v>
                </c:pt>
                <c:pt idx="781">
                  <c:v>6.1</c:v>
                </c:pt>
                <c:pt idx="782">
                  <c:v>4.8</c:v>
                </c:pt>
                <c:pt idx="783">
                  <c:v>5.5</c:v>
                </c:pt>
                <c:pt idx="784">
                  <c:v>3.8</c:v>
                </c:pt>
                <c:pt idx="785">
                  <c:v>6.5</c:v>
                </c:pt>
                <c:pt idx="786">
                  <c:v>6</c:v>
                </c:pt>
                <c:pt idx="787">
                  <c:v>6.7</c:v>
                </c:pt>
                <c:pt idx="788">
                  <c:v>8.1</c:v>
                </c:pt>
                <c:pt idx="789">
                  <c:v>4.9000000000000004</c:v>
                </c:pt>
                <c:pt idx="790">
                  <c:v>7.3</c:v>
                </c:pt>
                <c:pt idx="791">
                  <c:v>6.4</c:v>
                </c:pt>
                <c:pt idx="792">
                  <c:v>6.7</c:v>
                </c:pt>
                <c:pt idx="793">
                  <c:v>3.6</c:v>
                </c:pt>
                <c:pt idx="794">
                  <c:v>5.7</c:v>
                </c:pt>
                <c:pt idx="795">
                  <c:v>6</c:v>
                </c:pt>
                <c:pt idx="796">
                  <c:v>4.9000000000000004</c:v>
                </c:pt>
                <c:pt idx="797">
                  <c:v>4.7</c:v>
                </c:pt>
                <c:pt idx="798">
                  <c:v>6.3</c:v>
                </c:pt>
                <c:pt idx="799">
                  <c:v>5.9</c:v>
                </c:pt>
                <c:pt idx="800">
                  <c:v>5.9</c:v>
                </c:pt>
                <c:pt idx="801">
                  <c:v>7.5</c:v>
                </c:pt>
                <c:pt idx="802">
                  <c:v>5.6</c:v>
                </c:pt>
                <c:pt idx="803">
                  <c:v>6.4</c:v>
                </c:pt>
                <c:pt idx="804">
                  <c:v>6.3</c:v>
                </c:pt>
                <c:pt idx="805">
                  <c:v>4.3</c:v>
                </c:pt>
                <c:pt idx="806">
                  <c:v>5.9</c:v>
                </c:pt>
                <c:pt idx="807">
                  <c:v>5.5</c:v>
                </c:pt>
                <c:pt idx="808">
                  <c:v>6.2</c:v>
                </c:pt>
                <c:pt idx="809">
                  <c:v>8.8000000000000007</c:v>
                </c:pt>
                <c:pt idx="810">
                  <c:v>5.2</c:v>
                </c:pt>
                <c:pt idx="811">
                  <c:v>7</c:v>
                </c:pt>
                <c:pt idx="812">
                  <c:v>6.6</c:v>
                </c:pt>
                <c:pt idx="813">
                  <c:v>7.3</c:v>
                </c:pt>
                <c:pt idx="814">
                  <c:v>5.6</c:v>
                </c:pt>
                <c:pt idx="815">
                  <c:v>6.6</c:v>
                </c:pt>
                <c:pt idx="816">
                  <c:v>5.4</c:v>
                </c:pt>
                <c:pt idx="817">
                  <c:v>6.3</c:v>
                </c:pt>
                <c:pt idx="818">
                  <c:v>7.9</c:v>
                </c:pt>
                <c:pt idx="819">
                  <c:v>6.3</c:v>
                </c:pt>
                <c:pt idx="820">
                  <c:v>6</c:v>
                </c:pt>
                <c:pt idx="821">
                  <c:v>7.2</c:v>
                </c:pt>
                <c:pt idx="822">
                  <c:v>5.0999999999999996</c:v>
                </c:pt>
                <c:pt idx="823">
                  <c:v>7.3</c:v>
                </c:pt>
                <c:pt idx="824">
                  <c:v>8</c:v>
                </c:pt>
                <c:pt idx="825">
                  <c:v>6.2</c:v>
                </c:pt>
                <c:pt idx="826">
                  <c:v>6</c:v>
                </c:pt>
                <c:pt idx="827">
                  <c:v>6.7</c:v>
                </c:pt>
                <c:pt idx="828">
                  <c:v>8.1</c:v>
                </c:pt>
                <c:pt idx="829">
                  <c:v>6.4</c:v>
                </c:pt>
                <c:pt idx="830">
                  <c:v>8</c:v>
                </c:pt>
                <c:pt idx="831">
                  <c:v>6.3</c:v>
                </c:pt>
                <c:pt idx="832">
                  <c:v>6.4</c:v>
                </c:pt>
                <c:pt idx="833">
                  <c:v>6.6</c:v>
                </c:pt>
                <c:pt idx="834">
                  <c:v>6.4</c:v>
                </c:pt>
                <c:pt idx="835">
                  <c:v>6</c:v>
                </c:pt>
                <c:pt idx="836">
                  <c:v>6.6</c:v>
                </c:pt>
                <c:pt idx="837">
                  <c:v>5.9</c:v>
                </c:pt>
                <c:pt idx="838">
                  <c:v>6.4</c:v>
                </c:pt>
                <c:pt idx="839">
                  <c:v>6.3</c:v>
                </c:pt>
                <c:pt idx="840">
                  <c:v>7.3</c:v>
                </c:pt>
                <c:pt idx="841">
                  <c:v>6.8</c:v>
                </c:pt>
                <c:pt idx="842">
                  <c:v>7.2</c:v>
                </c:pt>
                <c:pt idx="843">
                  <c:v>5.7</c:v>
                </c:pt>
                <c:pt idx="844">
                  <c:v>6</c:v>
                </c:pt>
                <c:pt idx="845">
                  <c:v>6.5</c:v>
                </c:pt>
                <c:pt idx="846">
                  <c:v>5.8</c:v>
                </c:pt>
                <c:pt idx="847">
                  <c:v>5.8</c:v>
                </c:pt>
                <c:pt idx="848">
                  <c:v>6.7</c:v>
                </c:pt>
                <c:pt idx="849">
                  <c:v>7.8</c:v>
                </c:pt>
                <c:pt idx="850">
                  <c:v>5.6</c:v>
                </c:pt>
                <c:pt idx="851">
                  <c:v>5.8</c:v>
                </c:pt>
                <c:pt idx="852">
                  <c:v>7.4</c:v>
                </c:pt>
                <c:pt idx="853">
                  <c:v>6.9</c:v>
                </c:pt>
                <c:pt idx="854">
                  <c:v>5.5</c:v>
                </c:pt>
                <c:pt idx="855">
                  <c:v>6.3</c:v>
                </c:pt>
                <c:pt idx="856">
                  <c:v>4.7</c:v>
                </c:pt>
                <c:pt idx="857">
                  <c:v>5.6</c:v>
                </c:pt>
                <c:pt idx="858">
                  <c:v>6.4</c:v>
                </c:pt>
                <c:pt idx="859">
                  <c:v>4.2</c:v>
                </c:pt>
                <c:pt idx="860">
                  <c:v>6.4</c:v>
                </c:pt>
                <c:pt idx="861">
                  <c:v>7.7</c:v>
                </c:pt>
                <c:pt idx="862">
                  <c:v>7.7</c:v>
                </c:pt>
                <c:pt idx="863">
                  <c:v>5.3</c:v>
                </c:pt>
                <c:pt idx="864">
                  <c:v>6.7</c:v>
                </c:pt>
                <c:pt idx="865">
                  <c:v>7.7</c:v>
                </c:pt>
                <c:pt idx="866">
                  <c:v>5.7</c:v>
                </c:pt>
                <c:pt idx="867">
                  <c:v>7.6</c:v>
                </c:pt>
                <c:pt idx="868">
                  <c:v>6.4</c:v>
                </c:pt>
                <c:pt idx="869">
                  <c:v>5.6</c:v>
                </c:pt>
                <c:pt idx="870">
                  <c:v>6.8</c:v>
                </c:pt>
                <c:pt idx="871">
                  <c:v>2.4</c:v>
                </c:pt>
                <c:pt idx="872">
                  <c:v>6.2</c:v>
                </c:pt>
                <c:pt idx="873">
                  <c:v>5.9</c:v>
                </c:pt>
                <c:pt idx="874">
                  <c:v>7.1</c:v>
                </c:pt>
                <c:pt idx="875">
                  <c:v>7.6</c:v>
                </c:pt>
                <c:pt idx="876">
                  <c:v>5.5</c:v>
                </c:pt>
                <c:pt idx="877">
                  <c:v>7</c:v>
                </c:pt>
                <c:pt idx="878">
                  <c:v>7.1</c:v>
                </c:pt>
                <c:pt idx="879">
                  <c:v>7.4</c:v>
                </c:pt>
                <c:pt idx="880">
                  <c:v>7.6</c:v>
                </c:pt>
                <c:pt idx="881">
                  <c:v>5.9</c:v>
                </c:pt>
                <c:pt idx="882">
                  <c:v>5.9</c:v>
                </c:pt>
                <c:pt idx="883">
                  <c:v>8</c:v>
                </c:pt>
                <c:pt idx="884">
                  <c:v>7.4</c:v>
                </c:pt>
                <c:pt idx="885">
                  <c:v>5.8</c:v>
                </c:pt>
                <c:pt idx="886">
                  <c:v>6.3</c:v>
                </c:pt>
                <c:pt idx="887">
                  <c:v>5.7</c:v>
                </c:pt>
                <c:pt idx="888">
                  <c:v>5.0999999999999996</c:v>
                </c:pt>
                <c:pt idx="889">
                  <c:v>7.6</c:v>
                </c:pt>
                <c:pt idx="890">
                  <c:v>6.4</c:v>
                </c:pt>
                <c:pt idx="891">
                  <c:v>7.4</c:v>
                </c:pt>
                <c:pt idx="892">
                  <c:v>8.1999999999999993</c:v>
                </c:pt>
                <c:pt idx="893">
                  <c:v>6.5</c:v>
                </c:pt>
                <c:pt idx="894">
                  <c:v>5.5</c:v>
                </c:pt>
                <c:pt idx="895">
                  <c:v>6.5</c:v>
                </c:pt>
                <c:pt idx="896">
                  <c:v>5.6</c:v>
                </c:pt>
                <c:pt idx="897">
                  <c:v>4.9000000000000004</c:v>
                </c:pt>
                <c:pt idx="898">
                  <c:v>4.5999999999999996</c:v>
                </c:pt>
                <c:pt idx="899">
                  <c:v>7.9</c:v>
                </c:pt>
                <c:pt idx="900">
                  <c:v>7.1</c:v>
                </c:pt>
                <c:pt idx="901">
                  <c:v>6.9</c:v>
                </c:pt>
                <c:pt idx="902">
                  <c:v>7.3</c:v>
                </c:pt>
                <c:pt idx="903">
                  <c:v>7</c:v>
                </c:pt>
                <c:pt idx="904">
                  <c:v>7.7</c:v>
                </c:pt>
                <c:pt idx="905">
                  <c:v>6.7</c:v>
                </c:pt>
                <c:pt idx="906">
                  <c:v>6.3</c:v>
                </c:pt>
                <c:pt idx="907">
                  <c:v>5.8</c:v>
                </c:pt>
                <c:pt idx="908">
                  <c:v>7.1</c:v>
                </c:pt>
                <c:pt idx="909">
                  <c:v>7.3</c:v>
                </c:pt>
                <c:pt idx="910">
                  <c:v>6.4</c:v>
                </c:pt>
                <c:pt idx="911">
                  <c:v>7.1</c:v>
                </c:pt>
                <c:pt idx="912">
                  <c:v>7.6</c:v>
                </c:pt>
                <c:pt idx="913">
                  <c:v>6.8</c:v>
                </c:pt>
                <c:pt idx="914">
                  <c:v>6.6</c:v>
                </c:pt>
                <c:pt idx="915">
                  <c:v>6.7</c:v>
                </c:pt>
                <c:pt idx="916">
                  <c:v>6.1</c:v>
                </c:pt>
                <c:pt idx="917">
                  <c:v>6</c:v>
                </c:pt>
                <c:pt idx="918">
                  <c:v>7.6</c:v>
                </c:pt>
                <c:pt idx="919">
                  <c:v>7.1</c:v>
                </c:pt>
                <c:pt idx="920">
                  <c:v>5</c:v>
                </c:pt>
                <c:pt idx="921">
                  <c:v>7.1</c:v>
                </c:pt>
                <c:pt idx="922">
                  <c:v>6.2</c:v>
                </c:pt>
                <c:pt idx="923">
                  <c:v>5.6</c:v>
                </c:pt>
                <c:pt idx="924">
                  <c:v>5.4</c:v>
                </c:pt>
                <c:pt idx="925">
                  <c:v>7.4</c:v>
                </c:pt>
                <c:pt idx="926">
                  <c:v>5</c:v>
                </c:pt>
                <c:pt idx="927">
                  <c:v>5.2</c:v>
                </c:pt>
                <c:pt idx="928">
                  <c:v>7.6</c:v>
                </c:pt>
                <c:pt idx="929">
                  <c:v>6.6</c:v>
                </c:pt>
                <c:pt idx="930">
                  <c:v>7</c:v>
                </c:pt>
                <c:pt idx="931">
                  <c:v>5.7</c:v>
                </c:pt>
                <c:pt idx="932">
                  <c:v>8.1999999999999993</c:v>
                </c:pt>
                <c:pt idx="933">
                  <c:v>6.2</c:v>
                </c:pt>
                <c:pt idx="934">
                  <c:v>6.6</c:v>
                </c:pt>
                <c:pt idx="935">
                  <c:v>4.7</c:v>
                </c:pt>
                <c:pt idx="936">
                  <c:v>6.3</c:v>
                </c:pt>
                <c:pt idx="937">
                  <c:v>6.1</c:v>
                </c:pt>
                <c:pt idx="938">
                  <c:v>6.7</c:v>
                </c:pt>
                <c:pt idx="939">
                  <c:v>6.1</c:v>
                </c:pt>
                <c:pt idx="940">
                  <c:v>7</c:v>
                </c:pt>
                <c:pt idx="941">
                  <c:v>7.4</c:v>
                </c:pt>
                <c:pt idx="942">
                  <c:v>7.3</c:v>
                </c:pt>
                <c:pt idx="943">
                  <c:v>5.8</c:v>
                </c:pt>
                <c:pt idx="944">
                  <c:v>6.7</c:v>
                </c:pt>
                <c:pt idx="945">
                  <c:v>5.8</c:v>
                </c:pt>
                <c:pt idx="946">
                  <c:v>7.8</c:v>
                </c:pt>
                <c:pt idx="947">
                  <c:v>6.6</c:v>
                </c:pt>
                <c:pt idx="948">
                  <c:v>6.5</c:v>
                </c:pt>
                <c:pt idx="949">
                  <c:v>6.7</c:v>
                </c:pt>
                <c:pt idx="950">
                  <c:v>7.3</c:v>
                </c:pt>
                <c:pt idx="951">
                  <c:v>5.8</c:v>
                </c:pt>
                <c:pt idx="952">
                  <c:v>5.5</c:v>
                </c:pt>
                <c:pt idx="953">
                  <c:v>6.3</c:v>
                </c:pt>
                <c:pt idx="954">
                  <c:v>7.4</c:v>
                </c:pt>
                <c:pt idx="955">
                  <c:v>5.9</c:v>
                </c:pt>
                <c:pt idx="956">
                  <c:v>6.2</c:v>
                </c:pt>
                <c:pt idx="957">
                  <c:v>5.9</c:v>
                </c:pt>
                <c:pt idx="958">
                  <c:v>6.5</c:v>
                </c:pt>
                <c:pt idx="959">
                  <c:v>4.4000000000000004</c:v>
                </c:pt>
                <c:pt idx="960">
                  <c:v>3.5</c:v>
                </c:pt>
                <c:pt idx="961">
                  <c:v>6.6</c:v>
                </c:pt>
                <c:pt idx="962">
                  <c:v>6</c:v>
                </c:pt>
                <c:pt idx="963">
                  <c:v>6.4</c:v>
                </c:pt>
                <c:pt idx="964">
                  <c:v>6.5</c:v>
                </c:pt>
                <c:pt idx="965">
                  <c:v>4.3</c:v>
                </c:pt>
                <c:pt idx="966">
                  <c:v>4.2</c:v>
                </c:pt>
                <c:pt idx="967">
                  <c:v>6.5</c:v>
                </c:pt>
                <c:pt idx="968">
                  <c:v>6.1</c:v>
                </c:pt>
                <c:pt idx="969">
                  <c:v>6.3</c:v>
                </c:pt>
                <c:pt idx="970">
                  <c:v>6.2</c:v>
                </c:pt>
                <c:pt idx="971">
                  <c:v>5.9</c:v>
                </c:pt>
                <c:pt idx="972">
                  <c:v>5.9</c:v>
                </c:pt>
                <c:pt idx="973">
                  <c:v>6.5</c:v>
                </c:pt>
                <c:pt idx="974">
                  <c:v>6.4</c:v>
                </c:pt>
                <c:pt idx="975">
                  <c:v>6.5</c:v>
                </c:pt>
                <c:pt idx="976">
                  <c:v>5.7</c:v>
                </c:pt>
                <c:pt idx="977">
                  <c:v>8</c:v>
                </c:pt>
                <c:pt idx="978">
                  <c:v>7.3</c:v>
                </c:pt>
                <c:pt idx="979">
                  <c:v>6.7</c:v>
                </c:pt>
                <c:pt idx="980">
                  <c:v>7.5</c:v>
                </c:pt>
                <c:pt idx="981">
                  <c:v>5.4</c:v>
                </c:pt>
                <c:pt idx="982">
                  <c:v>6.6</c:v>
                </c:pt>
                <c:pt idx="983">
                  <c:v>7.7</c:v>
                </c:pt>
                <c:pt idx="984">
                  <c:v>5.8</c:v>
                </c:pt>
                <c:pt idx="985">
                  <c:v>6.4</c:v>
                </c:pt>
                <c:pt idx="986">
                  <c:v>5.6</c:v>
                </c:pt>
                <c:pt idx="987">
                  <c:v>6</c:v>
                </c:pt>
                <c:pt idx="988">
                  <c:v>6.2</c:v>
                </c:pt>
                <c:pt idx="989">
                  <c:v>5.9</c:v>
                </c:pt>
                <c:pt idx="990">
                  <c:v>5.0999999999999996</c:v>
                </c:pt>
                <c:pt idx="991">
                  <c:v>6.8</c:v>
                </c:pt>
                <c:pt idx="992">
                  <c:v>6</c:v>
                </c:pt>
                <c:pt idx="993">
                  <c:v>5.0999999999999996</c:v>
                </c:pt>
                <c:pt idx="994">
                  <c:v>5.8</c:v>
                </c:pt>
                <c:pt idx="995">
                  <c:v>6.2</c:v>
                </c:pt>
                <c:pt idx="996">
                  <c:v>6.4</c:v>
                </c:pt>
                <c:pt idx="997">
                  <c:v>4.8</c:v>
                </c:pt>
                <c:pt idx="998">
                  <c:v>4.9000000000000004</c:v>
                </c:pt>
                <c:pt idx="999">
                  <c:v>5.6</c:v>
                </c:pt>
                <c:pt idx="1000">
                  <c:v>5.5</c:v>
                </c:pt>
                <c:pt idx="1001">
                  <c:v>3.7</c:v>
                </c:pt>
                <c:pt idx="1002">
                  <c:v>5.9</c:v>
                </c:pt>
                <c:pt idx="1003">
                  <c:v>6.3</c:v>
                </c:pt>
                <c:pt idx="1004">
                  <c:v>7.4</c:v>
                </c:pt>
                <c:pt idx="1005">
                  <c:v>7.6</c:v>
                </c:pt>
                <c:pt idx="1006">
                  <c:v>8.3000000000000007</c:v>
                </c:pt>
                <c:pt idx="1007">
                  <c:v>6.6</c:v>
                </c:pt>
                <c:pt idx="1008">
                  <c:v>6.9</c:v>
                </c:pt>
                <c:pt idx="1009">
                  <c:v>6.7</c:v>
                </c:pt>
                <c:pt idx="1010">
                  <c:v>6.8</c:v>
                </c:pt>
                <c:pt idx="1011">
                  <c:v>4.5999999999999996</c:v>
                </c:pt>
                <c:pt idx="1012">
                  <c:v>7.1</c:v>
                </c:pt>
                <c:pt idx="1013">
                  <c:v>6.4</c:v>
                </c:pt>
                <c:pt idx="1014">
                  <c:v>6.4</c:v>
                </c:pt>
                <c:pt idx="1015">
                  <c:v>7.4</c:v>
                </c:pt>
                <c:pt idx="1016">
                  <c:v>6.4</c:v>
                </c:pt>
                <c:pt idx="1017">
                  <c:v>6</c:v>
                </c:pt>
                <c:pt idx="1018">
                  <c:v>6.5</c:v>
                </c:pt>
                <c:pt idx="1019">
                  <c:v>7.8</c:v>
                </c:pt>
                <c:pt idx="1020">
                  <c:v>6</c:v>
                </c:pt>
                <c:pt idx="1021">
                  <c:v>7</c:v>
                </c:pt>
                <c:pt idx="1022">
                  <c:v>6</c:v>
                </c:pt>
                <c:pt idx="1023">
                  <c:v>7.8</c:v>
                </c:pt>
                <c:pt idx="1024">
                  <c:v>6.1</c:v>
                </c:pt>
                <c:pt idx="1025">
                  <c:v>6.8</c:v>
                </c:pt>
                <c:pt idx="1026">
                  <c:v>6.4</c:v>
                </c:pt>
                <c:pt idx="1027">
                  <c:v>7.7</c:v>
                </c:pt>
                <c:pt idx="1028">
                  <c:v>8.1</c:v>
                </c:pt>
                <c:pt idx="1029">
                  <c:v>4.5</c:v>
                </c:pt>
                <c:pt idx="1030">
                  <c:v>5.8</c:v>
                </c:pt>
                <c:pt idx="1031">
                  <c:v>6.3</c:v>
                </c:pt>
                <c:pt idx="1032">
                  <c:v>5.7</c:v>
                </c:pt>
                <c:pt idx="1033">
                  <c:v>7.2</c:v>
                </c:pt>
                <c:pt idx="1034">
                  <c:v>7.6</c:v>
                </c:pt>
                <c:pt idx="1035">
                  <c:v>4.7</c:v>
                </c:pt>
                <c:pt idx="1036">
                  <c:v>6.6</c:v>
                </c:pt>
                <c:pt idx="1037">
                  <c:v>6.8</c:v>
                </c:pt>
                <c:pt idx="1038">
                  <c:v>7.3</c:v>
                </c:pt>
                <c:pt idx="1039">
                  <c:v>2.7</c:v>
                </c:pt>
                <c:pt idx="1040">
                  <c:v>4.8</c:v>
                </c:pt>
                <c:pt idx="1041">
                  <c:v>6.3</c:v>
                </c:pt>
                <c:pt idx="1042">
                  <c:v>5.5</c:v>
                </c:pt>
                <c:pt idx="1043">
                  <c:v>6.2</c:v>
                </c:pt>
                <c:pt idx="1044">
                  <c:v>5.8</c:v>
                </c:pt>
                <c:pt idx="1045">
                  <c:v>5.7</c:v>
                </c:pt>
                <c:pt idx="1046">
                  <c:v>6.5</c:v>
                </c:pt>
                <c:pt idx="1047">
                  <c:v>6.7</c:v>
                </c:pt>
                <c:pt idx="1048">
                  <c:v>7.4</c:v>
                </c:pt>
                <c:pt idx="1049">
                  <c:v>6.9</c:v>
                </c:pt>
                <c:pt idx="1050">
                  <c:v>5.5</c:v>
                </c:pt>
                <c:pt idx="1051">
                  <c:v>8.1</c:v>
                </c:pt>
                <c:pt idx="1052">
                  <c:v>7.7</c:v>
                </c:pt>
                <c:pt idx="1053">
                  <c:v>7.3</c:v>
                </c:pt>
                <c:pt idx="1054">
                  <c:v>5.2</c:v>
                </c:pt>
                <c:pt idx="1055">
                  <c:v>7.1</c:v>
                </c:pt>
                <c:pt idx="1056">
                  <c:v>7.1</c:v>
                </c:pt>
                <c:pt idx="1057">
                  <c:v>7.2</c:v>
                </c:pt>
                <c:pt idx="1058">
                  <c:v>6.5</c:v>
                </c:pt>
                <c:pt idx="1059">
                  <c:v>4.5999999999999996</c:v>
                </c:pt>
                <c:pt idx="1060">
                  <c:v>5.6</c:v>
                </c:pt>
                <c:pt idx="1061">
                  <c:v>7.7</c:v>
                </c:pt>
                <c:pt idx="1062">
                  <c:v>7.2</c:v>
                </c:pt>
                <c:pt idx="1063">
                  <c:v>6.8</c:v>
                </c:pt>
                <c:pt idx="1064">
                  <c:v>5.4</c:v>
                </c:pt>
                <c:pt idx="1065">
                  <c:v>6.3</c:v>
                </c:pt>
                <c:pt idx="1066">
                  <c:v>7.2</c:v>
                </c:pt>
                <c:pt idx="1067">
                  <c:v>5.6</c:v>
                </c:pt>
                <c:pt idx="1068">
                  <c:v>6.8</c:v>
                </c:pt>
                <c:pt idx="1069">
                  <c:v>4.3</c:v>
                </c:pt>
                <c:pt idx="1070">
                  <c:v>6.3</c:v>
                </c:pt>
                <c:pt idx="1071">
                  <c:v>6.5</c:v>
                </c:pt>
                <c:pt idx="1072">
                  <c:v>6.4</c:v>
                </c:pt>
                <c:pt idx="1073">
                  <c:v>6.3</c:v>
                </c:pt>
                <c:pt idx="1074">
                  <c:v>5.9</c:v>
                </c:pt>
                <c:pt idx="1075">
                  <c:v>6.5</c:v>
                </c:pt>
                <c:pt idx="1076">
                  <c:v>6.5</c:v>
                </c:pt>
                <c:pt idx="1077">
                  <c:v>6.1</c:v>
                </c:pt>
                <c:pt idx="1078">
                  <c:v>5.9</c:v>
                </c:pt>
                <c:pt idx="1079">
                  <c:v>6.6</c:v>
                </c:pt>
                <c:pt idx="1080">
                  <c:v>7.4</c:v>
                </c:pt>
                <c:pt idx="1081">
                  <c:v>7.3</c:v>
                </c:pt>
                <c:pt idx="1082">
                  <c:v>6.6</c:v>
                </c:pt>
                <c:pt idx="1083">
                  <c:v>5.6</c:v>
                </c:pt>
                <c:pt idx="1084">
                  <c:v>5.3</c:v>
                </c:pt>
                <c:pt idx="1085">
                  <c:v>6</c:v>
                </c:pt>
                <c:pt idx="1086">
                  <c:v>5.4</c:v>
                </c:pt>
                <c:pt idx="1087">
                  <c:v>6.8</c:v>
                </c:pt>
                <c:pt idx="1088">
                  <c:v>6.4</c:v>
                </c:pt>
                <c:pt idx="1089">
                  <c:v>4.9000000000000004</c:v>
                </c:pt>
                <c:pt idx="1090">
                  <c:v>5.8</c:v>
                </c:pt>
                <c:pt idx="1091">
                  <c:v>7.1</c:v>
                </c:pt>
                <c:pt idx="1092">
                  <c:v>7.2</c:v>
                </c:pt>
                <c:pt idx="1093">
                  <c:v>6</c:v>
                </c:pt>
                <c:pt idx="1094">
                  <c:v>6</c:v>
                </c:pt>
                <c:pt idx="1095">
                  <c:v>7</c:v>
                </c:pt>
                <c:pt idx="1096">
                  <c:v>5.4</c:v>
                </c:pt>
                <c:pt idx="1097">
                  <c:v>6.5</c:v>
                </c:pt>
                <c:pt idx="1098">
                  <c:v>6.4</c:v>
                </c:pt>
                <c:pt idx="1099">
                  <c:v>4.9000000000000004</c:v>
                </c:pt>
                <c:pt idx="1100">
                  <c:v>6.3</c:v>
                </c:pt>
                <c:pt idx="1101">
                  <c:v>1.7</c:v>
                </c:pt>
                <c:pt idx="1102">
                  <c:v>7.7</c:v>
                </c:pt>
                <c:pt idx="1103">
                  <c:v>7.8</c:v>
                </c:pt>
                <c:pt idx="1104">
                  <c:v>5.5</c:v>
                </c:pt>
                <c:pt idx="1105">
                  <c:v>7.5</c:v>
                </c:pt>
                <c:pt idx="1106">
                  <c:v>6.4</c:v>
                </c:pt>
                <c:pt idx="1107">
                  <c:v>5.6</c:v>
                </c:pt>
                <c:pt idx="1108">
                  <c:v>7.5</c:v>
                </c:pt>
                <c:pt idx="1109">
                  <c:v>6.8</c:v>
                </c:pt>
                <c:pt idx="1110">
                  <c:v>6.8</c:v>
                </c:pt>
                <c:pt idx="1111">
                  <c:v>6</c:v>
                </c:pt>
                <c:pt idx="1112">
                  <c:v>7.3</c:v>
                </c:pt>
                <c:pt idx="1113">
                  <c:v>6</c:v>
                </c:pt>
                <c:pt idx="1114">
                  <c:v>7</c:v>
                </c:pt>
                <c:pt idx="1115">
                  <c:v>5.0999999999999996</c:v>
                </c:pt>
                <c:pt idx="1116">
                  <c:v>6.8</c:v>
                </c:pt>
                <c:pt idx="1117">
                  <c:v>6.5</c:v>
                </c:pt>
                <c:pt idx="1118">
                  <c:v>6.6</c:v>
                </c:pt>
                <c:pt idx="1119">
                  <c:v>7.2</c:v>
                </c:pt>
                <c:pt idx="1120">
                  <c:v>7</c:v>
                </c:pt>
                <c:pt idx="1121">
                  <c:v>7</c:v>
                </c:pt>
                <c:pt idx="1122">
                  <c:v>5.9</c:v>
                </c:pt>
                <c:pt idx="1123">
                  <c:v>5.4</c:v>
                </c:pt>
                <c:pt idx="1124">
                  <c:v>6.6</c:v>
                </c:pt>
                <c:pt idx="1125">
                  <c:v>7</c:v>
                </c:pt>
                <c:pt idx="1126">
                  <c:v>6.5</c:v>
                </c:pt>
                <c:pt idx="1127">
                  <c:v>6.3</c:v>
                </c:pt>
                <c:pt idx="1128">
                  <c:v>6.5</c:v>
                </c:pt>
                <c:pt idx="1129">
                  <c:v>6.5</c:v>
                </c:pt>
                <c:pt idx="1130">
                  <c:v>5.8</c:v>
                </c:pt>
                <c:pt idx="1131">
                  <c:v>6.6</c:v>
                </c:pt>
                <c:pt idx="1132">
                  <c:v>5.4</c:v>
                </c:pt>
                <c:pt idx="1133">
                  <c:v>6.1</c:v>
                </c:pt>
                <c:pt idx="1134">
                  <c:v>4</c:v>
                </c:pt>
                <c:pt idx="1135">
                  <c:v>7.6</c:v>
                </c:pt>
                <c:pt idx="1136">
                  <c:v>7.9</c:v>
                </c:pt>
                <c:pt idx="1137">
                  <c:v>5.3</c:v>
                </c:pt>
                <c:pt idx="1138">
                  <c:v>6.6</c:v>
                </c:pt>
                <c:pt idx="1139">
                  <c:v>6.3</c:v>
                </c:pt>
                <c:pt idx="1140">
                  <c:v>7.2</c:v>
                </c:pt>
                <c:pt idx="1141">
                  <c:v>7</c:v>
                </c:pt>
                <c:pt idx="1142">
                  <c:v>4.9000000000000004</c:v>
                </c:pt>
                <c:pt idx="1143">
                  <c:v>6.9</c:v>
                </c:pt>
                <c:pt idx="1144">
                  <c:v>5.2</c:v>
                </c:pt>
                <c:pt idx="1145">
                  <c:v>8.1</c:v>
                </c:pt>
                <c:pt idx="1146">
                  <c:v>6.6</c:v>
                </c:pt>
                <c:pt idx="1147">
                  <c:v>6.2</c:v>
                </c:pt>
                <c:pt idx="1148">
                  <c:v>7.2</c:v>
                </c:pt>
                <c:pt idx="1149">
                  <c:v>7.3</c:v>
                </c:pt>
                <c:pt idx="1150">
                  <c:v>6.7</c:v>
                </c:pt>
                <c:pt idx="1151">
                  <c:v>6.4</c:v>
                </c:pt>
                <c:pt idx="1152">
                  <c:v>7.8</c:v>
                </c:pt>
                <c:pt idx="1153">
                  <c:v>6.4</c:v>
                </c:pt>
                <c:pt idx="1154">
                  <c:v>4.0999999999999996</c:v>
                </c:pt>
                <c:pt idx="1155">
                  <c:v>4.0999999999999996</c:v>
                </c:pt>
                <c:pt idx="1156">
                  <c:v>7.4</c:v>
                </c:pt>
                <c:pt idx="1157">
                  <c:v>5.8</c:v>
                </c:pt>
                <c:pt idx="1158">
                  <c:v>7.6</c:v>
                </c:pt>
                <c:pt idx="1159">
                  <c:v>7.2</c:v>
                </c:pt>
                <c:pt idx="1160">
                  <c:v>7.8</c:v>
                </c:pt>
                <c:pt idx="1161">
                  <c:v>7.7</c:v>
                </c:pt>
                <c:pt idx="1162">
                  <c:v>6.4</c:v>
                </c:pt>
                <c:pt idx="1163">
                  <c:v>5.0999999999999996</c:v>
                </c:pt>
                <c:pt idx="1164">
                  <c:v>5.5</c:v>
                </c:pt>
                <c:pt idx="1165">
                  <c:v>7.4</c:v>
                </c:pt>
                <c:pt idx="1166">
                  <c:v>6</c:v>
                </c:pt>
                <c:pt idx="1167">
                  <c:v>7.5</c:v>
                </c:pt>
                <c:pt idx="1168">
                  <c:v>7</c:v>
                </c:pt>
                <c:pt idx="1169">
                  <c:v>7.5</c:v>
                </c:pt>
                <c:pt idx="1170">
                  <c:v>7.3</c:v>
                </c:pt>
                <c:pt idx="1171">
                  <c:v>5.7</c:v>
                </c:pt>
                <c:pt idx="1172">
                  <c:v>7.3</c:v>
                </c:pt>
                <c:pt idx="1173">
                  <c:v>7.2</c:v>
                </c:pt>
                <c:pt idx="1174">
                  <c:v>5.9</c:v>
                </c:pt>
                <c:pt idx="1175">
                  <c:v>7.8</c:v>
                </c:pt>
                <c:pt idx="1176">
                  <c:v>7.7</c:v>
                </c:pt>
                <c:pt idx="1177">
                  <c:v>8.1</c:v>
                </c:pt>
                <c:pt idx="1178">
                  <c:v>6.6</c:v>
                </c:pt>
                <c:pt idx="1179">
                  <c:v>7.1</c:v>
                </c:pt>
                <c:pt idx="1180">
                  <c:v>5.9</c:v>
                </c:pt>
                <c:pt idx="1181">
                  <c:v>8</c:v>
                </c:pt>
                <c:pt idx="1182">
                  <c:v>4.5999999999999996</c:v>
                </c:pt>
                <c:pt idx="1183">
                  <c:v>6.1</c:v>
                </c:pt>
                <c:pt idx="1184">
                  <c:v>6.4</c:v>
                </c:pt>
                <c:pt idx="1185">
                  <c:v>6</c:v>
                </c:pt>
                <c:pt idx="1186">
                  <c:v>5.2</c:v>
                </c:pt>
                <c:pt idx="1187">
                  <c:v>7.6</c:v>
                </c:pt>
                <c:pt idx="1188">
                  <c:v>6.4</c:v>
                </c:pt>
                <c:pt idx="1189">
                  <c:v>6.4</c:v>
                </c:pt>
                <c:pt idx="1190">
                  <c:v>6.1</c:v>
                </c:pt>
                <c:pt idx="1191">
                  <c:v>6.1</c:v>
                </c:pt>
                <c:pt idx="1192">
                  <c:v>5.2</c:v>
                </c:pt>
                <c:pt idx="1193">
                  <c:v>7.7</c:v>
                </c:pt>
                <c:pt idx="1194">
                  <c:v>7.3</c:v>
                </c:pt>
                <c:pt idx="1195">
                  <c:v>6.9</c:v>
                </c:pt>
                <c:pt idx="1196">
                  <c:v>8.5</c:v>
                </c:pt>
                <c:pt idx="1197">
                  <c:v>6.3</c:v>
                </c:pt>
                <c:pt idx="1198">
                  <c:v>5.9</c:v>
                </c:pt>
                <c:pt idx="1199">
                  <c:v>7.8</c:v>
                </c:pt>
                <c:pt idx="1200">
                  <c:v>6.7</c:v>
                </c:pt>
                <c:pt idx="1201">
                  <c:v>6.4</c:v>
                </c:pt>
                <c:pt idx="1202">
                  <c:v>5.9</c:v>
                </c:pt>
                <c:pt idx="1203">
                  <c:v>6.6</c:v>
                </c:pt>
                <c:pt idx="1204">
                  <c:v>6.8</c:v>
                </c:pt>
                <c:pt idx="1205">
                  <c:v>6.5</c:v>
                </c:pt>
                <c:pt idx="1206">
                  <c:v>6.6</c:v>
                </c:pt>
                <c:pt idx="1207">
                  <c:v>5.8</c:v>
                </c:pt>
                <c:pt idx="1208">
                  <c:v>6.9</c:v>
                </c:pt>
                <c:pt idx="1209">
                  <c:v>7.1</c:v>
                </c:pt>
                <c:pt idx="1210">
                  <c:v>5.8</c:v>
                </c:pt>
                <c:pt idx="1211">
                  <c:v>7.2</c:v>
                </c:pt>
                <c:pt idx="1212">
                  <c:v>6</c:v>
                </c:pt>
                <c:pt idx="1213">
                  <c:v>4.7</c:v>
                </c:pt>
                <c:pt idx="1214">
                  <c:v>5.2</c:v>
                </c:pt>
                <c:pt idx="1215">
                  <c:v>5.5</c:v>
                </c:pt>
                <c:pt idx="1216">
                  <c:v>6.5</c:v>
                </c:pt>
                <c:pt idx="1217">
                  <c:v>7</c:v>
                </c:pt>
                <c:pt idx="1218">
                  <c:v>5.8</c:v>
                </c:pt>
                <c:pt idx="1219">
                  <c:v>6.2</c:v>
                </c:pt>
                <c:pt idx="1220">
                  <c:v>6.5</c:v>
                </c:pt>
                <c:pt idx="1221">
                  <c:v>7.2</c:v>
                </c:pt>
                <c:pt idx="1222">
                  <c:v>5.0999999999999996</c:v>
                </c:pt>
                <c:pt idx="1223">
                  <c:v>4.7</c:v>
                </c:pt>
                <c:pt idx="1224">
                  <c:v>5.9</c:v>
                </c:pt>
                <c:pt idx="1225">
                  <c:v>5.8</c:v>
                </c:pt>
                <c:pt idx="1226">
                  <c:v>7.2</c:v>
                </c:pt>
                <c:pt idx="1227">
                  <c:v>6.2</c:v>
                </c:pt>
                <c:pt idx="1228">
                  <c:v>5.7</c:v>
                </c:pt>
                <c:pt idx="1229">
                  <c:v>6.1</c:v>
                </c:pt>
                <c:pt idx="1230">
                  <c:v>6</c:v>
                </c:pt>
                <c:pt idx="1231">
                  <c:v>6.9</c:v>
                </c:pt>
                <c:pt idx="1232">
                  <c:v>6.5</c:v>
                </c:pt>
                <c:pt idx="1233">
                  <c:v>5</c:v>
                </c:pt>
                <c:pt idx="1234">
                  <c:v>5.7</c:v>
                </c:pt>
                <c:pt idx="1235">
                  <c:v>7</c:v>
                </c:pt>
                <c:pt idx="1236">
                  <c:v>5.0999999999999996</c:v>
                </c:pt>
                <c:pt idx="1237">
                  <c:v>5.3</c:v>
                </c:pt>
                <c:pt idx="1238">
                  <c:v>4.4000000000000004</c:v>
                </c:pt>
                <c:pt idx="1239">
                  <c:v>4.7</c:v>
                </c:pt>
                <c:pt idx="1240">
                  <c:v>6.7</c:v>
                </c:pt>
                <c:pt idx="1241">
                  <c:v>6.7</c:v>
                </c:pt>
                <c:pt idx="1242">
                  <c:v>5.7</c:v>
                </c:pt>
                <c:pt idx="1243">
                  <c:v>7.4</c:v>
                </c:pt>
                <c:pt idx="1244">
                  <c:v>6.1</c:v>
                </c:pt>
                <c:pt idx="1245">
                  <c:v>6.4</c:v>
                </c:pt>
                <c:pt idx="1246">
                  <c:v>6.2</c:v>
                </c:pt>
                <c:pt idx="1247">
                  <c:v>6.2</c:v>
                </c:pt>
                <c:pt idx="1248">
                  <c:v>5.9</c:v>
                </c:pt>
                <c:pt idx="1249">
                  <c:v>4</c:v>
                </c:pt>
                <c:pt idx="1250">
                  <c:v>6.2</c:v>
                </c:pt>
                <c:pt idx="1251">
                  <c:v>4.5999999999999996</c:v>
                </c:pt>
                <c:pt idx="1252">
                  <c:v>6.4</c:v>
                </c:pt>
                <c:pt idx="1253">
                  <c:v>5.9</c:v>
                </c:pt>
                <c:pt idx="1254">
                  <c:v>5.0999999999999996</c:v>
                </c:pt>
                <c:pt idx="1255">
                  <c:v>7.6</c:v>
                </c:pt>
                <c:pt idx="1256">
                  <c:v>4.2</c:v>
                </c:pt>
                <c:pt idx="1257">
                  <c:v>7.8</c:v>
                </c:pt>
                <c:pt idx="1258">
                  <c:v>5.8</c:v>
                </c:pt>
                <c:pt idx="1259">
                  <c:v>5.9</c:v>
                </c:pt>
                <c:pt idx="1260">
                  <c:v>8.4</c:v>
                </c:pt>
                <c:pt idx="1261">
                  <c:v>4.8</c:v>
                </c:pt>
                <c:pt idx="1262">
                  <c:v>6.2</c:v>
                </c:pt>
                <c:pt idx="1263">
                  <c:v>6.5</c:v>
                </c:pt>
                <c:pt idx="1264">
                  <c:v>6.3</c:v>
                </c:pt>
                <c:pt idx="1265">
                  <c:v>3.3</c:v>
                </c:pt>
                <c:pt idx="1266">
                  <c:v>5.9</c:v>
                </c:pt>
                <c:pt idx="1267">
                  <c:v>5.8</c:v>
                </c:pt>
                <c:pt idx="1268">
                  <c:v>6.5</c:v>
                </c:pt>
                <c:pt idx="1269">
                  <c:v>4.7</c:v>
                </c:pt>
                <c:pt idx="1270">
                  <c:v>4.0999999999999996</c:v>
                </c:pt>
                <c:pt idx="1271">
                  <c:v>6.8</c:v>
                </c:pt>
                <c:pt idx="1272">
                  <c:v>6.2</c:v>
                </c:pt>
                <c:pt idx="1273">
                  <c:v>4.5</c:v>
                </c:pt>
                <c:pt idx="1274">
                  <c:v>5.8</c:v>
                </c:pt>
                <c:pt idx="1275">
                  <c:v>7.3</c:v>
                </c:pt>
                <c:pt idx="1276">
                  <c:v>5.9</c:v>
                </c:pt>
                <c:pt idx="1277">
                  <c:v>4.4000000000000004</c:v>
                </c:pt>
                <c:pt idx="1278">
                  <c:v>5.8</c:v>
                </c:pt>
                <c:pt idx="1279">
                  <c:v>5.0999999999999996</c:v>
                </c:pt>
                <c:pt idx="1280">
                  <c:v>6.9</c:v>
                </c:pt>
                <c:pt idx="1281">
                  <c:v>6.2</c:v>
                </c:pt>
                <c:pt idx="1282">
                  <c:v>6.9</c:v>
                </c:pt>
                <c:pt idx="1283">
                  <c:v>7.3</c:v>
                </c:pt>
                <c:pt idx="1284">
                  <c:v>7.1</c:v>
                </c:pt>
                <c:pt idx="1285">
                  <c:v>6</c:v>
                </c:pt>
                <c:pt idx="1286">
                  <c:v>7</c:v>
                </c:pt>
                <c:pt idx="1287">
                  <c:v>6.8</c:v>
                </c:pt>
                <c:pt idx="1288">
                  <c:v>5.7</c:v>
                </c:pt>
                <c:pt idx="1289">
                  <c:v>7.6</c:v>
                </c:pt>
                <c:pt idx="1290">
                  <c:v>8.4</c:v>
                </c:pt>
                <c:pt idx="1291">
                  <c:v>7.1</c:v>
                </c:pt>
                <c:pt idx="1292">
                  <c:v>5.6</c:v>
                </c:pt>
                <c:pt idx="1293">
                  <c:v>7</c:v>
                </c:pt>
                <c:pt idx="1294">
                  <c:v>8</c:v>
                </c:pt>
                <c:pt idx="1295">
                  <c:v>5.3</c:v>
                </c:pt>
                <c:pt idx="1296">
                  <c:v>4.9000000000000004</c:v>
                </c:pt>
                <c:pt idx="1297">
                  <c:v>6.4</c:v>
                </c:pt>
                <c:pt idx="1298">
                  <c:v>7.4</c:v>
                </c:pt>
                <c:pt idx="1299">
                  <c:v>6.1</c:v>
                </c:pt>
                <c:pt idx="1300">
                  <c:v>6.5</c:v>
                </c:pt>
                <c:pt idx="1301">
                  <c:v>5.7</c:v>
                </c:pt>
                <c:pt idx="1302">
                  <c:v>5.0999999999999996</c:v>
                </c:pt>
                <c:pt idx="1303">
                  <c:v>6.6</c:v>
                </c:pt>
                <c:pt idx="1304">
                  <c:v>6.5</c:v>
                </c:pt>
                <c:pt idx="1305">
                  <c:v>6.9</c:v>
                </c:pt>
                <c:pt idx="1306">
                  <c:v>6.4</c:v>
                </c:pt>
                <c:pt idx="1307">
                  <c:v>7.6</c:v>
                </c:pt>
                <c:pt idx="1308">
                  <c:v>5.6</c:v>
                </c:pt>
                <c:pt idx="1309">
                  <c:v>6.2</c:v>
                </c:pt>
                <c:pt idx="1310">
                  <c:v>4.4000000000000004</c:v>
                </c:pt>
                <c:pt idx="1311">
                  <c:v>5.6</c:v>
                </c:pt>
                <c:pt idx="1312">
                  <c:v>5.5</c:v>
                </c:pt>
                <c:pt idx="1313">
                  <c:v>6.7</c:v>
                </c:pt>
                <c:pt idx="1314">
                  <c:v>6.1</c:v>
                </c:pt>
                <c:pt idx="1315">
                  <c:v>6.2</c:v>
                </c:pt>
                <c:pt idx="1316">
                  <c:v>7.3</c:v>
                </c:pt>
                <c:pt idx="1317">
                  <c:v>6.6</c:v>
                </c:pt>
                <c:pt idx="1318">
                  <c:v>8.1999999999999993</c:v>
                </c:pt>
                <c:pt idx="1319">
                  <c:v>6.4</c:v>
                </c:pt>
                <c:pt idx="1320">
                  <c:v>6.4</c:v>
                </c:pt>
                <c:pt idx="1321">
                  <c:v>5.2</c:v>
                </c:pt>
                <c:pt idx="1322">
                  <c:v>6.5</c:v>
                </c:pt>
                <c:pt idx="1323">
                  <c:v>7.1</c:v>
                </c:pt>
                <c:pt idx="1324">
                  <c:v>4.8</c:v>
                </c:pt>
                <c:pt idx="1325">
                  <c:v>7.3</c:v>
                </c:pt>
                <c:pt idx="1326">
                  <c:v>5.2</c:v>
                </c:pt>
                <c:pt idx="1327">
                  <c:v>7.7</c:v>
                </c:pt>
                <c:pt idx="1328">
                  <c:v>7.6</c:v>
                </c:pt>
                <c:pt idx="1329">
                  <c:v>5.7</c:v>
                </c:pt>
                <c:pt idx="1330">
                  <c:v>7</c:v>
                </c:pt>
                <c:pt idx="1331">
                  <c:v>6</c:v>
                </c:pt>
                <c:pt idx="1332">
                  <c:v>8.1</c:v>
                </c:pt>
                <c:pt idx="1333">
                  <c:v>8</c:v>
                </c:pt>
                <c:pt idx="1334">
                  <c:v>5.6</c:v>
                </c:pt>
                <c:pt idx="1335">
                  <c:v>6.1</c:v>
                </c:pt>
                <c:pt idx="1336">
                  <c:v>6.9</c:v>
                </c:pt>
                <c:pt idx="1337">
                  <c:v>5.2</c:v>
                </c:pt>
                <c:pt idx="1338">
                  <c:v>7</c:v>
                </c:pt>
                <c:pt idx="1339">
                  <c:v>6.3</c:v>
                </c:pt>
                <c:pt idx="1340">
                  <c:v>7</c:v>
                </c:pt>
                <c:pt idx="1341">
                  <c:v>5.3</c:v>
                </c:pt>
                <c:pt idx="1342">
                  <c:v>6.9</c:v>
                </c:pt>
                <c:pt idx="1343">
                  <c:v>6.2</c:v>
                </c:pt>
                <c:pt idx="1344">
                  <c:v>6.4</c:v>
                </c:pt>
                <c:pt idx="1345">
                  <c:v>6.4</c:v>
                </c:pt>
                <c:pt idx="1346">
                  <c:v>5.7</c:v>
                </c:pt>
                <c:pt idx="1347">
                  <c:v>6.1</c:v>
                </c:pt>
                <c:pt idx="1348">
                  <c:v>5.4</c:v>
                </c:pt>
                <c:pt idx="1349">
                  <c:v>6.7</c:v>
                </c:pt>
                <c:pt idx="1350">
                  <c:v>6.8</c:v>
                </c:pt>
                <c:pt idx="1351">
                  <c:v>6</c:v>
                </c:pt>
                <c:pt idx="1352">
                  <c:v>7.8</c:v>
                </c:pt>
                <c:pt idx="1353">
                  <c:v>5.3</c:v>
                </c:pt>
                <c:pt idx="1354">
                  <c:v>4.5</c:v>
                </c:pt>
                <c:pt idx="1355">
                  <c:v>5.4</c:v>
                </c:pt>
                <c:pt idx="1356">
                  <c:v>7.8</c:v>
                </c:pt>
                <c:pt idx="1357">
                  <c:v>7.2</c:v>
                </c:pt>
                <c:pt idx="1358">
                  <c:v>6.6</c:v>
                </c:pt>
                <c:pt idx="1359">
                  <c:v>7.6</c:v>
                </c:pt>
                <c:pt idx="1360">
                  <c:v>5.9</c:v>
                </c:pt>
                <c:pt idx="1361">
                  <c:v>6.7</c:v>
                </c:pt>
                <c:pt idx="1362">
                  <c:v>7.7</c:v>
                </c:pt>
                <c:pt idx="1363">
                  <c:v>5.4</c:v>
                </c:pt>
                <c:pt idx="1364">
                  <c:v>6.9</c:v>
                </c:pt>
                <c:pt idx="1365">
                  <c:v>7.7</c:v>
                </c:pt>
                <c:pt idx="1366">
                  <c:v>6.8</c:v>
                </c:pt>
                <c:pt idx="1367">
                  <c:v>6.4</c:v>
                </c:pt>
                <c:pt idx="1368">
                  <c:v>5.7</c:v>
                </c:pt>
                <c:pt idx="1369">
                  <c:v>7.3</c:v>
                </c:pt>
                <c:pt idx="1370">
                  <c:v>6.8</c:v>
                </c:pt>
                <c:pt idx="1371">
                  <c:v>6.3</c:v>
                </c:pt>
                <c:pt idx="1372">
                  <c:v>5.9</c:v>
                </c:pt>
                <c:pt idx="1373">
                  <c:v>7.4</c:v>
                </c:pt>
                <c:pt idx="1374">
                  <c:v>8.3000000000000007</c:v>
                </c:pt>
                <c:pt idx="1375">
                  <c:v>6.2</c:v>
                </c:pt>
                <c:pt idx="1376">
                  <c:v>6.3</c:v>
                </c:pt>
                <c:pt idx="1377">
                  <c:v>5.8</c:v>
                </c:pt>
                <c:pt idx="1378">
                  <c:v>7.5</c:v>
                </c:pt>
                <c:pt idx="1379">
                  <c:v>6.3</c:v>
                </c:pt>
                <c:pt idx="1380">
                  <c:v>6.4</c:v>
                </c:pt>
                <c:pt idx="1381">
                  <c:v>7.2</c:v>
                </c:pt>
                <c:pt idx="1382">
                  <c:v>6.3</c:v>
                </c:pt>
                <c:pt idx="1383">
                  <c:v>6.9</c:v>
                </c:pt>
                <c:pt idx="1384">
                  <c:v>6.6</c:v>
                </c:pt>
                <c:pt idx="1385">
                  <c:v>6</c:v>
                </c:pt>
                <c:pt idx="1386">
                  <c:v>7.5</c:v>
                </c:pt>
                <c:pt idx="1387">
                  <c:v>7.7</c:v>
                </c:pt>
                <c:pt idx="1388">
                  <c:v>6.2</c:v>
                </c:pt>
                <c:pt idx="1389">
                  <c:v>5.4</c:v>
                </c:pt>
                <c:pt idx="1390">
                  <c:v>6.6</c:v>
                </c:pt>
                <c:pt idx="1391">
                  <c:v>5.3</c:v>
                </c:pt>
                <c:pt idx="1392">
                  <c:v>5.6</c:v>
                </c:pt>
                <c:pt idx="1393">
                  <c:v>5.9</c:v>
                </c:pt>
                <c:pt idx="1394">
                  <c:v>7.8</c:v>
                </c:pt>
                <c:pt idx="1395">
                  <c:v>6.7</c:v>
                </c:pt>
                <c:pt idx="1396">
                  <c:v>7.4</c:v>
                </c:pt>
                <c:pt idx="1397">
                  <c:v>6.2</c:v>
                </c:pt>
                <c:pt idx="1398">
                  <c:v>5.4</c:v>
                </c:pt>
                <c:pt idx="1399">
                  <c:v>6.7</c:v>
                </c:pt>
                <c:pt idx="1400">
                  <c:v>5.3</c:v>
                </c:pt>
                <c:pt idx="1401">
                  <c:v>5.9</c:v>
                </c:pt>
                <c:pt idx="1402">
                  <c:v>4.8</c:v>
                </c:pt>
                <c:pt idx="1403">
                  <c:v>7.3</c:v>
                </c:pt>
                <c:pt idx="1404">
                  <c:v>3.8</c:v>
                </c:pt>
                <c:pt idx="1405">
                  <c:v>8.5</c:v>
                </c:pt>
                <c:pt idx="1406">
                  <c:v>6.8</c:v>
                </c:pt>
                <c:pt idx="1407">
                  <c:v>5.3</c:v>
                </c:pt>
                <c:pt idx="1408">
                  <c:v>7.3</c:v>
                </c:pt>
                <c:pt idx="1409">
                  <c:v>6.6</c:v>
                </c:pt>
                <c:pt idx="1410">
                  <c:v>6.2</c:v>
                </c:pt>
                <c:pt idx="1411">
                  <c:v>5.2</c:v>
                </c:pt>
                <c:pt idx="1412">
                  <c:v>6.2</c:v>
                </c:pt>
                <c:pt idx="1413">
                  <c:v>6.2</c:v>
                </c:pt>
                <c:pt idx="1414">
                  <c:v>6.6</c:v>
                </c:pt>
                <c:pt idx="1415">
                  <c:v>6.4</c:v>
                </c:pt>
                <c:pt idx="1416">
                  <c:v>6.2</c:v>
                </c:pt>
                <c:pt idx="1417">
                  <c:v>5.0999999999999996</c:v>
                </c:pt>
                <c:pt idx="1418">
                  <c:v>6.6</c:v>
                </c:pt>
                <c:pt idx="1419">
                  <c:v>6.1</c:v>
                </c:pt>
                <c:pt idx="1420">
                  <c:v>6.1</c:v>
                </c:pt>
                <c:pt idx="1421">
                  <c:v>6.6</c:v>
                </c:pt>
                <c:pt idx="1422">
                  <c:v>5.9</c:v>
                </c:pt>
                <c:pt idx="1423">
                  <c:v>6.3</c:v>
                </c:pt>
                <c:pt idx="1424">
                  <c:v>7.1</c:v>
                </c:pt>
                <c:pt idx="1425">
                  <c:v>5</c:v>
                </c:pt>
                <c:pt idx="1426">
                  <c:v>5.6</c:v>
                </c:pt>
                <c:pt idx="1427">
                  <c:v>7.4</c:v>
                </c:pt>
                <c:pt idx="1428">
                  <c:v>4.5</c:v>
                </c:pt>
                <c:pt idx="1429">
                  <c:v>6.2</c:v>
                </c:pt>
                <c:pt idx="1430">
                  <c:v>5</c:v>
                </c:pt>
                <c:pt idx="1431">
                  <c:v>6.5</c:v>
                </c:pt>
                <c:pt idx="1432">
                  <c:v>5.0999999999999996</c:v>
                </c:pt>
                <c:pt idx="1433">
                  <c:v>6.5</c:v>
                </c:pt>
                <c:pt idx="1434">
                  <c:v>6.2</c:v>
                </c:pt>
                <c:pt idx="1435">
                  <c:v>6.3</c:v>
                </c:pt>
                <c:pt idx="1436">
                  <c:v>3.8</c:v>
                </c:pt>
                <c:pt idx="1437">
                  <c:v>5.2</c:v>
                </c:pt>
                <c:pt idx="1438">
                  <c:v>6</c:v>
                </c:pt>
                <c:pt idx="1439">
                  <c:v>6.2</c:v>
                </c:pt>
                <c:pt idx="1440">
                  <c:v>5.7</c:v>
                </c:pt>
                <c:pt idx="1441">
                  <c:v>6.7</c:v>
                </c:pt>
                <c:pt idx="1442">
                  <c:v>6.8</c:v>
                </c:pt>
                <c:pt idx="1443">
                  <c:v>6</c:v>
                </c:pt>
                <c:pt idx="1444">
                  <c:v>7.3</c:v>
                </c:pt>
                <c:pt idx="1445">
                  <c:v>5.5</c:v>
                </c:pt>
                <c:pt idx="1446">
                  <c:v>6.7</c:v>
                </c:pt>
                <c:pt idx="1447">
                  <c:v>4.8</c:v>
                </c:pt>
                <c:pt idx="1448">
                  <c:v>5.7</c:v>
                </c:pt>
                <c:pt idx="1449">
                  <c:v>5.0999999999999996</c:v>
                </c:pt>
                <c:pt idx="1450">
                  <c:v>6</c:v>
                </c:pt>
                <c:pt idx="1451">
                  <c:v>4.2</c:v>
                </c:pt>
                <c:pt idx="1452">
                  <c:v>7.4</c:v>
                </c:pt>
                <c:pt idx="1453">
                  <c:v>4.5999999999999996</c:v>
                </c:pt>
                <c:pt idx="1454">
                  <c:v>6.9</c:v>
                </c:pt>
                <c:pt idx="1455">
                  <c:v>6.9</c:v>
                </c:pt>
                <c:pt idx="1456">
                  <c:v>8</c:v>
                </c:pt>
                <c:pt idx="1457">
                  <c:v>6.4</c:v>
                </c:pt>
                <c:pt idx="1458">
                  <c:v>6.3</c:v>
                </c:pt>
                <c:pt idx="1459">
                  <c:v>8.4</c:v>
                </c:pt>
                <c:pt idx="1460">
                  <c:v>7.1</c:v>
                </c:pt>
                <c:pt idx="1461">
                  <c:v>6.8</c:v>
                </c:pt>
                <c:pt idx="1462">
                  <c:v>7.5</c:v>
                </c:pt>
                <c:pt idx="1463">
                  <c:v>5.7</c:v>
                </c:pt>
                <c:pt idx="1464">
                  <c:v>6.8</c:v>
                </c:pt>
                <c:pt idx="1465">
                  <c:v>5.4</c:v>
                </c:pt>
                <c:pt idx="1466">
                  <c:v>7.2</c:v>
                </c:pt>
                <c:pt idx="1467">
                  <c:v>7.3</c:v>
                </c:pt>
                <c:pt idx="1468">
                  <c:v>5.2</c:v>
                </c:pt>
                <c:pt idx="1469">
                  <c:v>5.5</c:v>
                </c:pt>
                <c:pt idx="1470">
                  <c:v>7.7</c:v>
                </c:pt>
                <c:pt idx="1471">
                  <c:v>7.1</c:v>
                </c:pt>
                <c:pt idx="1472">
                  <c:v>5.3</c:v>
                </c:pt>
                <c:pt idx="1473">
                  <c:v>5.6</c:v>
                </c:pt>
                <c:pt idx="1474">
                  <c:v>5.7</c:v>
                </c:pt>
                <c:pt idx="1475">
                  <c:v>7.1</c:v>
                </c:pt>
                <c:pt idx="1476">
                  <c:v>7.5</c:v>
                </c:pt>
                <c:pt idx="1477">
                  <c:v>7.6</c:v>
                </c:pt>
                <c:pt idx="1478">
                  <c:v>5.5</c:v>
                </c:pt>
                <c:pt idx="1479">
                  <c:v>5.0999999999999996</c:v>
                </c:pt>
                <c:pt idx="1480">
                  <c:v>6.3</c:v>
                </c:pt>
                <c:pt idx="1481">
                  <c:v>4.9000000000000004</c:v>
                </c:pt>
                <c:pt idx="1482">
                  <c:v>6.5</c:v>
                </c:pt>
                <c:pt idx="1483">
                  <c:v>5.6</c:v>
                </c:pt>
                <c:pt idx="1484">
                  <c:v>5.3</c:v>
                </c:pt>
                <c:pt idx="1485">
                  <c:v>6.5</c:v>
                </c:pt>
                <c:pt idx="1486">
                  <c:v>6.8</c:v>
                </c:pt>
                <c:pt idx="1487">
                  <c:v>6.5</c:v>
                </c:pt>
                <c:pt idx="1488">
                  <c:v>6</c:v>
                </c:pt>
                <c:pt idx="1489">
                  <c:v>8.4</c:v>
                </c:pt>
                <c:pt idx="1490">
                  <c:v>6</c:v>
                </c:pt>
                <c:pt idx="1491">
                  <c:v>7.6</c:v>
                </c:pt>
                <c:pt idx="1492">
                  <c:v>5.6</c:v>
                </c:pt>
                <c:pt idx="1493">
                  <c:v>6.9</c:v>
                </c:pt>
                <c:pt idx="1494">
                  <c:v>6.4</c:v>
                </c:pt>
                <c:pt idx="1495">
                  <c:v>5.0999999999999996</c:v>
                </c:pt>
                <c:pt idx="1496">
                  <c:v>7</c:v>
                </c:pt>
                <c:pt idx="1497">
                  <c:v>5.7</c:v>
                </c:pt>
                <c:pt idx="1498">
                  <c:v>6.8</c:v>
                </c:pt>
                <c:pt idx="1499">
                  <c:v>6.7</c:v>
                </c:pt>
                <c:pt idx="1500">
                  <c:v>6.2</c:v>
                </c:pt>
                <c:pt idx="1501">
                  <c:v>7.2</c:v>
                </c:pt>
                <c:pt idx="1502">
                  <c:v>6.2</c:v>
                </c:pt>
                <c:pt idx="1503">
                  <c:v>5.6</c:v>
                </c:pt>
                <c:pt idx="1504">
                  <c:v>4.4000000000000004</c:v>
                </c:pt>
                <c:pt idx="1505">
                  <c:v>7.5</c:v>
                </c:pt>
                <c:pt idx="1506">
                  <c:v>7.1</c:v>
                </c:pt>
                <c:pt idx="1507">
                  <c:v>6.4</c:v>
                </c:pt>
                <c:pt idx="1508">
                  <c:v>7.1</c:v>
                </c:pt>
                <c:pt idx="1509">
                  <c:v>5.9</c:v>
                </c:pt>
                <c:pt idx="1510">
                  <c:v>6.9</c:v>
                </c:pt>
                <c:pt idx="1511">
                  <c:v>7.5</c:v>
                </c:pt>
                <c:pt idx="1512">
                  <c:v>6.3</c:v>
                </c:pt>
                <c:pt idx="1513">
                  <c:v>6.4</c:v>
                </c:pt>
                <c:pt idx="1514">
                  <c:v>5.9</c:v>
                </c:pt>
                <c:pt idx="1515">
                  <c:v>6.8</c:v>
                </c:pt>
                <c:pt idx="1516">
                  <c:v>6.3</c:v>
                </c:pt>
                <c:pt idx="1517">
                  <c:v>3.6</c:v>
                </c:pt>
                <c:pt idx="1518">
                  <c:v>5.3</c:v>
                </c:pt>
                <c:pt idx="1519">
                  <c:v>5.9</c:v>
                </c:pt>
                <c:pt idx="1520">
                  <c:v>6.9</c:v>
                </c:pt>
                <c:pt idx="1521">
                  <c:v>6.9</c:v>
                </c:pt>
                <c:pt idx="1522">
                  <c:v>6.1</c:v>
                </c:pt>
                <c:pt idx="1523">
                  <c:v>5.7</c:v>
                </c:pt>
                <c:pt idx="1524">
                  <c:v>8.5</c:v>
                </c:pt>
                <c:pt idx="1525">
                  <c:v>6.3</c:v>
                </c:pt>
                <c:pt idx="1526">
                  <c:v>7.3</c:v>
                </c:pt>
                <c:pt idx="1527">
                  <c:v>6.3</c:v>
                </c:pt>
                <c:pt idx="1528">
                  <c:v>7.2</c:v>
                </c:pt>
                <c:pt idx="1529">
                  <c:v>7.3</c:v>
                </c:pt>
                <c:pt idx="1530">
                  <c:v>6.3</c:v>
                </c:pt>
                <c:pt idx="1531">
                  <c:v>8.1</c:v>
                </c:pt>
                <c:pt idx="1532">
                  <c:v>6.9</c:v>
                </c:pt>
                <c:pt idx="1533">
                  <c:v>6.3</c:v>
                </c:pt>
                <c:pt idx="1534">
                  <c:v>7.3</c:v>
                </c:pt>
                <c:pt idx="1535">
                  <c:v>6.1</c:v>
                </c:pt>
                <c:pt idx="1536">
                  <c:v>6.9</c:v>
                </c:pt>
                <c:pt idx="1537">
                  <c:v>7.2</c:v>
                </c:pt>
                <c:pt idx="1538">
                  <c:v>6.4</c:v>
                </c:pt>
                <c:pt idx="1539">
                  <c:v>6.4</c:v>
                </c:pt>
                <c:pt idx="1540">
                  <c:v>8.3000000000000007</c:v>
                </c:pt>
                <c:pt idx="1541">
                  <c:v>7.2</c:v>
                </c:pt>
                <c:pt idx="1542">
                  <c:v>6.8</c:v>
                </c:pt>
                <c:pt idx="1543">
                  <c:v>6.5</c:v>
                </c:pt>
                <c:pt idx="1544">
                  <c:v>7.8</c:v>
                </c:pt>
                <c:pt idx="1545">
                  <c:v>7.6</c:v>
                </c:pt>
                <c:pt idx="1546">
                  <c:v>7.2</c:v>
                </c:pt>
                <c:pt idx="1547">
                  <c:v>6.7</c:v>
                </c:pt>
                <c:pt idx="1548">
                  <c:v>6.8</c:v>
                </c:pt>
                <c:pt idx="1549">
                  <c:v>6.3</c:v>
                </c:pt>
                <c:pt idx="1550">
                  <c:v>6.2</c:v>
                </c:pt>
                <c:pt idx="1551">
                  <c:v>6.2</c:v>
                </c:pt>
                <c:pt idx="1552">
                  <c:v>8.6</c:v>
                </c:pt>
                <c:pt idx="1553">
                  <c:v>8</c:v>
                </c:pt>
                <c:pt idx="1554">
                  <c:v>7</c:v>
                </c:pt>
                <c:pt idx="1555">
                  <c:v>8</c:v>
                </c:pt>
                <c:pt idx="1556">
                  <c:v>8.1</c:v>
                </c:pt>
                <c:pt idx="1557">
                  <c:v>6.7</c:v>
                </c:pt>
                <c:pt idx="1558">
                  <c:v>7.9</c:v>
                </c:pt>
                <c:pt idx="1559">
                  <c:v>6.1</c:v>
                </c:pt>
                <c:pt idx="1560">
                  <c:v>4.2</c:v>
                </c:pt>
                <c:pt idx="1561">
                  <c:v>6.1</c:v>
                </c:pt>
                <c:pt idx="1562">
                  <c:v>6.6</c:v>
                </c:pt>
                <c:pt idx="1563">
                  <c:v>7.5</c:v>
                </c:pt>
                <c:pt idx="1564">
                  <c:v>7.4</c:v>
                </c:pt>
                <c:pt idx="1565">
                  <c:v>7.2</c:v>
                </c:pt>
                <c:pt idx="1566">
                  <c:v>6.9</c:v>
                </c:pt>
                <c:pt idx="1567">
                  <c:v>7.4</c:v>
                </c:pt>
                <c:pt idx="1568">
                  <c:v>5.4</c:v>
                </c:pt>
                <c:pt idx="1569">
                  <c:v>6.8</c:v>
                </c:pt>
                <c:pt idx="1570">
                  <c:v>6.3</c:v>
                </c:pt>
                <c:pt idx="1571">
                  <c:v>7.2</c:v>
                </c:pt>
                <c:pt idx="1572">
                  <c:v>6.9</c:v>
                </c:pt>
                <c:pt idx="1573">
                  <c:v>6</c:v>
                </c:pt>
                <c:pt idx="1574">
                  <c:v>5.9</c:v>
                </c:pt>
                <c:pt idx="1575">
                  <c:v>5.4</c:v>
                </c:pt>
                <c:pt idx="1576">
                  <c:v>5.9</c:v>
                </c:pt>
                <c:pt idx="1577">
                  <c:v>6.1</c:v>
                </c:pt>
                <c:pt idx="1578">
                  <c:v>7.7</c:v>
                </c:pt>
                <c:pt idx="1579">
                  <c:v>5.8</c:v>
                </c:pt>
                <c:pt idx="1580">
                  <c:v>7.6</c:v>
                </c:pt>
                <c:pt idx="1581">
                  <c:v>6.1</c:v>
                </c:pt>
                <c:pt idx="1582">
                  <c:v>5.4</c:v>
                </c:pt>
                <c:pt idx="1583">
                  <c:v>5.0999999999999996</c:v>
                </c:pt>
                <c:pt idx="1584">
                  <c:v>6.4</c:v>
                </c:pt>
                <c:pt idx="1585">
                  <c:v>6.3</c:v>
                </c:pt>
                <c:pt idx="1586">
                  <c:v>7.5</c:v>
                </c:pt>
                <c:pt idx="1587">
                  <c:v>7.1</c:v>
                </c:pt>
                <c:pt idx="1588">
                  <c:v>5.2</c:v>
                </c:pt>
                <c:pt idx="1589">
                  <c:v>7.8</c:v>
                </c:pt>
                <c:pt idx="1590">
                  <c:v>6.5</c:v>
                </c:pt>
                <c:pt idx="1591">
                  <c:v>6.6</c:v>
                </c:pt>
                <c:pt idx="1592">
                  <c:v>5.0999999999999996</c:v>
                </c:pt>
                <c:pt idx="1593">
                  <c:v>7.4</c:v>
                </c:pt>
                <c:pt idx="1594">
                  <c:v>7.2</c:v>
                </c:pt>
                <c:pt idx="1595">
                  <c:v>7.6</c:v>
                </c:pt>
                <c:pt idx="1596">
                  <c:v>7.5</c:v>
                </c:pt>
                <c:pt idx="1597">
                  <c:v>6.6</c:v>
                </c:pt>
                <c:pt idx="1598">
                  <c:v>7.2</c:v>
                </c:pt>
                <c:pt idx="1599">
                  <c:v>7.6</c:v>
                </c:pt>
                <c:pt idx="1600">
                  <c:v>6.2</c:v>
                </c:pt>
                <c:pt idx="1601">
                  <c:v>5.6</c:v>
                </c:pt>
                <c:pt idx="1602">
                  <c:v>7.6</c:v>
                </c:pt>
                <c:pt idx="1603">
                  <c:v>6.6</c:v>
                </c:pt>
                <c:pt idx="1604">
                  <c:v>7</c:v>
                </c:pt>
                <c:pt idx="1605">
                  <c:v>2.7</c:v>
                </c:pt>
                <c:pt idx="1606">
                  <c:v>7.6</c:v>
                </c:pt>
                <c:pt idx="1607">
                  <c:v>6.6</c:v>
                </c:pt>
                <c:pt idx="1608">
                  <c:v>6.9</c:v>
                </c:pt>
                <c:pt idx="1609">
                  <c:v>6.8</c:v>
                </c:pt>
                <c:pt idx="1610">
                  <c:v>3.7</c:v>
                </c:pt>
                <c:pt idx="1611">
                  <c:v>6.1</c:v>
                </c:pt>
                <c:pt idx="1612">
                  <c:v>5.9</c:v>
                </c:pt>
                <c:pt idx="1613">
                  <c:v>6.7</c:v>
                </c:pt>
                <c:pt idx="1614">
                  <c:v>6.9</c:v>
                </c:pt>
                <c:pt idx="1615">
                  <c:v>5.5</c:v>
                </c:pt>
                <c:pt idx="1616">
                  <c:v>7.1</c:v>
                </c:pt>
                <c:pt idx="1617">
                  <c:v>7.1</c:v>
                </c:pt>
                <c:pt idx="1618">
                  <c:v>5.9</c:v>
                </c:pt>
                <c:pt idx="1619">
                  <c:v>7.3</c:v>
                </c:pt>
                <c:pt idx="1620">
                  <c:v>3.4</c:v>
                </c:pt>
                <c:pt idx="1621">
                  <c:v>6.8</c:v>
                </c:pt>
                <c:pt idx="1622">
                  <c:v>6.9</c:v>
                </c:pt>
                <c:pt idx="1623">
                  <c:v>7</c:v>
                </c:pt>
                <c:pt idx="1624">
                  <c:v>5.5</c:v>
                </c:pt>
                <c:pt idx="1625">
                  <c:v>5.0999999999999996</c:v>
                </c:pt>
                <c:pt idx="1626">
                  <c:v>6.2</c:v>
                </c:pt>
                <c:pt idx="1627">
                  <c:v>5.9</c:v>
                </c:pt>
                <c:pt idx="1628">
                  <c:v>5.2</c:v>
                </c:pt>
                <c:pt idx="1629">
                  <c:v>6.2</c:v>
                </c:pt>
                <c:pt idx="1630">
                  <c:v>5.5</c:v>
                </c:pt>
                <c:pt idx="1631">
                  <c:v>7.4</c:v>
                </c:pt>
                <c:pt idx="1632">
                  <c:v>4.4000000000000004</c:v>
                </c:pt>
                <c:pt idx="1633">
                  <c:v>6.3</c:v>
                </c:pt>
                <c:pt idx="1634">
                  <c:v>6.1</c:v>
                </c:pt>
                <c:pt idx="1635">
                  <c:v>5.3</c:v>
                </c:pt>
                <c:pt idx="1636">
                  <c:v>5.4</c:v>
                </c:pt>
                <c:pt idx="1637">
                  <c:v>6.7</c:v>
                </c:pt>
                <c:pt idx="1638">
                  <c:v>5.9</c:v>
                </c:pt>
                <c:pt idx="1639">
                  <c:v>7.3</c:v>
                </c:pt>
                <c:pt idx="1640">
                  <c:v>5.5</c:v>
                </c:pt>
                <c:pt idx="1641">
                  <c:v>5.8</c:v>
                </c:pt>
                <c:pt idx="1642">
                  <c:v>4.5999999999999996</c:v>
                </c:pt>
                <c:pt idx="1643">
                  <c:v>6.7</c:v>
                </c:pt>
                <c:pt idx="1644">
                  <c:v>5.0999999999999996</c:v>
                </c:pt>
                <c:pt idx="1645">
                  <c:v>5.6</c:v>
                </c:pt>
                <c:pt idx="1646">
                  <c:v>7</c:v>
                </c:pt>
                <c:pt idx="1647">
                  <c:v>6.4</c:v>
                </c:pt>
                <c:pt idx="1648">
                  <c:v>6.7</c:v>
                </c:pt>
                <c:pt idx="1649">
                  <c:v>4.0999999999999996</c:v>
                </c:pt>
                <c:pt idx="1650">
                  <c:v>5.5</c:v>
                </c:pt>
                <c:pt idx="1651">
                  <c:v>2.7</c:v>
                </c:pt>
                <c:pt idx="1652">
                  <c:v>6.4</c:v>
                </c:pt>
                <c:pt idx="1653">
                  <c:v>4.8</c:v>
                </c:pt>
                <c:pt idx="1654">
                  <c:v>6.1</c:v>
                </c:pt>
                <c:pt idx="1655">
                  <c:v>4.8</c:v>
                </c:pt>
                <c:pt idx="1656">
                  <c:v>7</c:v>
                </c:pt>
                <c:pt idx="1657">
                  <c:v>6.8</c:v>
                </c:pt>
                <c:pt idx="1658">
                  <c:v>7.3</c:v>
                </c:pt>
                <c:pt idx="1659">
                  <c:v>5.6</c:v>
                </c:pt>
                <c:pt idx="1660">
                  <c:v>6.1</c:v>
                </c:pt>
                <c:pt idx="1661">
                  <c:v>7.9</c:v>
                </c:pt>
                <c:pt idx="1662">
                  <c:v>8.4</c:v>
                </c:pt>
                <c:pt idx="1663">
                  <c:v>6.5</c:v>
                </c:pt>
                <c:pt idx="1664">
                  <c:v>7.1</c:v>
                </c:pt>
                <c:pt idx="1665">
                  <c:v>6.6</c:v>
                </c:pt>
                <c:pt idx="1666">
                  <c:v>4</c:v>
                </c:pt>
                <c:pt idx="1667">
                  <c:v>7</c:v>
                </c:pt>
                <c:pt idx="1668">
                  <c:v>5.6</c:v>
                </c:pt>
                <c:pt idx="1669">
                  <c:v>4.8</c:v>
                </c:pt>
                <c:pt idx="1670">
                  <c:v>7.5</c:v>
                </c:pt>
                <c:pt idx="1671">
                  <c:v>6</c:v>
                </c:pt>
                <c:pt idx="1672">
                  <c:v>7.2</c:v>
                </c:pt>
                <c:pt idx="1673">
                  <c:v>5.6</c:v>
                </c:pt>
                <c:pt idx="1674">
                  <c:v>6.8</c:v>
                </c:pt>
                <c:pt idx="1675">
                  <c:v>4.9000000000000004</c:v>
                </c:pt>
                <c:pt idx="1676">
                  <c:v>7.1</c:v>
                </c:pt>
                <c:pt idx="1677">
                  <c:v>2</c:v>
                </c:pt>
                <c:pt idx="1678">
                  <c:v>5.7</c:v>
                </c:pt>
                <c:pt idx="1679">
                  <c:v>4.0999999999999996</c:v>
                </c:pt>
                <c:pt idx="1680">
                  <c:v>6.7</c:v>
                </c:pt>
                <c:pt idx="1681">
                  <c:v>7.5</c:v>
                </c:pt>
                <c:pt idx="1682">
                  <c:v>6.5</c:v>
                </c:pt>
                <c:pt idx="1683">
                  <c:v>7.9</c:v>
                </c:pt>
                <c:pt idx="1684">
                  <c:v>6.4</c:v>
                </c:pt>
                <c:pt idx="1685">
                  <c:v>5.8</c:v>
                </c:pt>
                <c:pt idx="1686">
                  <c:v>7.7</c:v>
                </c:pt>
                <c:pt idx="1687">
                  <c:v>7.1</c:v>
                </c:pt>
                <c:pt idx="1688">
                  <c:v>5.3</c:v>
                </c:pt>
                <c:pt idx="1689">
                  <c:v>5.3</c:v>
                </c:pt>
                <c:pt idx="1690">
                  <c:v>7.5</c:v>
                </c:pt>
                <c:pt idx="1691">
                  <c:v>6.9</c:v>
                </c:pt>
                <c:pt idx="1692">
                  <c:v>4.9000000000000004</c:v>
                </c:pt>
                <c:pt idx="1693">
                  <c:v>7.1</c:v>
                </c:pt>
                <c:pt idx="1694">
                  <c:v>8</c:v>
                </c:pt>
                <c:pt idx="1695">
                  <c:v>7.9</c:v>
                </c:pt>
                <c:pt idx="1696">
                  <c:v>7.6</c:v>
                </c:pt>
                <c:pt idx="1697">
                  <c:v>5.9</c:v>
                </c:pt>
                <c:pt idx="1698">
                  <c:v>6.3</c:v>
                </c:pt>
                <c:pt idx="1699">
                  <c:v>7.1</c:v>
                </c:pt>
                <c:pt idx="1700">
                  <c:v>6.4</c:v>
                </c:pt>
                <c:pt idx="1701">
                  <c:v>8.1999999999999993</c:v>
                </c:pt>
                <c:pt idx="1702">
                  <c:v>6.9</c:v>
                </c:pt>
                <c:pt idx="1703">
                  <c:v>7.8</c:v>
                </c:pt>
                <c:pt idx="1704">
                  <c:v>6.7</c:v>
                </c:pt>
                <c:pt idx="1705">
                  <c:v>7.5</c:v>
                </c:pt>
                <c:pt idx="1706">
                  <c:v>7.4</c:v>
                </c:pt>
                <c:pt idx="1707">
                  <c:v>5.2</c:v>
                </c:pt>
                <c:pt idx="1708">
                  <c:v>6.5</c:v>
                </c:pt>
                <c:pt idx="1709">
                  <c:v>7.6</c:v>
                </c:pt>
                <c:pt idx="1710">
                  <c:v>7.3</c:v>
                </c:pt>
                <c:pt idx="1711">
                  <c:v>6.6</c:v>
                </c:pt>
                <c:pt idx="1712">
                  <c:v>6.8</c:v>
                </c:pt>
                <c:pt idx="1713">
                  <c:v>6.9</c:v>
                </c:pt>
                <c:pt idx="1714">
                  <c:v>5.8</c:v>
                </c:pt>
                <c:pt idx="1715">
                  <c:v>6.6</c:v>
                </c:pt>
                <c:pt idx="1716">
                  <c:v>6.7</c:v>
                </c:pt>
                <c:pt idx="1717">
                  <c:v>6.7</c:v>
                </c:pt>
                <c:pt idx="1718">
                  <c:v>6.3</c:v>
                </c:pt>
                <c:pt idx="1719">
                  <c:v>7.7</c:v>
                </c:pt>
                <c:pt idx="1720">
                  <c:v>6.1</c:v>
                </c:pt>
                <c:pt idx="1721">
                  <c:v>4.9000000000000004</c:v>
                </c:pt>
                <c:pt idx="1722">
                  <c:v>6.2</c:v>
                </c:pt>
                <c:pt idx="1723">
                  <c:v>7.8</c:v>
                </c:pt>
                <c:pt idx="1724">
                  <c:v>8.1999999999999993</c:v>
                </c:pt>
                <c:pt idx="1725">
                  <c:v>6.9</c:v>
                </c:pt>
                <c:pt idx="1726">
                  <c:v>6.2</c:v>
                </c:pt>
                <c:pt idx="1727">
                  <c:v>6.9</c:v>
                </c:pt>
                <c:pt idx="1728">
                  <c:v>4.8</c:v>
                </c:pt>
                <c:pt idx="1729">
                  <c:v>8</c:v>
                </c:pt>
                <c:pt idx="1730">
                  <c:v>5.3</c:v>
                </c:pt>
                <c:pt idx="1731">
                  <c:v>6.7</c:v>
                </c:pt>
                <c:pt idx="1732">
                  <c:v>5.4</c:v>
                </c:pt>
                <c:pt idx="1733">
                  <c:v>5.4</c:v>
                </c:pt>
                <c:pt idx="1734">
                  <c:v>4.9000000000000004</c:v>
                </c:pt>
                <c:pt idx="1735">
                  <c:v>6.1</c:v>
                </c:pt>
                <c:pt idx="1736">
                  <c:v>5.8</c:v>
                </c:pt>
                <c:pt idx="1737">
                  <c:v>7</c:v>
                </c:pt>
                <c:pt idx="1738">
                  <c:v>6.5</c:v>
                </c:pt>
                <c:pt idx="1739">
                  <c:v>6.6</c:v>
                </c:pt>
                <c:pt idx="1740">
                  <c:v>6.1</c:v>
                </c:pt>
                <c:pt idx="1741">
                  <c:v>5.7</c:v>
                </c:pt>
                <c:pt idx="1742">
                  <c:v>6.6</c:v>
                </c:pt>
                <c:pt idx="1743">
                  <c:v>7</c:v>
                </c:pt>
                <c:pt idx="1744">
                  <c:v>7.4</c:v>
                </c:pt>
                <c:pt idx="1745">
                  <c:v>5.3</c:v>
                </c:pt>
                <c:pt idx="1746">
                  <c:v>7.4</c:v>
                </c:pt>
                <c:pt idx="1747">
                  <c:v>7.4</c:v>
                </c:pt>
                <c:pt idx="1748">
                  <c:v>6.8</c:v>
                </c:pt>
                <c:pt idx="1749">
                  <c:v>7.2</c:v>
                </c:pt>
                <c:pt idx="1750">
                  <c:v>6</c:v>
                </c:pt>
                <c:pt idx="1751">
                  <c:v>6.6</c:v>
                </c:pt>
                <c:pt idx="1752">
                  <c:v>7.9</c:v>
                </c:pt>
                <c:pt idx="1753">
                  <c:v>6.2</c:v>
                </c:pt>
                <c:pt idx="1754">
                  <c:v>5.7</c:v>
                </c:pt>
                <c:pt idx="1755">
                  <c:v>7.1</c:v>
                </c:pt>
                <c:pt idx="1756">
                  <c:v>5.6</c:v>
                </c:pt>
                <c:pt idx="1757">
                  <c:v>7.8</c:v>
                </c:pt>
                <c:pt idx="1758">
                  <c:v>7.9</c:v>
                </c:pt>
                <c:pt idx="1759">
                  <c:v>6.9</c:v>
                </c:pt>
                <c:pt idx="1760">
                  <c:v>7.4</c:v>
                </c:pt>
                <c:pt idx="1761">
                  <c:v>7.7</c:v>
                </c:pt>
                <c:pt idx="1762">
                  <c:v>6.9</c:v>
                </c:pt>
                <c:pt idx="1763">
                  <c:v>6.7</c:v>
                </c:pt>
                <c:pt idx="1764">
                  <c:v>6</c:v>
                </c:pt>
                <c:pt idx="1765">
                  <c:v>6.2</c:v>
                </c:pt>
                <c:pt idx="1766">
                  <c:v>5.9</c:v>
                </c:pt>
                <c:pt idx="1767">
                  <c:v>6.8</c:v>
                </c:pt>
                <c:pt idx="1768">
                  <c:v>3.6</c:v>
                </c:pt>
                <c:pt idx="1769">
                  <c:v>6.7</c:v>
                </c:pt>
                <c:pt idx="1770">
                  <c:v>6.3</c:v>
                </c:pt>
                <c:pt idx="1771">
                  <c:v>6.4</c:v>
                </c:pt>
                <c:pt idx="1772">
                  <c:v>6.4</c:v>
                </c:pt>
                <c:pt idx="1773">
                  <c:v>5.7</c:v>
                </c:pt>
                <c:pt idx="1774">
                  <c:v>6.2</c:v>
                </c:pt>
                <c:pt idx="1775">
                  <c:v>6.6</c:v>
                </c:pt>
                <c:pt idx="1776">
                  <c:v>5.2</c:v>
                </c:pt>
                <c:pt idx="1777">
                  <c:v>6.1</c:v>
                </c:pt>
                <c:pt idx="1778">
                  <c:v>7.1</c:v>
                </c:pt>
                <c:pt idx="1779">
                  <c:v>7.2</c:v>
                </c:pt>
                <c:pt idx="1780">
                  <c:v>6.5</c:v>
                </c:pt>
                <c:pt idx="1781">
                  <c:v>6</c:v>
                </c:pt>
                <c:pt idx="1782">
                  <c:v>7</c:v>
                </c:pt>
                <c:pt idx="1783">
                  <c:v>7</c:v>
                </c:pt>
                <c:pt idx="1784">
                  <c:v>7.5</c:v>
                </c:pt>
                <c:pt idx="1785">
                  <c:v>6.6</c:v>
                </c:pt>
                <c:pt idx="1786">
                  <c:v>7.4</c:v>
                </c:pt>
                <c:pt idx="1787">
                  <c:v>6.5</c:v>
                </c:pt>
                <c:pt idx="1788">
                  <c:v>6.2</c:v>
                </c:pt>
                <c:pt idx="1789">
                  <c:v>7.8</c:v>
                </c:pt>
                <c:pt idx="1790">
                  <c:v>5.2</c:v>
                </c:pt>
                <c:pt idx="1791">
                  <c:v>6.5</c:v>
                </c:pt>
                <c:pt idx="1792">
                  <c:v>6.5</c:v>
                </c:pt>
                <c:pt idx="1793">
                  <c:v>5.2</c:v>
                </c:pt>
                <c:pt idx="1794">
                  <c:v>7.2</c:v>
                </c:pt>
                <c:pt idx="1795">
                  <c:v>7.1</c:v>
                </c:pt>
                <c:pt idx="1796">
                  <c:v>4.5</c:v>
                </c:pt>
                <c:pt idx="1797">
                  <c:v>5.7</c:v>
                </c:pt>
                <c:pt idx="1798">
                  <c:v>6</c:v>
                </c:pt>
                <c:pt idx="1799">
                  <c:v>6.4</c:v>
                </c:pt>
                <c:pt idx="1800">
                  <c:v>5.2</c:v>
                </c:pt>
                <c:pt idx="1801">
                  <c:v>4.3</c:v>
                </c:pt>
                <c:pt idx="1802">
                  <c:v>6.1</c:v>
                </c:pt>
                <c:pt idx="1803">
                  <c:v>6.3</c:v>
                </c:pt>
                <c:pt idx="1804">
                  <c:v>6.8</c:v>
                </c:pt>
                <c:pt idx="1805">
                  <c:v>4</c:v>
                </c:pt>
                <c:pt idx="1806">
                  <c:v>5.2</c:v>
                </c:pt>
                <c:pt idx="1807">
                  <c:v>6.5</c:v>
                </c:pt>
                <c:pt idx="1808">
                  <c:v>7.5</c:v>
                </c:pt>
                <c:pt idx="1809">
                  <c:v>7.1</c:v>
                </c:pt>
                <c:pt idx="1810">
                  <c:v>6.9</c:v>
                </c:pt>
                <c:pt idx="1811">
                  <c:v>8</c:v>
                </c:pt>
                <c:pt idx="1812">
                  <c:v>8.1999999999999993</c:v>
                </c:pt>
                <c:pt idx="1813">
                  <c:v>6.4</c:v>
                </c:pt>
                <c:pt idx="1814">
                  <c:v>7.9</c:v>
                </c:pt>
                <c:pt idx="1815">
                  <c:v>6.7</c:v>
                </c:pt>
                <c:pt idx="1816">
                  <c:v>6.1</c:v>
                </c:pt>
                <c:pt idx="1817">
                  <c:v>8.9</c:v>
                </c:pt>
                <c:pt idx="1818">
                  <c:v>8.1</c:v>
                </c:pt>
                <c:pt idx="1819">
                  <c:v>6.2</c:v>
                </c:pt>
                <c:pt idx="1820">
                  <c:v>4.9000000000000004</c:v>
                </c:pt>
                <c:pt idx="1821">
                  <c:v>5.4</c:v>
                </c:pt>
                <c:pt idx="1822">
                  <c:v>5.8</c:v>
                </c:pt>
                <c:pt idx="1823">
                  <c:v>4.7</c:v>
                </c:pt>
                <c:pt idx="1824">
                  <c:v>6</c:v>
                </c:pt>
                <c:pt idx="1825">
                  <c:v>7</c:v>
                </c:pt>
                <c:pt idx="1826">
                  <c:v>6</c:v>
                </c:pt>
                <c:pt idx="1827">
                  <c:v>7.9</c:v>
                </c:pt>
                <c:pt idx="1828">
                  <c:v>8.1</c:v>
                </c:pt>
                <c:pt idx="1829">
                  <c:v>6.2</c:v>
                </c:pt>
                <c:pt idx="1830">
                  <c:v>6.7</c:v>
                </c:pt>
                <c:pt idx="1831">
                  <c:v>7.3</c:v>
                </c:pt>
                <c:pt idx="1832">
                  <c:v>4.5999999999999996</c:v>
                </c:pt>
                <c:pt idx="1833">
                  <c:v>6.1</c:v>
                </c:pt>
                <c:pt idx="1834">
                  <c:v>6.2</c:v>
                </c:pt>
                <c:pt idx="1835">
                  <c:v>7.8</c:v>
                </c:pt>
                <c:pt idx="1836">
                  <c:v>6.1</c:v>
                </c:pt>
                <c:pt idx="1837">
                  <c:v>7.6</c:v>
                </c:pt>
                <c:pt idx="1838">
                  <c:v>5.8</c:v>
                </c:pt>
                <c:pt idx="1839">
                  <c:v>6.5</c:v>
                </c:pt>
                <c:pt idx="1840">
                  <c:v>7.2</c:v>
                </c:pt>
                <c:pt idx="1841">
                  <c:v>7.8</c:v>
                </c:pt>
                <c:pt idx="1842">
                  <c:v>4.7</c:v>
                </c:pt>
                <c:pt idx="1843">
                  <c:v>6.8</c:v>
                </c:pt>
                <c:pt idx="1844">
                  <c:v>5.9</c:v>
                </c:pt>
                <c:pt idx="1845">
                  <c:v>7.2</c:v>
                </c:pt>
                <c:pt idx="1846">
                  <c:v>8.6999999999999993</c:v>
                </c:pt>
                <c:pt idx="1847">
                  <c:v>5</c:v>
                </c:pt>
                <c:pt idx="1848">
                  <c:v>6.6</c:v>
                </c:pt>
                <c:pt idx="1849">
                  <c:v>8.3000000000000007</c:v>
                </c:pt>
                <c:pt idx="1850">
                  <c:v>6.7</c:v>
                </c:pt>
                <c:pt idx="1851">
                  <c:v>7.8</c:v>
                </c:pt>
                <c:pt idx="1852">
                  <c:v>6.5</c:v>
                </c:pt>
                <c:pt idx="1853">
                  <c:v>6.1</c:v>
                </c:pt>
                <c:pt idx="1854">
                  <c:v>8.1</c:v>
                </c:pt>
                <c:pt idx="1855">
                  <c:v>5.2</c:v>
                </c:pt>
                <c:pt idx="1856">
                  <c:v>5.6</c:v>
                </c:pt>
                <c:pt idx="1857">
                  <c:v>5.8</c:v>
                </c:pt>
                <c:pt idx="1858">
                  <c:v>6.6</c:v>
                </c:pt>
                <c:pt idx="1859">
                  <c:v>6.6</c:v>
                </c:pt>
                <c:pt idx="1860">
                  <c:v>5.5</c:v>
                </c:pt>
                <c:pt idx="1861">
                  <c:v>5.5</c:v>
                </c:pt>
                <c:pt idx="1862">
                  <c:v>7</c:v>
                </c:pt>
                <c:pt idx="1863">
                  <c:v>6.5</c:v>
                </c:pt>
                <c:pt idx="1864">
                  <c:v>5.8</c:v>
                </c:pt>
                <c:pt idx="1865">
                  <c:v>5.6</c:v>
                </c:pt>
                <c:pt idx="1866">
                  <c:v>5.6</c:v>
                </c:pt>
                <c:pt idx="1867">
                  <c:v>5.8</c:v>
                </c:pt>
                <c:pt idx="1868">
                  <c:v>7.6</c:v>
                </c:pt>
                <c:pt idx="1869">
                  <c:v>6.4</c:v>
                </c:pt>
                <c:pt idx="1870">
                  <c:v>6.3</c:v>
                </c:pt>
                <c:pt idx="1871">
                  <c:v>4.5999999999999996</c:v>
                </c:pt>
                <c:pt idx="1872">
                  <c:v>6.5</c:v>
                </c:pt>
                <c:pt idx="1873">
                  <c:v>7.5</c:v>
                </c:pt>
                <c:pt idx="1874">
                  <c:v>7.5</c:v>
                </c:pt>
                <c:pt idx="1875">
                  <c:v>5.3</c:v>
                </c:pt>
                <c:pt idx="1876">
                  <c:v>7.5</c:v>
                </c:pt>
                <c:pt idx="1877">
                  <c:v>3.3</c:v>
                </c:pt>
                <c:pt idx="1878">
                  <c:v>5.7</c:v>
                </c:pt>
                <c:pt idx="1879">
                  <c:v>3.5</c:v>
                </c:pt>
                <c:pt idx="1880">
                  <c:v>9.3000000000000007</c:v>
                </c:pt>
                <c:pt idx="1881">
                  <c:v>4.8</c:v>
                </c:pt>
                <c:pt idx="1882">
                  <c:v>6.9</c:v>
                </c:pt>
                <c:pt idx="1883">
                  <c:v>6</c:v>
                </c:pt>
                <c:pt idx="1884">
                  <c:v>7.3</c:v>
                </c:pt>
                <c:pt idx="1885">
                  <c:v>6</c:v>
                </c:pt>
                <c:pt idx="1886">
                  <c:v>6.6</c:v>
                </c:pt>
                <c:pt idx="1887">
                  <c:v>7.5</c:v>
                </c:pt>
                <c:pt idx="1888">
                  <c:v>6.9</c:v>
                </c:pt>
                <c:pt idx="1889">
                  <c:v>6.8</c:v>
                </c:pt>
                <c:pt idx="1890">
                  <c:v>6.3</c:v>
                </c:pt>
                <c:pt idx="1891">
                  <c:v>6.4</c:v>
                </c:pt>
                <c:pt idx="1892">
                  <c:v>5.6</c:v>
                </c:pt>
                <c:pt idx="1893">
                  <c:v>6.3</c:v>
                </c:pt>
                <c:pt idx="1894">
                  <c:v>7.3</c:v>
                </c:pt>
                <c:pt idx="1895">
                  <c:v>6.6</c:v>
                </c:pt>
                <c:pt idx="1896">
                  <c:v>4.5999999999999996</c:v>
                </c:pt>
                <c:pt idx="1897">
                  <c:v>5.0999999999999996</c:v>
                </c:pt>
                <c:pt idx="1898">
                  <c:v>5.6</c:v>
                </c:pt>
                <c:pt idx="1899">
                  <c:v>5.3</c:v>
                </c:pt>
                <c:pt idx="1900">
                  <c:v>7.5</c:v>
                </c:pt>
                <c:pt idx="1901">
                  <c:v>5.6</c:v>
                </c:pt>
                <c:pt idx="1902">
                  <c:v>5.9</c:v>
                </c:pt>
                <c:pt idx="1903">
                  <c:v>4.7</c:v>
                </c:pt>
                <c:pt idx="1904">
                  <c:v>4.8</c:v>
                </c:pt>
                <c:pt idx="1905">
                  <c:v>6.8</c:v>
                </c:pt>
                <c:pt idx="1906">
                  <c:v>5.4</c:v>
                </c:pt>
                <c:pt idx="1907">
                  <c:v>5.0999999999999996</c:v>
                </c:pt>
                <c:pt idx="1908">
                  <c:v>7</c:v>
                </c:pt>
                <c:pt idx="1909">
                  <c:v>6.7</c:v>
                </c:pt>
                <c:pt idx="1910">
                  <c:v>4</c:v>
                </c:pt>
                <c:pt idx="1911">
                  <c:v>7.3</c:v>
                </c:pt>
                <c:pt idx="1912">
                  <c:v>6.8</c:v>
                </c:pt>
                <c:pt idx="1913">
                  <c:v>6.1</c:v>
                </c:pt>
                <c:pt idx="1914">
                  <c:v>7</c:v>
                </c:pt>
                <c:pt idx="1915">
                  <c:v>7.1</c:v>
                </c:pt>
                <c:pt idx="1916">
                  <c:v>6.9</c:v>
                </c:pt>
                <c:pt idx="1917">
                  <c:v>7.3</c:v>
                </c:pt>
                <c:pt idx="1918">
                  <c:v>6.3</c:v>
                </c:pt>
                <c:pt idx="1919">
                  <c:v>8.1999999999999993</c:v>
                </c:pt>
                <c:pt idx="1920">
                  <c:v>7.1</c:v>
                </c:pt>
                <c:pt idx="1921">
                  <c:v>7.7</c:v>
                </c:pt>
                <c:pt idx="1922">
                  <c:v>6.5</c:v>
                </c:pt>
                <c:pt idx="1923">
                  <c:v>4.9000000000000004</c:v>
                </c:pt>
                <c:pt idx="1924">
                  <c:v>6.4</c:v>
                </c:pt>
                <c:pt idx="1925">
                  <c:v>5.9</c:v>
                </c:pt>
                <c:pt idx="1926">
                  <c:v>6.2</c:v>
                </c:pt>
                <c:pt idx="1927">
                  <c:v>5.8</c:v>
                </c:pt>
                <c:pt idx="1928">
                  <c:v>6.7</c:v>
                </c:pt>
                <c:pt idx="1929">
                  <c:v>5.9</c:v>
                </c:pt>
                <c:pt idx="1930">
                  <c:v>7.3</c:v>
                </c:pt>
                <c:pt idx="1931">
                  <c:v>4.8</c:v>
                </c:pt>
                <c:pt idx="1932">
                  <c:v>4.0999999999999996</c:v>
                </c:pt>
                <c:pt idx="1933">
                  <c:v>4.9000000000000004</c:v>
                </c:pt>
                <c:pt idx="1934">
                  <c:v>7.9</c:v>
                </c:pt>
                <c:pt idx="1935">
                  <c:v>5.2</c:v>
                </c:pt>
                <c:pt idx="1936">
                  <c:v>4.0999999999999996</c:v>
                </c:pt>
                <c:pt idx="1937">
                  <c:v>6.6</c:v>
                </c:pt>
                <c:pt idx="1938">
                  <c:v>2.9</c:v>
                </c:pt>
                <c:pt idx="1939">
                  <c:v>7.2</c:v>
                </c:pt>
                <c:pt idx="1940">
                  <c:v>6.5</c:v>
                </c:pt>
                <c:pt idx="1941">
                  <c:v>6.8</c:v>
                </c:pt>
                <c:pt idx="1942">
                  <c:v>7.2</c:v>
                </c:pt>
                <c:pt idx="1943">
                  <c:v>6.8</c:v>
                </c:pt>
                <c:pt idx="1944">
                  <c:v>7.8</c:v>
                </c:pt>
                <c:pt idx="1945">
                  <c:v>6.7</c:v>
                </c:pt>
                <c:pt idx="1946">
                  <c:v>6.1</c:v>
                </c:pt>
                <c:pt idx="1947">
                  <c:v>7.1</c:v>
                </c:pt>
                <c:pt idx="1948">
                  <c:v>5.7</c:v>
                </c:pt>
                <c:pt idx="1949">
                  <c:v>2.9</c:v>
                </c:pt>
                <c:pt idx="1950">
                  <c:v>5.2</c:v>
                </c:pt>
                <c:pt idx="1951">
                  <c:v>5.3</c:v>
                </c:pt>
                <c:pt idx="1952">
                  <c:v>6.2</c:v>
                </c:pt>
                <c:pt idx="1953">
                  <c:v>7.3</c:v>
                </c:pt>
                <c:pt idx="1954">
                  <c:v>6.5</c:v>
                </c:pt>
                <c:pt idx="1955">
                  <c:v>4.0999999999999996</c:v>
                </c:pt>
                <c:pt idx="1956">
                  <c:v>7.7</c:v>
                </c:pt>
                <c:pt idx="1957">
                  <c:v>6.1</c:v>
                </c:pt>
                <c:pt idx="1958">
                  <c:v>7.3</c:v>
                </c:pt>
                <c:pt idx="1959">
                  <c:v>7.2</c:v>
                </c:pt>
                <c:pt idx="1960">
                  <c:v>6.1</c:v>
                </c:pt>
                <c:pt idx="1961">
                  <c:v>5.8</c:v>
                </c:pt>
                <c:pt idx="1962">
                  <c:v>5.7</c:v>
                </c:pt>
                <c:pt idx="1963">
                  <c:v>6.7</c:v>
                </c:pt>
                <c:pt idx="1964">
                  <c:v>6.5</c:v>
                </c:pt>
                <c:pt idx="1965">
                  <c:v>7.2</c:v>
                </c:pt>
                <c:pt idx="1966">
                  <c:v>7.6</c:v>
                </c:pt>
                <c:pt idx="1967">
                  <c:v>4.5999999999999996</c:v>
                </c:pt>
                <c:pt idx="1968">
                  <c:v>6.9</c:v>
                </c:pt>
                <c:pt idx="1969">
                  <c:v>6.6</c:v>
                </c:pt>
                <c:pt idx="1970">
                  <c:v>6.3</c:v>
                </c:pt>
                <c:pt idx="1971">
                  <c:v>6.2</c:v>
                </c:pt>
                <c:pt idx="1972">
                  <c:v>5.3</c:v>
                </c:pt>
                <c:pt idx="1973">
                  <c:v>7.3</c:v>
                </c:pt>
                <c:pt idx="1974">
                  <c:v>5.6</c:v>
                </c:pt>
                <c:pt idx="1975">
                  <c:v>6.2</c:v>
                </c:pt>
                <c:pt idx="1976">
                  <c:v>5.2</c:v>
                </c:pt>
                <c:pt idx="1977">
                  <c:v>5.3</c:v>
                </c:pt>
                <c:pt idx="1978">
                  <c:v>5.4</c:v>
                </c:pt>
                <c:pt idx="1979">
                  <c:v>4.9000000000000004</c:v>
                </c:pt>
                <c:pt idx="1980">
                  <c:v>5.5</c:v>
                </c:pt>
                <c:pt idx="1981">
                  <c:v>6.7</c:v>
                </c:pt>
                <c:pt idx="1982">
                  <c:v>3.9</c:v>
                </c:pt>
                <c:pt idx="1983">
                  <c:v>7.2</c:v>
                </c:pt>
                <c:pt idx="1984">
                  <c:v>5.0999999999999996</c:v>
                </c:pt>
                <c:pt idx="1985">
                  <c:v>6.5</c:v>
                </c:pt>
                <c:pt idx="1986">
                  <c:v>8.1999999999999993</c:v>
                </c:pt>
                <c:pt idx="1987">
                  <c:v>7.7</c:v>
                </c:pt>
                <c:pt idx="1988">
                  <c:v>6.1</c:v>
                </c:pt>
                <c:pt idx="1989">
                  <c:v>8.8000000000000007</c:v>
                </c:pt>
                <c:pt idx="1990">
                  <c:v>6.8</c:v>
                </c:pt>
                <c:pt idx="1991">
                  <c:v>6.8</c:v>
                </c:pt>
                <c:pt idx="1992">
                  <c:v>6.7</c:v>
                </c:pt>
                <c:pt idx="1993">
                  <c:v>7.1</c:v>
                </c:pt>
                <c:pt idx="1994">
                  <c:v>7.1</c:v>
                </c:pt>
                <c:pt idx="1995">
                  <c:v>6.1</c:v>
                </c:pt>
                <c:pt idx="1996">
                  <c:v>8</c:v>
                </c:pt>
                <c:pt idx="1997">
                  <c:v>6.6</c:v>
                </c:pt>
                <c:pt idx="1998">
                  <c:v>5.4</c:v>
                </c:pt>
                <c:pt idx="1999">
                  <c:v>6.1</c:v>
                </c:pt>
                <c:pt idx="2000">
                  <c:v>5.6</c:v>
                </c:pt>
                <c:pt idx="2001">
                  <c:v>5.8</c:v>
                </c:pt>
                <c:pt idx="2002">
                  <c:v>2.8</c:v>
                </c:pt>
                <c:pt idx="2003">
                  <c:v>6.7</c:v>
                </c:pt>
                <c:pt idx="2004">
                  <c:v>5.0999999999999996</c:v>
                </c:pt>
                <c:pt idx="2005">
                  <c:v>7.2</c:v>
                </c:pt>
                <c:pt idx="2006">
                  <c:v>6</c:v>
                </c:pt>
                <c:pt idx="2007">
                  <c:v>7.2</c:v>
                </c:pt>
                <c:pt idx="2008">
                  <c:v>6.7</c:v>
                </c:pt>
                <c:pt idx="2009">
                  <c:v>6.3</c:v>
                </c:pt>
                <c:pt idx="2010">
                  <c:v>6.2</c:v>
                </c:pt>
                <c:pt idx="2011">
                  <c:v>6.2</c:v>
                </c:pt>
                <c:pt idx="2012">
                  <c:v>6.9</c:v>
                </c:pt>
                <c:pt idx="2013">
                  <c:v>6.8</c:v>
                </c:pt>
                <c:pt idx="2014">
                  <c:v>7.1</c:v>
                </c:pt>
                <c:pt idx="2015">
                  <c:v>7.1</c:v>
                </c:pt>
                <c:pt idx="2016">
                  <c:v>7</c:v>
                </c:pt>
                <c:pt idx="2017">
                  <c:v>7.1</c:v>
                </c:pt>
                <c:pt idx="2018">
                  <c:v>6.4</c:v>
                </c:pt>
                <c:pt idx="2019">
                  <c:v>7</c:v>
                </c:pt>
                <c:pt idx="2020">
                  <c:v>6.2</c:v>
                </c:pt>
                <c:pt idx="2021">
                  <c:v>7.5</c:v>
                </c:pt>
                <c:pt idx="2022">
                  <c:v>4.8</c:v>
                </c:pt>
                <c:pt idx="2023">
                  <c:v>8.1</c:v>
                </c:pt>
                <c:pt idx="2024">
                  <c:v>7.3</c:v>
                </c:pt>
                <c:pt idx="2025">
                  <c:v>5.8</c:v>
                </c:pt>
                <c:pt idx="2026">
                  <c:v>7.6</c:v>
                </c:pt>
                <c:pt idx="2027">
                  <c:v>5.6</c:v>
                </c:pt>
                <c:pt idx="2028">
                  <c:v>7</c:v>
                </c:pt>
                <c:pt idx="2029">
                  <c:v>6.6</c:v>
                </c:pt>
                <c:pt idx="2030">
                  <c:v>6.5</c:v>
                </c:pt>
                <c:pt idx="2031">
                  <c:v>7.4</c:v>
                </c:pt>
                <c:pt idx="2032">
                  <c:v>4.5999999999999996</c:v>
                </c:pt>
                <c:pt idx="2033">
                  <c:v>6.4</c:v>
                </c:pt>
                <c:pt idx="2034">
                  <c:v>6.4</c:v>
                </c:pt>
                <c:pt idx="2035">
                  <c:v>5.9</c:v>
                </c:pt>
                <c:pt idx="2036">
                  <c:v>6.4</c:v>
                </c:pt>
                <c:pt idx="2037">
                  <c:v>6.6</c:v>
                </c:pt>
                <c:pt idx="2038">
                  <c:v>6.9</c:v>
                </c:pt>
                <c:pt idx="2039">
                  <c:v>5.8</c:v>
                </c:pt>
                <c:pt idx="2040">
                  <c:v>6.4</c:v>
                </c:pt>
                <c:pt idx="2041">
                  <c:v>5.3</c:v>
                </c:pt>
                <c:pt idx="2042">
                  <c:v>6.5</c:v>
                </c:pt>
                <c:pt idx="2043">
                  <c:v>5.7</c:v>
                </c:pt>
                <c:pt idx="2044">
                  <c:v>6.7</c:v>
                </c:pt>
                <c:pt idx="2045">
                  <c:v>3.9</c:v>
                </c:pt>
                <c:pt idx="2046">
                  <c:v>4.0999999999999996</c:v>
                </c:pt>
                <c:pt idx="2047">
                  <c:v>6.2</c:v>
                </c:pt>
                <c:pt idx="2048">
                  <c:v>3.8</c:v>
                </c:pt>
                <c:pt idx="2049">
                  <c:v>5.0999999999999996</c:v>
                </c:pt>
                <c:pt idx="2050">
                  <c:v>6.4</c:v>
                </c:pt>
                <c:pt idx="2051">
                  <c:v>7.8</c:v>
                </c:pt>
                <c:pt idx="2052">
                  <c:v>7.8</c:v>
                </c:pt>
                <c:pt idx="2053">
                  <c:v>6.1</c:v>
                </c:pt>
                <c:pt idx="2054">
                  <c:v>5.8</c:v>
                </c:pt>
                <c:pt idx="2055">
                  <c:v>6.3</c:v>
                </c:pt>
                <c:pt idx="2056">
                  <c:v>7.7</c:v>
                </c:pt>
                <c:pt idx="2057">
                  <c:v>5.4</c:v>
                </c:pt>
                <c:pt idx="2058">
                  <c:v>7.3</c:v>
                </c:pt>
                <c:pt idx="2059">
                  <c:v>6.8</c:v>
                </c:pt>
                <c:pt idx="2060">
                  <c:v>7.3</c:v>
                </c:pt>
                <c:pt idx="2061">
                  <c:v>6.5</c:v>
                </c:pt>
                <c:pt idx="2062">
                  <c:v>7.2</c:v>
                </c:pt>
                <c:pt idx="2063">
                  <c:v>6.7</c:v>
                </c:pt>
                <c:pt idx="2064">
                  <c:v>6.3</c:v>
                </c:pt>
                <c:pt idx="2065">
                  <c:v>5.9</c:v>
                </c:pt>
                <c:pt idx="2066">
                  <c:v>7.8</c:v>
                </c:pt>
                <c:pt idx="2067">
                  <c:v>7.4</c:v>
                </c:pt>
                <c:pt idx="2068">
                  <c:v>4.8</c:v>
                </c:pt>
                <c:pt idx="2069">
                  <c:v>6.3</c:v>
                </c:pt>
                <c:pt idx="2070">
                  <c:v>7.8</c:v>
                </c:pt>
                <c:pt idx="2071">
                  <c:v>7.5</c:v>
                </c:pt>
                <c:pt idx="2072">
                  <c:v>6</c:v>
                </c:pt>
                <c:pt idx="2073">
                  <c:v>6.8</c:v>
                </c:pt>
                <c:pt idx="2074">
                  <c:v>6.6</c:v>
                </c:pt>
                <c:pt idx="2075">
                  <c:v>4.5999999999999996</c:v>
                </c:pt>
                <c:pt idx="2076">
                  <c:v>7.1</c:v>
                </c:pt>
                <c:pt idx="2077">
                  <c:v>6.1</c:v>
                </c:pt>
                <c:pt idx="2078">
                  <c:v>6.7</c:v>
                </c:pt>
                <c:pt idx="2079">
                  <c:v>7.1</c:v>
                </c:pt>
                <c:pt idx="2080">
                  <c:v>5.8</c:v>
                </c:pt>
                <c:pt idx="2081">
                  <c:v>6.7</c:v>
                </c:pt>
                <c:pt idx="2082">
                  <c:v>5.8</c:v>
                </c:pt>
                <c:pt idx="2083">
                  <c:v>6.8</c:v>
                </c:pt>
                <c:pt idx="2084">
                  <c:v>8.5</c:v>
                </c:pt>
                <c:pt idx="2085">
                  <c:v>6.6</c:v>
                </c:pt>
                <c:pt idx="2086">
                  <c:v>7.7</c:v>
                </c:pt>
                <c:pt idx="2087">
                  <c:v>4.7</c:v>
                </c:pt>
                <c:pt idx="2088">
                  <c:v>6.4</c:v>
                </c:pt>
                <c:pt idx="2089">
                  <c:v>5.5</c:v>
                </c:pt>
                <c:pt idx="2090">
                  <c:v>8.6</c:v>
                </c:pt>
                <c:pt idx="2091">
                  <c:v>7</c:v>
                </c:pt>
                <c:pt idx="2092">
                  <c:v>7.1</c:v>
                </c:pt>
                <c:pt idx="2093">
                  <c:v>5.7</c:v>
                </c:pt>
                <c:pt idx="2094">
                  <c:v>3.7</c:v>
                </c:pt>
                <c:pt idx="2095">
                  <c:v>7.5</c:v>
                </c:pt>
                <c:pt idx="2096">
                  <c:v>4.5999999999999996</c:v>
                </c:pt>
                <c:pt idx="2097">
                  <c:v>4.9000000000000004</c:v>
                </c:pt>
                <c:pt idx="2098">
                  <c:v>7.1</c:v>
                </c:pt>
                <c:pt idx="2099">
                  <c:v>5.8</c:v>
                </c:pt>
                <c:pt idx="2100">
                  <c:v>5.4</c:v>
                </c:pt>
                <c:pt idx="2101">
                  <c:v>7.3</c:v>
                </c:pt>
                <c:pt idx="2102">
                  <c:v>7.1</c:v>
                </c:pt>
                <c:pt idx="2103">
                  <c:v>5.8</c:v>
                </c:pt>
                <c:pt idx="2104">
                  <c:v>8.1</c:v>
                </c:pt>
                <c:pt idx="2105">
                  <c:v>5.7</c:v>
                </c:pt>
                <c:pt idx="2106">
                  <c:v>4.4000000000000004</c:v>
                </c:pt>
                <c:pt idx="2107">
                  <c:v>7.9</c:v>
                </c:pt>
                <c:pt idx="2108">
                  <c:v>7.6</c:v>
                </c:pt>
                <c:pt idx="2109">
                  <c:v>4.8</c:v>
                </c:pt>
                <c:pt idx="2110">
                  <c:v>7.8</c:v>
                </c:pt>
                <c:pt idx="2111">
                  <c:v>6.7</c:v>
                </c:pt>
                <c:pt idx="2112">
                  <c:v>2.7</c:v>
                </c:pt>
                <c:pt idx="2113">
                  <c:v>5.8</c:v>
                </c:pt>
                <c:pt idx="2114">
                  <c:v>7.5</c:v>
                </c:pt>
                <c:pt idx="2115">
                  <c:v>5.4</c:v>
                </c:pt>
                <c:pt idx="2116">
                  <c:v>4.0999999999999996</c:v>
                </c:pt>
                <c:pt idx="2117">
                  <c:v>5.9</c:v>
                </c:pt>
                <c:pt idx="2118">
                  <c:v>6.3</c:v>
                </c:pt>
                <c:pt idx="2119">
                  <c:v>7</c:v>
                </c:pt>
                <c:pt idx="2120">
                  <c:v>6.8</c:v>
                </c:pt>
                <c:pt idx="2121">
                  <c:v>2.2999999999999998</c:v>
                </c:pt>
                <c:pt idx="2122">
                  <c:v>8.1</c:v>
                </c:pt>
                <c:pt idx="2123">
                  <c:v>6.1</c:v>
                </c:pt>
                <c:pt idx="2124">
                  <c:v>5</c:v>
                </c:pt>
                <c:pt idx="2125">
                  <c:v>5.5</c:v>
                </c:pt>
                <c:pt idx="2126">
                  <c:v>6.2</c:v>
                </c:pt>
                <c:pt idx="2127">
                  <c:v>6.2</c:v>
                </c:pt>
                <c:pt idx="2128">
                  <c:v>5.9</c:v>
                </c:pt>
                <c:pt idx="2129">
                  <c:v>6.3</c:v>
                </c:pt>
                <c:pt idx="2130">
                  <c:v>6.7</c:v>
                </c:pt>
                <c:pt idx="2131">
                  <c:v>3.5</c:v>
                </c:pt>
                <c:pt idx="2132">
                  <c:v>7.5</c:v>
                </c:pt>
                <c:pt idx="2133">
                  <c:v>6.6</c:v>
                </c:pt>
                <c:pt idx="2134">
                  <c:v>7.5</c:v>
                </c:pt>
                <c:pt idx="2135">
                  <c:v>7.2</c:v>
                </c:pt>
                <c:pt idx="2136">
                  <c:v>4.8</c:v>
                </c:pt>
                <c:pt idx="2137">
                  <c:v>6.6</c:v>
                </c:pt>
                <c:pt idx="2138">
                  <c:v>3.5</c:v>
                </c:pt>
                <c:pt idx="2139">
                  <c:v>6.7</c:v>
                </c:pt>
                <c:pt idx="2140">
                  <c:v>7.6</c:v>
                </c:pt>
                <c:pt idx="2141">
                  <c:v>6.3</c:v>
                </c:pt>
                <c:pt idx="2142">
                  <c:v>5.5</c:v>
                </c:pt>
                <c:pt idx="2143">
                  <c:v>6.3</c:v>
                </c:pt>
                <c:pt idx="2144">
                  <c:v>6.5</c:v>
                </c:pt>
                <c:pt idx="2145">
                  <c:v>5.6</c:v>
                </c:pt>
                <c:pt idx="2146">
                  <c:v>6.9</c:v>
                </c:pt>
                <c:pt idx="2147">
                  <c:v>7.6</c:v>
                </c:pt>
                <c:pt idx="2148">
                  <c:v>3.9</c:v>
                </c:pt>
                <c:pt idx="2149">
                  <c:v>6.1</c:v>
                </c:pt>
                <c:pt idx="2150">
                  <c:v>7.3</c:v>
                </c:pt>
                <c:pt idx="2151">
                  <c:v>8.3000000000000007</c:v>
                </c:pt>
                <c:pt idx="2152">
                  <c:v>5.8</c:v>
                </c:pt>
                <c:pt idx="2153">
                  <c:v>6.8</c:v>
                </c:pt>
                <c:pt idx="2154">
                  <c:v>7</c:v>
                </c:pt>
                <c:pt idx="2155">
                  <c:v>5.9</c:v>
                </c:pt>
                <c:pt idx="2156">
                  <c:v>6.5</c:v>
                </c:pt>
                <c:pt idx="2157">
                  <c:v>6.4</c:v>
                </c:pt>
                <c:pt idx="2158">
                  <c:v>5.8</c:v>
                </c:pt>
                <c:pt idx="2159">
                  <c:v>5.0999999999999996</c:v>
                </c:pt>
                <c:pt idx="2160">
                  <c:v>6.8</c:v>
                </c:pt>
                <c:pt idx="2161">
                  <c:v>5.3</c:v>
                </c:pt>
                <c:pt idx="2162">
                  <c:v>5.3</c:v>
                </c:pt>
                <c:pt idx="2163">
                  <c:v>6.4</c:v>
                </c:pt>
                <c:pt idx="2164">
                  <c:v>4.9000000000000004</c:v>
                </c:pt>
                <c:pt idx="2165">
                  <c:v>6.8</c:v>
                </c:pt>
                <c:pt idx="2166">
                  <c:v>7.1</c:v>
                </c:pt>
                <c:pt idx="2167">
                  <c:v>6.8</c:v>
                </c:pt>
                <c:pt idx="2168">
                  <c:v>6.1</c:v>
                </c:pt>
                <c:pt idx="2169">
                  <c:v>8.5</c:v>
                </c:pt>
                <c:pt idx="2170">
                  <c:v>5.9</c:v>
                </c:pt>
                <c:pt idx="2171">
                  <c:v>6.3</c:v>
                </c:pt>
                <c:pt idx="2172">
                  <c:v>5.9</c:v>
                </c:pt>
                <c:pt idx="2173">
                  <c:v>5.4</c:v>
                </c:pt>
                <c:pt idx="2174">
                  <c:v>7</c:v>
                </c:pt>
                <c:pt idx="2175">
                  <c:v>6.9</c:v>
                </c:pt>
                <c:pt idx="2176">
                  <c:v>7.5</c:v>
                </c:pt>
                <c:pt idx="2177">
                  <c:v>8.1999999999999993</c:v>
                </c:pt>
                <c:pt idx="2178">
                  <c:v>5.9</c:v>
                </c:pt>
                <c:pt idx="2179">
                  <c:v>5</c:v>
                </c:pt>
                <c:pt idx="2180">
                  <c:v>7.3</c:v>
                </c:pt>
                <c:pt idx="2181">
                  <c:v>6.4</c:v>
                </c:pt>
                <c:pt idx="2182">
                  <c:v>6.6</c:v>
                </c:pt>
                <c:pt idx="2183">
                  <c:v>7.8</c:v>
                </c:pt>
                <c:pt idx="2184">
                  <c:v>4</c:v>
                </c:pt>
                <c:pt idx="2185">
                  <c:v>7.6</c:v>
                </c:pt>
                <c:pt idx="2186">
                  <c:v>7.7</c:v>
                </c:pt>
                <c:pt idx="2187">
                  <c:v>5.8</c:v>
                </c:pt>
                <c:pt idx="2188">
                  <c:v>5.6</c:v>
                </c:pt>
                <c:pt idx="2189">
                  <c:v>5.3</c:v>
                </c:pt>
                <c:pt idx="2190">
                  <c:v>7.4</c:v>
                </c:pt>
                <c:pt idx="2191">
                  <c:v>6.6</c:v>
                </c:pt>
                <c:pt idx="2192">
                  <c:v>6.2</c:v>
                </c:pt>
                <c:pt idx="2193">
                  <c:v>1.9</c:v>
                </c:pt>
                <c:pt idx="2194">
                  <c:v>5.7</c:v>
                </c:pt>
                <c:pt idx="2195">
                  <c:v>6.6</c:v>
                </c:pt>
                <c:pt idx="2196">
                  <c:v>6</c:v>
                </c:pt>
                <c:pt idx="2197">
                  <c:v>6.1</c:v>
                </c:pt>
                <c:pt idx="2198">
                  <c:v>4.8</c:v>
                </c:pt>
                <c:pt idx="2199">
                  <c:v>6.2</c:v>
                </c:pt>
                <c:pt idx="2200">
                  <c:v>7.5</c:v>
                </c:pt>
                <c:pt idx="2201">
                  <c:v>6.3</c:v>
                </c:pt>
                <c:pt idx="2202">
                  <c:v>7.1</c:v>
                </c:pt>
                <c:pt idx="2203">
                  <c:v>6.6</c:v>
                </c:pt>
                <c:pt idx="2204">
                  <c:v>6.1</c:v>
                </c:pt>
                <c:pt idx="2205">
                  <c:v>6.7</c:v>
                </c:pt>
                <c:pt idx="2206">
                  <c:v>5.6</c:v>
                </c:pt>
                <c:pt idx="2207">
                  <c:v>7.2</c:v>
                </c:pt>
                <c:pt idx="2208">
                  <c:v>4.3</c:v>
                </c:pt>
                <c:pt idx="2209">
                  <c:v>6.4</c:v>
                </c:pt>
                <c:pt idx="2210">
                  <c:v>7.1</c:v>
                </c:pt>
                <c:pt idx="2211">
                  <c:v>6.3</c:v>
                </c:pt>
                <c:pt idx="2212">
                  <c:v>7.4</c:v>
                </c:pt>
                <c:pt idx="2213">
                  <c:v>6.1</c:v>
                </c:pt>
                <c:pt idx="2214">
                  <c:v>6.6</c:v>
                </c:pt>
                <c:pt idx="2215">
                  <c:v>6</c:v>
                </c:pt>
                <c:pt idx="2216">
                  <c:v>6.8</c:v>
                </c:pt>
                <c:pt idx="2217">
                  <c:v>6.8</c:v>
                </c:pt>
                <c:pt idx="2218">
                  <c:v>7.2</c:v>
                </c:pt>
                <c:pt idx="2219">
                  <c:v>1.9</c:v>
                </c:pt>
                <c:pt idx="2220">
                  <c:v>5.5</c:v>
                </c:pt>
                <c:pt idx="2221">
                  <c:v>4.5</c:v>
                </c:pt>
                <c:pt idx="2222">
                  <c:v>6.3</c:v>
                </c:pt>
                <c:pt idx="2223">
                  <c:v>7</c:v>
                </c:pt>
                <c:pt idx="2224">
                  <c:v>6.7</c:v>
                </c:pt>
                <c:pt idx="2225">
                  <c:v>2.8</c:v>
                </c:pt>
                <c:pt idx="2226">
                  <c:v>5</c:v>
                </c:pt>
                <c:pt idx="2227">
                  <c:v>4.3</c:v>
                </c:pt>
                <c:pt idx="2228">
                  <c:v>5.6</c:v>
                </c:pt>
                <c:pt idx="2229">
                  <c:v>6.2</c:v>
                </c:pt>
                <c:pt idx="2230">
                  <c:v>5.3</c:v>
                </c:pt>
                <c:pt idx="2231">
                  <c:v>7.4</c:v>
                </c:pt>
                <c:pt idx="2232">
                  <c:v>7.4</c:v>
                </c:pt>
                <c:pt idx="2233">
                  <c:v>6.5</c:v>
                </c:pt>
                <c:pt idx="2234">
                  <c:v>7.1</c:v>
                </c:pt>
                <c:pt idx="2235">
                  <c:v>7.2</c:v>
                </c:pt>
                <c:pt idx="2236">
                  <c:v>2.2999999999999998</c:v>
                </c:pt>
                <c:pt idx="2237">
                  <c:v>6.4</c:v>
                </c:pt>
                <c:pt idx="2238">
                  <c:v>6.1</c:v>
                </c:pt>
                <c:pt idx="2239">
                  <c:v>7</c:v>
                </c:pt>
                <c:pt idx="2240">
                  <c:v>6.5</c:v>
                </c:pt>
                <c:pt idx="2241">
                  <c:v>7</c:v>
                </c:pt>
                <c:pt idx="2242">
                  <c:v>7</c:v>
                </c:pt>
                <c:pt idx="2243">
                  <c:v>4.9000000000000004</c:v>
                </c:pt>
                <c:pt idx="2244">
                  <c:v>6.9</c:v>
                </c:pt>
                <c:pt idx="2245">
                  <c:v>7.5</c:v>
                </c:pt>
                <c:pt idx="2246">
                  <c:v>8.4</c:v>
                </c:pt>
                <c:pt idx="2247">
                  <c:v>6.9</c:v>
                </c:pt>
                <c:pt idx="2248">
                  <c:v>4.5</c:v>
                </c:pt>
                <c:pt idx="2249">
                  <c:v>7.4</c:v>
                </c:pt>
                <c:pt idx="2250">
                  <c:v>7</c:v>
                </c:pt>
                <c:pt idx="2251">
                  <c:v>2.8</c:v>
                </c:pt>
                <c:pt idx="2252">
                  <c:v>7.5</c:v>
                </c:pt>
                <c:pt idx="2253">
                  <c:v>7.1</c:v>
                </c:pt>
                <c:pt idx="2254">
                  <c:v>6.4</c:v>
                </c:pt>
                <c:pt idx="2255">
                  <c:v>6.7</c:v>
                </c:pt>
                <c:pt idx="2256">
                  <c:v>5.3</c:v>
                </c:pt>
                <c:pt idx="2257">
                  <c:v>6.9</c:v>
                </c:pt>
                <c:pt idx="2258">
                  <c:v>6.2</c:v>
                </c:pt>
                <c:pt idx="2259">
                  <c:v>6.3</c:v>
                </c:pt>
                <c:pt idx="2260">
                  <c:v>6.4</c:v>
                </c:pt>
                <c:pt idx="2261">
                  <c:v>6.5</c:v>
                </c:pt>
                <c:pt idx="2262">
                  <c:v>6</c:v>
                </c:pt>
                <c:pt idx="2263">
                  <c:v>5.0999999999999996</c:v>
                </c:pt>
                <c:pt idx="2264">
                  <c:v>5.5</c:v>
                </c:pt>
                <c:pt idx="2265">
                  <c:v>5.4</c:v>
                </c:pt>
                <c:pt idx="2266">
                  <c:v>5.7</c:v>
                </c:pt>
                <c:pt idx="2267">
                  <c:v>5.2</c:v>
                </c:pt>
                <c:pt idx="2268">
                  <c:v>6.2</c:v>
                </c:pt>
                <c:pt idx="2269">
                  <c:v>6.7</c:v>
                </c:pt>
                <c:pt idx="2270">
                  <c:v>5.8</c:v>
                </c:pt>
                <c:pt idx="2271">
                  <c:v>7</c:v>
                </c:pt>
                <c:pt idx="2272">
                  <c:v>4.8</c:v>
                </c:pt>
                <c:pt idx="2273">
                  <c:v>7.2</c:v>
                </c:pt>
                <c:pt idx="2274">
                  <c:v>5.6</c:v>
                </c:pt>
                <c:pt idx="2275">
                  <c:v>6.4</c:v>
                </c:pt>
                <c:pt idx="2276">
                  <c:v>7.5</c:v>
                </c:pt>
                <c:pt idx="2277">
                  <c:v>7.4</c:v>
                </c:pt>
                <c:pt idx="2278">
                  <c:v>8</c:v>
                </c:pt>
                <c:pt idx="2279">
                  <c:v>5.7</c:v>
                </c:pt>
                <c:pt idx="2280">
                  <c:v>6.8</c:v>
                </c:pt>
                <c:pt idx="2281">
                  <c:v>5.9</c:v>
                </c:pt>
                <c:pt idx="2282">
                  <c:v>7.2</c:v>
                </c:pt>
                <c:pt idx="2283">
                  <c:v>5.5</c:v>
                </c:pt>
                <c:pt idx="2284">
                  <c:v>8.4</c:v>
                </c:pt>
                <c:pt idx="2285">
                  <c:v>8.5</c:v>
                </c:pt>
                <c:pt idx="2286">
                  <c:v>5.6</c:v>
                </c:pt>
                <c:pt idx="2287">
                  <c:v>4.0999999999999996</c:v>
                </c:pt>
                <c:pt idx="2288">
                  <c:v>5</c:v>
                </c:pt>
                <c:pt idx="2289">
                  <c:v>6.1</c:v>
                </c:pt>
                <c:pt idx="2290">
                  <c:v>5.4</c:v>
                </c:pt>
                <c:pt idx="2291">
                  <c:v>7.1</c:v>
                </c:pt>
                <c:pt idx="2292">
                  <c:v>3.6</c:v>
                </c:pt>
                <c:pt idx="2293">
                  <c:v>6.5</c:v>
                </c:pt>
                <c:pt idx="2294">
                  <c:v>8.6</c:v>
                </c:pt>
                <c:pt idx="2295">
                  <c:v>6.2</c:v>
                </c:pt>
                <c:pt idx="2296">
                  <c:v>7</c:v>
                </c:pt>
                <c:pt idx="2297">
                  <c:v>7.6</c:v>
                </c:pt>
                <c:pt idx="2298">
                  <c:v>6.5</c:v>
                </c:pt>
                <c:pt idx="2299">
                  <c:v>6.4</c:v>
                </c:pt>
                <c:pt idx="2300">
                  <c:v>6.7</c:v>
                </c:pt>
                <c:pt idx="2301">
                  <c:v>6.3</c:v>
                </c:pt>
                <c:pt idx="2302">
                  <c:v>6.4</c:v>
                </c:pt>
                <c:pt idx="2303">
                  <c:v>5.7</c:v>
                </c:pt>
                <c:pt idx="2304">
                  <c:v>6.3</c:v>
                </c:pt>
                <c:pt idx="2305">
                  <c:v>7.8</c:v>
                </c:pt>
                <c:pt idx="2306">
                  <c:v>6</c:v>
                </c:pt>
                <c:pt idx="2307">
                  <c:v>7.7</c:v>
                </c:pt>
                <c:pt idx="2308">
                  <c:v>6.2</c:v>
                </c:pt>
                <c:pt idx="2309">
                  <c:v>5.7</c:v>
                </c:pt>
                <c:pt idx="2310">
                  <c:v>7.7</c:v>
                </c:pt>
                <c:pt idx="2311">
                  <c:v>6.4</c:v>
                </c:pt>
                <c:pt idx="2312">
                  <c:v>6.4</c:v>
                </c:pt>
                <c:pt idx="2313">
                  <c:v>6.9</c:v>
                </c:pt>
                <c:pt idx="2314">
                  <c:v>7.3</c:v>
                </c:pt>
                <c:pt idx="2315">
                  <c:v>7.3</c:v>
                </c:pt>
                <c:pt idx="2316">
                  <c:v>6.2</c:v>
                </c:pt>
                <c:pt idx="2317">
                  <c:v>6.6</c:v>
                </c:pt>
                <c:pt idx="2318">
                  <c:v>6.7</c:v>
                </c:pt>
                <c:pt idx="2319">
                  <c:v>5.7</c:v>
                </c:pt>
                <c:pt idx="2320">
                  <c:v>3.1</c:v>
                </c:pt>
                <c:pt idx="2321">
                  <c:v>6.3</c:v>
                </c:pt>
                <c:pt idx="2322">
                  <c:v>5.7</c:v>
                </c:pt>
                <c:pt idx="2323">
                  <c:v>7.1</c:v>
                </c:pt>
                <c:pt idx="2324">
                  <c:v>7</c:v>
                </c:pt>
                <c:pt idx="2325">
                  <c:v>6.1</c:v>
                </c:pt>
                <c:pt idx="2326">
                  <c:v>6.6</c:v>
                </c:pt>
                <c:pt idx="2327">
                  <c:v>7.8</c:v>
                </c:pt>
                <c:pt idx="2328">
                  <c:v>8.3000000000000007</c:v>
                </c:pt>
                <c:pt idx="2329">
                  <c:v>3.9</c:v>
                </c:pt>
                <c:pt idx="2330">
                  <c:v>7</c:v>
                </c:pt>
                <c:pt idx="2331">
                  <c:v>6.7</c:v>
                </c:pt>
                <c:pt idx="2332">
                  <c:v>7.3</c:v>
                </c:pt>
                <c:pt idx="2333">
                  <c:v>6.3</c:v>
                </c:pt>
                <c:pt idx="2334">
                  <c:v>7.8</c:v>
                </c:pt>
                <c:pt idx="2335">
                  <c:v>7.3</c:v>
                </c:pt>
                <c:pt idx="2336">
                  <c:v>7.6</c:v>
                </c:pt>
                <c:pt idx="2337">
                  <c:v>5.3</c:v>
                </c:pt>
                <c:pt idx="2338">
                  <c:v>5.3</c:v>
                </c:pt>
                <c:pt idx="2339">
                  <c:v>6.8</c:v>
                </c:pt>
                <c:pt idx="2340">
                  <c:v>7.1</c:v>
                </c:pt>
                <c:pt idx="2341">
                  <c:v>7.2</c:v>
                </c:pt>
                <c:pt idx="2342">
                  <c:v>5.8</c:v>
                </c:pt>
                <c:pt idx="2343">
                  <c:v>5.8</c:v>
                </c:pt>
                <c:pt idx="2344">
                  <c:v>8.3000000000000007</c:v>
                </c:pt>
                <c:pt idx="2345">
                  <c:v>5.6</c:v>
                </c:pt>
                <c:pt idx="2346">
                  <c:v>6.8</c:v>
                </c:pt>
                <c:pt idx="2347">
                  <c:v>5</c:v>
                </c:pt>
                <c:pt idx="2348">
                  <c:v>7.6</c:v>
                </c:pt>
                <c:pt idx="2349">
                  <c:v>6.7</c:v>
                </c:pt>
                <c:pt idx="2350">
                  <c:v>6.7</c:v>
                </c:pt>
                <c:pt idx="2351">
                  <c:v>5.7</c:v>
                </c:pt>
                <c:pt idx="2352">
                  <c:v>5.2</c:v>
                </c:pt>
                <c:pt idx="2353">
                  <c:v>7.5</c:v>
                </c:pt>
                <c:pt idx="2354">
                  <c:v>7.2</c:v>
                </c:pt>
                <c:pt idx="2355">
                  <c:v>5.3</c:v>
                </c:pt>
                <c:pt idx="2356">
                  <c:v>6.5</c:v>
                </c:pt>
                <c:pt idx="2357">
                  <c:v>5</c:v>
                </c:pt>
                <c:pt idx="2358">
                  <c:v>6.1</c:v>
                </c:pt>
                <c:pt idx="2359">
                  <c:v>7.4</c:v>
                </c:pt>
                <c:pt idx="2360">
                  <c:v>4.4000000000000004</c:v>
                </c:pt>
                <c:pt idx="2361">
                  <c:v>7.5</c:v>
                </c:pt>
                <c:pt idx="2362">
                  <c:v>5.7</c:v>
                </c:pt>
                <c:pt idx="2363">
                  <c:v>5.5</c:v>
                </c:pt>
                <c:pt idx="2364">
                  <c:v>7.1</c:v>
                </c:pt>
                <c:pt idx="2365">
                  <c:v>5.9</c:v>
                </c:pt>
                <c:pt idx="2366">
                  <c:v>6.7</c:v>
                </c:pt>
                <c:pt idx="2367">
                  <c:v>7</c:v>
                </c:pt>
                <c:pt idx="2368">
                  <c:v>7.9</c:v>
                </c:pt>
                <c:pt idx="2369">
                  <c:v>6.9</c:v>
                </c:pt>
                <c:pt idx="2370">
                  <c:v>7.3</c:v>
                </c:pt>
                <c:pt idx="2371">
                  <c:v>7.3</c:v>
                </c:pt>
                <c:pt idx="2372">
                  <c:v>3.5</c:v>
                </c:pt>
                <c:pt idx="2373">
                  <c:v>7.8</c:v>
                </c:pt>
                <c:pt idx="2374">
                  <c:v>7.4</c:v>
                </c:pt>
                <c:pt idx="2375">
                  <c:v>6.7</c:v>
                </c:pt>
                <c:pt idx="2376">
                  <c:v>6.4</c:v>
                </c:pt>
                <c:pt idx="2377">
                  <c:v>7.1</c:v>
                </c:pt>
                <c:pt idx="2378">
                  <c:v>7.8</c:v>
                </c:pt>
                <c:pt idx="2379">
                  <c:v>4</c:v>
                </c:pt>
                <c:pt idx="2380">
                  <c:v>5.9</c:v>
                </c:pt>
                <c:pt idx="2381">
                  <c:v>7.2</c:v>
                </c:pt>
                <c:pt idx="2382">
                  <c:v>7.2</c:v>
                </c:pt>
                <c:pt idx="2383">
                  <c:v>5.0999999999999996</c:v>
                </c:pt>
                <c:pt idx="2384">
                  <c:v>5.5</c:v>
                </c:pt>
                <c:pt idx="2385">
                  <c:v>6.2</c:v>
                </c:pt>
                <c:pt idx="2386">
                  <c:v>7.2</c:v>
                </c:pt>
                <c:pt idx="2387">
                  <c:v>5.2</c:v>
                </c:pt>
                <c:pt idx="2388">
                  <c:v>6.7</c:v>
                </c:pt>
                <c:pt idx="2389">
                  <c:v>5</c:v>
                </c:pt>
                <c:pt idx="2390">
                  <c:v>6.2</c:v>
                </c:pt>
                <c:pt idx="2391">
                  <c:v>7.6</c:v>
                </c:pt>
                <c:pt idx="2392">
                  <c:v>4.0999999999999996</c:v>
                </c:pt>
                <c:pt idx="2393">
                  <c:v>5.3</c:v>
                </c:pt>
                <c:pt idx="2394">
                  <c:v>6.2</c:v>
                </c:pt>
                <c:pt idx="2395">
                  <c:v>6.5</c:v>
                </c:pt>
                <c:pt idx="2396">
                  <c:v>8.1</c:v>
                </c:pt>
                <c:pt idx="2397">
                  <c:v>6.3</c:v>
                </c:pt>
                <c:pt idx="2398">
                  <c:v>4.4000000000000004</c:v>
                </c:pt>
                <c:pt idx="2399">
                  <c:v>4.5999999999999996</c:v>
                </c:pt>
                <c:pt idx="2400">
                  <c:v>6</c:v>
                </c:pt>
                <c:pt idx="2401">
                  <c:v>7.6</c:v>
                </c:pt>
                <c:pt idx="2402">
                  <c:v>8.4</c:v>
                </c:pt>
                <c:pt idx="2403">
                  <c:v>7.9</c:v>
                </c:pt>
                <c:pt idx="2404">
                  <c:v>5.6</c:v>
                </c:pt>
                <c:pt idx="2405">
                  <c:v>6.5</c:v>
                </c:pt>
                <c:pt idx="2406">
                  <c:v>7.5</c:v>
                </c:pt>
                <c:pt idx="2407">
                  <c:v>6.3</c:v>
                </c:pt>
                <c:pt idx="2408">
                  <c:v>7.9</c:v>
                </c:pt>
                <c:pt idx="2409">
                  <c:v>5.0999999999999996</c:v>
                </c:pt>
                <c:pt idx="2410">
                  <c:v>6.7</c:v>
                </c:pt>
                <c:pt idx="2411">
                  <c:v>6.7</c:v>
                </c:pt>
                <c:pt idx="2412">
                  <c:v>5.6</c:v>
                </c:pt>
                <c:pt idx="2413">
                  <c:v>5.6</c:v>
                </c:pt>
                <c:pt idx="2414">
                  <c:v>6.2</c:v>
                </c:pt>
                <c:pt idx="2415">
                  <c:v>5.6</c:v>
                </c:pt>
                <c:pt idx="2416">
                  <c:v>6.4</c:v>
                </c:pt>
                <c:pt idx="2417">
                  <c:v>5.6</c:v>
                </c:pt>
                <c:pt idx="2418">
                  <c:v>7.4</c:v>
                </c:pt>
                <c:pt idx="2419">
                  <c:v>4.9000000000000004</c:v>
                </c:pt>
                <c:pt idx="2420">
                  <c:v>6</c:v>
                </c:pt>
                <c:pt idx="2421">
                  <c:v>7.2</c:v>
                </c:pt>
                <c:pt idx="2422">
                  <c:v>4.9000000000000004</c:v>
                </c:pt>
                <c:pt idx="2423">
                  <c:v>7.5</c:v>
                </c:pt>
                <c:pt idx="2424">
                  <c:v>4.8</c:v>
                </c:pt>
                <c:pt idx="2425">
                  <c:v>3.1</c:v>
                </c:pt>
                <c:pt idx="2426">
                  <c:v>5.8</c:v>
                </c:pt>
                <c:pt idx="2427">
                  <c:v>6.7</c:v>
                </c:pt>
                <c:pt idx="2428">
                  <c:v>6.8</c:v>
                </c:pt>
                <c:pt idx="2429">
                  <c:v>6.5</c:v>
                </c:pt>
                <c:pt idx="2430">
                  <c:v>5.9</c:v>
                </c:pt>
                <c:pt idx="2431">
                  <c:v>5.5</c:v>
                </c:pt>
                <c:pt idx="2432">
                  <c:v>3.6</c:v>
                </c:pt>
                <c:pt idx="2433">
                  <c:v>3.3</c:v>
                </c:pt>
                <c:pt idx="2434">
                  <c:v>7.4</c:v>
                </c:pt>
                <c:pt idx="2435">
                  <c:v>6.7</c:v>
                </c:pt>
                <c:pt idx="2436">
                  <c:v>3</c:v>
                </c:pt>
                <c:pt idx="2437">
                  <c:v>7.6</c:v>
                </c:pt>
                <c:pt idx="2438">
                  <c:v>6.4</c:v>
                </c:pt>
                <c:pt idx="2439">
                  <c:v>6.9</c:v>
                </c:pt>
                <c:pt idx="2440">
                  <c:v>6.6</c:v>
                </c:pt>
                <c:pt idx="2441">
                  <c:v>5.5</c:v>
                </c:pt>
                <c:pt idx="2442">
                  <c:v>6.6</c:v>
                </c:pt>
                <c:pt idx="2443">
                  <c:v>5.2</c:v>
                </c:pt>
                <c:pt idx="2444">
                  <c:v>4.0999999999999996</c:v>
                </c:pt>
                <c:pt idx="2445">
                  <c:v>6.8</c:v>
                </c:pt>
                <c:pt idx="2446">
                  <c:v>6.5</c:v>
                </c:pt>
                <c:pt idx="2447">
                  <c:v>7.4</c:v>
                </c:pt>
                <c:pt idx="2448">
                  <c:v>7.7</c:v>
                </c:pt>
                <c:pt idx="2449">
                  <c:v>7.1</c:v>
                </c:pt>
                <c:pt idx="2450">
                  <c:v>6.3</c:v>
                </c:pt>
                <c:pt idx="2451">
                  <c:v>7.6</c:v>
                </c:pt>
                <c:pt idx="2452">
                  <c:v>8</c:v>
                </c:pt>
                <c:pt idx="2453">
                  <c:v>7.3</c:v>
                </c:pt>
                <c:pt idx="2454">
                  <c:v>7.6</c:v>
                </c:pt>
                <c:pt idx="2455">
                  <c:v>7.8</c:v>
                </c:pt>
                <c:pt idx="2456">
                  <c:v>6.5</c:v>
                </c:pt>
                <c:pt idx="2457">
                  <c:v>6.4</c:v>
                </c:pt>
                <c:pt idx="2458">
                  <c:v>8</c:v>
                </c:pt>
                <c:pt idx="2459">
                  <c:v>4.8</c:v>
                </c:pt>
                <c:pt idx="2460">
                  <c:v>7.8</c:v>
                </c:pt>
                <c:pt idx="2461">
                  <c:v>5.9</c:v>
                </c:pt>
                <c:pt idx="2462">
                  <c:v>5.4</c:v>
                </c:pt>
                <c:pt idx="2463">
                  <c:v>3.3</c:v>
                </c:pt>
                <c:pt idx="2464">
                  <c:v>8.1999999999999993</c:v>
                </c:pt>
                <c:pt idx="2465">
                  <c:v>5.4</c:v>
                </c:pt>
                <c:pt idx="2466">
                  <c:v>6.4</c:v>
                </c:pt>
                <c:pt idx="2467">
                  <c:v>4.8</c:v>
                </c:pt>
                <c:pt idx="2468">
                  <c:v>5.9</c:v>
                </c:pt>
                <c:pt idx="2469">
                  <c:v>5.5</c:v>
                </c:pt>
                <c:pt idx="2470">
                  <c:v>7.9</c:v>
                </c:pt>
                <c:pt idx="2471">
                  <c:v>4.9000000000000004</c:v>
                </c:pt>
                <c:pt idx="2472">
                  <c:v>7.2</c:v>
                </c:pt>
                <c:pt idx="2473">
                  <c:v>6.6</c:v>
                </c:pt>
                <c:pt idx="2474">
                  <c:v>5.3</c:v>
                </c:pt>
                <c:pt idx="2475">
                  <c:v>7.2</c:v>
                </c:pt>
                <c:pt idx="2476">
                  <c:v>5.0999999999999996</c:v>
                </c:pt>
                <c:pt idx="2477">
                  <c:v>5.6</c:v>
                </c:pt>
                <c:pt idx="2478">
                  <c:v>7.6</c:v>
                </c:pt>
                <c:pt idx="2479">
                  <c:v>7.2</c:v>
                </c:pt>
                <c:pt idx="2480">
                  <c:v>5.7</c:v>
                </c:pt>
                <c:pt idx="2481">
                  <c:v>5.2</c:v>
                </c:pt>
                <c:pt idx="2482">
                  <c:v>7.7</c:v>
                </c:pt>
                <c:pt idx="2483">
                  <c:v>7</c:v>
                </c:pt>
                <c:pt idx="2484">
                  <c:v>3.6</c:v>
                </c:pt>
                <c:pt idx="2485">
                  <c:v>4.9000000000000004</c:v>
                </c:pt>
                <c:pt idx="2486">
                  <c:v>6</c:v>
                </c:pt>
                <c:pt idx="2487">
                  <c:v>6.6</c:v>
                </c:pt>
                <c:pt idx="2488">
                  <c:v>6.8</c:v>
                </c:pt>
                <c:pt idx="2489">
                  <c:v>7.2</c:v>
                </c:pt>
                <c:pt idx="2490">
                  <c:v>7.2</c:v>
                </c:pt>
                <c:pt idx="2491">
                  <c:v>2.8</c:v>
                </c:pt>
                <c:pt idx="2492">
                  <c:v>6.6</c:v>
                </c:pt>
                <c:pt idx="2493">
                  <c:v>6.7</c:v>
                </c:pt>
                <c:pt idx="2494">
                  <c:v>7</c:v>
                </c:pt>
                <c:pt idx="2495">
                  <c:v>4.4000000000000004</c:v>
                </c:pt>
                <c:pt idx="2496">
                  <c:v>7.1</c:v>
                </c:pt>
                <c:pt idx="2497">
                  <c:v>6.2</c:v>
                </c:pt>
                <c:pt idx="2498">
                  <c:v>7.3</c:v>
                </c:pt>
                <c:pt idx="2499">
                  <c:v>5.0999999999999996</c:v>
                </c:pt>
                <c:pt idx="2500">
                  <c:v>8.1</c:v>
                </c:pt>
                <c:pt idx="2501">
                  <c:v>6.7</c:v>
                </c:pt>
                <c:pt idx="2502">
                  <c:v>6.6</c:v>
                </c:pt>
                <c:pt idx="2503">
                  <c:v>4.5</c:v>
                </c:pt>
                <c:pt idx="2504">
                  <c:v>6.6</c:v>
                </c:pt>
                <c:pt idx="2505">
                  <c:v>6.5</c:v>
                </c:pt>
                <c:pt idx="2506">
                  <c:v>5.9</c:v>
                </c:pt>
                <c:pt idx="2507">
                  <c:v>6.6</c:v>
                </c:pt>
                <c:pt idx="2508">
                  <c:v>6.5</c:v>
                </c:pt>
                <c:pt idx="2509">
                  <c:v>7.3</c:v>
                </c:pt>
                <c:pt idx="2510">
                  <c:v>7.5</c:v>
                </c:pt>
                <c:pt idx="2511">
                  <c:v>5.9</c:v>
                </c:pt>
                <c:pt idx="2512">
                  <c:v>7.4</c:v>
                </c:pt>
                <c:pt idx="2513">
                  <c:v>6.9</c:v>
                </c:pt>
                <c:pt idx="2514">
                  <c:v>7.9</c:v>
                </c:pt>
                <c:pt idx="2515">
                  <c:v>8.4</c:v>
                </c:pt>
                <c:pt idx="2516">
                  <c:v>8</c:v>
                </c:pt>
                <c:pt idx="2517">
                  <c:v>6</c:v>
                </c:pt>
                <c:pt idx="2518">
                  <c:v>6.8</c:v>
                </c:pt>
                <c:pt idx="2519">
                  <c:v>7.8</c:v>
                </c:pt>
                <c:pt idx="2520">
                  <c:v>5.7</c:v>
                </c:pt>
                <c:pt idx="2521">
                  <c:v>8.1</c:v>
                </c:pt>
                <c:pt idx="2522">
                  <c:v>6.1</c:v>
                </c:pt>
                <c:pt idx="2523">
                  <c:v>7.5</c:v>
                </c:pt>
                <c:pt idx="2524">
                  <c:v>6.2</c:v>
                </c:pt>
                <c:pt idx="2525">
                  <c:v>6.2</c:v>
                </c:pt>
                <c:pt idx="2526">
                  <c:v>7.4</c:v>
                </c:pt>
                <c:pt idx="2527">
                  <c:v>6.6</c:v>
                </c:pt>
                <c:pt idx="2528">
                  <c:v>7.3</c:v>
                </c:pt>
                <c:pt idx="2529">
                  <c:v>7.5</c:v>
                </c:pt>
                <c:pt idx="2530">
                  <c:v>5.6</c:v>
                </c:pt>
                <c:pt idx="2531">
                  <c:v>7.3</c:v>
                </c:pt>
                <c:pt idx="2532">
                  <c:v>6.4</c:v>
                </c:pt>
                <c:pt idx="2533">
                  <c:v>5</c:v>
                </c:pt>
                <c:pt idx="2534">
                  <c:v>5.4</c:v>
                </c:pt>
                <c:pt idx="2535">
                  <c:v>8.1999999999999993</c:v>
                </c:pt>
                <c:pt idx="2536">
                  <c:v>7.1</c:v>
                </c:pt>
                <c:pt idx="2537">
                  <c:v>5.3</c:v>
                </c:pt>
                <c:pt idx="2538">
                  <c:v>6.5</c:v>
                </c:pt>
                <c:pt idx="2539">
                  <c:v>6.2</c:v>
                </c:pt>
                <c:pt idx="2540">
                  <c:v>6.4</c:v>
                </c:pt>
                <c:pt idx="2541">
                  <c:v>7.2</c:v>
                </c:pt>
                <c:pt idx="2542">
                  <c:v>6.9</c:v>
                </c:pt>
                <c:pt idx="2543">
                  <c:v>5.7</c:v>
                </c:pt>
                <c:pt idx="2544">
                  <c:v>7.7</c:v>
                </c:pt>
                <c:pt idx="2545">
                  <c:v>5.6</c:v>
                </c:pt>
                <c:pt idx="2546">
                  <c:v>7.7</c:v>
                </c:pt>
                <c:pt idx="2547">
                  <c:v>5.0999999999999996</c:v>
                </c:pt>
                <c:pt idx="2548">
                  <c:v>6.8</c:v>
                </c:pt>
                <c:pt idx="2549">
                  <c:v>8.4</c:v>
                </c:pt>
                <c:pt idx="2550">
                  <c:v>4.9000000000000004</c:v>
                </c:pt>
                <c:pt idx="2551">
                  <c:v>7.1</c:v>
                </c:pt>
                <c:pt idx="2552">
                  <c:v>6.6</c:v>
                </c:pt>
                <c:pt idx="2553">
                  <c:v>6.1</c:v>
                </c:pt>
                <c:pt idx="2554">
                  <c:v>4.0999999999999996</c:v>
                </c:pt>
                <c:pt idx="2555">
                  <c:v>8.1</c:v>
                </c:pt>
                <c:pt idx="2556">
                  <c:v>7.6</c:v>
                </c:pt>
                <c:pt idx="2557">
                  <c:v>7.8</c:v>
                </c:pt>
                <c:pt idx="2558">
                  <c:v>4.5999999999999996</c:v>
                </c:pt>
                <c:pt idx="2559">
                  <c:v>6</c:v>
                </c:pt>
                <c:pt idx="2560">
                  <c:v>7</c:v>
                </c:pt>
                <c:pt idx="2561">
                  <c:v>6.7</c:v>
                </c:pt>
                <c:pt idx="2562">
                  <c:v>6.4</c:v>
                </c:pt>
                <c:pt idx="2563">
                  <c:v>7.2</c:v>
                </c:pt>
                <c:pt idx="2564">
                  <c:v>7.4</c:v>
                </c:pt>
                <c:pt idx="2565">
                  <c:v>4.8</c:v>
                </c:pt>
                <c:pt idx="2566">
                  <c:v>4</c:v>
                </c:pt>
                <c:pt idx="2567">
                  <c:v>6.2</c:v>
                </c:pt>
                <c:pt idx="2568">
                  <c:v>7.7</c:v>
                </c:pt>
                <c:pt idx="2569">
                  <c:v>6.7</c:v>
                </c:pt>
                <c:pt idx="2570">
                  <c:v>7.9</c:v>
                </c:pt>
                <c:pt idx="2571">
                  <c:v>7.9</c:v>
                </c:pt>
                <c:pt idx="2572">
                  <c:v>5.5</c:v>
                </c:pt>
                <c:pt idx="2573">
                  <c:v>6.2</c:v>
                </c:pt>
                <c:pt idx="2574">
                  <c:v>5.0999999999999996</c:v>
                </c:pt>
                <c:pt idx="2575">
                  <c:v>4.0999999999999996</c:v>
                </c:pt>
                <c:pt idx="2576">
                  <c:v>6.7</c:v>
                </c:pt>
                <c:pt idx="2577">
                  <c:v>4.7</c:v>
                </c:pt>
                <c:pt idx="2578">
                  <c:v>6.4</c:v>
                </c:pt>
                <c:pt idx="2579">
                  <c:v>6.3</c:v>
                </c:pt>
                <c:pt idx="2580">
                  <c:v>5.5</c:v>
                </c:pt>
                <c:pt idx="2581">
                  <c:v>7.3</c:v>
                </c:pt>
                <c:pt idx="2582">
                  <c:v>6.3</c:v>
                </c:pt>
                <c:pt idx="2583">
                  <c:v>4.9000000000000004</c:v>
                </c:pt>
                <c:pt idx="2584">
                  <c:v>7.6</c:v>
                </c:pt>
                <c:pt idx="2585">
                  <c:v>6</c:v>
                </c:pt>
                <c:pt idx="2586">
                  <c:v>6.2</c:v>
                </c:pt>
                <c:pt idx="2587">
                  <c:v>6.8</c:v>
                </c:pt>
                <c:pt idx="2588">
                  <c:v>4.5</c:v>
                </c:pt>
                <c:pt idx="2589">
                  <c:v>5.7</c:v>
                </c:pt>
                <c:pt idx="2590">
                  <c:v>8.4</c:v>
                </c:pt>
                <c:pt idx="2591">
                  <c:v>4.5999999999999996</c:v>
                </c:pt>
                <c:pt idx="2592">
                  <c:v>6.2</c:v>
                </c:pt>
                <c:pt idx="2593">
                  <c:v>7</c:v>
                </c:pt>
                <c:pt idx="2594">
                  <c:v>6.9</c:v>
                </c:pt>
                <c:pt idx="2595">
                  <c:v>6.1</c:v>
                </c:pt>
                <c:pt idx="2596">
                  <c:v>6.7</c:v>
                </c:pt>
                <c:pt idx="2597">
                  <c:v>5.6</c:v>
                </c:pt>
                <c:pt idx="2598">
                  <c:v>6.6</c:v>
                </c:pt>
                <c:pt idx="2599">
                  <c:v>6.4</c:v>
                </c:pt>
                <c:pt idx="2600">
                  <c:v>2.8</c:v>
                </c:pt>
                <c:pt idx="2601">
                  <c:v>5.4</c:v>
                </c:pt>
                <c:pt idx="2602">
                  <c:v>5</c:v>
                </c:pt>
                <c:pt idx="2603">
                  <c:v>5.0999999999999996</c:v>
                </c:pt>
                <c:pt idx="2604">
                  <c:v>8</c:v>
                </c:pt>
                <c:pt idx="2605">
                  <c:v>5.9</c:v>
                </c:pt>
                <c:pt idx="2606">
                  <c:v>8.1999999999999993</c:v>
                </c:pt>
                <c:pt idx="2607">
                  <c:v>7</c:v>
                </c:pt>
                <c:pt idx="2608">
                  <c:v>6.6</c:v>
                </c:pt>
                <c:pt idx="2609">
                  <c:v>6.7</c:v>
                </c:pt>
                <c:pt idx="2610">
                  <c:v>5.5</c:v>
                </c:pt>
                <c:pt idx="2611">
                  <c:v>4.9000000000000004</c:v>
                </c:pt>
                <c:pt idx="2612">
                  <c:v>6.9</c:v>
                </c:pt>
                <c:pt idx="2613">
                  <c:v>7.4</c:v>
                </c:pt>
                <c:pt idx="2614">
                  <c:v>5.6</c:v>
                </c:pt>
                <c:pt idx="2615">
                  <c:v>8</c:v>
                </c:pt>
                <c:pt idx="2616">
                  <c:v>5.3</c:v>
                </c:pt>
                <c:pt idx="2617">
                  <c:v>6.2</c:v>
                </c:pt>
                <c:pt idx="2618">
                  <c:v>5.3</c:v>
                </c:pt>
                <c:pt idx="2619">
                  <c:v>6.6</c:v>
                </c:pt>
                <c:pt idx="2620">
                  <c:v>7.2</c:v>
                </c:pt>
                <c:pt idx="2621">
                  <c:v>4.5999999999999996</c:v>
                </c:pt>
                <c:pt idx="2622">
                  <c:v>7.5</c:v>
                </c:pt>
                <c:pt idx="2623">
                  <c:v>6.5</c:v>
                </c:pt>
                <c:pt idx="2624">
                  <c:v>7.6</c:v>
                </c:pt>
                <c:pt idx="2625">
                  <c:v>6.2</c:v>
                </c:pt>
                <c:pt idx="2626">
                  <c:v>8</c:v>
                </c:pt>
                <c:pt idx="2627">
                  <c:v>5.5</c:v>
                </c:pt>
                <c:pt idx="2628">
                  <c:v>6.3</c:v>
                </c:pt>
                <c:pt idx="2629">
                  <c:v>7.2</c:v>
                </c:pt>
                <c:pt idx="2630">
                  <c:v>6.7</c:v>
                </c:pt>
                <c:pt idx="2631">
                  <c:v>5.3</c:v>
                </c:pt>
                <c:pt idx="2632">
                  <c:v>6.3</c:v>
                </c:pt>
                <c:pt idx="2633">
                  <c:v>6.5</c:v>
                </c:pt>
                <c:pt idx="2634">
                  <c:v>5.6</c:v>
                </c:pt>
                <c:pt idx="2635">
                  <c:v>7</c:v>
                </c:pt>
                <c:pt idx="2636">
                  <c:v>8.3000000000000007</c:v>
                </c:pt>
                <c:pt idx="2637">
                  <c:v>7.2</c:v>
                </c:pt>
                <c:pt idx="2638">
                  <c:v>6.8</c:v>
                </c:pt>
                <c:pt idx="2639">
                  <c:v>6.4</c:v>
                </c:pt>
                <c:pt idx="2640">
                  <c:v>6.9</c:v>
                </c:pt>
                <c:pt idx="2641">
                  <c:v>8</c:v>
                </c:pt>
                <c:pt idx="2642">
                  <c:v>6.2</c:v>
                </c:pt>
                <c:pt idx="2643">
                  <c:v>6.4</c:v>
                </c:pt>
                <c:pt idx="2644">
                  <c:v>5.6</c:v>
                </c:pt>
                <c:pt idx="2645">
                  <c:v>6.1</c:v>
                </c:pt>
                <c:pt idx="2646">
                  <c:v>6</c:v>
                </c:pt>
                <c:pt idx="2647">
                  <c:v>5.0999999999999996</c:v>
                </c:pt>
                <c:pt idx="2648">
                  <c:v>4.5</c:v>
                </c:pt>
                <c:pt idx="2649">
                  <c:v>5.9</c:v>
                </c:pt>
                <c:pt idx="2650">
                  <c:v>6</c:v>
                </c:pt>
                <c:pt idx="2651">
                  <c:v>5.8</c:v>
                </c:pt>
                <c:pt idx="2652">
                  <c:v>6.1</c:v>
                </c:pt>
                <c:pt idx="2653">
                  <c:v>4.9000000000000004</c:v>
                </c:pt>
                <c:pt idx="2654">
                  <c:v>5.7</c:v>
                </c:pt>
                <c:pt idx="2655">
                  <c:v>7.1</c:v>
                </c:pt>
                <c:pt idx="2656">
                  <c:v>6.6</c:v>
                </c:pt>
                <c:pt idx="2657">
                  <c:v>8.1</c:v>
                </c:pt>
                <c:pt idx="2658">
                  <c:v>5.7</c:v>
                </c:pt>
                <c:pt idx="2659">
                  <c:v>6.8</c:v>
                </c:pt>
                <c:pt idx="2660">
                  <c:v>7.5</c:v>
                </c:pt>
                <c:pt idx="2661">
                  <c:v>6.2</c:v>
                </c:pt>
                <c:pt idx="2662">
                  <c:v>8.3000000000000007</c:v>
                </c:pt>
                <c:pt idx="2663">
                  <c:v>7.4</c:v>
                </c:pt>
                <c:pt idx="2664">
                  <c:v>8</c:v>
                </c:pt>
                <c:pt idx="2665">
                  <c:v>6.9</c:v>
                </c:pt>
                <c:pt idx="2666">
                  <c:v>6.9</c:v>
                </c:pt>
                <c:pt idx="2667">
                  <c:v>9.5</c:v>
                </c:pt>
                <c:pt idx="2668">
                  <c:v>5.5</c:v>
                </c:pt>
                <c:pt idx="2669">
                  <c:v>5.7</c:v>
                </c:pt>
                <c:pt idx="2670">
                  <c:v>7.2</c:v>
                </c:pt>
                <c:pt idx="2671">
                  <c:v>6.9</c:v>
                </c:pt>
                <c:pt idx="2672">
                  <c:v>5.5</c:v>
                </c:pt>
                <c:pt idx="2673">
                  <c:v>5.2</c:v>
                </c:pt>
                <c:pt idx="2674">
                  <c:v>7.1</c:v>
                </c:pt>
                <c:pt idx="2675">
                  <c:v>5.5</c:v>
                </c:pt>
                <c:pt idx="2676">
                  <c:v>5.4</c:v>
                </c:pt>
                <c:pt idx="2677">
                  <c:v>6.7</c:v>
                </c:pt>
                <c:pt idx="2678">
                  <c:v>5</c:v>
                </c:pt>
                <c:pt idx="2679">
                  <c:v>6.4</c:v>
                </c:pt>
                <c:pt idx="2680">
                  <c:v>6.6</c:v>
                </c:pt>
                <c:pt idx="2681">
                  <c:v>5.9</c:v>
                </c:pt>
                <c:pt idx="2682">
                  <c:v>5.7</c:v>
                </c:pt>
                <c:pt idx="2683">
                  <c:v>4.5</c:v>
                </c:pt>
                <c:pt idx="2684">
                  <c:v>3.7</c:v>
                </c:pt>
                <c:pt idx="2685">
                  <c:v>5</c:v>
                </c:pt>
                <c:pt idx="2686">
                  <c:v>4.5999999999999996</c:v>
                </c:pt>
                <c:pt idx="2687">
                  <c:v>6.5</c:v>
                </c:pt>
                <c:pt idx="2688">
                  <c:v>4.9000000000000004</c:v>
                </c:pt>
                <c:pt idx="2689">
                  <c:v>6</c:v>
                </c:pt>
                <c:pt idx="2690">
                  <c:v>6.9</c:v>
                </c:pt>
                <c:pt idx="2691">
                  <c:v>5.7</c:v>
                </c:pt>
                <c:pt idx="2692">
                  <c:v>6.7</c:v>
                </c:pt>
                <c:pt idx="2693">
                  <c:v>6.9</c:v>
                </c:pt>
                <c:pt idx="2694">
                  <c:v>5.5</c:v>
                </c:pt>
                <c:pt idx="2695">
                  <c:v>4.4000000000000004</c:v>
                </c:pt>
                <c:pt idx="2696">
                  <c:v>7</c:v>
                </c:pt>
                <c:pt idx="2697">
                  <c:v>5.4</c:v>
                </c:pt>
                <c:pt idx="2698">
                  <c:v>5.4</c:v>
                </c:pt>
                <c:pt idx="2699">
                  <c:v>8</c:v>
                </c:pt>
                <c:pt idx="2700">
                  <c:v>7.6</c:v>
                </c:pt>
                <c:pt idx="2701">
                  <c:v>5.9</c:v>
                </c:pt>
                <c:pt idx="2702">
                  <c:v>6.6</c:v>
                </c:pt>
                <c:pt idx="2703">
                  <c:v>6.7</c:v>
                </c:pt>
                <c:pt idx="2704">
                  <c:v>3.9</c:v>
                </c:pt>
                <c:pt idx="2705">
                  <c:v>5.7</c:v>
                </c:pt>
                <c:pt idx="2706">
                  <c:v>6.7</c:v>
                </c:pt>
                <c:pt idx="2707">
                  <c:v>6.5</c:v>
                </c:pt>
                <c:pt idx="2708">
                  <c:v>6.8</c:v>
                </c:pt>
                <c:pt idx="2709">
                  <c:v>6.3</c:v>
                </c:pt>
                <c:pt idx="2710">
                  <c:v>7.3</c:v>
                </c:pt>
                <c:pt idx="2711">
                  <c:v>6.9</c:v>
                </c:pt>
                <c:pt idx="2712">
                  <c:v>7</c:v>
                </c:pt>
                <c:pt idx="2713">
                  <c:v>6.5</c:v>
                </c:pt>
                <c:pt idx="2714">
                  <c:v>3.6</c:v>
                </c:pt>
                <c:pt idx="2715">
                  <c:v>7.7</c:v>
                </c:pt>
                <c:pt idx="2716">
                  <c:v>7.7</c:v>
                </c:pt>
                <c:pt idx="2717">
                  <c:v>6.8</c:v>
                </c:pt>
                <c:pt idx="2718">
                  <c:v>7.4</c:v>
                </c:pt>
                <c:pt idx="2719">
                  <c:v>5.0999999999999996</c:v>
                </c:pt>
                <c:pt idx="2720">
                  <c:v>7.4</c:v>
                </c:pt>
                <c:pt idx="2721">
                  <c:v>7.2</c:v>
                </c:pt>
                <c:pt idx="2722">
                  <c:v>6</c:v>
                </c:pt>
                <c:pt idx="2723">
                  <c:v>8.3000000000000007</c:v>
                </c:pt>
                <c:pt idx="2724">
                  <c:v>8.1</c:v>
                </c:pt>
                <c:pt idx="2725">
                  <c:v>6.3</c:v>
                </c:pt>
                <c:pt idx="2726">
                  <c:v>7.3</c:v>
                </c:pt>
                <c:pt idx="2727">
                  <c:v>3.6</c:v>
                </c:pt>
                <c:pt idx="2728">
                  <c:v>1.6</c:v>
                </c:pt>
                <c:pt idx="2729">
                  <c:v>8</c:v>
                </c:pt>
                <c:pt idx="2730">
                  <c:v>9</c:v>
                </c:pt>
                <c:pt idx="2731">
                  <c:v>6.1</c:v>
                </c:pt>
                <c:pt idx="2732">
                  <c:v>5.7</c:v>
                </c:pt>
                <c:pt idx="2733">
                  <c:v>6.8</c:v>
                </c:pt>
                <c:pt idx="2734">
                  <c:v>5.5</c:v>
                </c:pt>
                <c:pt idx="2735">
                  <c:v>6.8</c:v>
                </c:pt>
                <c:pt idx="2736">
                  <c:v>7.3</c:v>
                </c:pt>
                <c:pt idx="2737">
                  <c:v>6.1</c:v>
                </c:pt>
                <c:pt idx="2738">
                  <c:v>7.2</c:v>
                </c:pt>
                <c:pt idx="2739">
                  <c:v>5.9</c:v>
                </c:pt>
                <c:pt idx="2740">
                  <c:v>6.1</c:v>
                </c:pt>
                <c:pt idx="2741">
                  <c:v>6.8</c:v>
                </c:pt>
                <c:pt idx="2742">
                  <c:v>7.7</c:v>
                </c:pt>
                <c:pt idx="2743">
                  <c:v>4.9000000000000004</c:v>
                </c:pt>
                <c:pt idx="2744">
                  <c:v>6.1</c:v>
                </c:pt>
                <c:pt idx="2745">
                  <c:v>2.5</c:v>
                </c:pt>
                <c:pt idx="2746">
                  <c:v>6.1</c:v>
                </c:pt>
                <c:pt idx="2747">
                  <c:v>5.9</c:v>
                </c:pt>
                <c:pt idx="2748">
                  <c:v>5.7</c:v>
                </c:pt>
                <c:pt idx="2749">
                  <c:v>5.6</c:v>
                </c:pt>
                <c:pt idx="2750">
                  <c:v>7.2</c:v>
                </c:pt>
                <c:pt idx="2751">
                  <c:v>7.7</c:v>
                </c:pt>
                <c:pt idx="2752">
                  <c:v>7.8</c:v>
                </c:pt>
                <c:pt idx="2753">
                  <c:v>6.1</c:v>
                </c:pt>
                <c:pt idx="2754">
                  <c:v>5.8</c:v>
                </c:pt>
                <c:pt idx="2755">
                  <c:v>6.5</c:v>
                </c:pt>
                <c:pt idx="2756">
                  <c:v>7.9</c:v>
                </c:pt>
                <c:pt idx="2757">
                  <c:v>6.3</c:v>
                </c:pt>
                <c:pt idx="2758">
                  <c:v>3.8</c:v>
                </c:pt>
                <c:pt idx="2759">
                  <c:v>8.3000000000000007</c:v>
                </c:pt>
                <c:pt idx="2760">
                  <c:v>6.4</c:v>
                </c:pt>
                <c:pt idx="2761">
                  <c:v>6.7</c:v>
                </c:pt>
                <c:pt idx="2762">
                  <c:v>6.1</c:v>
                </c:pt>
                <c:pt idx="2763">
                  <c:v>8.1</c:v>
                </c:pt>
                <c:pt idx="2764">
                  <c:v>6</c:v>
                </c:pt>
                <c:pt idx="2765">
                  <c:v>5.8</c:v>
                </c:pt>
                <c:pt idx="2766">
                  <c:v>5.6</c:v>
                </c:pt>
                <c:pt idx="2767">
                  <c:v>6.1</c:v>
                </c:pt>
                <c:pt idx="2768">
                  <c:v>5.9</c:v>
                </c:pt>
                <c:pt idx="2769">
                  <c:v>7.3</c:v>
                </c:pt>
                <c:pt idx="2770">
                  <c:v>6.8</c:v>
                </c:pt>
                <c:pt idx="2771">
                  <c:v>5.7</c:v>
                </c:pt>
                <c:pt idx="2772">
                  <c:v>7.3</c:v>
                </c:pt>
                <c:pt idx="2773">
                  <c:v>6.3</c:v>
                </c:pt>
                <c:pt idx="2774">
                  <c:v>5.9</c:v>
                </c:pt>
                <c:pt idx="2775">
                  <c:v>7.1</c:v>
                </c:pt>
                <c:pt idx="2776">
                  <c:v>8</c:v>
                </c:pt>
                <c:pt idx="2777">
                  <c:v>5.0999999999999996</c:v>
                </c:pt>
                <c:pt idx="2778">
                  <c:v>7.1</c:v>
                </c:pt>
                <c:pt idx="2779">
                  <c:v>6.5</c:v>
                </c:pt>
                <c:pt idx="2780">
                  <c:v>4.5</c:v>
                </c:pt>
                <c:pt idx="2781">
                  <c:v>6.6</c:v>
                </c:pt>
                <c:pt idx="2782">
                  <c:v>4.3</c:v>
                </c:pt>
                <c:pt idx="2783">
                  <c:v>6.7</c:v>
                </c:pt>
                <c:pt idx="2784">
                  <c:v>6.8</c:v>
                </c:pt>
                <c:pt idx="2785">
                  <c:v>5.4</c:v>
                </c:pt>
                <c:pt idx="2786">
                  <c:v>6.6</c:v>
                </c:pt>
                <c:pt idx="2787">
                  <c:v>7.3</c:v>
                </c:pt>
                <c:pt idx="2788">
                  <c:v>6.9</c:v>
                </c:pt>
                <c:pt idx="2789">
                  <c:v>8</c:v>
                </c:pt>
                <c:pt idx="2790">
                  <c:v>6.4</c:v>
                </c:pt>
                <c:pt idx="2791">
                  <c:v>7.8</c:v>
                </c:pt>
                <c:pt idx="2792">
                  <c:v>6.1</c:v>
                </c:pt>
                <c:pt idx="2793">
                  <c:v>6.1</c:v>
                </c:pt>
                <c:pt idx="2794">
                  <c:v>5.0999999999999996</c:v>
                </c:pt>
                <c:pt idx="2795">
                  <c:v>7.8</c:v>
                </c:pt>
                <c:pt idx="2796">
                  <c:v>7.4</c:v>
                </c:pt>
                <c:pt idx="2797">
                  <c:v>7.8</c:v>
                </c:pt>
                <c:pt idx="2798">
                  <c:v>8</c:v>
                </c:pt>
                <c:pt idx="2799">
                  <c:v>6.7</c:v>
                </c:pt>
                <c:pt idx="2800">
                  <c:v>6.6</c:v>
                </c:pt>
                <c:pt idx="2801">
                  <c:v>6.4</c:v>
                </c:pt>
                <c:pt idx="2802">
                  <c:v>6.7</c:v>
                </c:pt>
                <c:pt idx="2803">
                  <c:v>6.2</c:v>
                </c:pt>
                <c:pt idx="2804">
                  <c:v>7.3</c:v>
                </c:pt>
                <c:pt idx="2805">
                  <c:v>8.1</c:v>
                </c:pt>
                <c:pt idx="2806">
                  <c:v>7</c:v>
                </c:pt>
                <c:pt idx="2807">
                  <c:v>8</c:v>
                </c:pt>
                <c:pt idx="2808">
                  <c:v>8</c:v>
                </c:pt>
                <c:pt idx="2809">
                  <c:v>7</c:v>
                </c:pt>
                <c:pt idx="2810">
                  <c:v>7.9</c:v>
                </c:pt>
                <c:pt idx="2811">
                  <c:v>5.9</c:v>
                </c:pt>
                <c:pt idx="2812">
                  <c:v>6.6</c:v>
                </c:pt>
                <c:pt idx="2813">
                  <c:v>6.3</c:v>
                </c:pt>
                <c:pt idx="2814">
                  <c:v>7.7</c:v>
                </c:pt>
                <c:pt idx="2815">
                  <c:v>6.9</c:v>
                </c:pt>
                <c:pt idx="2816">
                  <c:v>7.1</c:v>
                </c:pt>
                <c:pt idx="2817">
                  <c:v>7.4</c:v>
                </c:pt>
                <c:pt idx="2818">
                  <c:v>6.5</c:v>
                </c:pt>
                <c:pt idx="2819">
                  <c:v>6.5</c:v>
                </c:pt>
                <c:pt idx="2820">
                  <c:v>6.8</c:v>
                </c:pt>
                <c:pt idx="2821">
                  <c:v>7.5</c:v>
                </c:pt>
                <c:pt idx="2822">
                  <c:v>6.6</c:v>
                </c:pt>
                <c:pt idx="2823">
                  <c:v>7.1</c:v>
                </c:pt>
                <c:pt idx="2824">
                  <c:v>6.6</c:v>
                </c:pt>
                <c:pt idx="2825">
                  <c:v>7</c:v>
                </c:pt>
                <c:pt idx="2826">
                  <c:v>3.3</c:v>
                </c:pt>
                <c:pt idx="2827">
                  <c:v>6.7</c:v>
                </c:pt>
                <c:pt idx="2828">
                  <c:v>8</c:v>
                </c:pt>
                <c:pt idx="2829">
                  <c:v>6.8</c:v>
                </c:pt>
                <c:pt idx="2830">
                  <c:v>6</c:v>
                </c:pt>
                <c:pt idx="2831">
                  <c:v>5.4</c:v>
                </c:pt>
                <c:pt idx="2832">
                  <c:v>4.3</c:v>
                </c:pt>
                <c:pt idx="2833">
                  <c:v>6.2</c:v>
                </c:pt>
                <c:pt idx="2834">
                  <c:v>7.7</c:v>
                </c:pt>
                <c:pt idx="2835">
                  <c:v>7.4</c:v>
                </c:pt>
                <c:pt idx="2836">
                  <c:v>5.9</c:v>
                </c:pt>
                <c:pt idx="2837">
                  <c:v>7.8</c:v>
                </c:pt>
                <c:pt idx="2838">
                  <c:v>7.4</c:v>
                </c:pt>
                <c:pt idx="2839">
                  <c:v>6.5</c:v>
                </c:pt>
                <c:pt idx="2840">
                  <c:v>5.4</c:v>
                </c:pt>
                <c:pt idx="2841">
                  <c:v>7</c:v>
                </c:pt>
                <c:pt idx="2842">
                  <c:v>7.6</c:v>
                </c:pt>
                <c:pt idx="2843">
                  <c:v>6.9</c:v>
                </c:pt>
                <c:pt idx="2844">
                  <c:v>7</c:v>
                </c:pt>
                <c:pt idx="2845">
                  <c:v>5.3</c:v>
                </c:pt>
                <c:pt idx="2846">
                  <c:v>6.4</c:v>
                </c:pt>
                <c:pt idx="2847">
                  <c:v>4.5</c:v>
                </c:pt>
                <c:pt idx="2848">
                  <c:v>7.8</c:v>
                </c:pt>
                <c:pt idx="2849">
                  <c:v>6.7</c:v>
                </c:pt>
                <c:pt idx="2850">
                  <c:v>5.3</c:v>
                </c:pt>
                <c:pt idx="2851">
                  <c:v>6.3</c:v>
                </c:pt>
                <c:pt idx="2852">
                  <c:v>7</c:v>
                </c:pt>
                <c:pt idx="2853">
                  <c:v>5.3</c:v>
                </c:pt>
                <c:pt idx="2854">
                  <c:v>6.6</c:v>
                </c:pt>
                <c:pt idx="2855">
                  <c:v>5.8</c:v>
                </c:pt>
                <c:pt idx="2856">
                  <c:v>6.7</c:v>
                </c:pt>
                <c:pt idx="2857">
                  <c:v>6.6</c:v>
                </c:pt>
                <c:pt idx="2858">
                  <c:v>7</c:v>
                </c:pt>
                <c:pt idx="2859">
                  <c:v>8.4</c:v>
                </c:pt>
                <c:pt idx="2860">
                  <c:v>5.4</c:v>
                </c:pt>
                <c:pt idx="2861">
                  <c:v>7.8</c:v>
                </c:pt>
                <c:pt idx="2862">
                  <c:v>7.6</c:v>
                </c:pt>
                <c:pt idx="2863">
                  <c:v>6.6</c:v>
                </c:pt>
                <c:pt idx="2864">
                  <c:v>6.4</c:v>
                </c:pt>
                <c:pt idx="2865">
                  <c:v>7</c:v>
                </c:pt>
                <c:pt idx="2866">
                  <c:v>5.7</c:v>
                </c:pt>
                <c:pt idx="2867">
                  <c:v>5.9</c:v>
                </c:pt>
                <c:pt idx="2868">
                  <c:v>6.3</c:v>
                </c:pt>
                <c:pt idx="2869">
                  <c:v>6.3</c:v>
                </c:pt>
                <c:pt idx="2870">
                  <c:v>6.2</c:v>
                </c:pt>
                <c:pt idx="2871">
                  <c:v>2.1</c:v>
                </c:pt>
                <c:pt idx="2872">
                  <c:v>5</c:v>
                </c:pt>
                <c:pt idx="2873">
                  <c:v>5.3</c:v>
                </c:pt>
                <c:pt idx="2874">
                  <c:v>7.1</c:v>
                </c:pt>
                <c:pt idx="2875">
                  <c:v>7</c:v>
                </c:pt>
                <c:pt idx="2876">
                  <c:v>5.7</c:v>
                </c:pt>
                <c:pt idx="2877">
                  <c:v>7.1</c:v>
                </c:pt>
                <c:pt idx="2878">
                  <c:v>7</c:v>
                </c:pt>
                <c:pt idx="2879">
                  <c:v>7.7</c:v>
                </c:pt>
                <c:pt idx="2880">
                  <c:v>7.1</c:v>
                </c:pt>
                <c:pt idx="2881">
                  <c:v>6.8</c:v>
                </c:pt>
                <c:pt idx="2882">
                  <c:v>7.5</c:v>
                </c:pt>
                <c:pt idx="2883">
                  <c:v>6.3</c:v>
                </c:pt>
                <c:pt idx="2884">
                  <c:v>7.3</c:v>
                </c:pt>
                <c:pt idx="2885">
                  <c:v>6.8</c:v>
                </c:pt>
                <c:pt idx="2886">
                  <c:v>7.2</c:v>
                </c:pt>
                <c:pt idx="2887">
                  <c:v>6.4</c:v>
                </c:pt>
                <c:pt idx="2888">
                  <c:v>6</c:v>
                </c:pt>
                <c:pt idx="2889">
                  <c:v>6.4</c:v>
                </c:pt>
                <c:pt idx="2890">
                  <c:v>5.0999999999999996</c:v>
                </c:pt>
                <c:pt idx="2891">
                  <c:v>7.5</c:v>
                </c:pt>
                <c:pt idx="2892">
                  <c:v>7.1</c:v>
                </c:pt>
                <c:pt idx="2893">
                  <c:v>4.5999999999999996</c:v>
                </c:pt>
                <c:pt idx="2894">
                  <c:v>5.7</c:v>
                </c:pt>
                <c:pt idx="2895">
                  <c:v>6.8</c:v>
                </c:pt>
                <c:pt idx="2896">
                  <c:v>7.7</c:v>
                </c:pt>
                <c:pt idx="2897">
                  <c:v>3.2</c:v>
                </c:pt>
                <c:pt idx="2898">
                  <c:v>6.1</c:v>
                </c:pt>
                <c:pt idx="2899">
                  <c:v>5.6</c:v>
                </c:pt>
                <c:pt idx="2900">
                  <c:v>6.9</c:v>
                </c:pt>
                <c:pt idx="2901">
                  <c:v>7.5</c:v>
                </c:pt>
                <c:pt idx="2902">
                  <c:v>5.8</c:v>
                </c:pt>
                <c:pt idx="2903">
                  <c:v>8.3000000000000007</c:v>
                </c:pt>
                <c:pt idx="2904">
                  <c:v>2.8</c:v>
                </c:pt>
                <c:pt idx="2905">
                  <c:v>6.6</c:v>
                </c:pt>
                <c:pt idx="2906">
                  <c:v>7.5</c:v>
                </c:pt>
                <c:pt idx="2907">
                  <c:v>6</c:v>
                </c:pt>
                <c:pt idx="2908">
                  <c:v>6.2</c:v>
                </c:pt>
                <c:pt idx="2909">
                  <c:v>7.2</c:v>
                </c:pt>
                <c:pt idx="2910">
                  <c:v>8.6999999999999993</c:v>
                </c:pt>
                <c:pt idx="2911">
                  <c:v>6</c:v>
                </c:pt>
                <c:pt idx="2912">
                  <c:v>8</c:v>
                </c:pt>
                <c:pt idx="2913">
                  <c:v>7.2</c:v>
                </c:pt>
                <c:pt idx="2914">
                  <c:v>4.5</c:v>
                </c:pt>
                <c:pt idx="2915">
                  <c:v>7.9</c:v>
                </c:pt>
                <c:pt idx="2916">
                  <c:v>7.1</c:v>
                </c:pt>
                <c:pt idx="2917">
                  <c:v>7.5</c:v>
                </c:pt>
                <c:pt idx="2918">
                  <c:v>6.8</c:v>
                </c:pt>
                <c:pt idx="2919">
                  <c:v>4.3</c:v>
                </c:pt>
                <c:pt idx="2920">
                  <c:v>7.2</c:v>
                </c:pt>
                <c:pt idx="2921">
                  <c:v>5.8</c:v>
                </c:pt>
                <c:pt idx="2922">
                  <c:v>7.1</c:v>
                </c:pt>
                <c:pt idx="2923">
                  <c:v>7.4</c:v>
                </c:pt>
                <c:pt idx="2924">
                  <c:v>7.6</c:v>
                </c:pt>
                <c:pt idx="2925">
                  <c:v>6.9</c:v>
                </c:pt>
                <c:pt idx="2926">
                  <c:v>6</c:v>
                </c:pt>
                <c:pt idx="2927">
                  <c:v>6.9</c:v>
                </c:pt>
                <c:pt idx="2928">
                  <c:v>7.3</c:v>
                </c:pt>
                <c:pt idx="2929">
                  <c:v>4.5999999999999996</c:v>
                </c:pt>
                <c:pt idx="2930">
                  <c:v>6</c:v>
                </c:pt>
                <c:pt idx="2931">
                  <c:v>6.4</c:v>
                </c:pt>
                <c:pt idx="2932">
                  <c:v>5.5</c:v>
                </c:pt>
                <c:pt idx="2933">
                  <c:v>7.5</c:v>
                </c:pt>
                <c:pt idx="2934">
                  <c:v>8.1</c:v>
                </c:pt>
                <c:pt idx="2935">
                  <c:v>6.3</c:v>
                </c:pt>
                <c:pt idx="2936">
                  <c:v>5.0999999999999996</c:v>
                </c:pt>
                <c:pt idx="2937">
                  <c:v>6.8</c:v>
                </c:pt>
                <c:pt idx="2938">
                  <c:v>5.3</c:v>
                </c:pt>
                <c:pt idx="2939">
                  <c:v>7.3</c:v>
                </c:pt>
                <c:pt idx="2940">
                  <c:v>7.3</c:v>
                </c:pt>
                <c:pt idx="2941">
                  <c:v>7.1</c:v>
                </c:pt>
                <c:pt idx="2942">
                  <c:v>7.6</c:v>
                </c:pt>
                <c:pt idx="2943">
                  <c:v>5.3</c:v>
                </c:pt>
                <c:pt idx="2944">
                  <c:v>7.8</c:v>
                </c:pt>
                <c:pt idx="2945">
                  <c:v>7.7</c:v>
                </c:pt>
                <c:pt idx="2946">
                  <c:v>7.7</c:v>
                </c:pt>
                <c:pt idx="2947">
                  <c:v>5.4</c:v>
                </c:pt>
                <c:pt idx="2948">
                  <c:v>6.2</c:v>
                </c:pt>
                <c:pt idx="2949">
                  <c:v>7.4</c:v>
                </c:pt>
                <c:pt idx="2950">
                  <c:v>6.2</c:v>
                </c:pt>
                <c:pt idx="2951">
                  <c:v>5.0999999999999996</c:v>
                </c:pt>
                <c:pt idx="2952">
                  <c:v>6.9</c:v>
                </c:pt>
                <c:pt idx="2953">
                  <c:v>6.3</c:v>
                </c:pt>
                <c:pt idx="2954">
                  <c:v>6.8</c:v>
                </c:pt>
                <c:pt idx="2955">
                  <c:v>5.7</c:v>
                </c:pt>
                <c:pt idx="2956">
                  <c:v>5.8</c:v>
                </c:pt>
                <c:pt idx="2957">
                  <c:v>6.2</c:v>
                </c:pt>
                <c:pt idx="2958">
                  <c:v>4.3</c:v>
                </c:pt>
                <c:pt idx="2959">
                  <c:v>6.4</c:v>
                </c:pt>
                <c:pt idx="2960">
                  <c:v>6</c:v>
                </c:pt>
                <c:pt idx="2961">
                  <c:v>6.9</c:v>
                </c:pt>
                <c:pt idx="2962">
                  <c:v>5.5</c:v>
                </c:pt>
                <c:pt idx="2963">
                  <c:v>5.4</c:v>
                </c:pt>
                <c:pt idx="2964">
                  <c:v>8.3000000000000007</c:v>
                </c:pt>
                <c:pt idx="2965">
                  <c:v>7.9</c:v>
                </c:pt>
                <c:pt idx="2966">
                  <c:v>6.5</c:v>
                </c:pt>
                <c:pt idx="2967">
                  <c:v>6.3</c:v>
                </c:pt>
                <c:pt idx="2968">
                  <c:v>6.4</c:v>
                </c:pt>
                <c:pt idx="2969">
                  <c:v>5.3</c:v>
                </c:pt>
                <c:pt idx="2970">
                  <c:v>6.6</c:v>
                </c:pt>
                <c:pt idx="2971">
                  <c:v>7.4</c:v>
                </c:pt>
                <c:pt idx="2972">
                  <c:v>8.3000000000000007</c:v>
                </c:pt>
                <c:pt idx="2973">
                  <c:v>5.3</c:v>
                </c:pt>
                <c:pt idx="2974">
                  <c:v>6.2</c:v>
                </c:pt>
                <c:pt idx="2975">
                  <c:v>6.9</c:v>
                </c:pt>
                <c:pt idx="2976">
                  <c:v>5.9</c:v>
                </c:pt>
                <c:pt idx="2977">
                  <c:v>6.1</c:v>
                </c:pt>
                <c:pt idx="2978">
                  <c:v>5.8</c:v>
                </c:pt>
                <c:pt idx="2979">
                  <c:v>5.9</c:v>
                </c:pt>
                <c:pt idx="2980">
                  <c:v>5.5</c:v>
                </c:pt>
                <c:pt idx="2981">
                  <c:v>5</c:v>
                </c:pt>
                <c:pt idx="2982">
                  <c:v>7</c:v>
                </c:pt>
                <c:pt idx="2983">
                  <c:v>7.8</c:v>
                </c:pt>
                <c:pt idx="2984">
                  <c:v>6.4</c:v>
                </c:pt>
                <c:pt idx="2985">
                  <c:v>5.9</c:v>
                </c:pt>
                <c:pt idx="2986">
                  <c:v>7</c:v>
                </c:pt>
                <c:pt idx="2987">
                  <c:v>6.1</c:v>
                </c:pt>
                <c:pt idx="2988">
                  <c:v>6.9</c:v>
                </c:pt>
                <c:pt idx="2989">
                  <c:v>7.5</c:v>
                </c:pt>
                <c:pt idx="2990">
                  <c:v>7.3</c:v>
                </c:pt>
                <c:pt idx="2991">
                  <c:v>6.5</c:v>
                </c:pt>
                <c:pt idx="2992">
                  <c:v>6.2</c:v>
                </c:pt>
                <c:pt idx="2993">
                  <c:v>6.7</c:v>
                </c:pt>
                <c:pt idx="2994">
                  <c:v>6</c:v>
                </c:pt>
                <c:pt idx="2995">
                  <c:v>6.3</c:v>
                </c:pt>
                <c:pt idx="2996">
                  <c:v>5.8</c:v>
                </c:pt>
                <c:pt idx="2997">
                  <c:v>6.1</c:v>
                </c:pt>
                <c:pt idx="2998">
                  <c:v>6.9</c:v>
                </c:pt>
                <c:pt idx="2999">
                  <c:v>5.4</c:v>
                </c:pt>
                <c:pt idx="3000">
                  <c:v>6.7</c:v>
                </c:pt>
                <c:pt idx="3001">
                  <c:v>7.4</c:v>
                </c:pt>
                <c:pt idx="3002">
                  <c:v>5.6</c:v>
                </c:pt>
                <c:pt idx="3003">
                  <c:v>6.5</c:v>
                </c:pt>
                <c:pt idx="3004">
                  <c:v>6.5</c:v>
                </c:pt>
                <c:pt idx="3005">
                  <c:v>5.8</c:v>
                </c:pt>
                <c:pt idx="3006">
                  <c:v>5</c:v>
                </c:pt>
                <c:pt idx="3007">
                  <c:v>5.5</c:v>
                </c:pt>
                <c:pt idx="3008">
                  <c:v>6.5</c:v>
                </c:pt>
                <c:pt idx="3009">
                  <c:v>7.2</c:v>
                </c:pt>
                <c:pt idx="3010">
                  <c:v>7.3</c:v>
                </c:pt>
                <c:pt idx="3011">
                  <c:v>7.2</c:v>
                </c:pt>
                <c:pt idx="3012">
                  <c:v>5.2</c:v>
                </c:pt>
                <c:pt idx="3013">
                  <c:v>5.7</c:v>
                </c:pt>
                <c:pt idx="3014">
                  <c:v>4.7</c:v>
                </c:pt>
                <c:pt idx="3015">
                  <c:v>5.9</c:v>
                </c:pt>
                <c:pt idx="3016">
                  <c:v>6.8</c:v>
                </c:pt>
                <c:pt idx="3017">
                  <c:v>5.9</c:v>
                </c:pt>
                <c:pt idx="3018">
                  <c:v>5.3</c:v>
                </c:pt>
                <c:pt idx="3019">
                  <c:v>6</c:v>
                </c:pt>
                <c:pt idx="3020">
                  <c:v>7.7</c:v>
                </c:pt>
                <c:pt idx="3021">
                  <c:v>4.4000000000000004</c:v>
                </c:pt>
                <c:pt idx="3022">
                  <c:v>6.6</c:v>
                </c:pt>
                <c:pt idx="3023">
                  <c:v>6.7</c:v>
                </c:pt>
                <c:pt idx="3024">
                  <c:v>5.5</c:v>
                </c:pt>
                <c:pt idx="3025">
                  <c:v>6.5</c:v>
                </c:pt>
                <c:pt idx="3026">
                  <c:v>6.2</c:v>
                </c:pt>
                <c:pt idx="3027">
                  <c:v>7.1</c:v>
                </c:pt>
                <c:pt idx="3028">
                  <c:v>6.1</c:v>
                </c:pt>
                <c:pt idx="3029">
                  <c:v>7.1</c:v>
                </c:pt>
                <c:pt idx="3030">
                  <c:v>6</c:v>
                </c:pt>
                <c:pt idx="3031">
                  <c:v>7.4</c:v>
                </c:pt>
                <c:pt idx="3032">
                  <c:v>5.9</c:v>
                </c:pt>
                <c:pt idx="3033">
                  <c:v>4.0999999999999996</c:v>
                </c:pt>
                <c:pt idx="3034">
                  <c:v>5.8</c:v>
                </c:pt>
                <c:pt idx="3035">
                  <c:v>5.9</c:v>
                </c:pt>
                <c:pt idx="3036">
                  <c:v>7</c:v>
                </c:pt>
                <c:pt idx="3037">
                  <c:v>6.8</c:v>
                </c:pt>
                <c:pt idx="3038">
                  <c:v>7.4</c:v>
                </c:pt>
                <c:pt idx="3039">
                  <c:v>7.1</c:v>
                </c:pt>
                <c:pt idx="3040">
                  <c:v>7</c:v>
                </c:pt>
                <c:pt idx="3041">
                  <c:v>5.8</c:v>
                </c:pt>
                <c:pt idx="3042">
                  <c:v>7.8</c:v>
                </c:pt>
                <c:pt idx="3043">
                  <c:v>6.5</c:v>
                </c:pt>
                <c:pt idx="3044">
                  <c:v>7</c:v>
                </c:pt>
                <c:pt idx="3045">
                  <c:v>6.3</c:v>
                </c:pt>
                <c:pt idx="3046">
                  <c:v>5.3</c:v>
                </c:pt>
                <c:pt idx="3047">
                  <c:v>6.8</c:v>
                </c:pt>
                <c:pt idx="3048">
                  <c:v>5.5</c:v>
                </c:pt>
                <c:pt idx="3049">
                  <c:v>7.4</c:v>
                </c:pt>
                <c:pt idx="3050">
                  <c:v>4.3</c:v>
                </c:pt>
                <c:pt idx="3051">
                  <c:v>5.2</c:v>
                </c:pt>
                <c:pt idx="3052">
                  <c:v>6.7</c:v>
                </c:pt>
                <c:pt idx="3053">
                  <c:v>6.3</c:v>
                </c:pt>
                <c:pt idx="3054">
                  <c:v>8.6</c:v>
                </c:pt>
                <c:pt idx="3055">
                  <c:v>6.1</c:v>
                </c:pt>
                <c:pt idx="3056">
                  <c:v>5.8</c:v>
                </c:pt>
                <c:pt idx="3057">
                  <c:v>7.7</c:v>
                </c:pt>
                <c:pt idx="3058">
                  <c:v>8</c:v>
                </c:pt>
                <c:pt idx="3059">
                  <c:v>5.6</c:v>
                </c:pt>
                <c:pt idx="3060">
                  <c:v>6.7</c:v>
                </c:pt>
                <c:pt idx="3061">
                  <c:v>6.6</c:v>
                </c:pt>
                <c:pt idx="3062">
                  <c:v>4.2</c:v>
                </c:pt>
                <c:pt idx="3063">
                  <c:v>6.6</c:v>
                </c:pt>
                <c:pt idx="3064">
                  <c:v>4.0999999999999996</c:v>
                </c:pt>
                <c:pt idx="3065">
                  <c:v>7.3</c:v>
                </c:pt>
                <c:pt idx="3066">
                  <c:v>7.1</c:v>
                </c:pt>
                <c:pt idx="3067">
                  <c:v>6.5</c:v>
                </c:pt>
                <c:pt idx="3068">
                  <c:v>7</c:v>
                </c:pt>
                <c:pt idx="3069">
                  <c:v>5.5</c:v>
                </c:pt>
                <c:pt idx="3070">
                  <c:v>6.6</c:v>
                </c:pt>
                <c:pt idx="3071">
                  <c:v>7.1</c:v>
                </c:pt>
                <c:pt idx="3072">
                  <c:v>7.9</c:v>
                </c:pt>
                <c:pt idx="3073">
                  <c:v>7.1</c:v>
                </c:pt>
                <c:pt idx="3074">
                  <c:v>5.6</c:v>
                </c:pt>
                <c:pt idx="3075">
                  <c:v>7.3</c:v>
                </c:pt>
                <c:pt idx="3076">
                  <c:v>3.3</c:v>
                </c:pt>
                <c:pt idx="3077">
                  <c:v>6.5</c:v>
                </c:pt>
                <c:pt idx="3078">
                  <c:v>4.8</c:v>
                </c:pt>
                <c:pt idx="3079">
                  <c:v>5.2</c:v>
                </c:pt>
                <c:pt idx="3080">
                  <c:v>6.3</c:v>
                </c:pt>
                <c:pt idx="3081">
                  <c:v>7.2</c:v>
                </c:pt>
                <c:pt idx="3082">
                  <c:v>6.8</c:v>
                </c:pt>
                <c:pt idx="3083">
                  <c:v>5.7</c:v>
                </c:pt>
                <c:pt idx="3084">
                  <c:v>7.2</c:v>
                </c:pt>
                <c:pt idx="3085">
                  <c:v>6.9</c:v>
                </c:pt>
                <c:pt idx="3086">
                  <c:v>6.3</c:v>
                </c:pt>
                <c:pt idx="3087">
                  <c:v>6.2</c:v>
                </c:pt>
                <c:pt idx="3088">
                  <c:v>6.7</c:v>
                </c:pt>
                <c:pt idx="3089">
                  <c:v>6.5</c:v>
                </c:pt>
                <c:pt idx="3090">
                  <c:v>7.2</c:v>
                </c:pt>
                <c:pt idx="3091">
                  <c:v>5.3</c:v>
                </c:pt>
                <c:pt idx="3092">
                  <c:v>6.7</c:v>
                </c:pt>
                <c:pt idx="3093">
                  <c:v>6.2</c:v>
                </c:pt>
                <c:pt idx="3094">
                  <c:v>3.6</c:v>
                </c:pt>
                <c:pt idx="3095">
                  <c:v>5.7</c:v>
                </c:pt>
                <c:pt idx="3096">
                  <c:v>7.3</c:v>
                </c:pt>
                <c:pt idx="3097">
                  <c:v>5</c:v>
                </c:pt>
                <c:pt idx="3098">
                  <c:v>6.6</c:v>
                </c:pt>
                <c:pt idx="3099">
                  <c:v>6.6</c:v>
                </c:pt>
                <c:pt idx="3100">
                  <c:v>6.8</c:v>
                </c:pt>
                <c:pt idx="3101">
                  <c:v>6.2</c:v>
                </c:pt>
                <c:pt idx="3102">
                  <c:v>7.3</c:v>
                </c:pt>
                <c:pt idx="3103">
                  <c:v>6.2</c:v>
                </c:pt>
                <c:pt idx="3104">
                  <c:v>6.9</c:v>
                </c:pt>
                <c:pt idx="3105">
                  <c:v>6.6</c:v>
                </c:pt>
                <c:pt idx="3106">
                  <c:v>6.3</c:v>
                </c:pt>
                <c:pt idx="3107">
                  <c:v>7</c:v>
                </c:pt>
                <c:pt idx="3108">
                  <c:v>3.3</c:v>
                </c:pt>
                <c:pt idx="3109">
                  <c:v>6.7</c:v>
                </c:pt>
                <c:pt idx="3110">
                  <c:v>6.2</c:v>
                </c:pt>
                <c:pt idx="3111">
                  <c:v>6.5</c:v>
                </c:pt>
                <c:pt idx="3112">
                  <c:v>3.5</c:v>
                </c:pt>
                <c:pt idx="3113">
                  <c:v>5.5</c:v>
                </c:pt>
                <c:pt idx="3114">
                  <c:v>5.9</c:v>
                </c:pt>
                <c:pt idx="3115">
                  <c:v>4.7</c:v>
                </c:pt>
                <c:pt idx="3116">
                  <c:v>4.2</c:v>
                </c:pt>
                <c:pt idx="3117">
                  <c:v>5.2</c:v>
                </c:pt>
                <c:pt idx="3118">
                  <c:v>5.2</c:v>
                </c:pt>
                <c:pt idx="3119">
                  <c:v>3.9</c:v>
                </c:pt>
                <c:pt idx="3120">
                  <c:v>6.1</c:v>
                </c:pt>
                <c:pt idx="3121">
                  <c:v>5.8</c:v>
                </c:pt>
                <c:pt idx="3122">
                  <c:v>6.7</c:v>
                </c:pt>
                <c:pt idx="3123">
                  <c:v>5.7</c:v>
                </c:pt>
                <c:pt idx="3124">
                  <c:v>4.5</c:v>
                </c:pt>
                <c:pt idx="3125">
                  <c:v>6.9</c:v>
                </c:pt>
                <c:pt idx="3126">
                  <c:v>4.8</c:v>
                </c:pt>
                <c:pt idx="3127">
                  <c:v>6.3</c:v>
                </c:pt>
                <c:pt idx="3128">
                  <c:v>6.9</c:v>
                </c:pt>
                <c:pt idx="3129">
                  <c:v>5.4</c:v>
                </c:pt>
                <c:pt idx="3130">
                  <c:v>3.8</c:v>
                </c:pt>
                <c:pt idx="3131">
                  <c:v>7</c:v>
                </c:pt>
                <c:pt idx="3132">
                  <c:v>5.2</c:v>
                </c:pt>
                <c:pt idx="3133">
                  <c:v>7.3</c:v>
                </c:pt>
                <c:pt idx="3134">
                  <c:v>4.5999999999999996</c:v>
                </c:pt>
                <c:pt idx="3135">
                  <c:v>6.5</c:v>
                </c:pt>
                <c:pt idx="3136">
                  <c:v>6.8</c:v>
                </c:pt>
                <c:pt idx="3137">
                  <c:v>6.7</c:v>
                </c:pt>
                <c:pt idx="3138">
                  <c:v>6.1</c:v>
                </c:pt>
                <c:pt idx="3139">
                  <c:v>5.2</c:v>
                </c:pt>
                <c:pt idx="3140">
                  <c:v>6.9</c:v>
                </c:pt>
                <c:pt idx="3141">
                  <c:v>6</c:v>
                </c:pt>
                <c:pt idx="3142">
                  <c:v>7.9</c:v>
                </c:pt>
                <c:pt idx="3143">
                  <c:v>4.5</c:v>
                </c:pt>
                <c:pt idx="3144">
                  <c:v>5.0999999999999996</c:v>
                </c:pt>
                <c:pt idx="3145">
                  <c:v>7.6</c:v>
                </c:pt>
                <c:pt idx="3146">
                  <c:v>7.6</c:v>
                </c:pt>
                <c:pt idx="3147">
                  <c:v>6.7</c:v>
                </c:pt>
                <c:pt idx="3148">
                  <c:v>6.1</c:v>
                </c:pt>
                <c:pt idx="3149">
                  <c:v>7.5</c:v>
                </c:pt>
                <c:pt idx="3150">
                  <c:v>5.3</c:v>
                </c:pt>
                <c:pt idx="3151">
                  <c:v>6</c:v>
                </c:pt>
                <c:pt idx="3152">
                  <c:v>7.1</c:v>
                </c:pt>
                <c:pt idx="3153">
                  <c:v>7.5</c:v>
                </c:pt>
                <c:pt idx="3154">
                  <c:v>6.9</c:v>
                </c:pt>
                <c:pt idx="3155">
                  <c:v>8.5</c:v>
                </c:pt>
                <c:pt idx="3156">
                  <c:v>7.5</c:v>
                </c:pt>
                <c:pt idx="3157">
                  <c:v>6.6</c:v>
                </c:pt>
                <c:pt idx="3158">
                  <c:v>8</c:v>
                </c:pt>
                <c:pt idx="3159">
                  <c:v>7</c:v>
                </c:pt>
                <c:pt idx="3160">
                  <c:v>5.8</c:v>
                </c:pt>
                <c:pt idx="3161">
                  <c:v>7.3</c:v>
                </c:pt>
                <c:pt idx="3162">
                  <c:v>6.8</c:v>
                </c:pt>
                <c:pt idx="3163">
                  <c:v>6.7</c:v>
                </c:pt>
                <c:pt idx="3164">
                  <c:v>6.5</c:v>
                </c:pt>
                <c:pt idx="3165">
                  <c:v>8</c:v>
                </c:pt>
                <c:pt idx="3166">
                  <c:v>6.5</c:v>
                </c:pt>
                <c:pt idx="3167">
                  <c:v>4.9000000000000004</c:v>
                </c:pt>
                <c:pt idx="3168">
                  <c:v>7.1</c:v>
                </c:pt>
                <c:pt idx="3169">
                  <c:v>7</c:v>
                </c:pt>
                <c:pt idx="3170">
                  <c:v>7</c:v>
                </c:pt>
                <c:pt idx="3171">
                  <c:v>7.5</c:v>
                </c:pt>
                <c:pt idx="3172">
                  <c:v>4.5</c:v>
                </c:pt>
                <c:pt idx="3173">
                  <c:v>5.5</c:v>
                </c:pt>
                <c:pt idx="3174">
                  <c:v>7.7</c:v>
                </c:pt>
                <c:pt idx="3175">
                  <c:v>7.2</c:v>
                </c:pt>
                <c:pt idx="3176">
                  <c:v>4.8</c:v>
                </c:pt>
                <c:pt idx="3177">
                  <c:v>6.7</c:v>
                </c:pt>
                <c:pt idx="3178">
                  <c:v>7</c:v>
                </c:pt>
                <c:pt idx="3179">
                  <c:v>6.5</c:v>
                </c:pt>
                <c:pt idx="3180">
                  <c:v>7.4</c:v>
                </c:pt>
                <c:pt idx="3181">
                  <c:v>5.7</c:v>
                </c:pt>
                <c:pt idx="3182">
                  <c:v>6.2</c:v>
                </c:pt>
                <c:pt idx="3183">
                  <c:v>5.7</c:v>
                </c:pt>
                <c:pt idx="3184">
                  <c:v>6.4</c:v>
                </c:pt>
                <c:pt idx="3185">
                  <c:v>7</c:v>
                </c:pt>
                <c:pt idx="3186">
                  <c:v>7.7</c:v>
                </c:pt>
                <c:pt idx="3187">
                  <c:v>5.4</c:v>
                </c:pt>
                <c:pt idx="3188">
                  <c:v>6.6</c:v>
                </c:pt>
                <c:pt idx="3189">
                  <c:v>6.1</c:v>
                </c:pt>
                <c:pt idx="3190">
                  <c:v>6.1</c:v>
                </c:pt>
                <c:pt idx="3191">
                  <c:v>7.6</c:v>
                </c:pt>
                <c:pt idx="3192">
                  <c:v>6.2</c:v>
                </c:pt>
                <c:pt idx="3193">
                  <c:v>6.6</c:v>
                </c:pt>
                <c:pt idx="3194">
                  <c:v>7.3</c:v>
                </c:pt>
                <c:pt idx="3195">
                  <c:v>4.2</c:v>
                </c:pt>
                <c:pt idx="3196">
                  <c:v>7.1</c:v>
                </c:pt>
                <c:pt idx="3197">
                  <c:v>6</c:v>
                </c:pt>
                <c:pt idx="3198">
                  <c:v>6.5</c:v>
                </c:pt>
                <c:pt idx="3199">
                  <c:v>6.5</c:v>
                </c:pt>
                <c:pt idx="3200">
                  <c:v>5.7</c:v>
                </c:pt>
                <c:pt idx="3201">
                  <c:v>6.1</c:v>
                </c:pt>
                <c:pt idx="3202">
                  <c:v>7.1</c:v>
                </c:pt>
                <c:pt idx="3203">
                  <c:v>7.3</c:v>
                </c:pt>
                <c:pt idx="3204">
                  <c:v>6.5</c:v>
                </c:pt>
                <c:pt idx="3205">
                  <c:v>5.7</c:v>
                </c:pt>
                <c:pt idx="3206">
                  <c:v>7.2</c:v>
                </c:pt>
                <c:pt idx="3207">
                  <c:v>7.3</c:v>
                </c:pt>
                <c:pt idx="3208">
                  <c:v>6.9</c:v>
                </c:pt>
                <c:pt idx="3209">
                  <c:v>5</c:v>
                </c:pt>
                <c:pt idx="3210">
                  <c:v>5.9</c:v>
                </c:pt>
                <c:pt idx="3211">
                  <c:v>6.7</c:v>
                </c:pt>
                <c:pt idx="3212">
                  <c:v>7.3</c:v>
                </c:pt>
                <c:pt idx="3213">
                  <c:v>7.6</c:v>
                </c:pt>
                <c:pt idx="3214">
                  <c:v>6.5</c:v>
                </c:pt>
                <c:pt idx="3215">
                  <c:v>2.1</c:v>
                </c:pt>
                <c:pt idx="3216">
                  <c:v>5.3</c:v>
                </c:pt>
                <c:pt idx="3217">
                  <c:v>7.2</c:v>
                </c:pt>
                <c:pt idx="3218">
                  <c:v>7</c:v>
                </c:pt>
                <c:pt idx="3219">
                  <c:v>8</c:v>
                </c:pt>
                <c:pt idx="3220">
                  <c:v>6.9</c:v>
                </c:pt>
                <c:pt idx="3221">
                  <c:v>7.1</c:v>
                </c:pt>
                <c:pt idx="3222">
                  <c:v>7.3</c:v>
                </c:pt>
                <c:pt idx="3223">
                  <c:v>7.5</c:v>
                </c:pt>
                <c:pt idx="3224">
                  <c:v>6.9</c:v>
                </c:pt>
                <c:pt idx="3225">
                  <c:v>7.2</c:v>
                </c:pt>
                <c:pt idx="3226">
                  <c:v>6.7</c:v>
                </c:pt>
                <c:pt idx="3227">
                  <c:v>6</c:v>
                </c:pt>
                <c:pt idx="3228">
                  <c:v>8.9</c:v>
                </c:pt>
                <c:pt idx="3229">
                  <c:v>7.7</c:v>
                </c:pt>
                <c:pt idx="3230">
                  <c:v>7.9</c:v>
                </c:pt>
                <c:pt idx="3231">
                  <c:v>5.6</c:v>
                </c:pt>
                <c:pt idx="3232">
                  <c:v>8</c:v>
                </c:pt>
                <c:pt idx="3233">
                  <c:v>6.2</c:v>
                </c:pt>
                <c:pt idx="3234">
                  <c:v>7.9</c:v>
                </c:pt>
                <c:pt idx="3235">
                  <c:v>8.1</c:v>
                </c:pt>
                <c:pt idx="3236">
                  <c:v>7.6</c:v>
                </c:pt>
                <c:pt idx="3237">
                  <c:v>3.5</c:v>
                </c:pt>
                <c:pt idx="3238">
                  <c:v>7.6</c:v>
                </c:pt>
                <c:pt idx="3239">
                  <c:v>6.5</c:v>
                </c:pt>
                <c:pt idx="3240">
                  <c:v>5.6</c:v>
                </c:pt>
                <c:pt idx="3241">
                  <c:v>7.7</c:v>
                </c:pt>
                <c:pt idx="3242">
                  <c:v>5.2</c:v>
                </c:pt>
                <c:pt idx="3243">
                  <c:v>6.1</c:v>
                </c:pt>
                <c:pt idx="3244">
                  <c:v>5</c:v>
                </c:pt>
                <c:pt idx="3245">
                  <c:v>7.8</c:v>
                </c:pt>
                <c:pt idx="3246">
                  <c:v>7.4</c:v>
                </c:pt>
                <c:pt idx="3247">
                  <c:v>6.8</c:v>
                </c:pt>
                <c:pt idx="3248">
                  <c:v>6.4</c:v>
                </c:pt>
                <c:pt idx="3249">
                  <c:v>5.7</c:v>
                </c:pt>
                <c:pt idx="3250">
                  <c:v>7.5</c:v>
                </c:pt>
                <c:pt idx="3251">
                  <c:v>6.7</c:v>
                </c:pt>
                <c:pt idx="3252">
                  <c:v>5.6</c:v>
                </c:pt>
                <c:pt idx="3253">
                  <c:v>7.6</c:v>
                </c:pt>
                <c:pt idx="3254">
                  <c:v>6.5</c:v>
                </c:pt>
                <c:pt idx="3255">
                  <c:v>7</c:v>
                </c:pt>
                <c:pt idx="3256">
                  <c:v>6.3</c:v>
                </c:pt>
                <c:pt idx="3257">
                  <c:v>6.4</c:v>
                </c:pt>
                <c:pt idx="3258">
                  <c:v>7.1</c:v>
                </c:pt>
                <c:pt idx="3259">
                  <c:v>7.1</c:v>
                </c:pt>
                <c:pt idx="3260">
                  <c:v>6.5</c:v>
                </c:pt>
                <c:pt idx="3261">
                  <c:v>6.9</c:v>
                </c:pt>
                <c:pt idx="3262">
                  <c:v>5.4</c:v>
                </c:pt>
                <c:pt idx="3263">
                  <c:v>4.9000000000000004</c:v>
                </c:pt>
                <c:pt idx="3264">
                  <c:v>5.0999999999999996</c:v>
                </c:pt>
                <c:pt idx="3265">
                  <c:v>5.3</c:v>
                </c:pt>
                <c:pt idx="3266">
                  <c:v>7.5</c:v>
                </c:pt>
                <c:pt idx="3267">
                  <c:v>7.3</c:v>
                </c:pt>
                <c:pt idx="3268">
                  <c:v>7.3</c:v>
                </c:pt>
                <c:pt idx="3269">
                  <c:v>7.1</c:v>
                </c:pt>
                <c:pt idx="3270">
                  <c:v>6</c:v>
                </c:pt>
                <c:pt idx="3271">
                  <c:v>6.6</c:v>
                </c:pt>
                <c:pt idx="3272">
                  <c:v>7.2</c:v>
                </c:pt>
                <c:pt idx="3273">
                  <c:v>7.2</c:v>
                </c:pt>
                <c:pt idx="3274">
                  <c:v>6.9</c:v>
                </c:pt>
                <c:pt idx="3275">
                  <c:v>6.8</c:v>
                </c:pt>
                <c:pt idx="3276">
                  <c:v>4</c:v>
                </c:pt>
                <c:pt idx="3277">
                  <c:v>7.7</c:v>
                </c:pt>
                <c:pt idx="3278">
                  <c:v>7.4</c:v>
                </c:pt>
                <c:pt idx="3279">
                  <c:v>6.5</c:v>
                </c:pt>
                <c:pt idx="3280">
                  <c:v>6.4</c:v>
                </c:pt>
                <c:pt idx="3281">
                  <c:v>7.2</c:v>
                </c:pt>
                <c:pt idx="3282">
                  <c:v>5.6</c:v>
                </c:pt>
                <c:pt idx="3283">
                  <c:v>6.3</c:v>
                </c:pt>
                <c:pt idx="3284">
                  <c:v>6.8</c:v>
                </c:pt>
                <c:pt idx="3285">
                  <c:v>5.5</c:v>
                </c:pt>
                <c:pt idx="3286">
                  <c:v>6.9</c:v>
                </c:pt>
                <c:pt idx="3287">
                  <c:v>6</c:v>
                </c:pt>
                <c:pt idx="3288">
                  <c:v>6.4</c:v>
                </c:pt>
                <c:pt idx="3289">
                  <c:v>6.6</c:v>
                </c:pt>
                <c:pt idx="3290">
                  <c:v>5.3</c:v>
                </c:pt>
                <c:pt idx="3291">
                  <c:v>8.1</c:v>
                </c:pt>
                <c:pt idx="3292">
                  <c:v>5.9</c:v>
                </c:pt>
                <c:pt idx="3293">
                  <c:v>7.7</c:v>
                </c:pt>
                <c:pt idx="3294">
                  <c:v>4.5999999999999996</c:v>
                </c:pt>
                <c:pt idx="3295">
                  <c:v>5.0999999999999996</c:v>
                </c:pt>
                <c:pt idx="3296">
                  <c:v>6.9</c:v>
                </c:pt>
                <c:pt idx="3297">
                  <c:v>8</c:v>
                </c:pt>
                <c:pt idx="3298">
                  <c:v>6.8</c:v>
                </c:pt>
                <c:pt idx="3299">
                  <c:v>5.4</c:v>
                </c:pt>
                <c:pt idx="3300">
                  <c:v>6.5</c:v>
                </c:pt>
                <c:pt idx="3301">
                  <c:v>4.2</c:v>
                </c:pt>
                <c:pt idx="3302">
                  <c:v>7.4</c:v>
                </c:pt>
                <c:pt idx="3303">
                  <c:v>6.9</c:v>
                </c:pt>
                <c:pt idx="3304">
                  <c:v>6.7</c:v>
                </c:pt>
                <c:pt idx="3305">
                  <c:v>7.3</c:v>
                </c:pt>
                <c:pt idx="3306">
                  <c:v>7.6</c:v>
                </c:pt>
                <c:pt idx="3307">
                  <c:v>5.4</c:v>
                </c:pt>
                <c:pt idx="3308">
                  <c:v>7.3</c:v>
                </c:pt>
                <c:pt idx="3309">
                  <c:v>6.4</c:v>
                </c:pt>
                <c:pt idx="3310">
                  <c:v>6</c:v>
                </c:pt>
                <c:pt idx="3311">
                  <c:v>7.2</c:v>
                </c:pt>
                <c:pt idx="3312">
                  <c:v>6</c:v>
                </c:pt>
                <c:pt idx="3313">
                  <c:v>3.1</c:v>
                </c:pt>
                <c:pt idx="3314">
                  <c:v>6.9</c:v>
                </c:pt>
                <c:pt idx="3315">
                  <c:v>6.2</c:v>
                </c:pt>
                <c:pt idx="3316">
                  <c:v>5.5</c:v>
                </c:pt>
                <c:pt idx="3317">
                  <c:v>6.9</c:v>
                </c:pt>
                <c:pt idx="3318">
                  <c:v>6.3</c:v>
                </c:pt>
                <c:pt idx="3319">
                  <c:v>4.8</c:v>
                </c:pt>
                <c:pt idx="3320">
                  <c:v>6.7</c:v>
                </c:pt>
                <c:pt idx="3321">
                  <c:v>5.6</c:v>
                </c:pt>
                <c:pt idx="3322">
                  <c:v>5.4</c:v>
                </c:pt>
                <c:pt idx="3323">
                  <c:v>8</c:v>
                </c:pt>
                <c:pt idx="3324">
                  <c:v>5.7</c:v>
                </c:pt>
                <c:pt idx="3325">
                  <c:v>7.6</c:v>
                </c:pt>
                <c:pt idx="3326">
                  <c:v>7</c:v>
                </c:pt>
                <c:pt idx="3327">
                  <c:v>7.2</c:v>
                </c:pt>
                <c:pt idx="3328">
                  <c:v>3.5</c:v>
                </c:pt>
                <c:pt idx="3329">
                  <c:v>7.5</c:v>
                </c:pt>
                <c:pt idx="3330">
                  <c:v>5.0999999999999996</c:v>
                </c:pt>
                <c:pt idx="3331">
                  <c:v>6.7</c:v>
                </c:pt>
                <c:pt idx="3332">
                  <c:v>9.1999999999999993</c:v>
                </c:pt>
                <c:pt idx="3333">
                  <c:v>6.1</c:v>
                </c:pt>
                <c:pt idx="3334">
                  <c:v>7.7</c:v>
                </c:pt>
                <c:pt idx="3335">
                  <c:v>7.6</c:v>
                </c:pt>
                <c:pt idx="3336">
                  <c:v>6.1</c:v>
                </c:pt>
                <c:pt idx="3337">
                  <c:v>4.9000000000000004</c:v>
                </c:pt>
                <c:pt idx="3338">
                  <c:v>6.8</c:v>
                </c:pt>
                <c:pt idx="3339">
                  <c:v>7</c:v>
                </c:pt>
                <c:pt idx="3340">
                  <c:v>7.2</c:v>
                </c:pt>
                <c:pt idx="3341">
                  <c:v>5.7</c:v>
                </c:pt>
                <c:pt idx="3342">
                  <c:v>7.5</c:v>
                </c:pt>
                <c:pt idx="3343">
                  <c:v>7.4</c:v>
                </c:pt>
                <c:pt idx="3344">
                  <c:v>7.2</c:v>
                </c:pt>
                <c:pt idx="3345">
                  <c:v>6.8</c:v>
                </c:pt>
                <c:pt idx="3346">
                  <c:v>6.8</c:v>
                </c:pt>
                <c:pt idx="3347">
                  <c:v>5.2</c:v>
                </c:pt>
                <c:pt idx="3348">
                  <c:v>7.2</c:v>
                </c:pt>
                <c:pt idx="3349">
                  <c:v>7.5</c:v>
                </c:pt>
                <c:pt idx="3350">
                  <c:v>4</c:v>
                </c:pt>
                <c:pt idx="3351">
                  <c:v>6.8</c:v>
                </c:pt>
                <c:pt idx="3352">
                  <c:v>6.9</c:v>
                </c:pt>
                <c:pt idx="3353">
                  <c:v>7.3</c:v>
                </c:pt>
                <c:pt idx="3354">
                  <c:v>6.1</c:v>
                </c:pt>
                <c:pt idx="3355">
                  <c:v>6</c:v>
                </c:pt>
                <c:pt idx="3356">
                  <c:v>4.0999999999999996</c:v>
                </c:pt>
                <c:pt idx="3357">
                  <c:v>7</c:v>
                </c:pt>
                <c:pt idx="3358">
                  <c:v>7.1</c:v>
                </c:pt>
                <c:pt idx="3359">
                  <c:v>6.2</c:v>
                </c:pt>
                <c:pt idx="3360">
                  <c:v>6.9</c:v>
                </c:pt>
                <c:pt idx="3361">
                  <c:v>7.6</c:v>
                </c:pt>
                <c:pt idx="3362">
                  <c:v>7.6</c:v>
                </c:pt>
                <c:pt idx="3363">
                  <c:v>6.4</c:v>
                </c:pt>
                <c:pt idx="3364">
                  <c:v>6.2</c:v>
                </c:pt>
                <c:pt idx="3365">
                  <c:v>7.5</c:v>
                </c:pt>
                <c:pt idx="3366">
                  <c:v>2</c:v>
                </c:pt>
                <c:pt idx="3367">
                  <c:v>6.2</c:v>
                </c:pt>
                <c:pt idx="3368">
                  <c:v>6.5</c:v>
                </c:pt>
                <c:pt idx="3369">
                  <c:v>7.9</c:v>
                </c:pt>
                <c:pt idx="3370">
                  <c:v>6.8</c:v>
                </c:pt>
                <c:pt idx="3371">
                  <c:v>6.3</c:v>
                </c:pt>
                <c:pt idx="3372">
                  <c:v>6.3</c:v>
                </c:pt>
                <c:pt idx="3373">
                  <c:v>6.6</c:v>
                </c:pt>
                <c:pt idx="3374">
                  <c:v>6.4</c:v>
                </c:pt>
                <c:pt idx="3375">
                  <c:v>7.5</c:v>
                </c:pt>
                <c:pt idx="3376">
                  <c:v>5.8</c:v>
                </c:pt>
                <c:pt idx="3377">
                  <c:v>6.5</c:v>
                </c:pt>
                <c:pt idx="3378">
                  <c:v>4.8</c:v>
                </c:pt>
                <c:pt idx="3379">
                  <c:v>7.2</c:v>
                </c:pt>
                <c:pt idx="3380">
                  <c:v>6.3</c:v>
                </c:pt>
                <c:pt idx="3381">
                  <c:v>7</c:v>
                </c:pt>
                <c:pt idx="3382">
                  <c:v>6.3</c:v>
                </c:pt>
                <c:pt idx="3383">
                  <c:v>5.3</c:v>
                </c:pt>
                <c:pt idx="3384">
                  <c:v>2.2999999999999998</c:v>
                </c:pt>
                <c:pt idx="3385">
                  <c:v>7.1</c:v>
                </c:pt>
                <c:pt idx="3386">
                  <c:v>6.2</c:v>
                </c:pt>
                <c:pt idx="3387">
                  <c:v>6.2</c:v>
                </c:pt>
                <c:pt idx="3388">
                  <c:v>6.7</c:v>
                </c:pt>
                <c:pt idx="3389">
                  <c:v>6.5</c:v>
                </c:pt>
                <c:pt idx="3390">
                  <c:v>5.9</c:v>
                </c:pt>
                <c:pt idx="3391">
                  <c:v>6.7</c:v>
                </c:pt>
                <c:pt idx="3392">
                  <c:v>6</c:v>
                </c:pt>
                <c:pt idx="3393">
                  <c:v>6.9</c:v>
                </c:pt>
                <c:pt idx="3394">
                  <c:v>7.9</c:v>
                </c:pt>
                <c:pt idx="3395">
                  <c:v>5.3</c:v>
                </c:pt>
                <c:pt idx="3396">
                  <c:v>4.8</c:v>
                </c:pt>
                <c:pt idx="3397">
                  <c:v>5.3</c:v>
                </c:pt>
                <c:pt idx="3398">
                  <c:v>7.3</c:v>
                </c:pt>
                <c:pt idx="3399">
                  <c:v>7.4</c:v>
                </c:pt>
                <c:pt idx="3400">
                  <c:v>7.7</c:v>
                </c:pt>
                <c:pt idx="3401">
                  <c:v>4.8</c:v>
                </c:pt>
                <c:pt idx="3402">
                  <c:v>7.2</c:v>
                </c:pt>
                <c:pt idx="3403">
                  <c:v>5.8</c:v>
                </c:pt>
                <c:pt idx="3404">
                  <c:v>7.3</c:v>
                </c:pt>
                <c:pt idx="3405">
                  <c:v>7</c:v>
                </c:pt>
                <c:pt idx="3406">
                  <c:v>6.4</c:v>
                </c:pt>
                <c:pt idx="3407">
                  <c:v>5.6</c:v>
                </c:pt>
                <c:pt idx="3408">
                  <c:v>8.1999999999999993</c:v>
                </c:pt>
                <c:pt idx="3409">
                  <c:v>6.5</c:v>
                </c:pt>
                <c:pt idx="3410">
                  <c:v>6.4</c:v>
                </c:pt>
                <c:pt idx="3411">
                  <c:v>8.1</c:v>
                </c:pt>
                <c:pt idx="3412">
                  <c:v>5.4</c:v>
                </c:pt>
                <c:pt idx="3413">
                  <c:v>6.3</c:v>
                </c:pt>
                <c:pt idx="3414">
                  <c:v>7.8</c:v>
                </c:pt>
                <c:pt idx="3415">
                  <c:v>6.8</c:v>
                </c:pt>
                <c:pt idx="3416">
                  <c:v>7.2</c:v>
                </c:pt>
                <c:pt idx="3417">
                  <c:v>7.1</c:v>
                </c:pt>
                <c:pt idx="3418">
                  <c:v>6.2</c:v>
                </c:pt>
                <c:pt idx="3419">
                  <c:v>7.3</c:v>
                </c:pt>
                <c:pt idx="3420">
                  <c:v>5.9</c:v>
                </c:pt>
                <c:pt idx="3421">
                  <c:v>7.2</c:v>
                </c:pt>
                <c:pt idx="3422">
                  <c:v>3.6</c:v>
                </c:pt>
                <c:pt idx="3423">
                  <c:v>7.7</c:v>
                </c:pt>
                <c:pt idx="3424">
                  <c:v>7.3</c:v>
                </c:pt>
                <c:pt idx="3425">
                  <c:v>7.4</c:v>
                </c:pt>
                <c:pt idx="3426">
                  <c:v>6.6</c:v>
                </c:pt>
                <c:pt idx="3427">
                  <c:v>6.9</c:v>
                </c:pt>
                <c:pt idx="3428">
                  <c:v>6.8</c:v>
                </c:pt>
                <c:pt idx="3429">
                  <c:v>7.3</c:v>
                </c:pt>
                <c:pt idx="3430">
                  <c:v>7.2</c:v>
                </c:pt>
                <c:pt idx="3431">
                  <c:v>6.5</c:v>
                </c:pt>
                <c:pt idx="3432">
                  <c:v>7.7</c:v>
                </c:pt>
                <c:pt idx="3433">
                  <c:v>8.1</c:v>
                </c:pt>
                <c:pt idx="3434">
                  <c:v>7.7</c:v>
                </c:pt>
                <c:pt idx="3435">
                  <c:v>7.6</c:v>
                </c:pt>
                <c:pt idx="3436">
                  <c:v>7.3</c:v>
                </c:pt>
                <c:pt idx="3437">
                  <c:v>7.2</c:v>
                </c:pt>
                <c:pt idx="3438">
                  <c:v>7.2</c:v>
                </c:pt>
                <c:pt idx="3439">
                  <c:v>8.1</c:v>
                </c:pt>
                <c:pt idx="3440">
                  <c:v>7.5</c:v>
                </c:pt>
                <c:pt idx="3441">
                  <c:v>8.1</c:v>
                </c:pt>
                <c:pt idx="3442">
                  <c:v>7.8</c:v>
                </c:pt>
                <c:pt idx="3443">
                  <c:v>7.8</c:v>
                </c:pt>
                <c:pt idx="3444">
                  <c:v>7.6</c:v>
                </c:pt>
                <c:pt idx="3445">
                  <c:v>7.4</c:v>
                </c:pt>
                <c:pt idx="3446">
                  <c:v>6.3</c:v>
                </c:pt>
                <c:pt idx="3447">
                  <c:v>6.9</c:v>
                </c:pt>
                <c:pt idx="3448">
                  <c:v>8.6</c:v>
                </c:pt>
                <c:pt idx="3449">
                  <c:v>5.0999999999999996</c:v>
                </c:pt>
                <c:pt idx="3450">
                  <c:v>6.4</c:v>
                </c:pt>
                <c:pt idx="3451">
                  <c:v>7.9</c:v>
                </c:pt>
                <c:pt idx="3452">
                  <c:v>6.9</c:v>
                </c:pt>
                <c:pt idx="3453">
                  <c:v>7.5</c:v>
                </c:pt>
                <c:pt idx="3454">
                  <c:v>7.2</c:v>
                </c:pt>
                <c:pt idx="3455">
                  <c:v>5.8</c:v>
                </c:pt>
                <c:pt idx="3456">
                  <c:v>2.9</c:v>
                </c:pt>
                <c:pt idx="3457">
                  <c:v>6.2</c:v>
                </c:pt>
                <c:pt idx="3458">
                  <c:v>7.3</c:v>
                </c:pt>
                <c:pt idx="3459">
                  <c:v>6.2</c:v>
                </c:pt>
                <c:pt idx="3460">
                  <c:v>6.8</c:v>
                </c:pt>
                <c:pt idx="3461">
                  <c:v>6.1</c:v>
                </c:pt>
                <c:pt idx="3462">
                  <c:v>7.7</c:v>
                </c:pt>
                <c:pt idx="3463">
                  <c:v>5.2</c:v>
                </c:pt>
                <c:pt idx="3464">
                  <c:v>6.8</c:v>
                </c:pt>
                <c:pt idx="3465">
                  <c:v>6.5</c:v>
                </c:pt>
                <c:pt idx="3466">
                  <c:v>7</c:v>
                </c:pt>
                <c:pt idx="3467">
                  <c:v>5.9</c:v>
                </c:pt>
                <c:pt idx="3468">
                  <c:v>7.1</c:v>
                </c:pt>
                <c:pt idx="3469">
                  <c:v>5.5</c:v>
                </c:pt>
                <c:pt idx="3470">
                  <c:v>7.4</c:v>
                </c:pt>
                <c:pt idx="3471">
                  <c:v>7.3</c:v>
                </c:pt>
                <c:pt idx="3472">
                  <c:v>4.5999999999999996</c:v>
                </c:pt>
                <c:pt idx="3473">
                  <c:v>7.2</c:v>
                </c:pt>
                <c:pt idx="3474">
                  <c:v>7</c:v>
                </c:pt>
                <c:pt idx="3475">
                  <c:v>5.0999999999999996</c:v>
                </c:pt>
                <c:pt idx="3476">
                  <c:v>6.7</c:v>
                </c:pt>
                <c:pt idx="3477">
                  <c:v>5.3</c:v>
                </c:pt>
                <c:pt idx="3478">
                  <c:v>7.8</c:v>
                </c:pt>
                <c:pt idx="3479">
                  <c:v>6.7</c:v>
                </c:pt>
                <c:pt idx="3480">
                  <c:v>5.4</c:v>
                </c:pt>
                <c:pt idx="3481">
                  <c:v>7.2</c:v>
                </c:pt>
                <c:pt idx="3482">
                  <c:v>5.8</c:v>
                </c:pt>
                <c:pt idx="3483">
                  <c:v>6.4</c:v>
                </c:pt>
                <c:pt idx="3484">
                  <c:v>8</c:v>
                </c:pt>
                <c:pt idx="3485">
                  <c:v>7</c:v>
                </c:pt>
                <c:pt idx="3486">
                  <c:v>7</c:v>
                </c:pt>
                <c:pt idx="3487">
                  <c:v>6.7</c:v>
                </c:pt>
                <c:pt idx="3488">
                  <c:v>3.8</c:v>
                </c:pt>
                <c:pt idx="3489">
                  <c:v>5.7</c:v>
                </c:pt>
                <c:pt idx="3490">
                  <c:v>6.6</c:v>
                </c:pt>
                <c:pt idx="3491">
                  <c:v>6.7</c:v>
                </c:pt>
                <c:pt idx="3492">
                  <c:v>6.1</c:v>
                </c:pt>
                <c:pt idx="3493">
                  <c:v>6.2</c:v>
                </c:pt>
                <c:pt idx="3494">
                  <c:v>6.2</c:v>
                </c:pt>
                <c:pt idx="3495">
                  <c:v>7.4</c:v>
                </c:pt>
                <c:pt idx="3496">
                  <c:v>4.7</c:v>
                </c:pt>
                <c:pt idx="3497">
                  <c:v>8.3000000000000007</c:v>
                </c:pt>
                <c:pt idx="3498">
                  <c:v>7.2</c:v>
                </c:pt>
                <c:pt idx="3499">
                  <c:v>5.8</c:v>
                </c:pt>
                <c:pt idx="3500">
                  <c:v>5.9</c:v>
                </c:pt>
                <c:pt idx="3501">
                  <c:v>6.3</c:v>
                </c:pt>
                <c:pt idx="3502">
                  <c:v>7.2</c:v>
                </c:pt>
                <c:pt idx="3503">
                  <c:v>5.4</c:v>
                </c:pt>
                <c:pt idx="3504">
                  <c:v>7.3</c:v>
                </c:pt>
                <c:pt idx="3505">
                  <c:v>7.3</c:v>
                </c:pt>
                <c:pt idx="3506">
                  <c:v>5.8</c:v>
                </c:pt>
                <c:pt idx="3507">
                  <c:v>7.1</c:v>
                </c:pt>
                <c:pt idx="3508">
                  <c:v>6.5</c:v>
                </c:pt>
                <c:pt idx="3509">
                  <c:v>7.9</c:v>
                </c:pt>
                <c:pt idx="3510">
                  <c:v>5.4</c:v>
                </c:pt>
                <c:pt idx="3511">
                  <c:v>7.1</c:v>
                </c:pt>
                <c:pt idx="3512">
                  <c:v>6.4</c:v>
                </c:pt>
                <c:pt idx="3513">
                  <c:v>6.7</c:v>
                </c:pt>
                <c:pt idx="3514">
                  <c:v>6.9</c:v>
                </c:pt>
                <c:pt idx="3515">
                  <c:v>2.1</c:v>
                </c:pt>
                <c:pt idx="3516">
                  <c:v>4.3</c:v>
                </c:pt>
                <c:pt idx="3517">
                  <c:v>6.6</c:v>
                </c:pt>
                <c:pt idx="3518">
                  <c:v>3.4</c:v>
                </c:pt>
                <c:pt idx="3519">
                  <c:v>8.3000000000000007</c:v>
                </c:pt>
                <c:pt idx="3520">
                  <c:v>7.2</c:v>
                </c:pt>
                <c:pt idx="3521">
                  <c:v>5.6</c:v>
                </c:pt>
                <c:pt idx="3522">
                  <c:v>7.7</c:v>
                </c:pt>
                <c:pt idx="3523">
                  <c:v>6.6</c:v>
                </c:pt>
                <c:pt idx="3524">
                  <c:v>7.6</c:v>
                </c:pt>
                <c:pt idx="3525">
                  <c:v>7.4</c:v>
                </c:pt>
                <c:pt idx="3526">
                  <c:v>7.1</c:v>
                </c:pt>
                <c:pt idx="3527">
                  <c:v>3.4</c:v>
                </c:pt>
                <c:pt idx="3528">
                  <c:v>7.9</c:v>
                </c:pt>
                <c:pt idx="3529">
                  <c:v>6.7</c:v>
                </c:pt>
                <c:pt idx="3530">
                  <c:v>6.6</c:v>
                </c:pt>
                <c:pt idx="3531">
                  <c:v>7.9</c:v>
                </c:pt>
                <c:pt idx="3532">
                  <c:v>4.9000000000000004</c:v>
                </c:pt>
                <c:pt idx="3533">
                  <c:v>7.2</c:v>
                </c:pt>
                <c:pt idx="3534">
                  <c:v>7.4</c:v>
                </c:pt>
                <c:pt idx="3535">
                  <c:v>6.1</c:v>
                </c:pt>
                <c:pt idx="3536">
                  <c:v>8.4</c:v>
                </c:pt>
                <c:pt idx="3537">
                  <c:v>6.2</c:v>
                </c:pt>
                <c:pt idx="3538">
                  <c:v>5.3</c:v>
                </c:pt>
                <c:pt idx="3539">
                  <c:v>5</c:v>
                </c:pt>
                <c:pt idx="3540">
                  <c:v>7.7</c:v>
                </c:pt>
                <c:pt idx="3541">
                  <c:v>7.6</c:v>
                </c:pt>
                <c:pt idx="3542">
                  <c:v>6.3</c:v>
                </c:pt>
                <c:pt idx="3543">
                  <c:v>7.6</c:v>
                </c:pt>
                <c:pt idx="3544">
                  <c:v>5.6</c:v>
                </c:pt>
                <c:pt idx="3545">
                  <c:v>7.3</c:v>
                </c:pt>
                <c:pt idx="3546">
                  <c:v>6.2</c:v>
                </c:pt>
                <c:pt idx="3547">
                  <c:v>6.6</c:v>
                </c:pt>
                <c:pt idx="3548">
                  <c:v>6.6</c:v>
                </c:pt>
                <c:pt idx="3549">
                  <c:v>7.3</c:v>
                </c:pt>
                <c:pt idx="3550">
                  <c:v>6.6</c:v>
                </c:pt>
                <c:pt idx="3551">
                  <c:v>6.9</c:v>
                </c:pt>
                <c:pt idx="3552">
                  <c:v>5.8</c:v>
                </c:pt>
                <c:pt idx="3553">
                  <c:v>4.4000000000000004</c:v>
                </c:pt>
                <c:pt idx="3554">
                  <c:v>6.6</c:v>
                </c:pt>
                <c:pt idx="3555">
                  <c:v>7.6</c:v>
                </c:pt>
                <c:pt idx="3556">
                  <c:v>4.5999999999999996</c:v>
                </c:pt>
                <c:pt idx="3557">
                  <c:v>6.8</c:v>
                </c:pt>
                <c:pt idx="3558">
                  <c:v>7.1</c:v>
                </c:pt>
                <c:pt idx="3559">
                  <c:v>4.9000000000000004</c:v>
                </c:pt>
                <c:pt idx="3560">
                  <c:v>7.3</c:v>
                </c:pt>
                <c:pt idx="3561">
                  <c:v>7.2</c:v>
                </c:pt>
                <c:pt idx="3562">
                  <c:v>5</c:v>
                </c:pt>
                <c:pt idx="3563">
                  <c:v>8.1999999999999993</c:v>
                </c:pt>
                <c:pt idx="3564">
                  <c:v>8</c:v>
                </c:pt>
                <c:pt idx="3565">
                  <c:v>5.2</c:v>
                </c:pt>
                <c:pt idx="3566">
                  <c:v>8.5</c:v>
                </c:pt>
                <c:pt idx="3567">
                  <c:v>6.5</c:v>
                </c:pt>
                <c:pt idx="3568">
                  <c:v>7.4</c:v>
                </c:pt>
                <c:pt idx="3569">
                  <c:v>7.7</c:v>
                </c:pt>
                <c:pt idx="3570">
                  <c:v>7.4</c:v>
                </c:pt>
                <c:pt idx="3571">
                  <c:v>5.0999999999999996</c:v>
                </c:pt>
                <c:pt idx="3572">
                  <c:v>7.3</c:v>
                </c:pt>
                <c:pt idx="3573">
                  <c:v>5</c:v>
                </c:pt>
                <c:pt idx="3574">
                  <c:v>7.2</c:v>
                </c:pt>
                <c:pt idx="3575">
                  <c:v>6.7</c:v>
                </c:pt>
                <c:pt idx="3576">
                  <c:v>6.4</c:v>
                </c:pt>
                <c:pt idx="3577">
                  <c:v>7.1</c:v>
                </c:pt>
                <c:pt idx="3578">
                  <c:v>5.6</c:v>
                </c:pt>
                <c:pt idx="3579">
                  <c:v>6.1</c:v>
                </c:pt>
                <c:pt idx="3580">
                  <c:v>5.2</c:v>
                </c:pt>
                <c:pt idx="3581">
                  <c:v>7.3</c:v>
                </c:pt>
                <c:pt idx="3582">
                  <c:v>7.5</c:v>
                </c:pt>
                <c:pt idx="3583">
                  <c:v>6.6</c:v>
                </c:pt>
                <c:pt idx="3584">
                  <c:v>6.4</c:v>
                </c:pt>
                <c:pt idx="3585">
                  <c:v>4.5</c:v>
                </c:pt>
                <c:pt idx="3586">
                  <c:v>6.6</c:v>
                </c:pt>
                <c:pt idx="3587">
                  <c:v>5.3</c:v>
                </c:pt>
                <c:pt idx="3588">
                  <c:v>4.9000000000000004</c:v>
                </c:pt>
                <c:pt idx="3589">
                  <c:v>7.7</c:v>
                </c:pt>
                <c:pt idx="3590">
                  <c:v>8</c:v>
                </c:pt>
                <c:pt idx="3591">
                  <c:v>3.8</c:v>
                </c:pt>
                <c:pt idx="3592">
                  <c:v>7.6</c:v>
                </c:pt>
                <c:pt idx="3593">
                  <c:v>5.9</c:v>
                </c:pt>
                <c:pt idx="3594">
                  <c:v>6.2</c:v>
                </c:pt>
                <c:pt idx="3595">
                  <c:v>7.2</c:v>
                </c:pt>
                <c:pt idx="3596">
                  <c:v>6.3</c:v>
                </c:pt>
                <c:pt idx="3597">
                  <c:v>5.2</c:v>
                </c:pt>
                <c:pt idx="3598">
                  <c:v>6.9</c:v>
                </c:pt>
                <c:pt idx="3599">
                  <c:v>6.8</c:v>
                </c:pt>
                <c:pt idx="3600">
                  <c:v>6.2</c:v>
                </c:pt>
                <c:pt idx="3601">
                  <c:v>6.2</c:v>
                </c:pt>
                <c:pt idx="3602">
                  <c:v>3.5</c:v>
                </c:pt>
                <c:pt idx="3603">
                  <c:v>6.1</c:v>
                </c:pt>
                <c:pt idx="3604">
                  <c:v>6.6</c:v>
                </c:pt>
                <c:pt idx="3605">
                  <c:v>4.5</c:v>
                </c:pt>
                <c:pt idx="3606">
                  <c:v>5.9</c:v>
                </c:pt>
                <c:pt idx="3607">
                  <c:v>6.9</c:v>
                </c:pt>
                <c:pt idx="3608">
                  <c:v>7.7</c:v>
                </c:pt>
                <c:pt idx="3609">
                  <c:v>6.6</c:v>
                </c:pt>
                <c:pt idx="3610">
                  <c:v>5.3</c:v>
                </c:pt>
                <c:pt idx="3611">
                  <c:v>6.3</c:v>
                </c:pt>
                <c:pt idx="3612">
                  <c:v>7</c:v>
                </c:pt>
                <c:pt idx="3613">
                  <c:v>7</c:v>
                </c:pt>
                <c:pt idx="3614">
                  <c:v>6.6</c:v>
                </c:pt>
                <c:pt idx="3615">
                  <c:v>8.6</c:v>
                </c:pt>
                <c:pt idx="3616">
                  <c:v>6.4</c:v>
                </c:pt>
                <c:pt idx="3617">
                  <c:v>7.9</c:v>
                </c:pt>
                <c:pt idx="3618">
                  <c:v>5.4</c:v>
                </c:pt>
                <c:pt idx="3619">
                  <c:v>6.9</c:v>
                </c:pt>
                <c:pt idx="3620">
                  <c:v>7.7</c:v>
                </c:pt>
                <c:pt idx="3621">
                  <c:v>7.2</c:v>
                </c:pt>
                <c:pt idx="3622">
                  <c:v>6.8</c:v>
                </c:pt>
                <c:pt idx="3623">
                  <c:v>6.2</c:v>
                </c:pt>
                <c:pt idx="3624">
                  <c:v>7.4</c:v>
                </c:pt>
                <c:pt idx="3625">
                  <c:v>4.5999999999999996</c:v>
                </c:pt>
                <c:pt idx="3626">
                  <c:v>6.4</c:v>
                </c:pt>
                <c:pt idx="3627">
                  <c:v>7</c:v>
                </c:pt>
                <c:pt idx="3628">
                  <c:v>7.7</c:v>
                </c:pt>
                <c:pt idx="3629">
                  <c:v>6.8</c:v>
                </c:pt>
                <c:pt idx="3630">
                  <c:v>7</c:v>
                </c:pt>
                <c:pt idx="3631">
                  <c:v>7</c:v>
                </c:pt>
                <c:pt idx="3632">
                  <c:v>6.3</c:v>
                </c:pt>
                <c:pt idx="3633">
                  <c:v>7.1</c:v>
                </c:pt>
                <c:pt idx="3634">
                  <c:v>5.6</c:v>
                </c:pt>
                <c:pt idx="3635">
                  <c:v>4.4000000000000004</c:v>
                </c:pt>
                <c:pt idx="3636">
                  <c:v>7.1</c:v>
                </c:pt>
                <c:pt idx="3637">
                  <c:v>6.1</c:v>
                </c:pt>
                <c:pt idx="3638">
                  <c:v>7.4</c:v>
                </c:pt>
                <c:pt idx="3639">
                  <c:v>7.5</c:v>
                </c:pt>
                <c:pt idx="3640">
                  <c:v>7.2</c:v>
                </c:pt>
                <c:pt idx="3641">
                  <c:v>7.6</c:v>
                </c:pt>
                <c:pt idx="3642">
                  <c:v>7.3</c:v>
                </c:pt>
                <c:pt idx="3643">
                  <c:v>6.2</c:v>
                </c:pt>
                <c:pt idx="3644">
                  <c:v>6.2</c:v>
                </c:pt>
                <c:pt idx="3645">
                  <c:v>4.5999999999999996</c:v>
                </c:pt>
                <c:pt idx="3646">
                  <c:v>6.2</c:v>
                </c:pt>
                <c:pt idx="3647">
                  <c:v>6.2</c:v>
                </c:pt>
                <c:pt idx="3648">
                  <c:v>3.3</c:v>
                </c:pt>
                <c:pt idx="3649">
                  <c:v>4.2</c:v>
                </c:pt>
                <c:pt idx="3650">
                  <c:v>7.2</c:v>
                </c:pt>
                <c:pt idx="3651">
                  <c:v>6.2</c:v>
                </c:pt>
                <c:pt idx="3652">
                  <c:v>6.1</c:v>
                </c:pt>
                <c:pt idx="3653">
                  <c:v>4.2</c:v>
                </c:pt>
                <c:pt idx="3654">
                  <c:v>4.5</c:v>
                </c:pt>
                <c:pt idx="3655">
                  <c:v>7.5</c:v>
                </c:pt>
                <c:pt idx="3656">
                  <c:v>6.7</c:v>
                </c:pt>
                <c:pt idx="3657">
                  <c:v>5.0999999999999996</c:v>
                </c:pt>
                <c:pt idx="3658">
                  <c:v>5.5</c:v>
                </c:pt>
                <c:pt idx="3659">
                  <c:v>4.4000000000000004</c:v>
                </c:pt>
                <c:pt idx="3660">
                  <c:v>4.4000000000000004</c:v>
                </c:pt>
                <c:pt idx="3661">
                  <c:v>6.8</c:v>
                </c:pt>
                <c:pt idx="3662">
                  <c:v>8.6</c:v>
                </c:pt>
                <c:pt idx="3663">
                  <c:v>4.8</c:v>
                </c:pt>
                <c:pt idx="3664">
                  <c:v>3.4</c:v>
                </c:pt>
                <c:pt idx="3665">
                  <c:v>7.4</c:v>
                </c:pt>
                <c:pt idx="3666">
                  <c:v>7.3</c:v>
                </c:pt>
                <c:pt idx="3667">
                  <c:v>8</c:v>
                </c:pt>
                <c:pt idx="3668">
                  <c:v>6.5</c:v>
                </c:pt>
                <c:pt idx="3669">
                  <c:v>5.9</c:v>
                </c:pt>
                <c:pt idx="3670">
                  <c:v>6.8</c:v>
                </c:pt>
                <c:pt idx="3671">
                  <c:v>7.4</c:v>
                </c:pt>
                <c:pt idx="3672">
                  <c:v>6.7</c:v>
                </c:pt>
                <c:pt idx="3673">
                  <c:v>6.8</c:v>
                </c:pt>
                <c:pt idx="3674">
                  <c:v>5.4</c:v>
                </c:pt>
                <c:pt idx="3675">
                  <c:v>5.5</c:v>
                </c:pt>
                <c:pt idx="3676">
                  <c:v>7.4</c:v>
                </c:pt>
                <c:pt idx="3677">
                  <c:v>5.7</c:v>
                </c:pt>
                <c:pt idx="3678">
                  <c:v>5.4</c:v>
                </c:pt>
                <c:pt idx="3679">
                  <c:v>3.2</c:v>
                </c:pt>
                <c:pt idx="3680">
                  <c:v>7.8</c:v>
                </c:pt>
                <c:pt idx="3681">
                  <c:v>5.3</c:v>
                </c:pt>
                <c:pt idx="3682">
                  <c:v>7.2</c:v>
                </c:pt>
                <c:pt idx="3683">
                  <c:v>6.2</c:v>
                </c:pt>
                <c:pt idx="3684">
                  <c:v>5.9</c:v>
                </c:pt>
                <c:pt idx="3685">
                  <c:v>6.7</c:v>
                </c:pt>
                <c:pt idx="3686">
                  <c:v>5.7</c:v>
                </c:pt>
                <c:pt idx="3687">
                  <c:v>7.1</c:v>
                </c:pt>
                <c:pt idx="3688">
                  <c:v>7.2</c:v>
                </c:pt>
                <c:pt idx="3689">
                  <c:v>7.4</c:v>
                </c:pt>
                <c:pt idx="3690">
                  <c:v>7.7</c:v>
                </c:pt>
                <c:pt idx="3691">
                  <c:v>7.4</c:v>
                </c:pt>
                <c:pt idx="3692">
                  <c:v>8.4</c:v>
                </c:pt>
                <c:pt idx="3693">
                  <c:v>7.1</c:v>
                </c:pt>
                <c:pt idx="3694">
                  <c:v>7.2</c:v>
                </c:pt>
                <c:pt idx="3695">
                  <c:v>7.5</c:v>
                </c:pt>
                <c:pt idx="3696">
                  <c:v>5.4</c:v>
                </c:pt>
                <c:pt idx="3697">
                  <c:v>8.1</c:v>
                </c:pt>
                <c:pt idx="3698">
                  <c:v>6</c:v>
                </c:pt>
                <c:pt idx="3699">
                  <c:v>7.8</c:v>
                </c:pt>
                <c:pt idx="3700">
                  <c:v>6.8</c:v>
                </c:pt>
                <c:pt idx="3701">
                  <c:v>6.5</c:v>
                </c:pt>
                <c:pt idx="3702">
                  <c:v>7.7</c:v>
                </c:pt>
                <c:pt idx="3703">
                  <c:v>6.4</c:v>
                </c:pt>
                <c:pt idx="3704">
                  <c:v>6.5</c:v>
                </c:pt>
                <c:pt idx="3705">
                  <c:v>7.3</c:v>
                </c:pt>
                <c:pt idx="3706">
                  <c:v>6.6</c:v>
                </c:pt>
                <c:pt idx="3707">
                  <c:v>7.9</c:v>
                </c:pt>
                <c:pt idx="3708">
                  <c:v>5.9</c:v>
                </c:pt>
                <c:pt idx="3709">
                  <c:v>4.7</c:v>
                </c:pt>
                <c:pt idx="3710">
                  <c:v>8.6999999999999993</c:v>
                </c:pt>
                <c:pt idx="3711">
                  <c:v>5.9</c:v>
                </c:pt>
                <c:pt idx="3712">
                  <c:v>8.5</c:v>
                </c:pt>
                <c:pt idx="3713">
                  <c:v>5.8</c:v>
                </c:pt>
                <c:pt idx="3714">
                  <c:v>6.1</c:v>
                </c:pt>
                <c:pt idx="3715">
                  <c:v>7.3</c:v>
                </c:pt>
                <c:pt idx="3716">
                  <c:v>6.7</c:v>
                </c:pt>
                <c:pt idx="3717">
                  <c:v>7.6</c:v>
                </c:pt>
                <c:pt idx="3718">
                  <c:v>7.2</c:v>
                </c:pt>
                <c:pt idx="3719">
                  <c:v>6.2</c:v>
                </c:pt>
                <c:pt idx="3720">
                  <c:v>5.2</c:v>
                </c:pt>
                <c:pt idx="3721">
                  <c:v>7.1</c:v>
                </c:pt>
                <c:pt idx="3722">
                  <c:v>6.5</c:v>
                </c:pt>
                <c:pt idx="3723">
                  <c:v>7.3</c:v>
                </c:pt>
                <c:pt idx="3724">
                  <c:v>6.2</c:v>
                </c:pt>
                <c:pt idx="3725">
                  <c:v>5</c:v>
                </c:pt>
                <c:pt idx="3726">
                  <c:v>8</c:v>
                </c:pt>
                <c:pt idx="3727">
                  <c:v>7.8</c:v>
                </c:pt>
                <c:pt idx="3728">
                  <c:v>8.1</c:v>
                </c:pt>
                <c:pt idx="3729">
                  <c:v>6.7</c:v>
                </c:pt>
                <c:pt idx="3730">
                  <c:v>7.1</c:v>
                </c:pt>
                <c:pt idx="3731">
                  <c:v>5.6</c:v>
                </c:pt>
                <c:pt idx="3732">
                  <c:v>7.6</c:v>
                </c:pt>
                <c:pt idx="3733">
                  <c:v>4.3</c:v>
                </c:pt>
                <c:pt idx="3734">
                  <c:v>7.3</c:v>
                </c:pt>
                <c:pt idx="3735">
                  <c:v>4.5999999999999996</c:v>
                </c:pt>
                <c:pt idx="3736">
                  <c:v>6.8</c:v>
                </c:pt>
                <c:pt idx="3737">
                  <c:v>7.1</c:v>
                </c:pt>
                <c:pt idx="3738">
                  <c:v>7.3</c:v>
                </c:pt>
                <c:pt idx="3739">
                  <c:v>8.3000000000000007</c:v>
                </c:pt>
                <c:pt idx="3740">
                  <c:v>5.4</c:v>
                </c:pt>
                <c:pt idx="3741">
                  <c:v>4</c:v>
                </c:pt>
                <c:pt idx="3742">
                  <c:v>8</c:v>
                </c:pt>
                <c:pt idx="3743">
                  <c:v>6.7</c:v>
                </c:pt>
                <c:pt idx="3744">
                  <c:v>4.5999999999999996</c:v>
                </c:pt>
                <c:pt idx="3745">
                  <c:v>4</c:v>
                </c:pt>
                <c:pt idx="3746">
                  <c:v>7</c:v>
                </c:pt>
                <c:pt idx="3747">
                  <c:v>7.4</c:v>
                </c:pt>
                <c:pt idx="3748">
                  <c:v>5.9</c:v>
                </c:pt>
                <c:pt idx="3749">
                  <c:v>4.5999999999999996</c:v>
                </c:pt>
                <c:pt idx="3750">
                  <c:v>7.5</c:v>
                </c:pt>
                <c:pt idx="3751">
                  <c:v>4.7</c:v>
                </c:pt>
                <c:pt idx="3752">
                  <c:v>6.7</c:v>
                </c:pt>
                <c:pt idx="3753">
                  <c:v>6.3</c:v>
                </c:pt>
                <c:pt idx="3754">
                  <c:v>6</c:v>
                </c:pt>
                <c:pt idx="3755">
                  <c:v>6.7</c:v>
                </c:pt>
                <c:pt idx="3756">
                  <c:v>7.1</c:v>
                </c:pt>
                <c:pt idx="3757">
                  <c:v>2.7</c:v>
                </c:pt>
                <c:pt idx="3758">
                  <c:v>7.3</c:v>
                </c:pt>
                <c:pt idx="3759">
                  <c:v>7.6</c:v>
                </c:pt>
                <c:pt idx="3760">
                  <c:v>5.8</c:v>
                </c:pt>
                <c:pt idx="3761">
                  <c:v>6.5</c:v>
                </c:pt>
                <c:pt idx="3762">
                  <c:v>6.6</c:v>
                </c:pt>
                <c:pt idx="3763">
                  <c:v>6.2</c:v>
                </c:pt>
                <c:pt idx="3764">
                  <c:v>6.9</c:v>
                </c:pt>
                <c:pt idx="3765">
                  <c:v>4.8</c:v>
                </c:pt>
                <c:pt idx="3766">
                  <c:v>6.6</c:v>
                </c:pt>
                <c:pt idx="3767">
                  <c:v>5.7</c:v>
                </c:pt>
                <c:pt idx="3768">
                  <c:v>7</c:v>
                </c:pt>
                <c:pt idx="3769">
                  <c:v>5.4</c:v>
                </c:pt>
                <c:pt idx="3770">
                  <c:v>7.1</c:v>
                </c:pt>
                <c:pt idx="3771">
                  <c:v>6.9</c:v>
                </c:pt>
                <c:pt idx="3772">
                  <c:v>6.6</c:v>
                </c:pt>
                <c:pt idx="3773">
                  <c:v>5.9</c:v>
                </c:pt>
                <c:pt idx="3774">
                  <c:v>6.3</c:v>
                </c:pt>
                <c:pt idx="3775">
                  <c:v>6.3</c:v>
                </c:pt>
                <c:pt idx="3776">
                  <c:v>7.7</c:v>
                </c:pt>
                <c:pt idx="3777">
                  <c:v>7</c:v>
                </c:pt>
                <c:pt idx="3778">
                  <c:v>6.3</c:v>
                </c:pt>
                <c:pt idx="3779">
                  <c:v>5.9</c:v>
                </c:pt>
                <c:pt idx="3780">
                  <c:v>6.2</c:v>
                </c:pt>
                <c:pt idx="3781">
                  <c:v>5</c:v>
                </c:pt>
                <c:pt idx="3782">
                  <c:v>7.7</c:v>
                </c:pt>
                <c:pt idx="3783">
                  <c:v>6.5</c:v>
                </c:pt>
                <c:pt idx="3784">
                  <c:v>5.8</c:v>
                </c:pt>
                <c:pt idx="3785">
                  <c:v>6.1</c:v>
                </c:pt>
                <c:pt idx="3786">
                  <c:v>6</c:v>
                </c:pt>
                <c:pt idx="3787">
                  <c:v>6.3</c:v>
                </c:pt>
                <c:pt idx="3788">
                  <c:v>6.3</c:v>
                </c:pt>
                <c:pt idx="3789">
                  <c:v>7.5</c:v>
                </c:pt>
                <c:pt idx="3790">
                  <c:v>7.6</c:v>
                </c:pt>
                <c:pt idx="3791">
                  <c:v>5.2</c:v>
                </c:pt>
                <c:pt idx="3792">
                  <c:v>7.8</c:v>
                </c:pt>
                <c:pt idx="3793">
                  <c:v>6.6</c:v>
                </c:pt>
                <c:pt idx="3794">
                  <c:v>4.7</c:v>
                </c:pt>
                <c:pt idx="3795">
                  <c:v>6.7</c:v>
                </c:pt>
                <c:pt idx="3796">
                  <c:v>4.2</c:v>
                </c:pt>
                <c:pt idx="3797">
                  <c:v>6.3</c:v>
                </c:pt>
                <c:pt idx="3798">
                  <c:v>4.7</c:v>
                </c:pt>
                <c:pt idx="3799">
                  <c:v>7.9</c:v>
                </c:pt>
                <c:pt idx="3800">
                  <c:v>8.1</c:v>
                </c:pt>
                <c:pt idx="3801">
                  <c:v>8.1999999999999993</c:v>
                </c:pt>
                <c:pt idx="3802">
                  <c:v>6</c:v>
                </c:pt>
                <c:pt idx="3803">
                  <c:v>6.8</c:v>
                </c:pt>
                <c:pt idx="3804">
                  <c:v>7.3</c:v>
                </c:pt>
                <c:pt idx="3805">
                  <c:v>7</c:v>
                </c:pt>
                <c:pt idx="3806">
                  <c:v>7.3</c:v>
                </c:pt>
                <c:pt idx="3807">
                  <c:v>7.5</c:v>
                </c:pt>
                <c:pt idx="3808">
                  <c:v>6.8</c:v>
                </c:pt>
                <c:pt idx="3809">
                  <c:v>7.1</c:v>
                </c:pt>
                <c:pt idx="3810">
                  <c:v>6.9</c:v>
                </c:pt>
                <c:pt idx="3811">
                  <c:v>6.9</c:v>
                </c:pt>
                <c:pt idx="3812">
                  <c:v>7.9</c:v>
                </c:pt>
                <c:pt idx="3813">
                  <c:v>7.2</c:v>
                </c:pt>
                <c:pt idx="3814">
                  <c:v>7.8</c:v>
                </c:pt>
                <c:pt idx="3815">
                  <c:v>3.5</c:v>
                </c:pt>
                <c:pt idx="3816">
                  <c:v>7.3</c:v>
                </c:pt>
                <c:pt idx="3817">
                  <c:v>7.5</c:v>
                </c:pt>
                <c:pt idx="3818">
                  <c:v>6</c:v>
                </c:pt>
                <c:pt idx="3819">
                  <c:v>7.3</c:v>
                </c:pt>
                <c:pt idx="3820">
                  <c:v>8</c:v>
                </c:pt>
                <c:pt idx="3821">
                  <c:v>7.6</c:v>
                </c:pt>
                <c:pt idx="3822">
                  <c:v>7</c:v>
                </c:pt>
                <c:pt idx="3823">
                  <c:v>7.5</c:v>
                </c:pt>
                <c:pt idx="3824">
                  <c:v>6.8</c:v>
                </c:pt>
                <c:pt idx="3825">
                  <c:v>3.9</c:v>
                </c:pt>
                <c:pt idx="3826">
                  <c:v>6.1</c:v>
                </c:pt>
                <c:pt idx="3827">
                  <c:v>7.5</c:v>
                </c:pt>
                <c:pt idx="3828">
                  <c:v>8.1999999999999993</c:v>
                </c:pt>
                <c:pt idx="3829">
                  <c:v>4.8</c:v>
                </c:pt>
                <c:pt idx="3830">
                  <c:v>7.8</c:v>
                </c:pt>
                <c:pt idx="3831">
                  <c:v>5.2</c:v>
                </c:pt>
                <c:pt idx="3832">
                  <c:v>3.3</c:v>
                </c:pt>
                <c:pt idx="3833">
                  <c:v>6.8</c:v>
                </c:pt>
                <c:pt idx="3834">
                  <c:v>7</c:v>
                </c:pt>
                <c:pt idx="3835">
                  <c:v>6.5</c:v>
                </c:pt>
                <c:pt idx="3836">
                  <c:v>6.4</c:v>
                </c:pt>
                <c:pt idx="3837">
                  <c:v>5.3</c:v>
                </c:pt>
                <c:pt idx="3838">
                  <c:v>4.7</c:v>
                </c:pt>
                <c:pt idx="3839">
                  <c:v>6.1</c:v>
                </c:pt>
                <c:pt idx="3840">
                  <c:v>5.5</c:v>
                </c:pt>
                <c:pt idx="3841">
                  <c:v>4.8</c:v>
                </c:pt>
                <c:pt idx="3842">
                  <c:v>8.4</c:v>
                </c:pt>
                <c:pt idx="3843">
                  <c:v>7</c:v>
                </c:pt>
                <c:pt idx="3844">
                  <c:v>3.3</c:v>
                </c:pt>
                <c:pt idx="3845">
                  <c:v>5.4</c:v>
                </c:pt>
                <c:pt idx="3846">
                  <c:v>4.8</c:v>
                </c:pt>
                <c:pt idx="3847">
                  <c:v>3.1</c:v>
                </c:pt>
                <c:pt idx="3848">
                  <c:v>6.7</c:v>
                </c:pt>
                <c:pt idx="3849">
                  <c:v>7.6</c:v>
                </c:pt>
                <c:pt idx="3850">
                  <c:v>7.1</c:v>
                </c:pt>
                <c:pt idx="3851">
                  <c:v>6.1</c:v>
                </c:pt>
                <c:pt idx="3852">
                  <c:v>6.5</c:v>
                </c:pt>
                <c:pt idx="3853">
                  <c:v>8.5</c:v>
                </c:pt>
                <c:pt idx="3854">
                  <c:v>8.6999999999999993</c:v>
                </c:pt>
                <c:pt idx="3855">
                  <c:v>7.1</c:v>
                </c:pt>
                <c:pt idx="3856">
                  <c:v>6.6</c:v>
                </c:pt>
                <c:pt idx="3857">
                  <c:v>6.7</c:v>
                </c:pt>
                <c:pt idx="3858">
                  <c:v>8.3000000000000007</c:v>
                </c:pt>
                <c:pt idx="3859">
                  <c:v>8.1</c:v>
                </c:pt>
                <c:pt idx="3860">
                  <c:v>7.4</c:v>
                </c:pt>
                <c:pt idx="3861">
                  <c:v>6.6</c:v>
                </c:pt>
                <c:pt idx="3862">
                  <c:v>4.5</c:v>
                </c:pt>
                <c:pt idx="3863">
                  <c:v>6.4</c:v>
                </c:pt>
                <c:pt idx="3864">
                  <c:v>7.5</c:v>
                </c:pt>
                <c:pt idx="3865">
                  <c:v>8</c:v>
                </c:pt>
                <c:pt idx="3866">
                  <c:v>8.1</c:v>
                </c:pt>
                <c:pt idx="3867">
                  <c:v>7.2</c:v>
                </c:pt>
                <c:pt idx="3868">
                  <c:v>7.5</c:v>
                </c:pt>
                <c:pt idx="3869">
                  <c:v>7.2</c:v>
                </c:pt>
                <c:pt idx="3870">
                  <c:v>6.4</c:v>
                </c:pt>
                <c:pt idx="3871">
                  <c:v>7.6</c:v>
                </c:pt>
                <c:pt idx="3872">
                  <c:v>7.8</c:v>
                </c:pt>
                <c:pt idx="3873">
                  <c:v>5.7</c:v>
                </c:pt>
                <c:pt idx="3874">
                  <c:v>8.6</c:v>
                </c:pt>
                <c:pt idx="3875">
                  <c:v>8.1999999999999993</c:v>
                </c:pt>
                <c:pt idx="3876">
                  <c:v>6.6</c:v>
                </c:pt>
                <c:pt idx="3877">
                  <c:v>5.7</c:v>
                </c:pt>
                <c:pt idx="3878">
                  <c:v>7.4</c:v>
                </c:pt>
                <c:pt idx="3879">
                  <c:v>8</c:v>
                </c:pt>
                <c:pt idx="3880">
                  <c:v>7.3</c:v>
                </c:pt>
                <c:pt idx="3881">
                  <c:v>5.4</c:v>
                </c:pt>
                <c:pt idx="3882">
                  <c:v>7.4</c:v>
                </c:pt>
                <c:pt idx="3883">
                  <c:v>5.7</c:v>
                </c:pt>
                <c:pt idx="3884">
                  <c:v>6.8</c:v>
                </c:pt>
                <c:pt idx="3885">
                  <c:v>5.4</c:v>
                </c:pt>
                <c:pt idx="3886">
                  <c:v>8.1</c:v>
                </c:pt>
                <c:pt idx="3887">
                  <c:v>6.1</c:v>
                </c:pt>
                <c:pt idx="3888">
                  <c:v>5.0999999999999996</c:v>
                </c:pt>
                <c:pt idx="3889">
                  <c:v>5.6</c:v>
                </c:pt>
                <c:pt idx="3890">
                  <c:v>5.9</c:v>
                </c:pt>
                <c:pt idx="3891">
                  <c:v>8.1999999999999993</c:v>
                </c:pt>
                <c:pt idx="3892">
                  <c:v>5.3</c:v>
                </c:pt>
                <c:pt idx="3893">
                  <c:v>6.8</c:v>
                </c:pt>
                <c:pt idx="3894">
                  <c:v>8.3000000000000007</c:v>
                </c:pt>
                <c:pt idx="3895">
                  <c:v>4.3</c:v>
                </c:pt>
                <c:pt idx="3896">
                  <c:v>6.7</c:v>
                </c:pt>
                <c:pt idx="3897">
                  <c:v>7.2</c:v>
                </c:pt>
                <c:pt idx="3898">
                  <c:v>6.9</c:v>
                </c:pt>
                <c:pt idx="3899">
                  <c:v>6.6</c:v>
                </c:pt>
                <c:pt idx="3900">
                  <c:v>5.9</c:v>
                </c:pt>
                <c:pt idx="3901">
                  <c:v>7.9</c:v>
                </c:pt>
                <c:pt idx="3902">
                  <c:v>8.3000000000000007</c:v>
                </c:pt>
                <c:pt idx="3903">
                  <c:v>5.2</c:v>
                </c:pt>
                <c:pt idx="3904">
                  <c:v>7.8</c:v>
                </c:pt>
                <c:pt idx="3905">
                  <c:v>3</c:v>
                </c:pt>
                <c:pt idx="3906">
                  <c:v>7.9</c:v>
                </c:pt>
                <c:pt idx="3907">
                  <c:v>3.2</c:v>
                </c:pt>
                <c:pt idx="3908">
                  <c:v>6.5</c:v>
                </c:pt>
                <c:pt idx="3909">
                  <c:v>6.9</c:v>
                </c:pt>
                <c:pt idx="3910">
                  <c:v>7</c:v>
                </c:pt>
                <c:pt idx="3911">
                  <c:v>7.8</c:v>
                </c:pt>
                <c:pt idx="3912">
                  <c:v>6.9</c:v>
                </c:pt>
                <c:pt idx="3913">
                  <c:v>4.4000000000000004</c:v>
                </c:pt>
                <c:pt idx="3914">
                  <c:v>6</c:v>
                </c:pt>
                <c:pt idx="3915">
                  <c:v>6.6</c:v>
                </c:pt>
                <c:pt idx="3916">
                  <c:v>7.8</c:v>
                </c:pt>
                <c:pt idx="3917">
                  <c:v>5.3</c:v>
                </c:pt>
                <c:pt idx="3918">
                  <c:v>5.3</c:v>
                </c:pt>
                <c:pt idx="3919">
                  <c:v>8</c:v>
                </c:pt>
                <c:pt idx="3920">
                  <c:v>7.1</c:v>
                </c:pt>
                <c:pt idx="3921">
                  <c:v>5.4</c:v>
                </c:pt>
                <c:pt idx="3922">
                  <c:v>6.9</c:v>
                </c:pt>
                <c:pt idx="3923">
                  <c:v>7.4</c:v>
                </c:pt>
                <c:pt idx="3924">
                  <c:v>7.3</c:v>
                </c:pt>
                <c:pt idx="3925">
                  <c:v>7.8</c:v>
                </c:pt>
                <c:pt idx="3926">
                  <c:v>6.6</c:v>
                </c:pt>
                <c:pt idx="3927">
                  <c:v>5.4</c:v>
                </c:pt>
                <c:pt idx="3928">
                  <c:v>8.4</c:v>
                </c:pt>
                <c:pt idx="3929">
                  <c:v>6.3</c:v>
                </c:pt>
                <c:pt idx="3930">
                  <c:v>6.1</c:v>
                </c:pt>
                <c:pt idx="3931">
                  <c:v>5</c:v>
                </c:pt>
                <c:pt idx="3932">
                  <c:v>6.9</c:v>
                </c:pt>
                <c:pt idx="3933">
                  <c:v>7.3</c:v>
                </c:pt>
                <c:pt idx="3934">
                  <c:v>5.7</c:v>
                </c:pt>
                <c:pt idx="3935">
                  <c:v>5.3</c:v>
                </c:pt>
                <c:pt idx="3936">
                  <c:v>5</c:v>
                </c:pt>
                <c:pt idx="3937">
                  <c:v>5.3</c:v>
                </c:pt>
                <c:pt idx="3938">
                  <c:v>7.4</c:v>
                </c:pt>
                <c:pt idx="3939">
                  <c:v>5.9</c:v>
                </c:pt>
                <c:pt idx="3940">
                  <c:v>4.0999999999999996</c:v>
                </c:pt>
                <c:pt idx="3941">
                  <c:v>6.7</c:v>
                </c:pt>
                <c:pt idx="3942">
                  <c:v>5.8</c:v>
                </c:pt>
                <c:pt idx="3943">
                  <c:v>6.2</c:v>
                </c:pt>
                <c:pt idx="3944">
                  <c:v>5.3</c:v>
                </c:pt>
                <c:pt idx="3945">
                  <c:v>3.3</c:v>
                </c:pt>
                <c:pt idx="3946">
                  <c:v>6.2</c:v>
                </c:pt>
                <c:pt idx="3947">
                  <c:v>5.9</c:v>
                </c:pt>
                <c:pt idx="3948">
                  <c:v>5.5</c:v>
                </c:pt>
                <c:pt idx="3949">
                  <c:v>5.5</c:v>
                </c:pt>
                <c:pt idx="3950">
                  <c:v>2.6</c:v>
                </c:pt>
                <c:pt idx="3951">
                  <c:v>5.8</c:v>
                </c:pt>
                <c:pt idx="3952">
                  <c:v>7.4</c:v>
                </c:pt>
                <c:pt idx="3953">
                  <c:v>5.0999999999999996</c:v>
                </c:pt>
                <c:pt idx="3954">
                  <c:v>5.2</c:v>
                </c:pt>
                <c:pt idx="3955">
                  <c:v>4.8</c:v>
                </c:pt>
                <c:pt idx="3956">
                  <c:v>3.9</c:v>
                </c:pt>
                <c:pt idx="3957">
                  <c:v>6.2</c:v>
                </c:pt>
                <c:pt idx="3958">
                  <c:v>6.2</c:v>
                </c:pt>
                <c:pt idx="3959">
                  <c:v>5.9</c:v>
                </c:pt>
                <c:pt idx="3960">
                  <c:v>8</c:v>
                </c:pt>
                <c:pt idx="3961">
                  <c:v>7.3</c:v>
                </c:pt>
                <c:pt idx="3962">
                  <c:v>4.9000000000000004</c:v>
                </c:pt>
                <c:pt idx="3963">
                  <c:v>6.5</c:v>
                </c:pt>
                <c:pt idx="3964">
                  <c:v>4.3</c:v>
                </c:pt>
                <c:pt idx="3965">
                  <c:v>6.4</c:v>
                </c:pt>
                <c:pt idx="3966">
                  <c:v>6.8</c:v>
                </c:pt>
                <c:pt idx="3967">
                  <c:v>6.1</c:v>
                </c:pt>
                <c:pt idx="3968">
                  <c:v>4</c:v>
                </c:pt>
                <c:pt idx="3969">
                  <c:v>7.4</c:v>
                </c:pt>
                <c:pt idx="3970">
                  <c:v>8.3000000000000007</c:v>
                </c:pt>
                <c:pt idx="3971">
                  <c:v>5.3</c:v>
                </c:pt>
                <c:pt idx="3972">
                  <c:v>8.1</c:v>
                </c:pt>
                <c:pt idx="3973">
                  <c:v>8</c:v>
                </c:pt>
                <c:pt idx="3974">
                  <c:v>5.7</c:v>
                </c:pt>
                <c:pt idx="3975">
                  <c:v>8.1999999999999993</c:v>
                </c:pt>
                <c:pt idx="3976">
                  <c:v>7.1</c:v>
                </c:pt>
                <c:pt idx="3977">
                  <c:v>7.4</c:v>
                </c:pt>
                <c:pt idx="3978">
                  <c:v>6.6</c:v>
                </c:pt>
                <c:pt idx="3979">
                  <c:v>5.7</c:v>
                </c:pt>
                <c:pt idx="3980">
                  <c:v>6.9</c:v>
                </c:pt>
                <c:pt idx="3981">
                  <c:v>7</c:v>
                </c:pt>
                <c:pt idx="3982">
                  <c:v>7</c:v>
                </c:pt>
                <c:pt idx="3983">
                  <c:v>7.8</c:v>
                </c:pt>
                <c:pt idx="3984">
                  <c:v>5.9</c:v>
                </c:pt>
                <c:pt idx="3985">
                  <c:v>7.4</c:v>
                </c:pt>
                <c:pt idx="3986">
                  <c:v>7.8</c:v>
                </c:pt>
                <c:pt idx="3987">
                  <c:v>6</c:v>
                </c:pt>
                <c:pt idx="3988">
                  <c:v>7.9</c:v>
                </c:pt>
                <c:pt idx="3989">
                  <c:v>7.2</c:v>
                </c:pt>
                <c:pt idx="3990">
                  <c:v>7.4</c:v>
                </c:pt>
                <c:pt idx="3991">
                  <c:v>5.3</c:v>
                </c:pt>
                <c:pt idx="3992">
                  <c:v>8.3000000000000007</c:v>
                </c:pt>
                <c:pt idx="3993">
                  <c:v>7.6</c:v>
                </c:pt>
                <c:pt idx="3994">
                  <c:v>5.0999999999999996</c:v>
                </c:pt>
                <c:pt idx="3995">
                  <c:v>5.0999999999999996</c:v>
                </c:pt>
                <c:pt idx="3996">
                  <c:v>6.9</c:v>
                </c:pt>
                <c:pt idx="3997">
                  <c:v>4.5999999999999996</c:v>
                </c:pt>
                <c:pt idx="3998">
                  <c:v>6.3</c:v>
                </c:pt>
                <c:pt idx="3999">
                  <c:v>7.9</c:v>
                </c:pt>
                <c:pt idx="4000">
                  <c:v>6.7</c:v>
                </c:pt>
                <c:pt idx="4001">
                  <c:v>7.1</c:v>
                </c:pt>
                <c:pt idx="4002">
                  <c:v>7.6</c:v>
                </c:pt>
                <c:pt idx="4003">
                  <c:v>8.1</c:v>
                </c:pt>
                <c:pt idx="4004">
                  <c:v>6.6</c:v>
                </c:pt>
                <c:pt idx="4005">
                  <c:v>7</c:v>
                </c:pt>
                <c:pt idx="4006">
                  <c:v>7.6</c:v>
                </c:pt>
                <c:pt idx="4007">
                  <c:v>6.7</c:v>
                </c:pt>
                <c:pt idx="4008">
                  <c:v>7.1</c:v>
                </c:pt>
                <c:pt idx="4009">
                  <c:v>7.6</c:v>
                </c:pt>
                <c:pt idx="4010">
                  <c:v>7.1</c:v>
                </c:pt>
                <c:pt idx="4011">
                  <c:v>7.1</c:v>
                </c:pt>
                <c:pt idx="4012">
                  <c:v>7.7</c:v>
                </c:pt>
                <c:pt idx="4013">
                  <c:v>7.6</c:v>
                </c:pt>
                <c:pt idx="4014">
                  <c:v>6.6</c:v>
                </c:pt>
                <c:pt idx="4015">
                  <c:v>5.7</c:v>
                </c:pt>
                <c:pt idx="4016">
                  <c:v>7.1</c:v>
                </c:pt>
                <c:pt idx="4017">
                  <c:v>6.2</c:v>
                </c:pt>
                <c:pt idx="4018">
                  <c:v>6.1</c:v>
                </c:pt>
                <c:pt idx="4019">
                  <c:v>5.9</c:v>
                </c:pt>
                <c:pt idx="4020">
                  <c:v>6.8</c:v>
                </c:pt>
                <c:pt idx="4021">
                  <c:v>5.8</c:v>
                </c:pt>
                <c:pt idx="4022">
                  <c:v>5</c:v>
                </c:pt>
                <c:pt idx="4023">
                  <c:v>6.3</c:v>
                </c:pt>
                <c:pt idx="4024">
                  <c:v>6.8</c:v>
                </c:pt>
                <c:pt idx="4025">
                  <c:v>5.0999999999999996</c:v>
                </c:pt>
                <c:pt idx="4026">
                  <c:v>6.6</c:v>
                </c:pt>
                <c:pt idx="4027">
                  <c:v>5</c:v>
                </c:pt>
                <c:pt idx="4028">
                  <c:v>7.7</c:v>
                </c:pt>
                <c:pt idx="4029">
                  <c:v>3.1</c:v>
                </c:pt>
                <c:pt idx="4030">
                  <c:v>6.5</c:v>
                </c:pt>
                <c:pt idx="4031">
                  <c:v>3.9</c:v>
                </c:pt>
                <c:pt idx="4032">
                  <c:v>6.8</c:v>
                </c:pt>
                <c:pt idx="4033">
                  <c:v>7</c:v>
                </c:pt>
                <c:pt idx="4034">
                  <c:v>5.9</c:v>
                </c:pt>
                <c:pt idx="4035">
                  <c:v>5.8</c:v>
                </c:pt>
                <c:pt idx="4036">
                  <c:v>7.3</c:v>
                </c:pt>
                <c:pt idx="4037">
                  <c:v>7.8</c:v>
                </c:pt>
                <c:pt idx="4038">
                  <c:v>6.9</c:v>
                </c:pt>
                <c:pt idx="4039">
                  <c:v>5.7</c:v>
                </c:pt>
                <c:pt idx="4040">
                  <c:v>4.7</c:v>
                </c:pt>
                <c:pt idx="4041">
                  <c:v>5.9</c:v>
                </c:pt>
                <c:pt idx="4042">
                  <c:v>5.9</c:v>
                </c:pt>
                <c:pt idx="4043">
                  <c:v>4.3</c:v>
                </c:pt>
                <c:pt idx="4044">
                  <c:v>7.5</c:v>
                </c:pt>
                <c:pt idx="4045">
                  <c:v>4.8</c:v>
                </c:pt>
                <c:pt idx="4046">
                  <c:v>5.8</c:v>
                </c:pt>
                <c:pt idx="4047">
                  <c:v>5.3</c:v>
                </c:pt>
                <c:pt idx="4048">
                  <c:v>6</c:v>
                </c:pt>
                <c:pt idx="4049">
                  <c:v>8.1</c:v>
                </c:pt>
                <c:pt idx="4050">
                  <c:v>7</c:v>
                </c:pt>
                <c:pt idx="4051">
                  <c:v>7.6</c:v>
                </c:pt>
                <c:pt idx="4052">
                  <c:v>7.2</c:v>
                </c:pt>
                <c:pt idx="4053">
                  <c:v>7.5</c:v>
                </c:pt>
                <c:pt idx="4054">
                  <c:v>6.3</c:v>
                </c:pt>
                <c:pt idx="4055">
                  <c:v>6.7</c:v>
                </c:pt>
                <c:pt idx="4056">
                  <c:v>4.8</c:v>
                </c:pt>
                <c:pt idx="4057">
                  <c:v>5.5</c:v>
                </c:pt>
                <c:pt idx="4058">
                  <c:v>7.5</c:v>
                </c:pt>
                <c:pt idx="4059">
                  <c:v>5.0999999999999996</c:v>
                </c:pt>
                <c:pt idx="4060">
                  <c:v>7.3</c:v>
                </c:pt>
                <c:pt idx="4061">
                  <c:v>6.9</c:v>
                </c:pt>
                <c:pt idx="4062">
                  <c:v>6.8</c:v>
                </c:pt>
                <c:pt idx="4063">
                  <c:v>8.4</c:v>
                </c:pt>
                <c:pt idx="4064">
                  <c:v>7.6</c:v>
                </c:pt>
                <c:pt idx="4065">
                  <c:v>7.6</c:v>
                </c:pt>
                <c:pt idx="4066">
                  <c:v>7.6</c:v>
                </c:pt>
                <c:pt idx="4067">
                  <c:v>5.3</c:v>
                </c:pt>
                <c:pt idx="4068">
                  <c:v>8.5</c:v>
                </c:pt>
                <c:pt idx="4069">
                  <c:v>7</c:v>
                </c:pt>
                <c:pt idx="4070">
                  <c:v>8</c:v>
                </c:pt>
                <c:pt idx="4071">
                  <c:v>7.1</c:v>
                </c:pt>
                <c:pt idx="4072">
                  <c:v>7.8</c:v>
                </c:pt>
                <c:pt idx="4073">
                  <c:v>7.2</c:v>
                </c:pt>
                <c:pt idx="4074">
                  <c:v>7.5</c:v>
                </c:pt>
                <c:pt idx="4075">
                  <c:v>8</c:v>
                </c:pt>
                <c:pt idx="4076">
                  <c:v>8.1</c:v>
                </c:pt>
                <c:pt idx="4077">
                  <c:v>6.8</c:v>
                </c:pt>
                <c:pt idx="4078">
                  <c:v>7.4</c:v>
                </c:pt>
                <c:pt idx="4079">
                  <c:v>7.2</c:v>
                </c:pt>
                <c:pt idx="4080">
                  <c:v>8.1</c:v>
                </c:pt>
                <c:pt idx="4081">
                  <c:v>7</c:v>
                </c:pt>
                <c:pt idx="4082">
                  <c:v>7.4</c:v>
                </c:pt>
                <c:pt idx="4083">
                  <c:v>8.3000000000000007</c:v>
                </c:pt>
                <c:pt idx="4084">
                  <c:v>6.1</c:v>
                </c:pt>
                <c:pt idx="4085">
                  <c:v>7.5</c:v>
                </c:pt>
                <c:pt idx="4086">
                  <c:v>7</c:v>
                </c:pt>
                <c:pt idx="4087">
                  <c:v>5.3</c:v>
                </c:pt>
                <c:pt idx="4088">
                  <c:v>4.7</c:v>
                </c:pt>
                <c:pt idx="4089">
                  <c:v>5.7</c:v>
                </c:pt>
                <c:pt idx="4090">
                  <c:v>6.5</c:v>
                </c:pt>
                <c:pt idx="4091">
                  <c:v>8</c:v>
                </c:pt>
                <c:pt idx="4092">
                  <c:v>3.3</c:v>
                </c:pt>
                <c:pt idx="4093">
                  <c:v>8.3000000000000007</c:v>
                </c:pt>
                <c:pt idx="4094">
                  <c:v>6.9</c:v>
                </c:pt>
                <c:pt idx="4095">
                  <c:v>8.1</c:v>
                </c:pt>
                <c:pt idx="4096">
                  <c:v>6.5</c:v>
                </c:pt>
                <c:pt idx="4097">
                  <c:v>6.8</c:v>
                </c:pt>
                <c:pt idx="4098">
                  <c:v>7.3</c:v>
                </c:pt>
                <c:pt idx="4099">
                  <c:v>6.4</c:v>
                </c:pt>
                <c:pt idx="4100">
                  <c:v>4.5999999999999996</c:v>
                </c:pt>
                <c:pt idx="4101">
                  <c:v>6.5</c:v>
                </c:pt>
                <c:pt idx="4102">
                  <c:v>7</c:v>
                </c:pt>
                <c:pt idx="4103">
                  <c:v>5.4</c:v>
                </c:pt>
                <c:pt idx="4104">
                  <c:v>6.7</c:v>
                </c:pt>
                <c:pt idx="4105">
                  <c:v>7.4</c:v>
                </c:pt>
                <c:pt idx="4106">
                  <c:v>5.8</c:v>
                </c:pt>
                <c:pt idx="4107">
                  <c:v>7.1</c:v>
                </c:pt>
                <c:pt idx="4108">
                  <c:v>4.5</c:v>
                </c:pt>
                <c:pt idx="4109">
                  <c:v>5.3</c:v>
                </c:pt>
                <c:pt idx="4110">
                  <c:v>5.4</c:v>
                </c:pt>
                <c:pt idx="4111">
                  <c:v>4.8</c:v>
                </c:pt>
                <c:pt idx="4112">
                  <c:v>5.9</c:v>
                </c:pt>
                <c:pt idx="4113">
                  <c:v>6.2</c:v>
                </c:pt>
                <c:pt idx="4114">
                  <c:v>5.9</c:v>
                </c:pt>
                <c:pt idx="4115">
                  <c:v>6.6</c:v>
                </c:pt>
                <c:pt idx="4116">
                  <c:v>6.6</c:v>
                </c:pt>
                <c:pt idx="4117">
                  <c:v>6</c:v>
                </c:pt>
                <c:pt idx="4118">
                  <c:v>6.8</c:v>
                </c:pt>
                <c:pt idx="4119">
                  <c:v>5.4</c:v>
                </c:pt>
                <c:pt idx="4120">
                  <c:v>5.2</c:v>
                </c:pt>
                <c:pt idx="4121">
                  <c:v>7.8</c:v>
                </c:pt>
                <c:pt idx="4122">
                  <c:v>6.4</c:v>
                </c:pt>
                <c:pt idx="4123">
                  <c:v>6.1</c:v>
                </c:pt>
                <c:pt idx="4124">
                  <c:v>5.7</c:v>
                </c:pt>
                <c:pt idx="4125">
                  <c:v>5.5</c:v>
                </c:pt>
                <c:pt idx="4126">
                  <c:v>7.4</c:v>
                </c:pt>
                <c:pt idx="4127">
                  <c:v>7.1</c:v>
                </c:pt>
                <c:pt idx="4128">
                  <c:v>3.9</c:v>
                </c:pt>
                <c:pt idx="4129">
                  <c:v>4.5999999999999996</c:v>
                </c:pt>
                <c:pt idx="4130">
                  <c:v>7.7</c:v>
                </c:pt>
                <c:pt idx="4131">
                  <c:v>4.9000000000000004</c:v>
                </c:pt>
                <c:pt idx="4132">
                  <c:v>6.3</c:v>
                </c:pt>
                <c:pt idx="4133">
                  <c:v>6.1</c:v>
                </c:pt>
                <c:pt idx="4134">
                  <c:v>6.6</c:v>
                </c:pt>
                <c:pt idx="4135">
                  <c:v>5.7</c:v>
                </c:pt>
                <c:pt idx="4136">
                  <c:v>5.6</c:v>
                </c:pt>
                <c:pt idx="4137">
                  <c:v>6</c:v>
                </c:pt>
                <c:pt idx="4138">
                  <c:v>5.7</c:v>
                </c:pt>
                <c:pt idx="4139">
                  <c:v>7</c:v>
                </c:pt>
                <c:pt idx="4140">
                  <c:v>5.3</c:v>
                </c:pt>
                <c:pt idx="4141">
                  <c:v>4.4000000000000004</c:v>
                </c:pt>
                <c:pt idx="4142">
                  <c:v>3.4</c:v>
                </c:pt>
                <c:pt idx="4143">
                  <c:v>4.5</c:v>
                </c:pt>
                <c:pt idx="4144">
                  <c:v>3.4</c:v>
                </c:pt>
                <c:pt idx="4145">
                  <c:v>7.1</c:v>
                </c:pt>
                <c:pt idx="4146">
                  <c:v>6.4</c:v>
                </c:pt>
                <c:pt idx="4147">
                  <c:v>5.2</c:v>
                </c:pt>
                <c:pt idx="4148">
                  <c:v>7</c:v>
                </c:pt>
                <c:pt idx="4149">
                  <c:v>7.3</c:v>
                </c:pt>
                <c:pt idx="4150">
                  <c:v>8.1</c:v>
                </c:pt>
                <c:pt idx="4151">
                  <c:v>5.8</c:v>
                </c:pt>
                <c:pt idx="4152">
                  <c:v>6.4</c:v>
                </c:pt>
                <c:pt idx="4153">
                  <c:v>7.8</c:v>
                </c:pt>
                <c:pt idx="4154">
                  <c:v>6.3</c:v>
                </c:pt>
                <c:pt idx="4155">
                  <c:v>7.2</c:v>
                </c:pt>
                <c:pt idx="4156">
                  <c:v>5.6</c:v>
                </c:pt>
                <c:pt idx="4157">
                  <c:v>7.2</c:v>
                </c:pt>
                <c:pt idx="4158">
                  <c:v>8</c:v>
                </c:pt>
                <c:pt idx="4159">
                  <c:v>8.5</c:v>
                </c:pt>
                <c:pt idx="4160">
                  <c:v>6.8</c:v>
                </c:pt>
                <c:pt idx="4161">
                  <c:v>7.3</c:v>
                </c:pt>
                <c:pt idx="4162">
                  <c:v>5.5</c:v>
                </c:pt>
                <c:pt idx="4163">
                  <c:v>7.3</c:v>
                </c:pt>
                <c:pt idx="4164">
                  <c:v>6.3</c:v>
                </c:pt>
                <c:pt idx="4165">
                  <c:v>5.0999999999999996</c:v>
                </c:pt>
                <c:pt idx="4166">
                  <c:v>6.6</c:v>
                </c:pt>
                <c:pt idx="4167">
                  <c:v>6.1</c:v>
                </c:pt>
                <c:pt idx="4168">
                  <c:v>7.5</c:v>
                </c:pt>
                <c:pt idx="4169">
                  <c:v>7</c:v>
                </c:pt>
                <c:pt idx="4170">
                  <c:v>7.2</c:v>
                </c:pt>
                <c:pt idx="4171">
                  <c:v>5.3</c:v>
                </c:pt>
                <c:pt idx="4172">
                  <c:v>8.6999999999999993</c:v>
                </c:pt>
                <c:pt idx="4173">
                  <c:v>3.4</c:v>
                </c:pt>
                <c:pt idx="4174">
                  <c:v>5.4</c:v>
                </c:pt>
                <c:pt idx="4175">
                  <c:v>7.8</c:v>
                </c:pt>
                <c:pt idx="4176">
                  <c:v>6.7</c:v>
                </c:pt>
                <c:pt idx="4177">
                  <c:v>4.7</c:v>
                </c:pt>
                <c:pt idx="4178">
                  <c:v>6.3</c:v>
                </c:pt>
                <c:pt idx="4179">
                  <c:v>7.4</c:v>
                </c:pt>
                <c:pt idx="4180">
                  <c:v>6.1</c:v>
                </c:pt>
                <c:pt idx="4181">
                  <c:v>7.5</c:v>
                </c:pt>
                <c:pt idx="4182">
                  <c:v>6.3</c:v>
                </c:pt>
                <c:pt idx="4183">
                  <c:v>6.3</c:v>
                </c:pt>
                <c:pt idx="4184">
                  <c:v>6.8</c:v>
                </c:pt>
                <c:pt idx="4185">
                  <c:v>7.8</c:v>
                </c:pt>
                <c:pt idx="4186">
                  <c:v>6.9</c:v>
                </c:pt>
                <c:pt idx="4187">
                  <c:v>8</c:v>
                </c:pt>
                <c:pt idx="4188">
                  <c:v>7.8</c:v>
                </c:pt>
                <c:pt idx="4189">
                  <c:v>7.4</c:v>
                </c:pt>
                <c:pt idx="4190">
                  <c:v>6.1</c:v>
                </c:pt>
                <c:pt idx="4191">
                  <c:v>4.3</c:v>
                </c:pt>
                <c:pt idx="4192">
                  <c:v>7.2</c:v>
                </c:pt>
                <c:pt idx="4193">
                  <c:v>4.7</c:v>
                </c:pt>
                <c:pt idx="4194">
                  <c:v>7.3</c:v>
                </c:pt>
                <c:pt idx="4195">
                  <c:v>7.9</c:v>
                </c:pt>
                <c:pt idx="4196">
                  <c:v>7.2</c:v>
                </c:pt>
                <c:pt idx="4197">
                  <c:v>5.4</c:v>
                </c:pt>
                <c:pt idx="4198">
                  <c:v>3.7</c:v>
                </c:pt>
                <c:pt idx="4199">
                  <c:v>7.1</c:v>
                </c:pt>
                <c:pt idx="4200">
                  <c:v>6.8</c:v>
                </c:pt>
                <c:pt idx="4201">
                  <c:v>8.1999999999999993</c:v>
                </c:pt>
                <c:pt idx="4202">
                  <c:v>7</c:v>
                </c:pt>
                <c:pt idx="4203">
                  <c:v>7.4</c:v>
                </c:pt>
                <c:pt idx="4204">
                  <c:v>6.7</c:v>
                </c:pt>
                <c:pt idx="4205">
                  <c:v>7.6</c:v>
                </c:pt>
                <c:pt idx="4206">
                  <c:v>7.2</c:v>
                </c:pt>
                <c:pt idx="4207">
                  <c:v>7.5</c:v>
                </c:pt>
                <c:pt idx="4208">
                  <c:v>6.8</c:v>
                </c:pt>
                <c:pt idx="4209">
                  <c:v>6.9</c:v>
                </c:pt>
                <c:pt idx="4210">
                  <c:v>7.9</c:v>
                </c:pt>
                <c:pt idx="4211">
                  <c:v>7.6</c:v>
                </c:pt>
                <c:pt idx="4212">
                  <c:v>6.7</c:v>
                </c:pt>
                <c:pt idx="4213">
                  <c:v>5.8</c:v>
                </c:pt>
                <c:pt idx="4214">
                  <c:v>6.5</c:v>
                </c:pt>
                <c:pt idx="4215">
                  <c:v>7.2</c:v>
                </c:pt>
                <c:pt idx="4216">
                  <c:v>6.9</c:v>
                </c:pt>
                <c:pt idx="4217">
                  <c:v>5.5</c:v>
                </c:pt>
                <c:pt idx="4218">
                  <c:v>6.5</c:v>
                </c:pt>
                <c:pt idx="4219">
                  <c:v>6.2</c:v>
                </c:pt>
                <c:pt idx="4220">
                  <c:v>6.7</c:v>
                </c:pt>
                <c:pt idx="4221">
                  <c:v>5.7</c:v>
                </c:pt>
                <c:pt idx="4222">
                  <c:v>8.6</c:v>
                </c:pt>
                <c:pt idx="4223">
                  <c:v>6.5</c:v>
                </c:pt>
                <c:pt idx="4224">
                  <c:v>6.3</c:v>
                </c:pt>
                <c:pt idx="4225">
                  <c:v>4.3</c:v>
                </c:pt>
                <c:pt idx="4226">
                  <c:v>6.1</c:v>
                </c:pt>
                <c:pt idx="4227">
                  <c:v>6</c:v>
                </c:pt>
                <c:pt idx="4228">
                  <c:v>5.8</c:v>
                </c:pt>
                <c:pt idx="4229">
                  <c:v>6.7</c:v>
                </c:pt>
                <c:pt idx="4230">
                  <c:v>6.7</c:v>
                </c:pt>
                <c:pt idx="4231">
                  <c:v>7.6</c:v>
                </c:pt>
                <c:pt idx="4232">
                  <c:v>5.0999999999999996</c:v>
                </c:pt>
                <c:pt idx="4233">
                  <c:v>6.8</c:v>
                </c:pt>
                <c:pt idx="4234">
                  <c:v>6.8</c:v>
                </c:pt>
                <c:pt idx="4235">
                  <c:v>6.8</c:v>
                </c:pt>
                <c:pt idx="4236">
                  <c:v>6.3</c:v>
                </c:pt>
                <c:pt idx="4237">
                  <c:v>7.1</c:v>
                </c:pt>
                <c:pt idx="4238">
                  <c:v>2.8</c:v>
                </c:pt>
                <c:pt idx="4239">
                  <c:v>8.1999999999999993</c:v>
                </c:pt>
                <c:pt idx="4240">
                  <c:v>3.1</c:v>
                </c:pt>
                <c:pt idx="4241">
                  <c:v>3.3</c:v>
                </c:pt>
                <c:pt idx="4242">
                  <c:v>3.6</c:v>
                </c:pt>
                <c:pt idx="4243">
                  <c:v>7.7</c:v>
                </c:pt>
                <c:pt idx="4244">
                  <c:v>6.7</c:v>
                </c:pt>
                <c:pt idx="4245">
                  <c:v>5.5</c:v>
                </c:pt>
                <c:pt idx="4246">
                  <c:v>6.6</c:v>
                </c:pt>
                <c:pt idx="4247">
                  <c:v>4.8</c:v>
                </c:pt>
                <c:pt idx="4248">
                  <c:v>5.5</c:v>
                </c:pt>
                <c:pt idx="4249">
                  <c:v>6.3</c:v>
                </c:pt>
                <c:pt idx="4250">
                  <c:v>6.9</c:v>
                </c:pt>
                <c:pt idx="4251">
                  <c:v>6.5</c:v>
                </c:pt>
                <c:pt idx="4252">
                  <c:v>8.1999999999999993</c:v>
                </c:pt>
                <c:pt idx="4253">
                  <c:v>7.1</c:v>
                </c:pt>
                <c:pt idx="4254">
                  <c:v>8.1</c:v>
                </c:pt>
                <c:pt idx="4255">
                  <c:v>7.2</c:v>
                </c:pt>
                <c:pt idx="4256">
                  <c:v>7.4</c:v>
                </c:pt>
                <c:pt idx="4257">
                  <c:v>6.5</c:v>
                </c:pt>
                <c:pt idx="4258">
                  <c:v>5.7</c:v>
                </c:pt>
                <c:pt idx="4259">
                  <c:v>8.6999999999999993</c:v>
                </c:pt>
                <c:pt idx="4260">
                  <c:v>4.3</c:v>
                </c:pt>
                <c:pt idx="4261">
                  <c:v>6.2</c:v>
                </c:pt>
                <c:pt idx="4262">
                  <c:v>3.3</c:v>
                </c:pt>
                <c:pt idx="4263">
                  <c:v>2.7</c:v>
                </c:pt>
                <c:pt idx="4264">
                  <c:v>5.2</c:v>
                </c:pt>
                <c:pt idx="4265">
                  <c:v>8.1999999999999993</c:v>
                </c:pt>
                <c:pt idx="4266">
                  <c:v>6.1</c:v>
                </c:pt>
                <c:pt idx="4267">
                  <c:v>8</c:v>
                </c:pt>
                <c:pt idx="4268">
                  <c:v>5.5</c:v>
                </c:pt>
                <c:pt idx="4269">
                  <c:v>5.7</c:v>
                </c:pt>
                <c:pt idx="4270">
                  <c:v>3.7</c:v>
                </c:pt>
                <c:pt idx="4271">
                  <c:v>7.1</c:v>
                </c:pt>
                <c:pt idx="4272">
                  <c:v>7.8</c:v>
                </c:pt>
                <c:pt idx="4273">
                  <c:v>4.0999999999999996</c:v>
                </c:pt>
                <c:pt idx="4274">
                  <c:v>7.2</c:v>
                </c:pt>
                <c:pt idx="4275">
                  <c:v>7.7</c:v>
                </c:pt>
                <c:pt idx="4276">
                  <c:v>7.1</c:v>
                </c:pt>
                <c:pt idx="4277">
                  <c:v>7.6</c:v>
                </c:pt>
                <c:pt idx="4278">
                  <c:v>7</c:v>
                </c:pt>
                <c:pt idx="4279">
                  <c:v>7.4</c:v>
                </c:pt>
                <c:pt idx="4280">
                  <c:v>7.7</c:v>
                </c:pt>
                <c:pt idx="4281">
                  <c:v>7.2</c:v>
                </c:pt>
                <c:pt idx="4282">
                  <c:v>6.6</c:v>
                </c:pt>
                <c:pt idx="4283">
                  <c:v>6</c:v>
                </c:pt>
                <c:pt idx="4284">
                  <c:v>8.4</c:v>
                </c:pt>
                <c:pt idx="4285">
                  <c:v>6.5</c:v>
                </c:pt>
                <c:pt idx="4286">
                  <c:v>8.9</c:v>
                </c:pt>
                <c:pt idx="4287">
                  <c:v>7.9</c:v>
                </c:pt>
                <c:pt idx="4288">
                  <c:v>6</c:v>
                </c:pt>
                <c:pt idx="4289">
                  <c:v>6.1</c:v>
                </c:pt>
                <c:pt idx="4290">
                  <c:v>7.4</c:v>
                </c:pt>
                <c:pt idx="4291">
                  <c:v>6.2</c:v>
                </c:pt>
                <c:pt idx="4292">
                  <c:v>5.6</c:v>
                </c:pt>
                <c:pt idx="4293">
                  <c:v>7.2</c:v>
                </c:pt>
                <c:pt idx="4294">
                  <c:v>6.1</c:v>
                </c:pt>
                <c:pt idx="4295">
                  <c:v>3.8</c:v>
                </c:pt>
                <c:pt idx="4296">
                  <c:v>7.1</c:v>
                </c:pt>
                <c:pt idx="4297">
                  <c:v>4.5</c:v>
                </c:pt>
                <c:pt idx="4298">
                  <c:v>3.8</c:v>
                </c:pt>
                <c:pt idx="4299">
                  <c:v>6.2</c:v>
                </c:pt>
                <c:pt idx="4300">
                  <c:v>6.6</c:v>
                </c:pt>
                <c:pt idx="4301">
                  <c:v>4.5999999999999996</c:v>
                </c:pt>
                <c:pt idx="4302">
                  <c:v>4.2</c:v>
                </c:pt>
                <c:pt idx="4303">
                  <c:v>6.8</c:v>
                </c:pt>
                <c:pt idx="4304">
                  <c:v>7.7</c:v>
                </c:pt>
                <c:pt idx="4305">
                  <c:v>5.9</c:v>
                </c:pt>
                <c:pt idx="4306">
                  <c:v>4.7</c:v>
                </c:pt>
                <c:pt idx="4307">
                  <c:v>7</c:v>
                </c:pt>
                <c:pt idx="4308">
                  <c:v>6.9</c:v>
                </c:pt>
                <c:pt idx="4309">
                  <c:v>6.1</c:v>
                </c:pt>
                <c:pt idx="4310">
                  <c:v>7.6</c:v>
                </c:pt>
                <c:pt idx="4311">
                  <c:v>3</c:v>
                </c:pt>
                <c:pt idx="4312">
                  <c:v>2.6</c:v>
                </c:pt>
                <c:pt idx="4313">
                  <c:v>8.6</c:v>
                </c:pt>
                <c:pt idx="4314">
                  <c:v>6.1</c:v>
                </c:pt>
                <c:pt idx="4315">
                  <c:v>7.5</c:v>
                </c:pt>
                <c:pt idx="4316">
                  <c:v>6.7</c:v>
                </c:pt>
                <c:pt idx="4317">
                  <c:v>8.1</c:v>
                </c:pt>
                <c:pt idx="4318">
                  <c:v>4.9000000000000004</c:v>
                </c:pt>
                <c:pt idx="4319">
                  <c:v>6.8</c:v>
                </c:pt>
                <c:pt idx="4320">
                  <c:v>5.7</c:v>
                </c:pt>
                <c:pt idx="4321">
                  <c:v>8.3000000000000007</c:v>
                </c:pt>
                <c:pt idx="4322">
                  <c:v>6.6</c:v>
                </c:pt>
                <c:pt idx="4323">
                  <c:v>7.3</c:v>
                </c:pt>
                <c:pt idx="4324">
                  <c:v>5</c:v>
                </c:pt>
                <c:pt idx="4325">
                  <c:v>7</c:v>
                </c:pt>
                <c:pt idx="4326">
                  <c:v>3.4</c:v>
                </c:pt>
                <c:pt idx="4327">
                  <c:v>5.9</c:v>
                </c:pt>
                <c:pt idx="4328">
                  <c:v>6</c:v>
                </c:pt>
                <c:pt idx="4329">
                  <c:v>7.4</c:v>
                </c:pt>
                <c:pt idx="4330">
                  <c:v>7.4</c:v>
                </c:pt>
                <c:pt idx="4331">
                  <c:v>4.2</c:v>
                </c:pt>
                <c:pt idx="4332">
                  <c:v>6.2</c:v>
                </c:pt>
                <c:pt idx="4333">
                  <c:v>6.2</c:v>
                </c:pt>
                <c:pt idx="4334">
                  <c:v>7.5</c:v>
                </c:pt>
                <c:pt idx="4335">
                  <c:v>7.2</c:v>
                </c:pt>
                <c:pt idx="4336">
                  <c:v>7.2</c:v>
                </c:pt>
                <c:pt idx="4337">
                  <c:v>5.4</c:v>
                </c:pt>
                <c:pt idx="4338">
                  <c:v>7</c:v>
                </c:pt>
                <c:pt idx="4339">
                  <c:v>7.2</c:v>
                </c:pt>
                <c:pt idx="4340">
                  <c:v>7.9</c:v>
                </c:pt>
                <c:pt idx="4341">
                  <c:v>6.8</c:v>
                </c:pt>
                <c:pt idx="4342">
                  <c:v>6.7</c:v>
                </c:pt>
                <c:pt idx="4343">
                  <c:v>6.8</c:v>
                </c:pt>
                <c:pt idx="4344">
                  <c:v>6.9</c:v>
                </c:pt>
                <c:pt idx="4345">
                  <c:v>6.8</c:v>
                </c:pt>
                <c:pt idx="4346">
                  <c:v>7.2</c:v>
                </c:pt>
                <c:pt idx="4347">
                  <c:v>7.4</c:v>
                </c:pt>
                <c:pt idx="4348">
                  <c:v>5.6</c:v>
                </c:pt>
                <c:pt idx="4349">
                  <c:v>6.8</c:v>
                </c:pt>
                <c:pt idx="4350">
                  <c:v>7.7</c:v>
                </c:pt>
                <c:pt idx="4351">
                  <c:v>7</c:v>
                </c:pt>
                <c:pt idx="4352">
                  <c:v>7.2</c:v>
                </c:pt>
                <c:pt idx="4353">
                  <c:v>7.2</c:v>
                </c:pt>
                <c:pt idx="4354">
                  <c:v>7.2</c:v>
                </c:pt>
                <c:pt idx="4355">
                  <c:v>6.2</c:v>
                </c:pt>
                <c:pt idx="4356">
                  <c:v>6.2</c:v>
                </c:pt>
                <c:pt idx="4357">
                  <c:v>6.9</c:v>
                </c:pt>
                <c:pt idx="4358">
                  <c:v>7</c:v>
                </c:pt>
                <c:pt idx="4359">
                  <c:v>6.7</c:v>
                </c:pt>
                <c:pt idx="4360">
                  <c:v>3.6</c:v>
                </c:pt>
                <c:pt idx="4361">
                  <c:v>6.3</c:v>
                </c:pt>
                <c:pt idx="4362">
                  <c:v>7.4</c:v>
                </c:pt>
                <c:pt idx="4363">
                  <c:v>7.4</c:v>
                </c:pt>
                <c:pt idx="4364">
                  <c:v>7.3</c:v>
                </c:pt>
                <c:pt idx="4365">
                  <c:v>6.1</c:v>
                </c:pt>
                <c:pt idx="4366">
                  <c:v>8.1999999999999993</c:v>
                </c:pt>
                <c:pt idx="4367">
                  <c:v>7.7</c:v>
                </c:pt>
                <c:pt idx="4368">
                  <c:v>7.3</c:v>
                </c:pt>
                <c:pt idx="4369">
                  <c:v>7.4</c:v>
                </c:pt>
                <c:pt idx="4370">
                  <c:v>5.7</c:v>
                </c:pt>
                <c:pt idx="4371">
                  <c:v>7.6</c:v>
                </c:pt>
                <c:pt idx="4372">
                  <c:v>6.8</c:v>
                </c:pt>
                <c:pt idx="4373">
                  <c:v>5.6</c:v>
                </c:pt>
                <c:pt idx="4374">
                  <c:v>4.8</c:v>
                </c:pt>
                <c:pt idx="4375">
                  <c:v>6.4</c:v>
                </c:pt>
                <c:pt idx="4376">
                  <c:v>6.8</c:v>
                </c:pt>
                <c:pt idx="4377">
                  <c:v>6.1</c:v>
                </c:pt>
                <c:pt idx="4378">
                  <c:v>5.2</c:v>
                </c:pt>
                <c:pt idx="4379">
                  <c:v>6.9</c:v>
                </c:pt>
                <c:pt idx="4380">
                  <c:v>6</c:v>
                </c:pt>
                <c:pt idx="4381">
                  <c:v>6.3</c:v>
                </c:pt>
                <c:pt idx="4382">
                  <c:v>6.1</c:v>
                </c:pt>
                <c:pt idx="4383">
                  <c:v>5.5</c:v>
                </c:pt>
                <c:pt idx="4384">
                  <c:v>6.9</c:v>
                </c:pt>
                <c:pt idx="4385">
                  <c:v>5.6</c:v>
                </c:pt>
                <c:pt idx="4386">
                  <c:v>1.9</c:v>
                </c:pt>
                <c:pt idx="4387">
                  <c:v>4.0999999999999996</c:v>
                </c:pt>
                <c:pt idx="4388">
                  <c:v>5.4</c:v>
                </c:pt>
                <c:pt idx="4389">
                  <c:v>6.8</c:v>
                </c:pt>
                <c:pt idx="4390">
                  <c:v>6.7</c:v>
                </c:pt>
                <c:pt idx="4391">
                  <c:v>5.8</c:v>
                </c:pt>
                <c:pt idx="4392">
                  <c:v>6.2</c:v>
                </c:pt>
                <c:pt idx="4393">
                  <c:v>2.8</c:v>
                </c:pt>
                <c:pt idx="4394">
                  <c:v>7.3</c:v>
                </c:pt>
                <c:pt idx="4395">
                  <c:v>5.8</c:v>
                </c:pt>
                <c:pt idx="4396">
                  <c:v>6.5</c:v>
                </c:pt>
                <c:pt idx="4397">
                  <c:v>6.1</c:v>
                </c:pt>
                <c:pt idx="4398">
                  <c:v>5.0999999999999996</c:v>
                </c:pt>
                <c:pt idx="4399">
                  <c:v>2.2000000000000002</c:v>
                </c:pt>
                <c:pt idx="4400">
                  <c:v>7.2</c:v>
                </c:pt>
                <c:pt idx="4401">
                  <c:v>5.7</c:v>
                </c:pt>
                <c:pt idx="4402">
                  <c:v>3.4</c:v>
                </c:pt>
                <c:pt idx="4403">
                  <c:v>3.8</c:v>
                </c:pt>
                <c:pt idx="4404">
                  <c:v>4.7</c:v>
                </c:pt>
                <c:pt idx="4405">
                  <c:v>5.6</c:v>
                </c:pt>
                <c:pt idx="4406">
                  <c:v>3.9</c:v>
                </c:pt>
                <c:pt idx="4407">
                  <c:v>5.4</c:v>
                </c:pt>
                <c:pt idx="4408">
                  <c:v>5.2</c:v>
                </c:pt>
                <c:pt idx="4409">
                  <c:v>3.5</c:v>
                </c:pt>
                <c:pt idx="4410">
                  <c:v>7.1</c:v>
                </c:pt>
                <c:pt idx="4411">
                  <c:v>5.5</c:v>
                </c:pt>
                <c:pt idx="4412">
                  <c:v>6</c:v>
                </c:pt>
                <c:pt idx="4413">
                  <c:v>4.8</c:v>
                </c:pt>
                <c:pt idx="4414">
                  <c:v>7.1</c:v>
                </c:pt>
                <c:pt idx="4415">
                  <c:v>8.1999999999999993</c:v>
                </c:pt>
                <c:pt idx="4416">
                  <c:v>5.7</c:v>
                </c:pt>
                <c:pt idx="4417">
                  <c:v>7.9</c:v>
                </c:pt>
                <c:pt idx="4418">
                  <c:v>7.3</c:v>
                </c:pt>
                <c:pt idx="4419">
                  <c:v>7.1</c:v>
                </c:pt>
                <c:pt idx="4420">
                  <c:v>6.4</c:v>
                </c:pt>
                <c:pt idx="4421">
                  <c:v>5.9</c:v>
                </c:pt>
                <c:pt idx="4422">
                  <c:v>7.5</c:v>
                </c:pt>
                <c:pt idx="4423">
                  <c:v>6.4</c:v>
                </c:pt>
                <c:pt idx="4424">
                  <c:v>7.4</c:v>
                </c:pt>
                <c:pt idx="4425">
                  <c:v>7.3</c:v>
                </c:pt>
                <c:pt idx="4426">
                  <c:v>7.2</c:v>
                </c:pt>
                <c:pt idx="4427">
                  <c:v>6.7</c:v>
                </c:pt>
                <c:pt idx="4428">
                  <c:v>7.1</c:v>
                </c:pt>
                <c:pt idx="4429">
                  <c:v>6</c:v>
                </c:pt>
                <c:pt idx="4430">
                  <c:v>6.7</c:v>
                </c:pt>
                <c:pt idx="4431">
                  <c:v>5.6</c:v>
                </c:pt>
                <c:pt idx="4432">
                  <c:v>7</c:v>
                </c:pt>
                <c:pt idx="4433">
                  <c:v>4.9000000000000004</c:v>
                </c:pt>
                <c:pt idx="4434">
                  <c:v>3.2</c:v>
                </c:pt>
                <c:pt idx="4435">
                  <c:v>8.4</c:v>
                </c:pt>
                <c:pt idx="4436">
                  <c:v>6.9</c:v>
                </c:pt>
                <c:pt idx="4437">
                  <c:v>7.5</c:v>
                </c:pt>
                <c:pt idx="4438">
                  <c:v>7.2</c:v>
                </c:pt>
                <c:pt idx="4439">
                  <c:v>7.2</c:v>
                </c:pt>
                <c:pt idx="4440">
                  <c:v>8</c:v>
                </c:pt>
                <c:pt idx="4441">
                  <c:v>7.4</c:v>
                </c:pt>
                <c:pt idx="4442">
                  <c:v>7.2</c:v>
                </c:pt>
                <c:pt idx="4443">
                  <c:v>6.5</c:v>
                </c:pt>
                <c:pt idx="4444">
                  <c:v>7.2</c:v>
                </c:pt>
                <c:pt idx="4445">
                  <c:v>4.2</c:v>
                </c:pt>
                <c:pt idx="4446">
                  <c:v>5.0999999999999996</c:v>
                </c:pt>
                <c:pt idx="4447">
                  <c:v>6.4</c:v>
                </c:pt>
                <c:pt idx="4448">
                  <c:v>6.8</c:v>
                </c:pt>
                <c:pt idx="4449">
                  <c:v>6.2</c:v>
                </c:pt>
                <c:pt idx="4450">
                  <c:v>7.5</c:v>
                </c:pt>
                <c:pt idx="4451">
                  <c:v>7.7</c:v>
                </c:pt>
                <c:pt idx="4452">
                  <c:v>6.9</c:v>
                </c:pt>
                <c:pt idx="4453">
                  <c:v>7</c:v>
                </c:pt>
                <c:pt idx="4454">
                  <c:v>7.5</c:v>
                </c:pt>
                <c:pt idx="4455">
                  <c:v>6.3</c:v>
                </c:pt>
                <c:pt idx="4456">
                  <c:v>5.5</c:v>
                </c:pt>
                <c:pt idx="4457">
                  <c:v>8.1</c:v>
                </c:pt>
                <c:pt idx="4458">
                  <c:v>6.6</c:v>
                </c:pt>
                <c:pt idx="4459">
                  <c:v>5.2</c:v>
                </c:pt>
                <c:pt idx="4460">
                  <c:v>5.6</c:v>
                </c:pt>
                <c:pt idx="4461">
                  <c:v>3.1</c:v>
                </c:pt>
                <c:pt idx="4462">
                  <c:v>8.1</c:v>
                </c:pt>
                <c:pt idx="4463">
                  <c:v>8.3000000000000007</c:v>
                </c:pt>
                <c:pt idx="4464">
                  <c:v>7.1</c:v>
                </c:pt>
                <c:pt idx="4465">
                  <c:v>7.2</c:v>
                </c:pt>
                <c:pt idx="4466">
                  <c:v>6.3</c:v>
                </c:pt>
                <c:pt idx="4467">
                  <c:v>4</c:v>
                </c:pt>
                <c:pt idx="4468">
                  <c:v>7.2</c:v>
                </c:pt>
                <c:pt idx="4469">
                  <c:v>6.5</c:v>
                </c:pt>
                <c:pt idx="4470">
                  <c:v>6.5</c:v>
                </c:pt>
                <c:pt idx="4471">
                  <c:v>4.9000000000000004</c:v>
                </c:pt>
                <c:pt idx="4472">
                  <c:v>5.2</c:v>
                </c:pt>
                <c:pt idx="4473">
                  <c:v>7.4</c:v>
                </c:pt>
                <c:pt idx="4474">
                  <c:v>7.4</c:v>
                </c:pt>
                <c:pt idx="4475">
                  <c:v>5.4</c:v>
                </c:pt>
                <c:pt idx="4476">
                  <c:v>3.9</c:v>
                </c:pt>
                <c:pt idx="4477">
                  <c:v>5.3</c:v>
                </c:pt>
                <c:pt idx="4478">
                  <c:v>7.8</c:v>
                </c:pt>
                <c:pt idx="4479">
                  <c:v>6.4</c:v>
                </c:pt>
                <c:pt idx="4480">
                  <c:v>8.1</c:v>
                </c:pt>
                <c:pt idx="4481">
                  <c:v>6.5</c:v>
                </c:pt>
                <c:pt idx="4482">
                  <c:v>5.6</c:v>
                </c:pt>
                <c:pt idx="4483">
                  <c:v>5.6</c:v>
                </c:pt>
                <c:pt idx="4484">
                  <c:v>6.6</c:v>
                </c:pt>
                <c:pt idx="4485">
                  <c:v>6.3</c:v>
                </c:pt>
                <c:pt idx="4486">
                  <c:v>7.7</c:v>
                </c:pt>
                <c:pt idx="4487">
                  <c:v>7</c:v>
                </c:pt>
                <c:pt idx="4488">
                  <c:v>8</c:v>
                </c:pt>
                <c:pt idx="4489">
                  <c:v>7.2</c:v>
                </c:pt>
                <c:pt idx="4490">
                  <c:v>4.5</c:v>
                </c:pt>
                <c:pt idx="4491">
                  <c:v>7.7</c:v>
                </c:pt>
                <c:pt idx="4492">
                  <c:v>7.2</c:v>
                </c:pt>
                <c:pt idx="4493">
                  <c:v>6.1</c:v>
                </c:pt>
                <c:pt idx="4494">
                  <c:v>6.4</c:v>
                </c:pt>
                <c:pt idx="4495">
                  <c:v>6.5</c:v>
                </c:pt>
                <c:pt idx="4496">
                  <c:v>7</c:v>
                </c:pt>
                <c:pt idx="4497">
                  <c:v>6.1</c:v>
                </c:pt>
                <c:pt idx="4498">
                  <c:v>5.7</c:v>
                </c:pt>
                <c:pt idx="4499">
                  <c:v>5.4</c:v>
                </c:pt>
                <c:pt idx="4500">
                  <c:v>5.9</c:v>
                </c:pt>
                <c:pt idx="4501">
                  <c:v>7.5</c:v>
                </c:pt>
                <c:pt idx="4502">
                  <c:v>7.7</c:v>
                </c:pt>
                <c:pt idx="4503">
                  <c:v>7.1</c:v>
                </c:pt>
                <c:pt idx="4504">
                  <c:v>7.4</c:v>
                </c:pt>
                <c:pt idx="4505">
                  <c:v>7.6</c:v>
                </c:pt>
                <c:pt idx="4506">
                  <c:v>6.4</c:v>
                </c:pt>
                <c:pt idx="4507">
                  <c:v>7.4</c:v>
                </c:pt>
                <c:pt idx="4508">
                  <c:v>6.8</c:v>
                </c:pt>
                <c:pt idx="4509">
                  <c:v>6.5</c:v>
                </c:pt>
                <c:pt idx="4510">
                  <c:v>6</c:v>
                </c:pt>
                <c:pt idx="4511">
                  <c:v>7.3</c:v>
                </c:pt>
                <c:pt idx="4512">
                  <c:v>7.3</c:v>
                </c:pt>
                <c:pt idx="4513">
                  <c:v>6.5</c:v>
                </c:pt>
                <c:pt idx="4514">
                  <c:v>6</c:v>
                </c:pt>
                <c:pt idx="4515">
                  <c:v>5.3</c:v>
                </c:pt>
                <c:pt idx="4516">
                  <c:v>6.6</c:v>
                </c:pt>
                <c:pt idx="4517">
                  <c:v>6.1</c:v>
                </c:pt>
                <c:pt idx="4518">
                  <c:v>7.1</c:v>
                </c:pt>
                <c:pt idx="4519">
                  <c:v>8.6999999999999993</c:v>
                </c:pt>
                <c:pt idx="4520">
                  <c:v>8.4</c:v>
                </c:pt>
                <c:pt idx="4521">
                  <c:v>5.8</c:v>
                </c:pt>
                <c:pt idx="4522">
                  <c:v>6.2</c:v>
                </c:pt>
                <c:pt idx="4523">
                  <c:v>5.8</c:v>
                </c:pt>
                <c:pt idx="4524">
                  <c:v>5.7</c:v>
                </c:pt>
                <c:pt idx="4525">
                  <c:v>6.1</c:v>
                </c:pt>
                <c:pt idx="4526">
                  <c:v>6.4</c:v>
                </c:pt>
                <c:pt idx="4527">
                  <c:v>5</c:v>
                </c:pt>
                <c:pt idx="4528">
                  <c:v>6.5</c:v>
                </c:pt>
                <c:pt idx="4529">
                  <c:v>4.5999999999999996</c:v>
                </c:pt>
                <c:pt idx="4530">
                  <c:v>7.7</c:v>
                </c:pt>
                <c:pt idx="4531">
                  <c:v>7.3</c:v>
                </c:pt>
                <c:pt idx="4532">
                  <c:v>6.6</c:v>
                </c:pt>
                <c:pt idx="4533">
                  <c:v>6.4</c:v>
                </c:pt>
                <c:pt idx="4534">
                  <c:v>5.8</c:v>
                </c:pt>
                <c:pt idx="4535">
                  <c:v>7.2</c:v>
                </c:pt>
                <c:pt idx="4536">
                  <c:v>7.2</c:v>
                </c:pt>
                <c:pt idx="4537">
                  <c:v>3.5</c:v>
                </c:pt>
                <c:pt idx="4538">
                  <c:v>7.5</c:v>
                </c:pt>
                <c:pt idx="4539">
                  <c:v>2.2000000000000002</c:v>
                </c:pt>
                <c:pt idx="4540">
                  <c:v>6.6</c:v>
                </c:pt>
                <c:pt idx="4541">
                  <c:v>6.9</c:v>
                </c:pt>
                <c:pt idx="4542">
                  <c:v>4</c:v>
                </c:pt>
                <c:pt idx="4543">
                  <c:v>7.4</c:v>
                </c:pt>
                <c:pt idx="4544">
                  <c:v>8.3000000000000007</c:v>
                </c:pt>
                <c:pt idx="4545">
                  <c:v>5.7</c:v>
                </c:pt>
                <c:pt idx="4546">
                  <c:v>6.8</c:v>
                </c:pt>
                <c:pt idx="4547">
                  <c:v>5.2</c:v>
                </c:pt>
                <c:pt idx="4548">
                  <c:v>6.2</c:v>
                </c:pt>
                <c:pt idx="4549">
                  <c:v>5.9</c:v>
                </c:pt>
                <c:pt idx="4550">
                  <c:v>7.7</c:v>
                </c:pt>
                <c:pt idx="4551">
                  <c:v>4.3</c:v>
                </c:pt>
                <c:pt idx="4552">
                  <c:v>7.1</c:v>
                </c:pt>
                <c:pt idx="4553">
                  <c:v>6.2</c:v>
                </c:pt>
                <c:pt idx="4554">
                  <c:v>6.8</c:v>
                </c:pt>
                <c:pt idx="4555">
                  <c:v>7.7</c:v>
                </c:pt>
                <c:pt idx="4556">
                  <c:v>8.1999999999999993</c:v>
                </c:pt>
                <c:pt idx="4557">
                  <c:v>7.5</c:v>
                </c:pt>
                <c:pt idx="4558">
                  <c:v>7.6</c:v>
                </c:pt>
                <c:pt idx="4559">
                  <c:v>4.0999999999999996</c:v>
                </c:pt>
                <c:pt idx="4560">
                  <c:v>6.9</c:v>
                </c:pt>
                <c:pt idx="4561">
                  <c:v>7.1</c:v>
                </c:pt>
                <c:pt idx="4562">
                  <c:v>6.3</c:v>
                </c:pt>
                <c:pt idx="4563">
                  <c:v>7.7</c:v>
                </c:pt>
                <c:pt idx="4564">
                  <c:v>8.3000000000000007</c:v>
                </c:pt>
                <c:pt idx="4565">
                  <c:v>7.1</c:v>
                </c:pt>
                <c:pt idx="4566">
                  <c:v>4.7</c:v>
                </c:pt>
                <c:pt idx="4567">
                  <c:v>7.2</c:v>
                </c:pt>
                <c:pt idx="4568">
                  <c:v>5.0999999999999996</c:v>
                </c:pt>
                <c:pt idx="4569">
                  <c:v>5.4</c:v>
                </c:pt>
                <c:pt idx="4570">
                  <c:v>6.9</c:v>
                </c:pt>
                <c:pt idx="4571">
                  <c:v>6.1</c:v>
                </c:pt>
                <c:pt idx="4572">
                  <c:v>6.1</c:v>
                </c:pt>
                <c:pt idx="4573">
                  <c:v>6.9</c:v>
                </c:pt>
                <c:pt idx="4574">
                  <c:v>5.8</c:v>
                </c:pt>
                <c:pt idx="4575">
                  <c:v>6</c:v>
                </c:pt>
                <c:pt idx="4576">
                  <c:v>8.1999999999999993</c:v>
                </c:pt>
                <c:pt idx="4577">
                  <c:v>7</c:v>
                </c:pt>
                <c:pt idx="4578">
                  <c:v>6.3</c:v>
                </c:pt>
                <c:pt idx="4579">
                  <c:v>7.6</c:v>
                </c:pt>
                <c:pt idx="4580">
                  <c:v>6.1</c:v>
                </c:pt>
                <c:pt idx="4581">
                  <c:v>7.2</c:v>
                </c:pt>
                <c:pt idx="4582">
                  <c:v>7.8</c:v>
                </c:pt>
                <c:pt idx="4583">
                  <c:v>4.7</c:v>
                </c:pt>
                <c:pt idx="4584">
                  <c:v>7.5</c:v>
                </c:pt>
                <c:pt idx="4585">
                  <c:v>3.4</c:v>
                </c:pt>
                <c:pt idx="4586">
                  <c:v>8.9</c:v>
                </c:pt>
                <c:pt idx="4587">
                  <c:v>6.9</c:v>
                </c:pt>
                <c:pt idx="4588">
                  <c:v>8.1999999999999993</c:v>
                </c:pt>
                <c:pt idx="4589">
                  <c:v>7.3</c:v>
                </c:pt>
                <c:pt idx="4590">
                  <c:v>8</c:v>
                </c:pt>
                <c:pt idx="4591">
                  <c:v>6.7</c:v>
                </c:pt>
                <c:pt idx="4592">
                  <c:v>6.6</c:v>
                </c:pt>
                <c:pt idx="4593">
                  <c:v>6.9</c:v>
                </c:pt>
                <c:pt idx="4594">
                  <c:v>7.1</c:v>
                </c:pt>
                <c:pt idx="4595">
                  <c:v>5.6</c:v>
                </c:pt>
                <c:pt idx="4596">
                  <c:v>6.7</c:v>
                </c:pt>
                <c:pt idx="4597">
                  <c:v>7.1</c:v>
                </c:pt>
                <c:pt idx="4598">
                  <c:v>5.2</c:v>
                </c:pt>
                <c:pt idx="4599">
                  <c:v>7.7</c:v>
                </c:pt>
                <c:pt idx="4600">
                  <c:v>7.5</c:v>
                </c:pt>
                <c:pt idx="4601">
                  <c:v>7.6</c:v>
                </c:pt>
                <c:pt idx="4602">
                  <c:v>8.1</c:v>
                </c:pt>
                <c:pt idx="4603">
                  <c:v>5.5</c:v>
                </c:pt>
                <c:pt idx="4604">
                  <c:v>6.6</c:v>
                </c:pt>
                <c:pt idx="4605">
                  <c:v>3.2</c:v>
                </c:pt>
                <c:pt idx="4606">
                  <c:v>6.6</c:v>
                </c:pt>
                <c:pt idx="4607">
                  <c:v>6.2</c:v>
                </c:pt>
                <c:pt idx="4608">
                  <c:v>4.8</c:v>
                </c:pt>
                <c:pt idx="4609">
                  <c:v>4.5</c:v>
                </c:pt>
                <c:pt idx="4610">
                  <c:v>7.2</c:v>
                </c:pt>
                <c:pt idx="4611">
                  <c:v>4.3</c:v>
                </c:pt>
                <c:pt idx="4612">
                  <c:v>4.5</c:v>
                </c:pt>
                <c:pt idx="4613">
                  <c:v>6.4</c:v>
                </c:pt>
                <c:pt idx="4614">
                  <c:v>6.4</c:v>
                </c:pt>
                <c:pt idx="4615">
                  <c:v>7.3</c:v>
                </c:pt>
                <c:pt idx="4616">
                  <c:v>6.9</c:v>
                </c:pt>
                <c:pt idx="4617">
                  <c:v>4.3</c:v>
                </c:pt>
                <c:pt idx="4618">
                  <c:v>7.2</c:v>
                </c:pt>
                <c:pt idx="4619">
                  <c:v>6.5</c:v>
                </c:pt>
                <c:pt idx="4620">
                  <c:v>6.6</c:v>
                </c:pt>
                <c:pt idx="4621">
                  <c:v>6.7</c:v>
                </c:pt>
                <c:pt idx="4622">
                  <c:v>4.3</c:v>
                </c:pt>
                <c:pt idx="4623">
                  <c:v>7.3</c:v>
                </c:pt>
                <c:pt idx="4624">
                  <c:v>6.4</c:v>
                </c:pt>
                <c:pt idx="4625">
                  <c:v>7</c:v>
                </c:pt>
                <c:pt idx="4626">
                  <c:v>5.5</c:v>
                </c:pt>
                <c:pt idx="4627">
                  <c:v>6.7</c:v>
                </c:pt>
                <c:pt idx="4628">
                  <c:v>4.3</c:v>
                </c:pt>
                <c:pt idx="4629">
                  <c:v>6.1</c:v>
                </c:pt>
                <c:pt idx="4630">
                  <c:v>6.8</c:v>
                </c:pt>
                <c:pt idx="4631">
                  <c:v>3.9</c:v>
                </c:pt>
                <c:pt idx="4632">
                  <c:v>6.9</c:v>
                </c:pt>
                <c:pt idx="4633">
                  <c:v>7.3</c:v>
                </c:pt>
                <c:pt idx="4634">
                  <c:v>6.9</c:v>
                </c:pt>
                <c:pt idx="4635">
                  <c:v>6.3</c:v>
                </c:pt>
                <c:pt idx="4636">
                  <c:v>2.5</c:v>
                </c:pt>
                <c:pt idx="4637">
                  <c:v>5.7</c:v>
                </c:pt>
                <c:pt idx="4638">
                  <c:v>7</c:v>
                </c:pt>
                <c:pt idx="4639">
                  <c:v>6.2</c:v>
                </c:pt>
                <c:pt idx="4640">
                  <c:v>6.9</c:v>
                </c:pt>
                <c:pt idx="4641">
                  <c:v>4.5</c:v>
                </c:pt>
                <c:pt idx="4642">
                  <c:v>7.8</c:v>
                </c:pt>
                <c:pt idx="4643">
                  <c:v>4.4000000000000004</c:v>
                </c:pt>
                <c:pt idx="4644">
                  <c:v>6.6</c:v>
                </c:pt>
                <c:pt idx="4645">
                  <c:v>8</c:v>
                </c:pt>
                <c:pt idx="4646">
                  <c:v>6.5</c:v>
                </c:pt>
                <c:pt idx="4647">
                  <c:v>7.1</c:v>
                </c:pt>
                <c:pt idx="4648">
                  <c:v>7.1</c:v>
                </c:pt>
                <c:pt idx="4649">
                  <c:v>4</c:v>
                </c:pt>
                <c:pt idx="4650">
                  <c:v>7.5</c:v>
                </c:pt>
                <c:pt idx="4651">
                  <c:v>7</c:v>
                </c:pt>
                <c:pt idx="4652">
                  <c:v>4</c:v>
                </c:pt>
                <c:pt idx="4653">
                  <c:v>6.7</c:v>
                </c:pt>
                <c:pt idx="4654">
                  <c:v>7</c:v>
                </c:pt>
                <c:pt idx="4655">
                  <c:v>7.4</c:v>
                </c:pt>
                <c:pt idx="4656">
                  <c:v>8</c:v>
                </c:pt>
                <c:pt idx="4657">
                  <c:v>6.5</c:v>
                </c:pt>
                <c:pt idx="4658">
                  <c:v>7.2</c:v>
                </c:pt>
                <c:pt idx="4659">
                  <c:v>6.4</c:v>
                </c:pt>
                <c:pt idx="4660">
                  <c:v>6.5</c:v>
                </c:pt>
                <c:pt idx="4661">
                  <c:v>6.8</c:v>
                </c:pt>
                <c:pt idx="4662">
                  <c:v>6.9</c:v>
                </c:pt>
                <c:pt idx="4663">
                  <c:v>7.5</c:v>
                </c:pt>
                <c:pt idx="4664">
                  <c:v>5.0999999999999996</c:v>
                </c:pt>
                <c:pt idx="4665">
                  <c:v>6.2</c:v>
                </c:pt>
                <c:pt idx="4666">
                  <c:v>3.9</c:v>
                </c:pt>
                <c:pt idx="4667">
                  <c:v>6</c:v>
                </c:pt>
                <c:pt idx="4668">
                  <c:v>6.8</c:v>
                </c:pt>
                <c:pt idx="4669">
                  <c:v>7.4</c:v>
                </c:pt>
                <c:pt idx="4670">
                  <c:v>8.1</c:v>
                </c:pt>
                <c:pt idx="4671">
                  <c:v>6.5</c:v>
                </c:pt>
                <c:pt idx="4672">
                  <c:v>8</c:v>
                </c:pt>
                <c:pt idx="4673">
                  <c:v>7.7</c:v>
                </c:pt>
                <c:pt idx="4674">
                  <c:v>7.2</c:v>
                </c:pt>
                <c:pt idx="4675">
                  <c:v>5.4</c:v>
                </c:pt>
                <c:pt idx="4676">
                  <c:v>6.7</c:v>
                </c:pt>
                <c:pt idx="4677">
                  <c:v>6.3</c:v>
                </c:pt>
                <c:pt idx="4678">
                  <c:v>8.1</c:v>
                </c:pt>
                <c:pt idx="4679">
                  <c:v>8.5</c:v>
                </c:pt>
                <c:pt idx="4680">
                  <c:v>7.7</c:v>
                </c:pt>
                <c:pt idx="4681">
                  <c:v>6.5</c:v>
                </c:pt>
                <c:pt idx="4682">
                  <c:v>8.6999999999999993</c:v>
                </c:pt>
                <c:pt idx="4683">
                  <c:v>6.5</c:v>
                </c:pt>
                <c:pt idx="4684">
                  <c:v>7</c:v>
                </c:pt>
                <c:pt idx="4685">
                  <c:v>5.5</c:v>
                </c:pt>
                <c:pt idx="4686">
                  <c:v>7</c:v>
                </c:pt>
                <c:pt idx="4687">
                  <c:v>6.3</c:v>
                </c:pt>
                <c:pt idx="4688">
                  <c:v>7.9</c:v>
                </c:pt>
                <c:pt idx="4689">
                  <c:v>7.3</c:v>
                </c:pt>
                <c:pt idx="4690">
                  <c:v>7.4</c:v>
                </c:pt>
                <c:pt idx="4691">
                  <c:v>5.4</c:v>
                </c:pt>
                <c:pt idx="4692">
                  <c:v>7.1</c:v>
                </c:pt>
                <c:pt idx="4693">
                  <c:v>8.4</c:v>
                </c:pt>
                <c:pt idx="4694">
                  <c:v>7</c:v>
                </c:pt>
                <c:pt idx="4695">
                  <c:v>5.3</c:v>
                </c:pt>
                <c:pt idx="4696">
                  <c:v>7.1</c:v>
                </c:pt>
                <c:pt idx="4697">
                  <c:v>7.5</c:v>
                </c:pt>
                <c:pt idx="4698">
                  <c:v>7.2</c:v>
                </c:pt>
                <c:pt idx="4699">
                  <c:v>6.7</c:v>
                </c:pt>
                <c:pt idx="4700">
                  <c:v>8.1999999999999993</c:v>
                </c:pt>
                <c:pt idx="4701">
                  <c:v>6.6</c:v>
                </c:pt>
                <c:pt idx="4702">
                  <c:v>6.7</c:v>
                </c:pt>
                <c:pt idx="4703">
                  <c:v>7</c:v>
                </c:pt>
                <c:pt idx="4704">
                  <c:v>7.4</c:v>
                </c:pt>
                <c:pt idx="4705">
                  <c:v>5.4</c:v>
                </c:pt>
                <c:pt idx="4706">
                  <c:v>5.7</c:v>
                </c:pt>
                <c:pt idx="4707">
                  <c:v>6.7</c:v>
                </c:pt>
                <c:pt idx="4708">
                  <c:v>4.2</c:v>
                </c:pt>
                <c:pt idx="4709">
                  <c:v>7.4</c:v>
                </c:pt>
                <c:pt idx="4710">
                  <c:v>7</c:v>
                </c:pt>
                <c:pt idx="4711">
                  <c:v>7.3</c:v>
                </c:pt>
                <c:pt idx="4712">
                  <c:v>5.8</c:v>
                </c:pt>
                <c:pt idx="4713">
                  <c:v>7</c:v>
                </c:pt>
                <c:pt idx="4714">
                  <c:v>3.2</c:v>
                </c:pt>
                <c:pt idx="4715">
                  <c:v>6.8</c:v>
                </c:pt>
                <c:pt idx="4716">
                  <c:v>7.7</c:v>
                </c:pt>
                <c:pt idx="4717">
                  <c:v>5.6</c:v>
                </c:pt>
                <c:pt idx="4718">
                  <c:v>7.1</c:v>
                </c:pt>
                <c:pt idx="4719">
                  <c:v>3.6</c:v>
                </c:pt>
                <c:pt idx="4720">
                  <c:v>6.8</c:v>
                </c:pt>
                <c:pt idx="4721">
                  <c:v>7.6</c:v>
                </c:pt>
                <c:pt idx="4722">
                  <c:v>8.3000000000000007</c:v>
                </c:pt>
                <c:pt idx="4723">
                  <c:v>7.5</c:v>
                </c:pt>
                <c:pt idx="4724">
                  <c:v>5.4</c:v>
                </c:pt>
                <c:pt idx="4725">
                  <c:v>5.3</c:v>
                </c:pt>
                <c:pt idx="4726">
                  <c:v>4.5</c:v>
                </c:pt>
                <c:pt idx="4727">
                  <c:v>7.3</c:v>
                </c:pt>
                <c:pt idx="4728">
                  <c:v>5.6</c:v>
                </c:pt>
                <c:pt idx="4729">
                  <c:v>5.6</c:v>
                </c:pt>
                <c:pt idx="4730">
                  <c:v>4.0999999999999996</c:v>
                </c:pt>
                <c:pt idx="4731">
                  <c:v>6.8</c:v>
                </c:pt>
                <c:pt idx="4732">
                  <c:v>6.3</c:v>
                </c:pt>
                <c:pt idx="4733">
                  <c:v>5.8</c:v>
                </c:pt>
                <c:pt idx="4734">
                  <c:v>6.6</c:v>
                </c:pt>
                <c:pt idx="4735">
                  <c:v>6.7</c:v>
                </c:pt>
                <c:pt idx="4736">
                  <c:v>6.4</c:v>
                </c:pt>
                <c:pt idx="4737">
                  <c:v>6.3</c:v>
                </c:pt>
                <c:pt idx="4738">
                  <c:v>3.4</c:v>
                </c:pt>
                <c:pt idx="4739">
                  <c:v>6</c:v>
                </c:pt>
                <c:pt idx="4740">
                  <c:v>7.3</c:v>
                </c:pt>
                <c:pt idx="4741">
                  <c:v>7.9</c:v>
                </c:pt>
                <c:pt idx="4742">
                  <c:v>6.1</c:v>
                </c:pt>
                <c:pt idx="4743">
                  <c:v>7.4</c:v>
                </c:pt>
                <c:pt idx="4744">
                  <c:v>6.6</c:v>
                </c:pt>
                <c:pt idx="4745">
                  <c:v>5.5</c:v>
                </c:pt>
                <c:pt idx="4746">
                  <c:v>7.5</c:v>
                </c:pt>
                <c:pt idx="4747">
                  <c:v>7.6</c:v>
                </c:pt>
                <c:pt idx="4748">
                  <c:v>5</c:v>
                </c:pt>
                <c:pt idx="4749">
                  <c:v>3.2</c:v>
                </c:pt>
                <c:pt idx="4750">
                  <c:v>8.1999999999999993</c:v>
                </c:pt>
                <c:pt idx="4751">
                  <c:v>3.7</c:v>
                </c:pt>
                <c:pt idx="4752">
                  <c:v>6.3</c:v>
                </c:pt>
                <c:pt idx="4753">
                  <c:v>4.0999999999999996</c:v>
                </c:pt>
                <c:pt idx="4754">
                  <c:v>6.9</c:v>
                </c:pt>
                <c:pt idx="4755">
                  <c:v>5.4</c:v>
                </c:pt>
                <c:pt idx="4756">
                  <c:v>6.5</c:v>
                </c:pt>
                <c:pt idx="4757">
                  <c:v>7.8</c:v>
                </c:pt>
                <c:pt idx="4758">
                  <c:v>6.7</c:v>
                </c:pt>
                <c:pt idx="4759">
                  <c:v>6.4</c:v>
                </c:pt>
                <c:pt idx="4760">
                  <c:v>7.3</c:v>
                </c:pt>
                <c:pt idx="4761">
                  <c:v>7</c:v>
                </c:pt>
                <c:pt idx="4762">
                  <c:v>6.3</c:v>
                </c:pt>
                <c:pt idx="4763">
                  <c:v>7.1</c:v>
                </c:pt>
                <c:pt idx="4764">
                  <c:v>4.8</c:v>
                </c:pt>
                <c:pt idx="4765">
                  <c:v>3.3</c:v>
                </c:pt>
                <c:pt idx="4766">
                  <c:v>6.9</c:v>
                </c:pt>
                <c:pt idx="4767">
                  <c:v>4.5999999999999996</c:v>
                </c:pt>
                <c:pt idx="4768">
                  <c:v>3</c:v>
                </c:pt>
                <c:pt idx="4769">
                  <c:v>6.6</c:v>
                </c:pt>
                <c:pt idx="4770">
                  <c:v>7.4</c:v>
                </c:pt>
                <c:pt idx="4771">
                  <c:v>6.2</c:v>
                </c:pt>
                <c:pt idx="4772">
                  <c:v>4</c:v>
                </c:pt>
                <c:pt idx="4773">
                  <c:v>6.1</c:v>
                </c:pt>
                <c:pt idx="4774">
                  <c:v>6.9</c:v>
                </c:pt>
                <c:pt idx="4775">
                  <c:v>7.5</c:v>
                </c:pt>
                <c:pt idx="4776">
                  <c:v>6.7</c:v>
                </c:pt>
                <c:pt idx="4777">
                  <c:v>7.4</c:v>
                </c:pt>
                <c:pt idx="4778">
                  <c:v>6.1</c:v>
                </c:pt>
                <c:pt idx="4779">
                  <c:v>5.4</c:v>
                </c:pt>
                <c:pt idx="4780">
                  <c:v>6.4</c:v>
                </c:pt>
                <c:pt idx="4781">
                  <c:v>7</c:v>
                </c:pt>
                <c:pt idx="4782">
                  <c:v>6.3</c:v>
                </c:pt>
                <c:pt idx="4783">
                  <c:v>6.9</c:v>
                </c:pt>
                <c:pt idx="4784">
                  <c:v>7.8</c:v>
                </c:pt>
                <c:pt idx="4785">
                  <c:v>6.4</c:v>
                </c:pt>
                <c:pt idx="4786">
                  <c:v>7.7</c:v>
                </c:pt>
                <c:pt idx="4787">
                  <c:v>6.3</c:v>
                </c:pt>
                <c:pt idx="4788">
                  <c:v>6.3</c:v>
                </c:pt>
                <c:pt idx="4789">
                  <c:v>6.6</c:v>
                </c:pt>
              </c:numCache>
            </c:numRef>
          </c:yVal>
          <c:smooth val="0"/>
          <c:extLst>
            <c:ext xmlns:c16="http://schemas.microsoft.com/office/drawing/2014/chart" uri="{C3380CC4-5D6E-409C-BE32-E72D297353CC}">
              <c16:uniqueId val="{00000000-CE49-884E-878C-12F6692F89DC}"/>
            </c:ext>
          </c:extLst>
        </c:ser>
        <c:dLbls>
          <c:showLegendKey val="0"/>
          <c:showVal val="0"/>
          <c:showCatName val="0"/>
          <c:showSerName val="0"/>
          <c:showPercent val="0"/>
          <c:showBubbleSize val="0"/>
        </c:dLbls>
        <c:axId val="2087012543"/>
        <c:axId val="474095936"/>
      </c:scatterChart>
      <c:valAx>
        <c:axId val="2087012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95936"/>
        <c:crosses val="autoZero"/>
        <c:crossBetween val="midCat"/>
      </c:valAx>
      <c:valAx>
        <c:axId val="47409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12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IMDB_Movies!$F$1</c:f>
              <c:strCache>
                <c:ptCount val="1"/>
                <c:pt idx="0">
                  <c:v>IMDB Score</c:v>
                </c:pt>
              </c:strCache>
            </c:strRef>
          </c:tx>
          <c:spPr>
            <a:ln w="25400" cap="rnd">
              <a:noFill/>
              <a:round/>
            </a:ln>
            <a:effectLst/>
          </c:spPr>
          <c:marker>
            <c:symbol val="diamond"/>
            <c:size val="6"/>
            <c:spPr>
              <a:solidFill>
                <a:schemeClr val="accent2"/>
              </a:solidFill>
              <a:ln w="9525">
                <a:solidFill>
                  <a:schemeClr val="accent2"/>
                </a:solidFill>
                <a:round/>
              </a:ln>
              <a:effectLst/>
            </c:spPr>
          </c:marker>
          <c:trendline>
            <c:spPr>
              <a:ln w="15875" cap="rnd">
                <a:solidFill>
                  <a:schemeClr val="tx1"/>
                </a:solidFill>
                <a:prstDash val="lgDash"/>
              </a:ln>
              <a:effectLst/>
            </c:spPr>
            <c:trendlineType val="linear"/>
            <c:dispRSqr val="0"/>
            <c:dispEq val="0"/>
          </c:trendline>
          <c:xVal>
            <c:numRef>
              <c:f>IMDB_Movies!$E$2:$E$4791</c:f>
              <c:numCache>
                <c:formatCode>General</c:formatCode>
                <c:ptCount val="4790"/>
                <c:pt idx="0">
                  <c:v>178</c:v>
                </c:pt>
                <c:pt idx="1">
                  <c:v>169</c:v>
                </c:pt>
                <c:pt idx="2">
                  <c:v>148</c:v>
                </c:pt>
                <c:pt idx="3">
                  <c:v>164</c:v>
                </c:pt>
                <c:pt idx="4">
                  <c:v>132</c:v>
                </c:pt>
                <c:pt idx="5">
                  <c:v>156</c:v>
                </c:pt>
                <c:pt idx="6">
                  <c:v>100</c:v>
                </c:pt>
                <c:pt idx="7">
                  <c:v>141</c:v>
                </c:pt>
                <c:pt idx="8">
                  <c:v>153</c:v>
                </c:pt>
                <c:pt idx="9">
                  <c:v>183</c:v>
                </c:pt>
                <c:pt idx="10">
                  <c:v>169</c:v>
                </c:pt>
                <c:pt idx="11">
                  <c:v>106</c:v>
                </c:pt>
                <c:pt idx="12">
                  <c:v>151</c:v>
                </c:pt>
                <c:pt idx="13">
                  <c:v>150</c:v>
                </c:pt>
                <c:pt idx="14">
                  <c:v>143</c:v>
                </c:pt>
                <c:pt idx="15">
                  <c:v>150</c:v>
                </c:pt>
                <c:pt idx="16">
                  <c:v>173</c:v>
                </c:pt>
                <c:pt idx="17">
                  <c:v>136</c:v>
                </c:pt>
                <c:pt idx="18">
                  <c:v>106</c:v>
                </c:pt>
                <c:pt idx="19">
                  <c:v>164</c:v>
                </c:pt>
                <c:pt idx="20">
                  <c:v>153</c:v>
                </c:pt>
                <c:pt idx="21">
                  <c:v>156</c:v>
                </c:pt>
                <c:pt idx="22">
                  <c:v>186</c:v>
                </c:pt>
                <c:pt idx="23">
                  <c:v>113</c:v>
                </c:pt>
                <c:pt idx="24">
                  <c:v>201</c:v>
                </c:pt>
                <c:pt idx="25">
                  <c:v>194</c:v>
                </c:pt>
                <c:pt idx="26">
                  <c:v>147</c:v>
                </c:pt>
                <c:pt idx="27">
                  <c:v>131</c:v>
                </c:pt>
                <c:pt idx="28">
                  <c:v>124</c:v>
                </c:pt>
                <c:pt idx="29">
                  <c:v>143</c:v>
                </c:pt>
                <c:pt idx="30">
                  <c:v>135</c:v>
                </c:pt>
                <c:pt idx="31">
                  <c:v>195</c:v>
                </c:pt>
                <c:pt idx="32">
                  <c:v>108</c:v>
                </c:pt>
                <c:pt idx="33">
                  <c:v>104</c:v>
                </c:pt>
                <c:pt idx="34">
                  <c:v>104</c:v>
                </c:pt>
                <c:pt idx="35">
                  <c:v>150</c:v>
                </c:pt>
                <c:pt idx="36">
                  <c:v>165</c:v>
                </c:pt>
                <c:pt idx="37">
                  <c:v>130</c:v>
                </c:pt>
                <c:pt idx="38">
                  <c:v>142</c:v>
                </c:pt>
                <c:pt idx="39">
                  <c:v>125</c:v>
                </c:pt>
                <c:pt idx="40">
                  <c:v>106</c:v>
                </c:pt>
                <c:pt idx="41">
                  <c:v>123</c:v>
                </c:pt>
                <c:pt idx="42">
                  <c:v>103</c:v>
                </c:pt>
                <c:pt idx="43">
                  <c:v>118</c:v>
                </c:pt>
                <c:pt idx="44">
                  <c:v>140</c:v>
                </c:pt>
                <c:pt idx="45">
                  <c:v>123</c:v>
                </c:pt>
                <c:pt idx="46">
                  <c:v>149</c:v>
                </c:pt>
                <c:pt idx="47">
                  <c:v>132</c:v>
                </c:pt>
                <c:pt idx="48">
                  <c:v>114</c:v>
                </c:pt>
                <c:pt idx="49">
                  <c:v>143</c:v>
                </c:pt>
                <c:pt idx="50">
                  <c:v>116</c:v>
                </c:pt>
                <c:pt idx="51">
                  <c:v>131</c:v>
                </c:pt>
                <c:pt idx="52">
                  <c:v>154</c:v>
                </c:pt>
                <c:pt idx="53">
                  <c:v>122</c:v>
                </c:pt>
                <c:pt idx="54">
                  <c:v>93</c:v>
                </c:pt>
                <c:pt idx="55">
                  <c:v>93</c:v>
                </c:pt>
                <c:pt idx="56">
                  <c:v>122</c:v>
                </c:pt>
                <c:pt idx="57">
                  <c:v>98</c:v>
                </c:pt>
                <c:pt idx="58">
                  <c:v>91</c:v>
                </c:pt>
                <c:pt idx="59">
                  <c:v>158</c:v>
                </c:pt>
                <c:pt idx="60">
                  <c:v>96</c:v>
                </c:pt>
                <c:pt idx="61">
                  <c:v>127</c:v>
                </c:pt>
                <c:pt idx="62">
                  <c:v>110</c:v>
                </c:pt>
                <c:pt idx="63">
                  <c:v>150</c:v>
                </c:pt>
                <c:pt idx="64">
                  <c:v>144</c:v>
                </c:pt>
                <c:pt idx="65">
                  <c:v>152</c:v>
                </c:pt>
                <c:pt idx="66">
                  <c:v>96</c:v>
                </c:pt>
                <c:pt idx="67">
                  <c:v>94</c:v>
                </c:pt>
                <c:pt idx="68">
                  <c:v>126</c:v>
                </c:pt>
                <c:pt idx="69">
                  <c:v>126</c:v>
                </c:pt>
                <c:pt idx="70">
                  <c:v>106</c:v>
                </c:pt>
                <c:pt idx="71">
                  <c:v>112</c:v>
                </c:pt>
                <c:pt idx="72">
                  <c:v>123</c:v>
                </c:pt>
                <c:pt idx="73">
                  <c:v>96</c:v>
                </c:pt>
                <c:pt idx="74">
                  <c:v>113</c:v>
                </c:pt>
                <c:pt idx="75">
                  <c:v>176</c:v>
                </c:pt>
                <c:pt idx="76">
                  <c:v>118</c:v>
                </c:pt>
                <c:pt idx="77">
                  <c:v>95</c:v>
                </c:pt>
                <c:pt idx="78">
                  <c:v>106</c:v>
                </c:pt>
                <c:pt idx="79">
                  <c:v>124</c:v>
                </c:pt>
                <c:pt idx="80">
                  <c:v>132</c:v>
                </c:pt>
                <c:pt idx="81">
                  <c:v>97</c:v>
                </c:pt>
                <c:pt idx="82">
                  <c:v>130</c:v>
                </c:pt>
                <c:pt idx="83">
                  <c:v>109</c:v>
                </c:pt>
                <c:pt idx="84">
                  <c:v>128</c:v>
                </c:pt>
                <c:pt idx="85">
                  <c:v>136</c:v>
                </c:pt>
                <c:pt idx="86">
                  <c:v>93</c:v>
                </c:pt>
                <c:pt idx="87">
                  <c:v>130</c:v>
                </c:pt>
                <c:pt idx="88">
                  <c:v>102</c:v>
                </c:pt>
                <c:pt idx="89">
                  <c:v>101</c:v>
                </c:pt>
                <c:pt idx="90">
                  <c:v>100</c:v>
                </c:pt>
                <c:pt idx="91">
                  <c:v>120</c:v>
                </c:pt>
                <c:pt idx="92">
                  <c:v>98</c:v>
                </c:pt>
                <c:pt idx="93">
                  <c:v>109</c:v>
                </c:pt>
                <c:pt idx="94">
                  <c:v>121</c:v>
                </c:pt>
                <c:pt idx="95">
                  <c:v>169</c:v>
                </c:pt>
                <c:pt idx="96">
                  <c:v>148</c:v>
                </c:pt>
                <c:pt idx="97">
                  <c:v>120</c:v>
                </c:pt>
                <c:pt idx="98">
                  <c:v>182</c:v>
                </c:pt>
                <c:pt idx="99">
                  <c:v>106</c:v>
                </c:pt>
                <c:pt idx="100">
                  <c:v>166</c:v>
                </c:pt>
                <c:pt idx="101">
                  <c:v>132</c:v>
                </c:pt>
                <c:pt idx="102">
                  <c:v>137</c:v>
                </c:pt>
                <c:pt idx="103">
                  <c:v>109</c:v>
                </c:pt>
                <c:pt idx="104">
                  <c:v>98</c:v>
                </c:pt>
                <c:pt idx="105">
                  <c:v>113</c:v>
                </c:pt>
                <c:pt idx="106">
                  <c:v>93</c:v>
                </c:pt>
                <c:pt idx="107">
                  <c:v>123</c:v>
                </c:pt>
                <c:pt idx="108">
                  <c:v>126</c:v>
                </c:pt>
                <c:pt idx="109">
                  <c:v>113</c:v>
                </c:pt>
                <c:pt idx="110">
                  <c:v>184</c:v>
                </c:pt>
                <c:pt idx="111">
                  <c:v>144</c:v>
                </c:pt>
                <c:pt idx="112">
                  <c:v>206</c:v>
                </c:pt>
                <c:pt idx="113">
                  <c:v>138</c:v>
                </c:pt>
                <c:pt idx="114">
                  <c:v>157</c:v>
                </c:pt>
                <c:pt idx="115">
                  <c:v>102</c:v>
                </c:pt>
                <c:pt idx="116">
                  <c:v>104</c:v>
                </c:pt>
                <c:pt idx="117">
                  <c:v>115</c:v>
                </c:pt>
                <c:pt idx="118">
                  <c:v>111</c:v>
                </c:pt>
                <c:pt idx="119">
                  <c:v>128</c:v>
                </c:pt>
                <c:pt idx="120">
                  <c:v>89</c:v>
                </c:pt>
                <c:pt idx="121">
                  <c:v>105</c:v>
                </c:pt>
                <c:pt idx="122">
                  <c:v>119</c:v>
                </c:pt>
                <c:pt idx="123">
                  <c:v>129</c:v>
                </c:pt>
                <c:pt idx="124">
                  <c:v>102</c:v>
                </c:pt>
                <c:pt idx="125">
                  <c:v>138</c:v>
                </c:pt>
                <c:pt idx="126">
                  <c:v>112</c:v>
                </c:pt>
                <c:pt idx="127">
                  <c:v>120</c:v>
                </c:pt>
                <c:pt idx="128">
                  <c:v>146</c:v>
                </c:pt>
                <c:pt idx="129">
                  <c:v>115</c:v>
                </c:pt>
                <c:pt idx="130">
                  <c:v>96</c:v>
                </c:pt>
                <c:pt idx="131">
                  <c:v>88</c:v>
                </c:pt>
                <c:pt idx="132">
                  <c:v>99</c:v>
                </c:pt>
                <c:pt idx="133">
                  <c:v>113</c:v>
                </c:pt>
                <c:pt idx="134">
                  <c:v>131</c:v>
                </c:pt>
                <c:pt idx="135">
                  <c:v>119</c:v>
                </c:pt>
                <c:pt idx="136">
                  <c:v>91</c:v>
                </c:pt>
                <c:pt idx="137">
                  <c:v>90</c:v>
                </c:pt>
                <c:pt idx="138">
                  <c:v>103</c:v>
                </c:pt>
                <c:pt idx="139">
                  <c:v>124</c:v>
                </c:pt>
                <c:pt idx="140">
                  <c:v>131</c:v>
                </c:pt>
                <c:pt idx="141">
                  <c:v>88</c:v>
                </c:pt>
                <c:pt idx="142">
                  <c:v>85</c:v>
                </c:pt>
                <c:pt idx="143">
                  <c:v>111</c:v>
                </c:pt>
                <c:pt idx="144">
                  <c:v>92</c:v>
                </c:pt>
                <c:pt idx="145">
                  <c:v>196</c:v>
                </c:pt>
                <c:pt idx="146">
                  <c:v>93</c:v>
                </c:pt>
                <c:pt idx="147">
                  <c:v>133</c:v>
                </c:pt>
                <c:pt idx="148">
                  <c:v>116</c:v>
                </c:pt>
                <c:pt idx="149">
                  <c:v>153</c:v>
                </c:pt>
                <c:pt idx="150">
                  <c:v>88</c:v>
                </c:pt>
                <c:pt idx="151">
                  <c:v>115</c:v>
                </c:pt>
                <c:pt idx="152">
                  <c:v>95</c:v>
                </c:pt>
                <c:pt idx="153">
                  <c:v>133</c:v>
                </c:pt>
                <c:pt idx="154">
                  <c:v>97</c:v>
                </c:pt>
                <c:pt idx="155">
                  <c:v>90</c:v>
                </c:pt>
                <c:pt idx="156">
                  <c:v>154</c:v>
                </c:pt>
                <c:pt idx="157">
                  <c:v>150</c:v>
                </c:pt>
                <c:pt idx="158">
                  <c:v>127</c:v>
                </c:pt>
                <c:pt idx="159">
                  <c:v>121</c:v>
                </c:pt>
                <c:pt idx="160">
                  <c:v>102</c:v>
                </c:pt>
                <c:pt idx="161">
                  <c:v>126</c:v>
                </c:pt>
                <c:pt idx="162">
                  <c:v>121</c:v>
                </c:pt>
                <c:pt idx="163">
                  <c:v>215</c:v>
                </c:pt>
                <c:pt idx="164">
                  <c:v>127</c:v>
                </c:pt>
                <c:pt idx="165">
                  <c:v>138</c:v>
                </c:pt>
                <c:pt idx="166">
                  <c:v>122</c:v>
                </c:pt>
                <c:pt idx="167">
                  <c:v>124</c:v>
                </c:pt>
                <c:pt idx="168">
                  <c:v>106</c:v>
                </c:pt>
                <c:pt idx="169">
                  <c:v>124</c:v>
                </c:pt>
                <c:pt idx="170">
                  <c:v>128</c:v>
                </c:pt>
                <c:pt idx="171">
                  <c:v>138</c:v>
                </c:pt>
                <c:pt idx="172">
                  <c:v>115</c:v>
                </c:pt>
                <c:pt idx="173">
                  <c:v>100</c:v>
                </c:pt>
                <c:pt idx="174">
                  <c:v>135</c:v>
                </c:pt>
                <c:pt idx="175">
                  <c:v>117</c:v>
                </c:pt>
                <c:pt idx="176">
                  <c:v>156</c:v>
                </c:pt>
                <c:pt idx="177">
                  <c:v>96</c:v>
                </c:pt>
                <c:pt idx="178">
                  <c:v>107</c:v>
                </c:pt>
                <c:pt idx="179">
                  <c:v>92</c:v>
                </c:pt>
                <c:pt idx="180">
                  <c:v>115</c:v>
                </c:pt>
                <c:pt idx="181">
                  <c:v>92</c:v>
                </c:pt>
                <c:pt idx="182">
                  <c:v>117</c:v>
                </c:pt>
                <c:pt idx="183">
                  <c:v>146</c:v>
                </c:pt>
                <c:pt idx="184">
                  <c:v>94</c:v>
                </c:pt>
                <c:pt idx="185">
                  <c:v>116</c:v>
                </c:pt>
                <c:pt idx="186">
                  <c:v>147</c:v>
                </c:pt>
                <c:pt idx="187">
                  <c:v>90</c:v>
                </c:pt>
                <c:pt idx="188">
                  <c:v>101</c:v>
                </c:pt>
                <c:pt idx="189">
                  <c:v>138</c:v>
                </c:pt>
                <c:pt idx="190">
                  <c:v>107</c:v>
                </c:pt>
                <c:pt idx="191">
                  <c:v>142</c:v>
                </c:pt>
                <c:pt idx="192">
                  <c:v>165</c:v>
                </c:pt>
                <c:pt idx="193">
                  <c:v>100</c:v>
                </c:pt>
                <c:pt idx="194">
                  <c:v>82</c:v>
                </c:pt>
                <c:pt idx="195">
                  <c:v>98</c:v>
                </c:pt>
                <c:pt idx="196">
                  <c:v>95</c:v>
                </c:pt>
                <c:pt idx="197">
                  <c:v>159</c:v>
                </c:pt>
                <c:pt idx="198">
                  <c:v>96</c:v>
                </c:pt>
                <c:pt idx="199">
                  <c:v>143</c:v>
                </c:pt>
                <c:pt idx="200">
                  <c:v>123</c:v>
                </c:pt>
                <c:pt idx="201">
                  <c:v>174</c:v>
                </c:pt>
                <c:pt idx="202">
                  <c:v>101</c:v>
                </c:pt>
                <c:pt idx="203">
                  <c:v>134</c:v>
                </c:pt>
                <c:pt idx="204">
                  <c:v>132</c:v>
                </c:pt>
                <c:pt idx="205">
                  <c:v>129</c:v>
                </c:pt>
                <c:pt idx="206">
                  <c:v>106</c:v>
                </c:pt>
                <c:pt idx="207">
                  <c:v>113</c:v>
                </c:pt>
                <c:pt idx="208">
                  <c:v>102</c:v>
                </c:pt>
                <c:pt idx="209">
                  <c:v>135</c:v>
                </c:pt>
                <c:pt idx="210">
                  <c:v>125</c:v>
                </c:pt>
                <c:pt idx="211">
                  <c:v>110</c:v>
                </c:pt>
                <c:pt idx="212">
                  <c:v>124</c:v>
                </c:pt>
                <c:pt idx="213">
                  <c:v>123</c:v>
                </c:pt>
                <c:pt idx="214">
                  <c:v>130</c:v>
                </c:pt>
                <c:pt idx="215">
                  <c:v>92</c:v>
                </c:pt>
                <c:pt idx="216">
                  <c:v>127</c:v>
                </c:pt>
                <c:pt idx="217">
                  <c:v>123</c:v>
                </c:pt>
                <c:pt idx="218">
                  <c:v>123</c:v>
                </c:pt>
                <c:pt idx="219">
                  <c:v>107</c:v>
                </c:pt>
                <c:pt idx="220">
                  <c:v>124</c:v>
                </c:pt>
                <c:pt idx="221">
                  <c:v>77</c:v>
                </c:pt>
                <c:pt idx="222">
                  <c:v>109</c:v>
                </c:pt>
                <c:pt idx="223">
                  <c:v>134</c:v>
                </c:pt>
                <c:pt idx="224">
                  <c:v>117</c:v>
                </c:pt>
                <c:pt idx="225">
                  <c:v>135</c:v>
                </c:pt>
                <c:pt idx="226">
                  <c:v>121</c:v>
                </c:pt>
                <c:pt idx="227">
                  <c:v>117</c:v>
                </c:pt>
                <c:pt idx="228">
                  <c:v>124</c:v>
                </c:pt>
                <c:pt idx="229">
                  <c:v>140</c:v>
                </c:pt>
                <c:pt idx="230">
                  <c:v>142</c:v>
                </c:pt>
                <c:pt idx="231">
                  <c:v>92</c:v>
                </c:pt>
                <c:pt idx="232">
                  <c:v>138</c:v>
                </c:pt>
                <c:pt idx="233">
                  <c:v>136</c:v>
                </c:pt>
                <c:pt idx="234">
                  <c:v>98</c:v>
                </c:pt>
                <c:pt idx="235">
                  <c:v>116</c:v>
                </c:pt>
                <c:pt idx="236">
                  <c:v>153</c:v>
                </c:pt>
                <c:pt idx="237">
                  <c:v>120</c:v>
                </c:pt>
                <c:pt idx="238">
                  <c:v>101</c:v>
                </c:pt>
                <c:pt idx="239">
                  <c:v>91</c:v>
                </c:pt>
                <c:pt idx="240">
                  <c:v>108</c:v>
                </c:pt>
                <c:pt idx="241">
                  <c:v>112</c:v>
                </c:pt>
                <c:pt idx="242">
                  <c:v>100</c:v>
                </c:pt>
                <c:pt idx="243">
                  <c:v>108</c:v>
                </c:pt>
                <c:pt idx="244">
                  <c:v>114</c:v>
                </c:pt>
                <c:pt idx="245">
                  <c:v>119</c:v>
                </c:pt>
                <c:pt idx="246">
                  <c:v>142</c:v>
                </c:pt>
                <c:pt idx="247">
                  <c:v>125</c:v>
                </c:pt>
                <c:pt idx="248">
                  <c:v>126</c:v>
                </c:pt>
                <c:pt idx="249">
                  <c:v>119</c:v>
                </c:pt>
                <c:pt idx="250">
                  <c:v>170</c:v>
                </c:pt>
                <c:pt idx="251">
                  <c:v>85</c:v>
                </c:pt>
                <c:pt idx="252">
                  <c:v>119</c:v>
                </c:pt>
                <c:pt idx="253">
                  <c:v>102</c:v>
                </c:pt>
                <c:pt idx="254">
                  <c:v>103</c:v>
                </c:pt>
                <c:pt idx="255">
                  <c:v>76</c:v>
                </c:pt>
                <c:pt idx="256">
                  <c:v>120</c:v>
                </c:pt>
                <c:pt idx="257">
                  <c:v>127</c:v>
                </c:pt>
                <c:pt idx="258">
                  <c:v>105</c:v>
                </c:pt>
                <c:pt idx="259">
                  <c:v>121</c:v>
                </c:pt>
                <c:pt idx="260">
                  <c:v>114</c:v>
                </c:pt>
                <c:pt idx="261">
                  <c:v>129</c:v>
                </c:pt>
                <c:pt idx="262">
                  <c:v>171</c:v>
                </c:pt>
                <c:pt idx="263">
                  <c:v>120</c:v>
                </c:pt>
                <c:pt idx="264">
                  <c:v>165</c:v>
                </c:pt>
                <c:pt idx="265">
                  <c:v>82</c:v>
                </c:pt>
                <c:pt idx="266">
                  <c:v>115</c:v>
                </c:pt>
                <c:pt idx="267">
                  <c:v>194</c:v>
                </c:pt>
                <c:pt idx="268">
                  <c:v>84</c:v>
                </c:pt>
                <c:pt idx="269">
                  <c:v>97</c:v>
                </c:pt>
                <c:pt idx="270">
                  <c:v>151</c:v>
                </c:pt>
                <c:pt idx="271">
                  <c:v>136</c:v>
                </c:pt>
                <c:pt idx="272">
                  <c:v>104</c:v>
                </c:pt>
                <c:pt idx="273">
                  <c:v>127</c:v>
                </c:pt>
                <c:pt idx="274">
                  <c:v>171</c:v>
                </c:pt>
                <c:pt idx="275">
                  <c:v>145</c:v>
                </c:pt>
                <c:pt idx="276">
                  <c:v>174</c:v>
                </c:pt>
                <c:pt idx="277">
                  <c:v>144</c:v>
                </c:pt>
                <c:pt idx="278">
                  <c:v>119</c:v>
                </c:pt>
                <c:pt idx="279">
                  <c:v>153</c:v>
                </c:pt>
                <c:pt idx="280">
                  <c:v>140</c:v>
                </c:pt>
                <c:pt idx="281">
                  <c:v>176</c:v>
                </c:pt>
                <c:pt idx="282">
                  <c:v>141</c:v>
                </c:pt>
                <c:pt idx="283">
                  <c:v>106</c:v>
                </c:pt>
                <c:pt idx="284">
                  <c:v>98</c:v>
                </c:pt>
                <c:pt idx="285">
                  <c:v>116</c:v>
                </c:pt>
                <c:pt idx="286">
                  <c:v>115</c:v>
                </c:pt>
                <c:pt idx="287">
                  <c:v>165</c:v>
                </c:pt>
                <c:pt idx="288">
                  <c:v>91</c:v>
                </c:pt>
                <c:pt idx="289">
                  <c:v>78</c:v>
                </c:pt>
                <c:pt idx="290">
                  <c:v>103</c:v>
                </c:pt>
                <c:pt idx="291">
                  <c:v>131</c:v>
                </c:pt>
                <c:pt idx="292">
                  <c:v>104</c:v>
                </c:pt>
                <c:pt idx="293">
                  <c:v>101</c:v>
                </c:pt>
                <c:pt idx="294">
                  <c:v>102</c:v>
                </c:pt>
                <c:pt idx="295">
                  <c:v>103</c:v>
                </c:pt>
                <c:pt idx="296">
                  <c:v>121</c:v>
                </c:pt>
                <c:pt idx="297">
                  <c:v>143</c:v>
                </c:pt>
                <c:pt idx="298">
                  <c:v>240</c:v>
                </c:pt>
                <c:pt idx="299">
                  <c:v>121</c:v>
                </c:pt>
                <c:pt idx="300">
                  <c:v>129</c:v>
                </c:pt>
                <c:pt idx="301">
                  <c:v>172</c:v>
                </c:pt>
                <c:pt idx="302">
                  <c:v>101</c:v>
                </c:pt>
                <c:pt idx="303">
                  <c:v>87</c:v>
                </c:pt>
                <c:pt idx="304">
                  <c:v>101</c:v>
                </c:pt>
                <c:pt idx="305">
                  <c:v>95</c:v>
                </c:pt>
                <c:pt idx="306">
                  <c:v>102</c:v>
                </c:pt>
                <c:pt idx="307">
                  <c:v>131</c:v>
                </c:pt>
                <c:pt idx="308">
                  <c:v>114</c:v>
                </c:pt>
                <c:pt idx="309">
                  <c:v>94</c:v>
                </c:pt>
                <c:pt idx="310">
                  <c:v>122</c:v>
                </c:pt>
                <c:pt idx="311">
                  <c:v>95</c:v>
                </c:pt>
                <c:pt idx="312">
                  <c:v>115</c:v>
                </c:pt>
                <c:pt idx="313">
                  <c:v>88</c:v>
                </c:pt>
                <c:pt idx="314">
                  <c:v>110</c:v>
                </c:pt>
                <c:pt idx="315">
                  <c:v>130</c:v>
                </c:pt>
                <c:pt idx="316">
                  <c:v>216</c:v>
                </c:pt>
                <c:pt idx="317">
                  <c:v>146</c:v>
                </c:pt>
                <c:pt idx="318">
                  <c:v>85</c:v>
                </c:pt>
                <c:pt idx="319">
                  <c:v>93</c:v>
                </c:pt>
                <c:pt idx="320">
                  <c:v>152</c:v>
                </c:pt>
                <c:pt idx="321">
                  <c:v>85</c:v>
                </c:pt>
                <c:pt idx="322">
                  <c:v>126</c:v>
                </c:pt>
                <c:pt idx="323">
                  <c:v>146</c:v>
                </c:pt>
                <c:pt idx="324">
                  <c:v>89</c:v>
                </c:pt>
                <c:pt idx="325">
                  <c:v>88</c:v>
                </c:pt>
                <c:pt idx="326">
                  <c:v>105</c:v>
                </c:pt>
                <c:pt idx="327">
                  <c:v>135</c:v>
                </c:pt>
                <c:pt idx="328">
                  <c:v>100</c:v>
                </c:pt>
                <c:pt idx="329">
                  <c:v>192</c:v>
                </c:pt>
                <c:pt idx="330">
                  <c:v>172</c:v>
                </c:pt>
                <c:pt idx="331">
                  <c:v>102</c:v>
                </c:pt>
                <c:pt idx="332">
                  <c:v>100</c:v>
                </c:pt>
                <c:pt idx="333">
                  <c:v>119</c:v>
                </c:pt>
                <c:pt idx="334">
                  <c:v>92</c:v>
                </c:pt>
                <c:pt idx="335">
                  <c:v>105</c:v>
                </c:pt>
                <c:pt idx="336">
                  <c:v>107</c:v>
                </c:pt>
                <c:pt idx="337">
                  <c:v>101</c:v>
                </c:pt>
                <c:pt idx="338">
                  <c:v>137</c:v>
                </c:pt>
                <c:pt idx="339">
                  <c:v>115</c:v>
                </c:pt>
                <c:pt idx="340">
                  <c:v>124</c:v>
                </c:pt>
                <c:pt idx="341">
                  <c:v>118</c:v>
                </c:pt>
                <c:pt idx="342">
                  <c:v>98</c:v>
                </c:pt>
                <c:pt idx="343">
                  <c:v>82</c:v>
                </c:pt>
                <c:pt idx="344">
                  <c:v>98</c:v>
                </c:pt>
                <c:pt idx="345">
                  <c:v>90</c:v>
                </c:pt>
                <c:pt idx="346">
                  <c:v>130</c:v>
                </c:pt>
                <c:pt idx="347">
                  <c:v>90</c:v>
                </c:pt>
                <c:pt idx="348">
                  <c:v>94</c:v>
                </c:pt>
                <c:pt idx="349">
                  <c:v>114</c:v>
                </c:pt>
                <c:pt idx="350">
                  <c:v>94</c:v>
                </c:pt>
                <c:pt idx="351">
                  <c:v>151</c:v>
                </c:pt>
                <c:pt idx="352">
                  <c:v>88</c:v>
                </c:pt>
                <c:pt idx="353">
                  <c:v>121</c:v>
                </c:pt>
                <c:pt idx="354">
                  <c:v>158</c:v>
                </c:pt>
                <c:pt idx="355">
                  <c:v>128</c:v>
                </c:pt>
                <c:pt idx="356">
                  <c:v>128</c:v>
                </c:pt>
                <c:pt idx="357">
                  <c:v>141</c:v>
                </c:pt>
                <c:pt idx="358">
                  <c:v>95</c:v>
                </c:pt>
                <c:pt idx="359">
                  <c:v>92</c:v>
                </c:pt>
                <c:pt idx="360">
                  <c:v>121</c:v>
                </c:pt>
                <c:pt idx="361">
                  <c:v>113</c:v>
                </c:pt>
                <c:pt idx="362">
                  <c:v>106</c:v>
                </c:pt>
                <c:pt idx="363">
                  <c:v>146</c:v>
                </c:pt>
                <c:pt idx="364">
                  <c:v>88</c:v>
                </c:pt>
                <c:pt idx="365">
                  <c:v>150</c:v>
                </c:pt>
                <c:pt idx="366">
                  <c:v>119</c:v>
                </c:pt>
                <c:pt idx="367">
                  <c:v>128</c:v>
                </c:pt>
                <c:pt idx="368">
                  <c:v>106</c:v>
                </c:pt>
                <c:pt idx="369">
                  <c:v>117</c:v>
                </c:pt>
                <c:pt idx="370">
                  <c:v>129</c:v>
                </c:pt>
                <c:pt idx="371">
                  <c:v>116</c:v>
                </c:pt>
                <c:pt idx="372">
                  <c:v>114</c:v>
                </c:pt>
                <c:pt idx="373">
                  <c:v>114</c:v>
                </c:pt>
                <c:pt idx="374">
                  <c:v>96</c:v>
                </c:pt>
                <c:pt idx="375">
                  <c:v>132</c:v>
                </c:pt>
                <c:pt idx="376">
                  <c:v>104</c:v>
                </c:pt>
                <c:pt idx="377">
                  <c:v>111</c:v>
                </c:pt>
                <c:pt idx="378">
                  <c:v>138</c:v>
                </c:pt>
                <c:pt idx="379">
                  <c:v>129</c:v>
                </c:pt>
                <c:pt idx="380">
                  <c:v>144</c:v>
                </c:pt>
                <c:pt idx="381">
                  <c:v>110</c:v>
                </c:pt>
                <c:pt idx="382">
                  <c:v>140</c:v>
                </c:pt>
                <c:pt idx="383">
                  <c:v>113</c:v>
                </c:pt>
                <c:pt idx="384">
                  <c:v>143</c:v>
                </c:pt>
                <c:pt idx="385">
                  <c:v>108</c:v>
                </c:pt>
                <c:pt idx="386">
                  <c:v>108</c:v>
                </c:pt>
                <c:pt idx="387">
                  <c:v>124</c:v>
                </c:pt>
                <c:pt idx="388">
                  <c:v>116</c:v>
                </c:pt>
                <c:pt idx="389">
                  <c:v>110</c:v>
                </c:pt>
                <c:pt idx="390">
                  <c:v>91</c:v>
                </c:pt>
                <c:pt idx="391">
                  <c:v>107</c:v>
                </c:pt>
                <c:pt idx="392">
                  <c:v>115</c:v>
                </c:pt>
                <c:pt idx="393">
                  <c:v>100</c:v>
                </c:pt>
                <c:pt idx="394">
                  <c:v>104</c:v>
                </c:pt>
                <c:pt idx="395">
                  <c:v>138</c:v>
                </c:pt>
                <c:pt idx="396">
                  <c:v>140</c:v>
                </c:pt>
                <c:pt idx="397">
                  <c:v>120</c:v>
                </c:pt>
                <c:pt idx="398">
                  <c:v>122</c:v>
                </c:pt>
                <c:pt idx="399">
                  <c:v>83</c:v>
                </c:pt>
                <c:pt idx="400">
                  <c:v>139</c:v>
                </c:pt>
                <c:pt idx="401">
                  <c:v>131</c:v>
                </c:pt>
                <c:pt idx="402">
                  <c:v>104</c:v>
                </c:pt>
                <c:pt idx="403">
                  <c:v>130</c:v>
                </c:pt>
                <c:pt idx="404">
                  <c:v>145</c:v>
                </c:pt>
                <c:pt idx="405">
                  <c:v>104</c:v>
                </c:pt>
                <c:pt idx="406">
                  <c:v>97</c:v>
                </c:pt>
                <c:pt idx="407">
                  <c:v>178</c:v>
                </c:pt>
                <c:pt idx="408">
                  <c:v>108</c:v>
                </c:pt>
                <c:pt idx="409">
                  <c:v>123</c:v>
                </c:pt>
                <c:pt idx="410">
                  <c:v>106</c:v>
                </c:pt>
                <c:pt idx="411">
                  <c:v>112</c:v>
                </c:pt>
                <c:pt idx="412">
                  <c:v>135</c:v>
                </c:pt>
                <c:pt idx="413">
                  <c:v>109</c:v>
                </c:pt>
                <c:pt idx="414">
                  <c:v>86</c:v>
                </c:pt>
                <c:pt idx="415">
                  <c:v>95</c:v>
                </c:pt>
                <c:pt idx="416">
                  <c:v>107</c:v>
                </c:pt>
                <c:pt idx="417">
                  <c:v>130</c:v>
                </c:pt>
                <c:pt idx="418">
                  <c:v>82</c:v>
                </c:pt>
                <c:pt idx="419">
                  <c:v>88</c:v>
                </c:pt>
                <c:pt idx="420">
                  <c:v>120</c:v>
                </c:pt>
                <c:pt idx="421">
                  <c:v>162</c:v>
                </c:pt>
                <c:pt idx="422">
                  <c:v>123</c:v>
                </c:pt>
                <c:pt idx="423">
                  <c:v>101</c:v>
                </c:pt>
                <c:pt idx="424">
                  <c:v>113</c:v>
                </c:pt>
                <c:pt idx="425">
                  <c:v>110</c:v>
                </c:pt>
                <c:pt idx="426">
                  <c:v>142</c:v>
                </c:pt>
                <c:pt idx="427">
                  <c:v>102</c:v>
                </c:pt>
                <c:pt idx="428">
                  <c:v>126</c:v>
                </c:pt>
                <c:pt idx="429">
                  <c:v>83</c:v>
                </c:pt>
                <c:pt idx="430">
                  <c:v>85</c:v>
                </c:pt>
                <c:pt idx="431">
                  <c:v>97</c:v>
                </c:pt>
                <c:pt idx="432">
                  <c:v>120</c:v>
                </c:pt>
                <c:pt idx="433">
                  <c:v>116</c:v>
                </c:pt>
                <c:pt idx="434">
                  <c:v>113</c:v>
                </c:pt>
                <c:pt idx="435">
                  <c:v>87</c:v>
                </c:pt>
                <c:pt idx="436">
                  <c:v>101</c:v>
                </c:pt>
                <c:pt idx="437">
                  <c:v>110</c:v>
                </c:pt>
                <c:pt idx="438">
                  <c:v>128</c:v>
                </c:pt>
                <c:pt idx="439">
                  <c:v>138</c:v>
                </c:pt>
                <c:pt idx="440">
                  <c:v>88</c:v>
                </c:pt>
                <c:pt idx="441">
                  <c:v>91</c:v>
                </c:pt>
                <c:pt idx="442">
                  <c:v>138</c:v>
                </c:pt>
                <c:pt idx="443">
                  <c:v>99</c:v>
                </c:pt>
                <c:pt idx="444">
                  <c:v>117</c:v>
                </c:pt>
                <c:pt idx="445">
                  <c:v>117</c:v>
                </c:pt>
                <c:pt idx="446">
                  <c:v>123</c:v>
                </c:pt>
                <c:pt idx="447">
                  <c:v>118</c:v>
                </c:pt>
                <c:pt idx="448">
                  <c:v>154</c:v>
                </c:pt>
                <c:pt idx="449">
                  <c:v>118</c:v>
                </c:pt>
                <c:pt idx="450">
                  <c:v>90</c:v>
                </c:pt>
                <c:pt idx="451">
                  <c:v>113</c:v>
                </c:pt>
                <c:pt idx="452">
                  <c:v>88</c:v>
                </c:pt>
                <c:pt idx="453">
                  <c:v>93</c:v>
                </c:pt>
                <c:pt idx="454">
                  <c:v>104</c:v>
                </c:pt>
                <c:pt idx="455">
                  <c:v>135</c:v>
                </c:pt>
                <c:pt idx="456">
                  <c:v>134</c:v>
                </c:pt>
                <c:pt idx="457">
                  <c:v>98</c:v>
                </c:pt>
                <c:pt idx="458">
                  <c:v>80</c:v>
                </c:pt>
                <c:pt idx="459">
                  <c:v>83</c:v>
                </c:pt>
                <c:pt idx="460">
                  <c:v>102</c:v>
                </c:pt>
                <c:pt idx="461">
                  <c:v>130</c:v>
                </c:pt>
                <c:pt idx="462">
                  <c:v>129</c:v>
                </c:pt>
                <c:pt idx="463">
                  <c:v>117</c:v>
                </c:pt>
                <c:pt idx="464">
                  <c:v>89</c:v>
                </c:pt>
                <c:pt idx="465">
                  <c:v>74</c:v>
                </c:pt>
                <c:pt idx="466">
                  <c:v>96</c:v>
                </c:pt>
                <c:pt idx="467">
                  <c:v>114</c:v>
                </c:pt>
                <c:pt idx="468">
                  <c:v>99</c:v>
                </c:pt>
                <c:pt idx="469">
                  <c:v>129</c:v>
                </c:pt>
                <c:pt idx="470">
                  <c:v>113</c:v>
                </c:pt>
                <c:pt idx="471">
                  <c:v>90</c:v>
                </c:pt>
                <c:pt idx="472">
                  <c:v>118</c:v>
                </c:pt>
                <c:pt idx="473">
                  <c:v>106</c:v>
                </c:pt>
                <c:pt idx="474">
                  <c:v>81</c:v>
                </c:pt>
                <c:pt idx="475">
                  <c:v>117</c:v>
                </c:pt>
                <c:pt idx="476">
                  <c:v>89</c:v>
                </c:pt>
                <c:pt idx="477">
                  <c:v>145</c:v>
                </c:pt>
                <c:pt idx="478">
                  <c:v>114</c:v>
                </c:pt>
                <c:pt idx="479">
                  <c:v>87</c:v>
                </c:pt>
                <c:pt idx="480">
                  <c:v>119</c:v>
                </c:pt>
                <c:pt idx="481">
                  <c:v>91</c:v>
                </c:pt>
                <c:pt idx="482">
                  <c:v>118</c:v>
                </c:pt>
                <c:pt idx="483">
                  <c:v>116</c:v>
                </c:pt>
                <c:pt idx="484">
                  <c:v>177</c:v>
                </c:pt>
                <c:pt idx="485">
                  <c:v>97</c:v>
                </c:pt>
                <c:pt idx="486">
                  <c:v>106</c:v>
                </c:pt>
                <c:pt idx="487">
                  <c:v>106</c:v>
                </c:pt>
                <c:pt idx="488">
                  <c:v>94</c:v>
                </c:pt>
                <c:pt idx="489">
                  <c:v>104</c:v>
                </c:pt>
                <c:pt idx="490">
                  <c:v>102</c:v>
                </c:pt>
                <c:pt idx="491">
                  <c:v>105</c:v>
                </c:pt>
                <c:pt idx="492">
                  <c:v>89</c:v>
                </c:pt>
                <c:pt idx="493">
                  <c:v>135</c:v>
                </c:pt>
                <c:pt idx="494">
                  <c:v>73</c:v>
                </c:pt>
                <c:pt idx="495">
                  <c:v>94</c:v>
                </c:pt>
                <c:pt idx="496">
                  <c:v>95</c:v>
                </c:pt>
                <c:pt idx="497">
                  <c:v>124</c:v>
                </c:pt>
                <c:pt idx="498">
                  <c:v>136</c:v>
                </c:pt>
                <c:pt idx="499">
                  <c:v>91</c:v>
                </c:pt>
                <c:pt idx="500">
                  <c:v>107</c:v>
                </c:pt>
                <c:pt idx="501">
                  <c:v>108</c:v>
                </c:pt>
                <c:pt idx="502">
                  <c:v>99</c:v>
                </c:pt>
                <c:pt idx="503">
                  <c:v>92</c:v>
                </c:pt>
                <c:pt idx="504">
                  <c:v>87</c:v>
                </c:pt>
                <c:pt idx="505">
                  <c:v>110</c:v>
                </c:pt>
                <c:pt idx="506">
                  <c:v>98</c:v>
                </c:pt>
                <c:pt idx="507">
                  <c:v>154</c:v>
                </c:pt>
                <c:pt idx="508">
                  <c:v>129</c:v>
                </c:pt>
                <c:pt idx="509">
                  <c:v>86</c:v>
                </c:pt>
                <c:pt idx="510">
                  <c:v>109</c:v>
                </c:pt>
                <c:pt idx="511">
                  <c:v>104</c:v>
                </c:pt>
                <c:pt idx="512">
                  <c:v>110</c:v>
                </c:pt>
                <c:pt idx="513">
                  <c:v>136</c:v>
                </c:pt>
                <c:pt idx="514">
                  <c:v>115</c:v>
                </c:pt>
                <c:pt idx="515">
                  <c:v>99</c:v>
                </c:pt>
                <c:pt idx="516">
                  <c:v>117</c:v>
                </c:pt>
                <c:pt idx="517">
                  <c:v>125</c:v>
                </c:pt>
                <c:pt idx="518">
                  <c:v>110</c:v>
                </c:pt>
                <c:pt idx="519">
                  <c:v>125</c:v>
                </c:pt>
                <c:pt idx="520">
                  <c:v>102</c:v>
                </c:pt>
                <c:pt idx="521">
                  <c:v>128</c:v>
                </c:pt>
                <c:pt idx="522">
                  <c:v>100</c:v>
                </c:pt>
                <c:pt idx="523">
                  <c:v>124</c:v>
                </c:pt>
                <c:pt idx="524">
                  <c:v>102</c:v>
                </c:pt>
                <c:pt idx="525">
                  <c:v>90</c:v>
                </c:pt>
                <c:pt idx="526">
                  <c:v>130</c:v>
                </c:pt>
                <c:pt idx="527">
                  <c:v>118</c:v>
                </c:pt>
                <c:pt idx="528">
                  <c:v>163</c:v>
                </c:pt>
                <c:pt idx="529">
                  <c:v>142</c:v>
                </c:pt>
                <c:pt idx="530">
                  <c:v>100</c:v>
                </c:pt>
                <c:pt idx="531">
                  <c:v>116</c:v>
                </c:pt>
                <c:pt idx="532">
                  <c:v>131</c:v>
                </c:pt>
                <c:pt idx="533">
                  <c:v>91</c:v>
                </c:pt>
                <c:pt idx="534">
                  <c:v>123</c:v>
                </c:pt>
                <c:pt idx="535">
                  <c:v>134</c:v>
                </c:pt>
                <c:pt idx="536">
                  <c:v>148</c:v>
                </c:pt>
                <c:pt idx="537">
                  <c:v>110</c:v>
                </c:pt>
                <c:pt idx="538">
                  <c:v>113</c:v>
                </c:pt>
                <c:pt idx="539">
                  <c:v>94</c:v>
                </c:pt>
                <c:pt idx="540">
                  <c:v>116</c:v>
                </c:pt>
                <c:pt idx="541">
                  <c:v>99</c:v>
                </c:pt>
                <c:pt idx="542">
                  <c:v>84</c:v>
                </c:pt>
                <c:pt idx="543">
                  <c:v>93</c:v>
                </c:pt>
                <c:pt idx="544">
                  <c:v>113</c:v>
                </c:pt>
                <c:pt idx="545">
                  <c:v>106</c:v>
                </c:pt>
                <c:pt idx="546">
                  <c:v>91</c:v>
                </c:pt>
                <c:pt idx="547">
                  <c:v>128</c:v>
                </c:pt>
                <c:pt idx="548">
                  <c:v>98</c:v>
                </c:pt>
                <c:pt idx="549">
                  <c:v>134</c:v>
                </c:pt>
                <c:pt idx="550">
                  <c:v>97</c:v>
                </c:pt>
                <c:pt idx="551">
                  <c:v>112</c:v>
                </c:pt>
                <c:pt idx="552">
                  <c:v>153</c:v>
                </c:pt>
                <c:pt idx="553">
                  <c:v>110</c:v>
                </c:pt>
                <c:pt idx="554">
                  <c:v>122</c:v>
                </c:pt>
                <c:pt idx="555">
                  <c:v>87</c:v>
                </c:pt>
                <c:pt idx="556">
                  <c:v>178</c:v>
                </c:pt>
                <c:pt idx="557">
                  <c:v>125</c:v>
                </c:pt>
                <c:pt idx="558">
                  <c:v>87</c:v>
                </c:pt>
                <c:pt idx="559">
                  <c:v>152</c:v>
                </c:pt>
                <c:pt idx="560">
                  <c:v>116</c:v>
                </c:pt>
                <c:pt idx="561">
                  <c:v>109</c:v>
                </c:pt>
                <c:pt idx="562">
                  <c:v>108</c:v>
                </c:pt>
                <c:pt idx="563">
                  <c:v>85</c:v>
                </c:pt>
                <c:pt idx="564">
                  <c:v>106</c:v>
                </c:pt>
                <c:pt idx="565">
                  <c:v>93</c:v>
                </c:pt>
                <c:pt idx="566">
                  <c:v>117</c:v>
                </c:pt>
                <c:pt idx="567">
                  <c:v>116</c:v>
                </c:pt>
                <c:pt idx="568">
                  <c:v>132</c:v>
                </c:pt>
                <c:pt idx="569">
                  <c:v>92</c:v>
                </c:pt>
                <c:pt idx="570">
                  <c:v>139</c:v>
                </c:pt>
                <c:pt idx="571">
                  <c:v>153</c:v>
                </c:pt>
                <c:pt idx="572">
                  <c:v>142</c:v>
                </c:pt>
                <c:pt idx="573">
                  <c:v>124</c:v>
                </c:pt>
                <c:pt idx="574">
                  <c:v>117</c:v>
                </c:pt>
                <c:pt idx="575">
                  <c:v>141</c:v>
                </c:pt>
                <c:pt idx="576">
                  <c:v>110</c:v>
                </c:pt>
                <c:pt idx="577">
                  <c:v>109</c:v>
                </c:pt>
                <c:pt idx="578">
                  <c:v>88</c:v>
                </c:pt>
                <c:pt idx="579">
                  <c:v>124</c:v>
                </c:pt>
                <c:pt idx="580">
                  <c:v>119</c:v>
                </c:pt>
                <c:pt idx="581">
                  <c:v>103</c:v>
                </c:pt>
                <c:pt idx="582">
                  <c:v>116</c:v>
                </c:pt>
                <c:pt idx="583">
                  <c:v>125</c:v>
                </c:pt>
                <c:pt idx="584">
                  <c:v>125</c:v>
                </c:pt>
                <c:pt idx="585">
                  <c:v>146</c:v>
                </c:pt>
                <c:pt idx="586">
                  <c:v>118</c:v>
                </c:pt>
                <c:pt idx="587">
                  <c:v>171</c:v>
                </c:pt>
                <c:pt idx="588">
                  <c:v>136</c:v>
                </c:pt>
                <c:pt idx="589">
                  <c:v>92</c:v>
                </c:pt>
                <c:pt idx="590">
                  <c:v>116</c:v>
                </c:pt>
                <c:pt idx="591">
                  <c:v>127</c:v>
                </c:pt>
                <c:pt idx="592">
                  <c:v>136</c:v>
                </c:pt>
                <c:pt idx="593">
                  <c:v>111</c:v>
                </c:pt>
                <c:pt idx="594">
                  <c:v>116</c:v>
                </c:pt>
                <c:pt idx="595">
                  <c:v>113</c:v>
                </c:pt>
                <c:pt idx="596">
                  <c:v>97</c:v>
                </c:pt>
                <c:pt idx="597">
                  <c:v>88</c:v>
                </c:pt>
                <c:pt idx="598">
                  <c:v>136</c:v>
                </c:pt>
                <c:pt idx="599">
                  <c:v>125</c:v>
                </c:pt>
                <c:pt idx="600">
                  <c:v>116</c:v>
                </c:pt>
                <c:pt idx="601">
                  <c:v>98</c:v>
                </c:pt>
                <c:pt idx="602">
                  <c:v>91</c:v>
                </c:pt>
                <c:pt idx="603">
                  <c:v>97</c:v>
                </c:pt>
                <c:pt idx="604">
                  <c:v>95</c:v>
                </c:pt>
                <c:pt idx="605">
                  <c:v>88</c:v>
                </c:pt>
                <c:pt idx="606">
                  <c:v>133</c:v>
                </c:pt>
                <c:pt idx="607">
                  <c:v>106</c:v>
                </c:pt>
                <c:pt idx="608">
                  <c:v>116</c:v>
                </c:pt>
                <c:pt idx="609">
                  <c:v>115</c:v>
                </c:pt>
                <c:pt idx="610">
                  <c:v>99</c:v>
                </c:pt>
                <c:pt idx="611">
                  <c:v>124</c:v>
                </c:pt>
                <c:pt idx="612">
                  <c:v>124</c:v>
                </c:pt>
                <c:pt idx="613">
                  <c:v>124</c:v>
                </c:pt>
                <c:pt idx="614">
                  <c:v>87</c:v>
                </c:pt>
                <c:pt idx="615">
                  <c:v>105</c:v>
                </c:pt>
                <c:pt idx="616">
                  <c:v>125</c:v>
                </c:pt>
                <c:pt idx="617">
                  <c:v>141</c:v>
                </c:pt>
                <c:pt idx="618">
                  <c:v>121</c:v>
                </c:pt>
                <c:pt idx="619">
                  <c:v>111</c:v>
                </c:pt>
                <c:pt idx="620">
                  <c:v>157</c:v>
                </c:pt>
                <c:pt idx="621">
                  <c:v>117</c:v>
                </c:pt>
                <c:pt idx="622">
                  <c:v>128</c:v>
                </c:pt>
                <c:pt idx="623">
                  <c:v>114</c:v>
                </c:pt>
                <c:pt idx="624">
                  <c:v>105</c:v>
                </c:pt>
                <c:pt idx="625">
                  <c:v>113</c:v>
                </c:pt>
                <c:pt idx="626">
                  <c:v>121</c:v>
                </c:pt>
                <c:pt idx="627">
                  <c:v>102</c:v>
                </c:pt>
                <c:pt idx="628">
                  <c:v>169</c:v>
                </c:pt>
                <c:pt idx="629">
                  <c:v>132</c:v>
                </c:pt>
                <c:pt idx="630">
                  <c:v>127</c:v>
                </c:pt>
                <c:pt idx="631">
                  <c:v>103</c:v>
                </c:pt>
                <c:pt idx="632">
                  <c:v>136</c:v>
                </c:pt>
                <c:pt idx="633">
                  <c:v>150</c:v>
                </c:pt>
                <c:pt idx="634">
                  <c:v>136</c:v>
                </c:pt>
                <c:pt idx="635">
                  <c:v>140</c:v>
                </c:pt>
                <c:pt idx="636">
                  <c:v>104</c:v>
                </c:pt>
                <c:pt idx="637">
                  <c:v>158</c:v>
                </c:pt>
                <c:pt idx="638">
                  <c:v>119</c:v>
                </c:pt>
                <c:pt idx="639">
                  <c:v>106</c:v>
                </c:pt>
                <c:pt idx="640">
                  <c:v>136</c:v>
                </c:pt>
                <c:pt idx="641">
                  <c:v>95</c:v>
                </c:pt>
                <c:pt idx="642">
                  <c:v>137</c:v>
                </c:pt>
                <c:pt idx="643">
                  <c:v>130</c:v>
                </c:pt>
                <c:pt idx="644">
                  <c:v>124</c:v>
                </c:pt>
                <c:pt idx="645">
                  <c:v>108</c:v>
                </c:pt>
                <c:pt idx="646">
                  <c:v>104</c:v>
                </c:pt>
                <c:pt idx="647">
                  <c:v>129</c:v>
                </c:pt>
                <c:pt idx="648">
                  <c:v>117</c:v>
                </c:pt>
                <c:pt idx="649">
                  <c:v>99</c:v>
                </c:pt>
                <c:pt idx="650">
                  <c:v>159</c:v>
                </c:pt>
                <c:pt idx="651">
                  <c:v>118</c:v>
                </c:pt>
                <c:pt idx="652">
                  <c:v>105</c:v>
                </c:pt>
                <c:pt idx="653">
                  <c:v>103</c:v>
                </c:pt>
                <c:pt idx="654">
                  <c:v>122</c:v>
                </c:pt>
                <c:pt idx="655">
                  <c:v>114</c:v>
                </c:pt>
                <c:pt idx="656">
                  <c:v>143</c:v>
                </c:pt>
                <c:pt idx="657">
                  <c:v>96</c:v>
                </c:pt>
                <c:pt idx="658">
                  <c:v>111</c:v>
                </c:pt>
                <c:pt idx="659">
                  <c:v>121</c:v>
                </c:pt>
                <c:pt idx="660">
                  <c:v>135</c:v>
                </c:pt>
                <c:pt idx="661">
                  <c:v>101</c:v>
                </c:pt>
                <c:pt idx="662">
                  <c:v>151</c:v>
                </c:pt>
                <c:pt idx="663">
                  <c:v>131</c:v>
                </c:pt>
                <c:pt idx="664">
                  <c:v>100</c:v>
                </c:pt>
                <c:pt idx="665">
                  <c:v>105</c:v>
                </c:pt>
                <c:pt idx="666">
                  <c:v>92</c:v>
                </c:pt>
                <c:pt idx="667">
                  <c:v>130</c:v>
                </c:pt>
                <c:pt idx="668">
                  <c:v>100</c:v>
                </c:pt>
                <c:pt idx="669">
                  <c:v>102</c:v>
                </c:pt>
                <c:pt idx="670">
                  <c:v>133</c:v>
                </c:pt>
                <c:pt idx="671">
                  <c:v>121</c:v>
                </c:pt>
                <c:pt idx="672">
                  <c:v>147</c:v>
                </c:pt>
                <c:pt idx="673">
                  <c:v>94</c:v>
                </c:pt>
                <c:pt idx="674">
                  <c:v>94</c:v>
                </c:pt>
                <c:pt idx="675">
                  <c:v>127</c:v>
                </c:pt>
                <c:pt idx="676">
                  <c:v>212</c:v>
                </c:pt>
                <c:pt idx="677">
                  <c:v>141</c:v>
                </c:pt>
                <c:pt idx="678">
                  <c:v>103</c:v>
                </c:pt>
                <c:pt idx="679">
                  <c:v>98</c:v>
                </c:pt>
                <c:pt idx="680">
                  <c:v>116</c:v>
                </c:pt>
                <c:pt idx="681">
                  <c:v>114</c:v>
                </c:pt>
                <c:pt idx="682">
                  <c:v>87</c:v>
                </c:pt>
                <c:pt idx="683">
                  <c:v>125</c:v>
                </c:pt>
                <c:pt idx="684">
                  <c:v>187</c:v>
                </c:pt>
                <c:pt idx="685">
                  <c:v>93</c:v>
                </c:pt>
                <c:pt idx="686">
                  <c:v>95</c:v>
                </c:pt>
                <c:pt idx="687">
                  <c:v>117</c:v>
                </c:pt>
                <c:pt idx="688">
                  <c:v>106</c:v>
                </c:pt>
                <c:pt idx="689">
                  <c:v>115</c:v>
                </c:pt>
                <c:pt idx="690">
                  <c:v>189</c:v>
                </c:pt>
                <c:pt idx="691">
                  <c:v>100</c:v>
                </c:pt>
                <c:pt idx="692">
                  <c:v>81</c:v>
                </c:pt>
                <c:pt idx="693">
                  <c:v>149</c:v>
                </c:pt>
                <c:pt idx="694">
                  <c:v>119</c:v>
                </c:pt>
                <c:pt idx="695">
                  <c:v>130</c:v>
                </c:pt>
                <c:pt idx="696">
                  <c:v>116</c:v>
                </c:pt>
                <c:pt idx="697">
                  <c:v>103</c:v>
                </c:pt>
                <c:pt idx="698">
                  <c:v>99</c:v>
                </c:pt>
                <c:pt idx="699">
                  <c:v>92</c:v>
                </c:pt>
                <c:pt idx="700">
                  <c:v>109</c:v>
                </c:pt>
                <c:pt idx="701">
                  <c:v>87</c:v>
                </c:pt>
                <c:pt idx="702">
                  <c:v>111</c:v>
                </c:pt>
                <c:pt idx="703">
                  <c:v>101</c:v>
                </c:pt>
                <c:pt idx="704">
                  <c:v>83</c:v>
                </c:pt>
                <c:pt idx="705">
                  <c:v>113</c:v>
                </c:pt>
                <c:pt idx="706">
                  <c:v>107</c:v>
                </c:pt>
                <c:pt idx="707">
                  <c:v>94</c:v>
                </c:pt>
                <c:pt idx="708">
                  <c:v>132</c:v>
                </c:pt>
                <c:pt idx="709">
                  <c:v>140</c:v>
                </c:pt>
                <c:pt idx="710">
                  <c:v>125</c:v>
                </c:pt>
                <c:pt idx="711">
                  <c:v>111</c:v>
                </c:pt>
                <c:pt idx="712">
                  <c:v>156</c:v>
                </c:pt>
                <c:pt idx="713">
                  <c:v>170</c:v>
                </c:pt>
                <c:pt idx="714">
                  <c:v>120</c:v>
                </c:pt>
                <c:pt idx="715">
                  <c:v>100</c:v>
                </c:pt>
                <c:pt idx="716">
                  <c:v>115</c:v>
                </c:pt>
                <c:pt idx="717">
                  <c:v>130</c:v>
                </c:pt>
                <c:pt idx="718">
                  <c:v>105</c:v>
                </c:pt>
                <c:pt idx="719">
                  <c:v>111</c:v>
                </c:pt>
                <c:pt idx="720">
                  <c:v>106</c:v>
                </c:pt>
                <c:pt idx="721">
                  <c:v>89</c:v>
                </c:pt>
                <c:pt idx="722">
                  <c:v>100</c:v>
                </c:pt>
                <c:pt idx="723">
                  <c:v>91</c:v>
                </c:pt>
                <c:pt idx="724">
                  <c:v>146</c:v>
                </c:pt>
                <c:pt idx="725">
                  <c:v>98</c:v>
                </c:pt>
                <c:pt idx="726">
                  <c:v>101</c:v>
                </c:pt>
                <c:pt idx="727">
                  <c:v>94</c:v>
                </c:pt>
                <c:pt idx="728">
                  <c:v>132</c:v>
                </c:pt>
                <c:pt idx="729">
                  <c:v>115</c:v>
                </c:pt>
                <c:pt idx="730">
                  <c:v>92</c:v>
                </c:pt>
                <c:pt idx="731">
                  <c:v>124</c:v>
                </c:pt>
                <c:pt idx="732">
                  <c:v>119</c:v>
                </c:pt>
                <c:pt idx="733">
                  <c:v>124</c:v>
                </c:pt>
                <c:pt idx="734">
                  <c:v>93</c:v>
                </c:pt>
                <c:pt idx="735">
                  <c:v>98</c:v>
                </c:pt>
                <c:pt idx="736">
                  <c:v>92</c:v>
                </c:pt>
                <c:pt idx="737">
                  <c:v>105</c:v>
                </c:pt>
                <c:pt idx="738">
                  <c:v>124</c:v>
                </c:pt>
                <c:pt idx="739">
                  <c:v>99</c:v>
                </c:pt>
                <c:pt idx="740">
                  <c:v>116</c:v>
                </c:pt>
                <c:pt idx="741">
                  <c:v>124</c:v>
                </c:pt>
                <c:pt idx="742">
                  <c:v>96</c:v>
                </c:pt>
                <c:pt idx="743">
                  <c:v>104</c:v>
                </c:pt>
                <c:pt idx="744">
                  <c:v>100</c:v>
                </c:pt>
                <c:pt idx="745">
                  <c:v>115</c:v>
                </c:pt>
                <c:pt idx="746">
                  <c:v>101</c:v>
                </c:pt>
                <c:pt idx="747">
                  <c:v>113</c:v>
                </c:pt>
                <c:pt idx="748">
                  <c:v>100</c:v>
                </c:pt>
                <c:pt idx="749">
                  <c:v>134</c:v>
                </c:pt>
                <c:pt idx="750">
                  <c:v>127</c:v>
                </c:pt>
                <c:pt idx="751">
                  <c:v>125</c:v>
                </c:pt>
                <c:pt idx="752">
                  <c:v>94</c:v>
                </c:pt>
                <c:pt idx="753">
                  <c:v>107</c:v>
                </c:pt>
                <c:pt idx="754">
                  <c:v>91</c:v>
                </c:pt>
                <c:pt idx="755">
                  <c:v>116</c:v>
                </c:pt>
                <c:pt idx="756">
                  <c:v>100</c:v>
                </c:pt>
                <c:pt idx="757">
                  <c:v>111</c:v>
                </c:pt>
                <c:pt idx="758">
                  <c:v>117</c:v>
                </c:pt>
                <c:pt idx="759">
                  <c:v>110</c:v>
                </c:pt>
                <c:pt idx="760">
                  <c:v>96</c:v>
                </c:pt>
                <c:pt idx="761">
                  <c:v>101</c:v>
                </c:pt>
                <c:pt idx="762">
                  <c:v>111</c:v>
                </c:pt>
                <c:pt idx="763">
                  <c:v>117</c:v>
                </c:pt>
                <c:pt idx="764">
                  <c:v>126</c:v>
                </c:pt>
                <c:pt idx="765">
                  <c:v>152</c:v>
                </c:pt>
                <c:pt idx="766">
                  <c:v>86</c:v>
                </c:pt>
                <c:pt idx="767">
                  <c:v>101</c:v>
                </c:pt>
                <c:pt idx="768">
                  <c:v>87</c:v>
                </c:pt>
                <c:pt idx="769">
                  <c:v>85</c:v>
                </c:pt>
                <c:pt idx="770">
                  <c:v>130</c:v>
                </c:pt>
                <c:pt idx="771">
                  <c:v>104</c:v>
                </c:pt>
                <c:pt idx="772">
                  <c:v>121</c:v>
                </c:pt>
                <c:pt idx="773">
                  <c:v>140</c:v>
                </c:pt>
                <c:pt idx="774">
                  <c:v>131</c:v>
                </c:pt>
                <c:pt idx="775">
                  <c:v>91</c:v>
                </c:pt>
                <c:pt idx="776">
                  <c:v>118</c:v>
                </c:pt>
                <c:pt idx="777">
                  <c:v>130</c:v>
                </c:pt>
                <c:pt idx="778">
                  <c:v>90</c:v>
                </c:pt>
                <c:pt idx="779">
                  <c:v>103</c:v>
                </c:pt>
                <c:pt idx="780">
                  <c:v>122</c:v>
                </c:pt>
                <c:pt idx="781">
                  <c:v>106</c:v>
                </c:pt>
                <c:pt idx="782">
                  <c:v>103</c:v>
                </c:pt>
                <c:pt idx="783">
                  <c:v>107</c:v>
                </c:pt>
                <c:pt idx="784">
                  <c:v>156</c:v>
                </c:pt>
                <c:pt idx="785">
                  <c:v>127</c:v>
                </c:pt>
                <c:pt idx="786">
                  <c:v>119</c:v>
                </c:pt>
                <c:pt idx="787">
                  <c:v>132</c:v>
                </c:pt>
                <c:pt idx="788">
                  <c:v>108</c:v>
                </c:pt>
                <c:pt idx="789">
                  <c:v>114</c:v>
                </c:pt>
                <c:pt idx="790">
                  <c:v>133</c:v>
                </c:pt>
                <c:pt idx="791">
                  <c:v>103</c:v>
                </c:pt>
                <c:pt idx="792">
                  <c:v>95</c:v>
                </c:pt>
                <c:pt idx="793">
                  <c:v>90</c:v>
                </c:pt>
                <c:pt idx="794">
                  <c:v>87</c:v>
                </c:pt>
                <c:pt idx="795">
                  <c:v>114</c:v>
                </c:pt>
                <c:pt idx="796">
                  <c:v>119</c:v>
                </c:pt>
                <c:pt idx="797">
                  <c:v>103</c:v>
                </c:pt>
                <c:pt idx="798">
                  <c:v>125</c:v>
                </c:pt>
                <c:pt idx="799">
                  <c:v>97</c:v>
                </c:pt>
                <c:pt idx="800">
                  <c:v>125</c:v>
                </c:pt>
                <c:pt idx="801">
                  <c:v>136</c:v>
                </c:pt>
                <c:pt idx="802">
                  <c:v>116</c:v>
                </c:pt>
                <c:pt idx="803">
                  <c:v>103</c:v>
                </c:pt>
                <c:pt idx="804">
                  <c:v>97</c:v>
                </c:pt>
                <c:pt idx="805">
                  <c:v>96</c:v>
                </c:pt>
                <c:pt idx="806">
                  <c:v>131</c:v>
                </c:pt>
                <c:pt idx="807">
                  <c:v>95</c:v>
                </c:pt>
                <c:pt idx="808">
                  <c:v>86</c:v>
                </c:pt>
                <c:pt idx="809">
                  <c:v>142</c:v>
                </c:pt>
                <c:pt idx="810">
                  <c:v>92</c:v>
                </c:pt>
                <c:pt idx="811">
                  <c:v>108</c:v>
                </c:pt>
                <c:pt idx="812">
                  <c:v>84</c:v>
                </c:pt>
                <c:pt idx="813">
                  <c:v>188</c:v>
                </c:pt>
                <c:pt idx="814">
                  <c:v>95</c:v>
                </c:pt>
                <c:pt idx="815">
                  <c:v>118</c:v>
                </c:pt>
                <c:pt idx="816">
                  <c:v>92</c:v>
                </c:pt>
                <c:pt idx="817">
                  <c:v>74</c:v>
                </c:pt>
                <c:pt idx="818">
                  <c:v>134</c:v>
                </c:pt>
                <c:pt idx="819">
                  <c:v>101</c:v>
                </c:pt>
                <c:pt idx="820">
                  <c:v>100</c:v>
                </c:pt>
                <c:pt idx="821">
                  <c:v>132</c:v>
                </c:pt>
                <c:pt idx="822">
                  <c:v>105</c:v>
                </c:pt>
                <c:pt idx="823">
                  <c:v>123</c:v>
                </c:pt>
                <c:pt idx="824">
                  <c:v>117</c:v>
                </c:pt>
                <c:pt idx="825">
                  <c:v>98</c:v>
                </c:pt>
                <c:pt idx="826">
                  <c:v>128</c:v>
                </c:pt>
                <c:pt idx="827">
                  <c:v>114</c:v>
                </c:pt>
                <c:pt idx="828">
                  <c:v>111</c:v>
                </c:pt>
                <c:pt idx="829">
                  <c:v>85</c:v>
                </c:pt>
                <c:pt idx="830">
                  <c:v>137</c:v>
                </c:pt>
                <c:pt idx="831">
                  <c:v>97</c:v>
                </c:pt>
                <c:pt idx="832">
                  <c:v>104</c:v>
                </c:pt>
                <c:pt idx="833">
                  <c:v>110</c:v>
                </c:pt>
                <c:pt idx="834">
                  <c:v>133</c:v>
                </c:pt>
                <c:pt idx="835">
                  <c:v>94</c:v>
                </c:pt>
                <c:pt idx="836">
                  <c:v>104</c:v>
                </c:pt>
                <c:pt idx="837">
                  <c:v>91</c:v>
                </c:pt>
                <c:pt idx="838">
                  <c:v>145</c:v>
                </c:pt>
                <c:pt idx="839">
                  <c:v>135</c:v>
                </c:pt>
                <c:pt idx="840">
                  <c:v>122</c:v>
                </c:pt>
                <c:pt idx="841">
                  <c:v>110</c:v>
                </c:pt>
                <c:pt idx="842">
                  <c:v>95</c:v>
                </c:pt>
                <c:pt idx="843">
                  <c:v>102</c:v>
                </c:pt>
                <c:pt idx="844">
                  <c:v>94</c:v>
                </c:pt>
                <c:pt idx="845">
                  <c:v>126</c:v>
                </c:pt>
                <c:pt idx="846">
                  <c:v>118</c:v>
                </c:pt>
                <c:pt idx="847">
                  <c:v>99</c:v>
                </c:pt>
                <c:pt idx="848">
                  <c:v>88</c:v>
                </c:pt>
                <c:pt idx="849">
                  <c:v>141</c:v>
                </c:pt>
                <c:pt idx="850">
                  <c:v>107</c:v>
                </c:pt>
                <c:pt idx="851">
                  <c:v>116</c:v>
                </c:pt>
                <c:pt idx="852">
                  <c:v>143</c:v>
                </c:pt>
                <c:pt idx="853">
                  <c:v>114</c:v>
                </c:pt>
                <c:pt idx="854">
                  <c:v>93</c:v>
                </c:pt>
                <c:pt idx="855">
                  <c:v>280</c:v>
                </c:pt>
                <c:pt idx="856">
                  <c:v>100</c:v>
                </c:pt>
                <c:pt idx="857">
                  <c:v>107</c:v>
                </c:pt>
                <c:pt idx="858">
                  <c:v>119</c:v>
                </c:pt>
                <c:pt idx="859">
                  <c:v>95</c:v>
                </c:pt>
                <c:pt idx="860">
                  <c:v>119</c:v>
                </c:pt>
                <c:pt idx="861">
                  <c:v>133</c:v>
                </c:pt>
                <c:pt idx="862">
                  <c:v>152</c:v>
                </c:pt>
                <c:pt idx="863">
                  <c:v>96</c:v>
                </c:pt>
                <c:pt idx="864">
                  <c:v>117</c:v>
                </c:pt>
                <c:pt idx="865">
                  <c:v>123</c:v>
                </c:pt>
                <c:pt idx="866">
                  <c:v>92</c:v>
                </c:pt>
                <c:pt idx="867">
                  <c:v>170</c:v>
                </c:pt>
                <c:pt idx="868">
                  <c:v>123</c:v>
                </c:pt>
                <c:pt idx="869">
                  <c:v>110</c:v>
                </c:pt>
                <c:pt idx="870">
                  <c:v>116</c:v>
                </c:pt>
                <c:pt idx="871">
                  <c:v>121</c:v>
                </c:pt>
                <c:pt idx="872">
                  <c:v>128</c:v>
                </c:pt>
                <c:pt idx="873">
                  <c:v>99</c:v>
                </c:pt>
                <c:pt idx="874">
                  <c:v>94</c:v>
                </c:pt>
                <c:pt idx="875">
                  <c:v>127</c:v>
                </c:pt>
                <c:pt idx="876">
                  <c:v>89</c:v>
                </c:pt>
                <c:pt idx="877">
                  <c:v>123</c:v>
                </c:pt>
                <c:pt idx="878">
                  <c:v>135</c:v>
                </c:pt>
                <c:pt idx="879">
                  <c:v>118</c:v>
                </c:pt>
                <c:pt idx="880">
                  <c:v>189</c:v>
                </c:pt>
                <c:pt idx="881">
                  <c:v>172</c:v>
                </c:pt>
                <c:pt idx="882">
                  <c:v>124</c:v>
                </c:pt>
                <c:pt idx="883">
                  <c:v>141</c:v>
                </c:pt>
                <c:pt idx="884">
                  <c:v>157</c:v>
                </c:pt>
                <c:pt idx="885">
                  <c:v>106</c:v>
                </c:pt>
                <c:pt idx="886">
                  <c:v>108</c:v>
                </c:pt>
                <c:pt idx="887">
                  <c:v>125</c:v>
                </c:pt>
                <c:pt idx="888">
                  <c:v>107</c:v>
                </c:pt>
                <c:pt idx="889">
                  <c:v>215</c:v>
                </c:pt>
                <c:pt idx="890">
                  <c:v>118</c:v>
                </c:pt>
                <c:pt idx="891">
                  <c:v>118</c:v>
                </c:pt>
                <c:pt idx="892">
                  <c:v>178</c:v>
                </c:pt>
                <c:pt idx="893">
                  <c:v>92</c:v>
                </c:pt>
                <c:pt idx="894">
                  <c:v>104</c:v>
                </c:pt>
                <c:pt idx="895">
                  <c:v>116</c:v>
                </c:pt>
                <c:pt idx="896">
                  <c:v>90</c:v>
                </c:pt>
                <c:pt idx="897">
                  <c:v>93</c:v>
                </c:pt>
                <c:pt idx="898">
                  <c:v>130</c:v>
                </c:pt>
                <c:pt idx="899">
                  <c:v>90</c:v>
                </c:pt>
                <c:pt idx="900">
                  <c:v>106</c:v>
                </c:pt>
                <c:pt idx="901">
                  <c:v>155</c:v>
                </c:pt>
                <c:pt idx="902">
                  <c:v>139</c:v>
                </c:pt>
                <c:pt idx="903">
                  <c:v>112</c:v>
                </c:pt>
                <c:pt idx="904">
                  <c:v>139</c:v>
                </c:pt>
                <c:pt idx="905">
                  <c:v>115</c:v>
                </c:pt>
                <c:pt idx="906">
                  <c:v>143</c:v>
                </c:pt>
                <c:pt idx="907">
                  <c:v>96</c:v>
                </c:pt>
                <c:pt idx="908">
                  <c:v>112</c:v>
                </c:pt>
                <c:pt idx="909">
                  <c:v>131</c:v>
                </c:pt>
                <c:pt idx="910">
                  <c:v>116</c:v>
                </c:pt>
                <c:pt idx="911">
                  <c:v>112</c:v>
                </c:pt>
                <c:pt idx="912">
                  <c:v>123</c:v>
                </c:pt>
                <c:pt idx="913">
                  <c:v>104</c:v>
                </c:pt>
                <c:pt idx="914">
                  <c:v>107</c:v>
                </c:pt>
                <c:pt idx="915">
                  <c:v>124</c:v>
                </c:pt>
                <c:pt idx="916">
                  <c:v>96</c:v>
                </c:pt>
                <c:pt idx="917">
                  <c:v>125</c:v>
                </c:pt>
                <c:pt idx="918">
                  <c:v>129</c:v>
                </c:pt>
                <c:pt idx="919">
                  <c:v>90</c:v>
                </c:pt>
                <c:pt idx="920">
                  <c:v>109</c:v>
                </c:pt>
                <c:pt idx="921">
                  <c:v>124</c:v>
                </c:pt>
                <c:pt idx="922">
                  <c:v>121</c:v>
                </c:pt>
                <c:pt idx="923">
                  <c:v>95</c:v>
                </c:pt>
                <c:pt idx="924">
                  <c:v>128</c:v>
                </c:pt>
                <c:pt idx="925">
                  <c:v>118</c:v>
                </c:pt>
                <c:pt idx="926">
                  <c:v>80</c:v>
                </c:pt>
                <c:pt idx="927">
                  <c:v>99</c:v>
                </c:pt>
                <c:pt idx="928">
                  <c:v>133</c:v>
                </c:pt>
                <c:pt idx="929">
                  <c:v>127</c:v>
                </c:pt>
                <c:pt idx="930">
                  <c:v>106</c:v>
                </c:pt>
                <c:pt idx="931">
                  <c:v>98</c:v>
                </c:pt>
                <c:pt idx="932">
                  <c:v>132</c:v>
                </c:pt>
                <c:pt idx="933">
                  <c:v>114</c:v>
                </c:pt>
                <c:pt idx="934">
                  <c:v>78</c:v>
                </c:pt>
                <c:pt idx="935">
                  <c:v>101</c:v>
                </c:pt>
                <c:pt idx="936">
                  <c:v>113</c:v>
                </c:pt>
                <c:pt idx="937">
                  <c:v>98</c:v>
                </c:pt>
                <c:pt idx="938">
                  <c:v>124</c:v>
                </c:pt>
                <c:pt idx="939">
                  <c:v>109</c:v>
                </c:pt>
                <c:pt idx="940">
                  <c:v>128</c:v>
                </c:pt>
                <c:pt idx="941">
                  <c:v>144</c:v>
                </c:pt>
                <c:pt idx="942">
                  <c:v>95</c:v>
                </c:pt>
                <c:pt idx="943">
                  <c:v>105</c:v>
                </c:pt>
                <c:pt idx="944">
                  <c:v>121</c:v>
                </c:pt>
                <c:pt idx="945">
                  <c:v>125</c:v>
                </c:pt>
                <c:pt idx="946">
                  <c:v>129</c:v>
                </c:pt>
                <c:pt idx="947">
                  <c:v>132</c:v>
                </c:pt>
                <c:pt idx="948">
                  <c:v>118</c:v>
                </c:pt>
                <c:pt idx="949">
                  <c:v>113</c:v>
                </c:pt>
                <c:pt idx="950">
                  <c:v>140</c:v>
                </c:pt>
                <c:pt idx="951">
                  <c:v>89</c:v>
                </c:pt>
                <c:pt idx="952">
                  <c:v>104</c:v>
                </c:pt>
                <c:pt idx="953">
                  <c:v>106</c:v>
                </c:pt>
                <c:pt idx="954">
                  <c:v>141</c:v>
                </c:pt>
                <c:pt idx="955">
                  <c:v>124</c:v>
                </c:pt>
                <c:pt idx="956">
                  <c:v>98</c:v>
                </c:pt>
                <c:pt idx="957">
                  <c:v>108</c:v>
                </c:pt>
                <c:pt idx="958">
                  <c:v>114</c:v>
                </c:pt>
                <c:pt idx="959">
                  <c:v>101</c:v>
                </c:pt>
                <c:pt idx="960">
                  <c:v>93</c:v>
                </c:pt>
                <c:pt idx="961">
                  <c:v>119</c:v>
                </c:pt>
                <c:pt idx="962">
                  <c:v>119</c:v>
                </c:pt>
                <c:pt idx="963">
                  <c:v>99</c:v>
                </c:pt>
                <c:pt idx="964">
                  <c:v>137</c:v>
                </c:pt>
                <c:pt idx="965">
                  <c:v>117</c:v>
                </c:pt>
                <c:pt idx="966">
                  <c:v>87</c:v>
                </c:pt>
                <c:pt idx="967">
                  <c:v>129</c:v>
                </c:pt>
                <c:pt idx="968">
                  <c:v>115</c:v>
                </c:pt>
                <c:pt idx="969">
                  <c:v>132</c:v>
                </c:pt>
                <c:pt idx="970">
                  <c:v>131</c:v>
                </c:pt>
                <c:pt idx="971">
                  <c:v>95</c:v>
                </c:pt>
                <c:pt idx="972">
                  <c:v>125</c:v>
                </c:pt>
                <c:pt idx="973">
                  <c:v>98</c:v>
                </c:pt>
                <c:pt idx="974">
                  <c:v>110</c:v>
                </c:pt>
                <c:pt idx="975">
                  <c:v>118</c:v>
                </c:pt>
                <c:pt idx="976">
                  <c:v>101</c:v>
                </c:pt>
                <c:pt idx="977">
                  <c:v>90</c:v>
                </c:pt>
                <c:pt idx="978">
                  <c:v>119</c:v>
                </c:pt>
                <c:pt idx="979">
                  <c:v>139</c:v>
                </c:pt>
                <c:pt idx="980">
                  <c:v>130</c:v>
                </c:pt>
                <c:pt idx="981">
                  <c:v>100</c:v>
                </c:pt>
                <c:pt idx="982">
                  <c:v>114</c:v>
                </c:pt>
                <c:pt idx="983">
                  <c:v>96</c:v>
                </c:pt>
                <c:pt idx="984">
                  <c:v>110</c:v>
                </c:pt>
                <c:pt idx="985">
                  <c:v>158</c:v>
                </c:pt>
                <c:pt idx="986">
                  <c:v>102</c:v>
                </c:pt>
                <c:pt idx="987">
                  <c:v>84</c:v>
                </c:pt>
                <c:pt idx="988">
                  <c:v>115</c:v>
                </c:pt>
                <c:pt idx="989">
                  <c:v>99</c:v>
                </c:pt>
                <c:pt idx="990">
                  <c:v>135</c:v>
                </c:pt>
                <c:pt idx="991">
                  <c:v>108</c:v>
                </c:pt>
                <c:pt idx="992">
                  <c:v>127</c:v>
                </c:pt>
                <c:pt idx="993">
                  <c:v>107</c:v>
                </c:pt>
                <c:pt idx="994">
                  <c:v>95</c:v>
                </c:pt>
                <c:pt idx="995">
                  <c:v>124</c:v>
                </c:pt>
                <c:pt idx="996">
                  <c:v>109</c:v>
                </c:pt>
                <c:pt idx="997">
                  <c:v>102</c:v>
                </c:pt>
                <c:pt idx="998">
                  <c:v>88</c:v>
                </c:pt>
                <c:pt idx="999">
                  <c:v>87</c:v>
                </c:pt>
                <c:pt idx="1000">
                  <c:v>104</c:v>
                </c:pt>
                <c:pt idx="1001">
                  <c:v>96</c:v>
                </c:pt>
                <c:pt idx="1002">
                  <c:v>85</c:v>
                </c:pt>
                <c:pt idx="1003">
                  <c:v>104</c:v>
                </c:pt>
                <c:pt idx="1004">
                  <c:v>135</c:v>
                </c:pt>
                <c:pt idx="1005">
                  <c:v>190</c:v>
                </c:pt>
                <c:pt idx="1006">
                  <c:v>127</c:v>
                </c:pt>
                <c:pt idx="1007">
                  <c:v>129</c:v>
                </c:pt>
                <c:pt idx="1008">
                  <c:v>120</c:v>
                </c:pt>
                <c:pt idx="1009">
                  <c:v>118</c:v>
                </c:pt>
                <c:pt idx="1010">
                  <c:v>112</c:v>
                </c:pt>
                <c:pt idx="1011">
                  <c:v>89</c:v>
                </c:pt>
                <c:pt idx="1012">
                  <c:v>114</c:v>
                </c:pt>
                <c:pt idx="1013">
                  <c:v>137</c:v>
                </c:pt>
                <c:pt idx="1014">
                  <c:v>112</c:v>
                </c:pt>
                <c:pt idx="1015">
                  <c:v>120</c:v>
                </c:pt>
                <c:pt idx="1016">
                  <c:v>123</c:v>
                </c:pt>
                <c:pt idx="1017">
                  <c:v>93</c:v>
                </c:pt>
                <c:pt idx="1018">
                  <c:v>123</c:v>
                </c:pt>
                <c:pt idx="1019">
                  <c:v>122</c:v>
                </c:pt>
                <c:pt idx="1020">
                  <c:v>115</c:v>
                </c:pt>
                <c:pt idx="1021">
                  <c:v>123</c:v>
                </c:pt>
                <c:pt idx="1022">
                  <c:v>96</c:v>
                </c:pt>
                <c:pt idx="1023">
                  <c:v>110</c:v>
                </c:pt>
                <c:pt idx="1024">
                  <c:v>105</c:v>
                </c:pt>
                <c:pt idx="1025">
                  <c:v>113</c:v>
                </c:pt>
                <c:pt idx="1026">
                  <c:v>132</c:v>
                </c:pt>
                <c:pt idx="1027">
                  <c:v>93</c:v>
                </c:pt>
                <c:pt idx="1028">
                  <c:v>115</c:v>
                </c:pt>
                <c:pt idx="1029">
                  <c:v>75</c:v>
                </c:pt>
                <c:pt idx="1030">
                  <c:v>108</c:v>
                </c:pt>
                <c:pt idx="1031">
                  <c:v>105</c:v>
                </c:pt>
                <c:pt idx="1032">
                  <c:v>102</c:v>
                </c:pt>
                <c:pt idx="1033">
                  <c:v>118</c:v>
                </c:pt>
                <c:pt idx="1034">
                  <c:v>111</c:v>
                </c:pt>
                <c:pt idx="1035">
                  <c:v>81</c:v>
                </c:pt>
                <c:pt idx="1036">
                  <c:v>116</c:v>
                </c:pt>
                <c:pt idx="1037">
                  <c:v>86</c:v>
                </c:pt>
                <c:pt idx="1038">
                  <c:v>127</c:v>
                </c:pt>
                <c:pt idx="1039">
                  <c:v>140</c:v>
                </c:pt>
                <c:pt idx="1040">
                  <c:v>91</c:v>
                </c:pt>
                <c:pt idx="1041">
                  <c:v>98</c:v>
                </c:pt>
                <c:pt idx="1042">
                  <c:v>84</c:v>
                </c:pt>
                <c:pt idx="1043">
                  <c:v>109</c:v>
                </c:pt>
                <c:pt idx="1044">
                  <c:v>93</c:v>
                </c:pt>
                <c:pt idx="1045">
                  <c:v>113</c:v>
                </c:pt>
                <c:pt idx="1046">
                  <c:v>141</c:v>
                </c:pt>
                <c:pt idx="1047">
                  <c:v>119</c:v>
                </c:pt>
                <c:pt idx="1048">
                  <c:v>97</c:v>
                </c:pt>
                <c:pt idx="1049">
                  <c:v>117</c:v>
                </c:pt>
                <c:pt idx="1050">
                  <c:v>101</c:v>
                </c:pt>
                <c:pt idx="1051">
                  <c:v>153</c:v>
                </c:pt>
                <c:pt idx="1052">
                  <c:v>122</c:v>
                </c:pt>
                <c:pt idx="1053">
                  <c:v>102</c:v>
                </c:pt>
                <c:pt idx="1054">
                  <c:v>83</c:v>
                </c:pt>
                <c:pt idx="1055">
                  <c:v>103</c:v>
                </c:pt>
                <c:pt idx="1056">
                  <c:v>110</c:v>
                </c:pt>
                <c:pt idx="1057">
                  <c:v>136</c:v>
                </c:pt>
                <c:pt idx="1058">
                  <c:v>91</c:v>
                </c:pt>
                <c:pt idx="1059">
                  <c:v>89</c:v>
                </c:pt>
                <c:pt idx="1060">
                  <c:v>107</c:v>
                </c:pt>
                <c:pt idx="1061">
                  <c:v>129</c:v>
                </c:pt>
                <c:pt idx="1062">
                  <c:v>95</c:v>
                </c:pt>
                <c:pt idx="1063">
                  <c:v>122</c:v>
                </c:pt>
                <c:pt idx="1064">
                  <c:v>110</c:v>
                </c:pt>
                <c:pt idx="1065">
                  <c:v>135</c:v>
                </c:pt>
                <c:pt idx="1066">
                  <c:v>111</c:v>
                </c:pt>
                <c:pt idx="1067">
                  <c:v>95</c:v>
                </c:pt>
                <c:pt idx="1068">
                  <c:v>109</c:v>
                </c:pt>
                <c:pt idx="1069">
                  <c:v>93</c:v>
                </c:pt>
                <c:pt idx="1070">
                  <c:v>94</c:v>
                </c:pt>
                <c:pt idx="1071">
                  <c:v>117</c:v>
                </c:pt>
                <c:pt idx="1072">
                  <c:v>112</c:v>
                </c:pt>
                <c:pt idx="1073">
                  <c:v>111</c:v>
                </c:pt>
                <c:pt idx="1074">
                  <c:v>96</c:v>
                </c:pt>
                <c:pt idx="1075">
                  <c:v>141</c:v>
                </c:pt>
                <c:pt idx="1076">
                  <c:v>94</c:v>
                </c:pt>
                <c:pt idx="1077">
                  <c:v>87</c:v>
                </c:pt>
                <c:pt idx="1078">
                  <c:v>88</c:v>
                </c:pt>
                <c:pt idx="1079">
                  <c:v>177</c:v>
                </c:pt>
                <c:pt idx="1080">
                  <c:v>133</c:v>
                </c:pt>
                <c:pt idx="1081">
                  <c:v>119</c:v>
                </c:pt>
                <c:pt idx="1082">
                  <c:v>102</c:v>
                </c:pt>
                <c:pt idx="1083">
                  <c:v>101</c:v>
                </c:pt>
                <c:pt idx="1084">
                  <c:v>91</c:v>
                </c:pt>
                <c:pt idx="1085">
                  <c:v>117</c:v>
                </c:pt>
                <c:pt idx="1086">
                  <c:v>86</c:v>
                </c:pt>
                <c:pt idx="1087">
                  <c:v>124</c:v>
                </c:pt>
                <c:pt idx="1088">
                  <c:v>134</c:v>
                </c:pt>
                <c:pt idx="1089">
                  <c:v>100</c:v>
                </c:pt>
                <c:pt idx="1090">
                  <c:v>220</c:v>
                </c:pt>
                <c:pt idx="1091">
                  <c:v>212</c:v>
                </c:pt>
                <c:pt idx="1092">
                  <c:v>128</c:v>
                </c:pt>
                <c:pt idx="1093">
                  <c:v>106</c:v>
                </c:pt>
                <c:pt idx="1094">
                  <c:v>160</c:v>
                </c:pt>
                <c:pt idx="1095">
                  <c:v>114</c:v>
                </c:pt>
                <c:pt idx="1096">
                  <c:v>99</c:v>
                </c:pt>
                <c:pt idx="1097">
                  <c:v>74</c:v>
                </c:pt>
                <c:pt idx="1098">
                  <c:v>139</c:v>
                </c:pt>
                <c:pt idx="1099">
                  <c:v>103</c:v>
                </c:pt>
                <c:pt idx="1100">
                  <c:v>101</c:v>
                </c:pt>
                <c:pt idx="1101">
                  <c:v>91</c:v>
                </c:pt>
                <c:pt idx="1102">
                  <c:v>130</c:v>
                </c:pt>
                <c:pt idx="1103">
                  <c:v>130</c:v>
                </c:pt>
                <c:pt idx="1104">
                  <c:v>110</c:v>
                </c:pt>
                <c:pt idx="1105">
                  <c:v>147</c:v>
                </c:pt>
                <c:pt idx="1106">
                  <c:v>96</c:v>
                </c:pt>
                <c:pt idx="1107">
                  <c:v>118</c:v>
                </c:pt>
                <c:pt idx="1108">
                  <c:v>88</c:v>
                </c:pt>
                <c:pt idx="1109">
                  <c:v>325</c:v>
                </c:pt>
                <c:pt idx="1110">
                  <c:v>102</c:v>
                </c:pt>
                <c:pt idx="1111">
                  <c:v>110</c:v>
                </c:pt>
                <c:pt idx="1112">
                  <c:v>136</c:v>
                </c:pt>
                <c:pt idx="1113">
                  <c:v>103</c:v>
                </c:pt>
                <c:pt idx="1114">
                  <c:v>103</c:v>
                </c:pt>
                <c:pt idx="1115">
                  <c:v>90</c:v>
                </c:pt>
                <c:pt idx="1116">
                  <c:v>154</c:v>
                </c:pt>
                <c:pt idx="1117">
                  <c:v>99</c:v>
                </c:pt>
                <c:pt idx="1118">
                  <c:v>93</c:v>
                </c:pt>
                <c:pt idx="1119">
                  <c:v>109</c:v>
                </c:pt>
                <c:pt idx="1120">
                  <c:v>124</c:v>
                </c:pt>
                <c:pt idx="1121">
                  <c:v>84</c:v>
                </c:pt>
                <c:pt idx="1122">
                  <c:v>90</c:v>
                </c:pt>
                <c:pt idx="1123">
                  <c:v>117</c:v>
                </c:pt>
                <c:pt idx="1124">
                  <c:v>123</c:v>
                </c:pt>
                <c:pt idx="1125">
                  <c:v>251</c:v>
                </c:pt>
                <c:pt idx="1126">
                  <c:v>105</c:v>
                </c:pt>
                <c:pt idx="1127">
                  <c:v>115</c:v>
                </c:pt>
                <c:pt idx="1128">
                  <c:v>122</c:v>
                </c:pt>
                <c:pt idx="1129">
                  <c:v>119</c:v>
                </c:pt>
                <c:pt idx="1130">
                  <c:v>81</c:v>
                </c:pt>
                <c:pt idx="1131">
                  <c:v>133</c:v>
                </c:pt>
                <c:pt idx="1132">
                  <c:v>100</c:v>
                </c:pt>
                <c:pt idx="1133">
                  <c:v>120</c:v>
                </c:pt>
                <c:pt idx="1134">
                  <c:v>104</c:v>
                </c:pt>
                <c:pt idx="1135">
                  <c:v>122</c:v>
                </c:pt>
                <c:pt idx="1136">
                  <c:v>80</c:v>
                </c:pt>
                <c:pt idx="1137">
                  <c:v>91</c:v>
                </c:pt>
                <c:pt idx="1138">
                  <c:v>112</c:v>
                </c:pt>
                <c:pt idx="1139">
                  <c:v>100</c:v>
                </c:pt>
                <c:pt idx="1140">
                  <c:v>105</c:v>
                </c:pt>
                <c:pt idx="1141">
                  <c:v>110</c:v>
                </c:pt>
                <c:pt idx="1142">
                  <c:v>101</c:v>
                </c:pt>
                <c:pt idx="1143">
                  <c:v>144</c:v>
                </c:pt>
                <c:pt idx="1144">
                  <c:v>108</c:v>
                </c:pt>
                <c:pt idx="1145">
                  <c:v>107</c:v>
                </c:pt>
                <c:pt idx="1146">
                  <c:v>102</c:v>
                </c:pt>
                <c:pt idx="1147">
                  <c:v>100</c:v>
                </c:pt>
                <c:pt idx="1148">
                  <c:v>126</c:v>
                </c:pt>
                <c:pt idx="1149">
                  <c:v>138</c:v>
                </c:pt>
                <c:pt idx="1150">
                  <c:v>108</c:v>
                </c:pt>
                <c:pt idx="1151">
                  <c:v>105</c:v>
                </c:pt>
                <c:pt idx="1152">
                  <c:v>108</c:v>
                </c:pt>
                <c:pt idx="1153">
                  <c:v>89</c:v>
                </c:pt>
                <c:pt idx="1154">
                  <c:v>129</c:v>
                </c:pt>
                <c:pt idx="1155">
                  <c:v>84</c:v>
                </c:pt>
                <c:pt idx="1156">
                  <c:v>149</c:v>
                </c:pt>
                <c:pt idx="1157">
                  <c:v>94</c:v>
                </c:pt>
                <c:pt idx="1158">
                  <c:v>121</c:v>
                </c:pt>
                <c:pt idx="1159">
                  <c:v>128</c:v>
                </c:pt>
                <c:pt idx="1160">
                  <c:v>134</c:v>
                </c:pt>
                <c:pt idx="1161">
                  <c:v>120</c:v>
                </c:pt>
                <c:pt idx="1162">
                  <c:v>129</c:v>
                </c:pt>
                <c:pt idx="1163">
                  <c:v>89</c:v>
                </c:pt>
                <c:pt idx="1164">
                  <c:v>116</c:v>
                </c:pt>
                <c:pt idx="1165">
                  <c:v>118</c:v>
                </c:pt>
                <c:pt idx="1166">
                  <c:v>107</c:v>
                </c:pt>
                <c:pt idx="1167">
                  <c:v>155</c:v>
                </c:pt>
                <c:pt idx="1168">
                  <c:v>123</c:v>
                </c:pt>
                <c:pt idx="1169">
                  <c:v>128</c:v>
                </c:pt>
                <c:pt idx="1170">
                  <c:v>139</c:v>
                </c:pt>
                <c:pt idx="1171">
                  <c:v>109</c:v>
                </c:pt>
                <c:pt idx="1172">
                  <c:v>120</c:v>
                </c:pt>
                <c:pt idx="1173">
                  <c:v>121</c:v>
                </c:pt>
                <c:pt idx="1174">
                  <c:v>102</c:v>
                </c:pt>
                <c:pt idx="1175">
                  <c:v>117</c:v>
                </c:pt>
                <c:pt idx="1176">
                  <c:v>178</c:v>
                </c:pt>
                <c:pt idx="1177">
                  <c:v>147</c:v>
                </c:pt>
                <c:pt idx="1178">
                  <c:v>90</c:v>
                </c:pt>
                <c:pt idx="1179">
                  <c:v>105</c:v>
                </c:pt>
                <c:pt idx="1180">
                  <c:v>114</c:v>
                </c:pt>
                <c:pt idx="1181">
                  <c:v>206</c:v>
                </c:pt>
                <c:pt idx="1182">
                  <c:v>99</c:v>
                </c:pt>
                <c:pt idx="1183">
                  <c:v>123</c:v>
                </c:pt>
                <c:pt idx="1184">
                  <c:v>102</c:v>
                </c:pt>
                <c:pt idx="1185">
                  <c:v>109</c:v>
                </c:pt>
                <c:pt idx="1186">
                  <c:v>82</c:v>
                </c:pt>
                <c:pt idx="1187">
                  <c:v>142</c:v>
                </c:pt>
                <c:pt idx="1188">
                  <c:v>106</c:v>
                </c:pt>
                <c:pt idx="1189">
                  <c:v>114</c:v>
                </c:pt>
                <c:pt idx="1190">
                  <c:v>106</c:v>
                </c:pt>
                <c:pt idx="1191">
                  <c:v>108</c:v>
                </c:pt>
                <c:pt idx="1192">
                  <c:v>98</c:v>
                </c:pt>
                <c:pt idx="1193">
                  <c:v>131</c:v>
                </c:pt>
                <c:pt idx="1194">
                  <c:v>118</c:v>
                </c:pt>
                <c:pt idx="1195">
                  <c:v>113</c:v>
                </c:pt>
                <c:pt idx="1196">
                  <c:v>130</c:v>
                </c:pt>
                <c:pt idx="1197">
                  <c:v>116</c:v>
                </c:pt>
                <c:pt idx="1198">
                  <c:v>89</c:v>
                </c:pt>
                <c:pt idx="1199">
                  <c:v>139</c:v>
                </c:pt>
                <c:pt idx="1200">
                  <c:v>130</c:v>
                </c:pt>
                <c:pt idx="1201">
                  <c:v>107</c:v>
                </c:pt>
                <c:pt idx="1202">
                  <c:v>116</c:v>
                </c:pt>
                <c:pt idx="1203">
                  <c:v>96</c:v>
                </c:pt>
                <c:pt idx="1204">
                  <c:v>99</c:v>
                </c:pt>
                <c:pt idx="1205">
                  <c:v>104</c:v>
                </c:pt>
                <c:pt idx="1206">
                  <c:v>105</c:v>
                </c:pt>
                <c:pt idx="1207">
                  <c:v>101</c:v>
                </c:pt>
                <c:pt idx="1208">
                  <c:v>134</c:v>
                </c:pt>
                <c:pt idx="1209">
                  <c:v>135</c:v>
                </c:pt>
                <c:pt idx="1210">
                  <c:v>98</c:v>
                </c:pt>
                <c:pt idx="1211">
                  <c:v>155</c:v>
                </c:pt>
                <c:pt idx="1212">
                  <c:v>106</c:v>
                </c:pt>
                <c:pt idx="1213">
                  <c:v>102</c:v>
                </c:pt>
                <c:pt idx="1214">
                  <c:v>95</c:v>
                </c:pt>
                <c:pt idx="1215">
                  <c:v>103</c:v>
                </c:pt>
                <c:pt idx="1216">
                  <c:v>95</c:v>
                </c:pt>
                <c:pt idx="1217">
                  <c:v>109</c:v>
                </c:pt>
                <c:pt idx="1218">
                  <c:v>95</c:v>
                </c:pt>
                <c:pt idx="1219">
                  <c:v>111</c:v>
                </c:pt>
                <c:pt idx="1220">
                  <c:v>123</c:v>
                </c:pt>
                <c:pt idx="1221">
                  <c:v>140</c:v>
                </c:pt>
                <c:pt idx="1222">
                  <c:v>94</c:v>
                </c:pt>
                <c:pt idx="1223">
                  <c:v>94</c:v>
                </c:pt>
                <c:pt idx="1224">
                  <c:v>92</c:v>
                </c:pt>
                <c:pt idx="1225">
                  <c:v>102</c:v>
                </c:pt>
                <c:pt idx="1226">
                  <c:v>123</c:v>
                </c:pt>
                <c:pt idx="1227">
                  <c:v>104</c:v>
                </c:pt>
                <c:pt idx="1228">
                  <c:v>102</c:v>
                </c:pt>
                <c:pt idx="1229">
                  <c:v>136</c:v>
                </c:pt>
                <c:pt idx="1230">
                  <c:v>93</c:v>
                </c:pt>
                <c:pt idx="1231">
                  <c:v>129</c:v>
                </c:pt>
                <c:pt idx="1232">
                  <c:v>107</c:v>
                </c:pt>
                <c:pt idx="1233">
                  <c:v>117</c:v>
                </c:pt>
                <c:pt idx="1234">
                  <c:v>116</c:v>
                </c:pt>
                <c:pt idx="1235">
                  <c:v>135</c:v>
                </c:pt>
                <c:pt idx="1236">
                  <c:v>107</c:v>
                </c:pt>
                <c:pt idx="1237">
                  <c:v>90</c:v>
                </c:pt>
                <c:pt idx="1238">
                  <c:v>99</c:v>
                </c:pt>
                <c:pt idx="1239">
                  <c:v>104</c:v>
                </c:pt>
                <c:pt idx="1240">
                  <c:v>115</c:v>
                </c:pt>
                <c:pt idx="1241">
                  <c:v>119</c:v>
                </c:pt>
                <c:pt idx="1242">
                  <c:v>99</c:v>
                </c:pt>
                <c:pt idx="1243">
                  <c:v>112</c:v>
                </c:pt>
                <c:pt idx="1244">
                  <c:v>128</c:v>
                </c:pt>
                <c:pt idx="1245">
                  <c:v>112</c:v>
                </c:pt>
                <c:pt idx="1246">
                  <c:v>86</c:v>
                </c:pt>
                <c:pt idx="1247">
                  <c:v>108</c:v>
                </c:pt>
                <c:pt idx="1248">
                  <c:v>128</c:v>
                </c:pt>
                <c:pt idx="1249">
                  <c:v>84</c:v>
                </c:pt>
                <c:pt idx="1250">
                  <c:v>111</c:v>
                </c:pt>
                <c:pt idx="1251">
                  <c:v>131</c:v>
                </c:pt>
                <c:pt idx="1252">
                  <c:v>123</c:v>
                </c:pt>
                <c:pt idx="1253">
                  <c:v>101</c:v>
                </c:pt>
                <c:pt idx="1254">
                  <c:v>102</c:v>
                </c:pt>
                <c:pt idx="1255">
                  <c:v>114</c:v>
                </c:pt>
                <c:pt idx="1256">
                  <c:v>107</c:v>
                </c:pt>
                <c:pt idx="1257">
                  <c:v>87</c:v>
                </c:pt>
                <c:pt idx="1258">
                  <c:v>103</c:v>
                </c:pt>
                <c:pt idx="1259">
                  <c:v>99</c:v>
                </c:pt>
                <c:pt idx="1260">
                  <c:v>122</c:v>
                </c:pt>
                <c:pt idx="1261">
                  <c:v>91</c:v>
                </c:pt>
                <c:pt idx="1262">
                  <c:v>103</c:v>
                </c:pt>
                <c:pt idx="1263">
                  <c:v>107</c:v>
                </c:pt>
                <c:pt idx="1264">
                  <c:v>106</c:v>
                </c:pt>
                <c:pt idx="1265">
                  <c:v>101</c:v>
                </c:pt>
                <c:pt idx="1266">
                  <c:v>109</c:v>
                </c:pt>
                <c:pt idx="1267">
                  <c:v>89</c:v>
                </c:pt>
                <c:pt idx="1268">
                  <c:v>100</c:v>
                </c:pt>
                <c:pt idx="1269">
                  <c:v>119</c:v>
                </c:pt>
                <c:pt idx="1270">
                  <c:v>83</c:v>
                </c:pt>
                <c:pt idx="1271">
                  <c:v>108</c:v>
                </c:pt>
                <c:pt idx="1272">
                  <c:v>102</c:v>
                </c:pt>
                <c:pt idx="1273">
                  <c:v>93</c:v>
                </c:pt>
                <c:pt idx="1274">
                  <c:v>84</c:v>
                </c:pt>
                <c:pt idx="1275">
                  <c:v>107</c:v>
                </c:pt>
                <c:pt idx="1276">
                  <c:v>91</c:v>
                </c:pt>
                <c:pt idx="1277">
                  <c:v>94</c:v>
                </c:pt>
                <c:pt idx="1278">
                  <c:v>115</c:v>
                </c:pt>
                <c:pt idx="1279">
                  <c:v>93</c:v>
                </c:pt>
                <c:pt idx="1280">
                  <c:v>105</c:v>
                </c:pt>
                <c:pt idx="1281">
                  <c:v>107</c:v>
                </c:pt>
                <c:pt idx="1282">
                  <c:v>101</c:v>
                </c:pt>
                <c:pt idx="1283">
                  <c:v>111</c:v>
                </c:pt>
                <c:pt idx="1284">
                  <c:v>113</c:v>
                </c:pt>
                <c:pt idx="1285">
                  <c:v>112</c:v>
                </c:pt>
                <c:pt idx="1286">
                  <c:v>126</c:v>
                </c:pt>
                <c:pt idx="1287">
                  <c:v>90</c:v>
                </c:pt>
                <c:pt idx="1288">
                  <c:v>93</c:v>
                </c:pt>
                <c:pt idx="1289">
                  <c:v>98</c:v>
                </c:pt>
                <c:pt idx="1290">
                  <c:v>159</c:v>
                </c:pt>
                <c:pt idx="1291">
                  <c:v>107</c:v>
                </c:pt>
                <c:pt idx="1292">
                  <c:v>102</c:v>
                </c:pt>
                <c:pt idx="1293">
                  <c:v>87</c:v>
                </c:pt>
                <c:pt idx="1294">
                  <c:v>119</c:v>
                </c:pt>
                <c:pt idx="1295">
                  <c:v>110</c:v>
                </c:pt>
                <c:pt idx="1296">
                  <c:v>125</c:v>
                </c:pt>
                <c:pt idx="1297">
                  <c:v>113</c:v>
                </c:pt>
                <c:pt idx="1298">
                  <c:v>150</c:v>
                </c:pt>
                <c:pt idx="1299">
                  <c:v>108</c:v>
                </c:pt>
                <c:pt idx="1300">
                  <c:v>96</c:v>
                </c:pt>
                <c:pt idx="1301">
                  <c:v>93</c:v>
                </c:pt>
                <c:pt idx="1302">
                  <c:v>100</c:v>
                </c:pt>
                <c:pt idx="1303">
                  <c:v>118</c:v>
                </c:pt>
                <c:pt idx="1304">
                  <c:v>122</c:v>
                </c:pt>
                <c:pt idx="1305">
                  <c:v>120</c:v>
                </c:pt>
                <c:pt idx="1306">
                  <c:v>88</c:v>
                </c:pt>
                <c:pt idx="1307">
                  <c:v>146</c:v>
                </c:pt>
                <c:pt idx="1308">
                  <c:v>115</c:v>
                </c:pt>
                <c:pt idx="1309">
                  <c:v>123</c:v>
                </c:pt>
                <c:pt idx="1310">
                  <c:v>94</c:v>
                </c:pt>
                <c:pt idx="1311">
                  <c:v>102</c:v>
                </c:pt>
                <c:pt idx="1312">
                  <c:v>98</c:v>
                </c:pt>
                <c:pt idx="1313">
                  <c:v>133</c:v>
                </c:pt>
                <c:pt idx="1314">
                  <c:v>118</c:v>
                </c:pt>
                <c:pt idx="1315">
                  <c:v>105</c:v>
                </c:pt>
                <c:pt idx="1316">
                  <c:v>109</c:v>
                </c:pt>
                <c:pt idx="1317">
                  <c:v>129</c:v>
                </c:pt>
                <c:pt idx="1318">
                  <c:v>109</c:v>
                </c:pt>
                <c:pt idx="1319">
                  <c:v>127</c:v>
                </c:pt>
                <c:pt idx="1320">
                  <c:v>118</c:v>
                </c:pt>
                <c:pt idx="1321">
                  <c:v>110</c:v>
                </c:pt>
                <c:pt idx="1322">
                  <c:v>90</c:v>
                </c:pt>
                <c:pt idx="1323">
                  <c:v>144</c:v>
                </c:pt>
                <c:pt idx="1324">
                  <c:v>97</c:v>
                </c:pt>
                <c:pt idx="1325">
                  <c:v>130</c:v>
                </c:pt>
                <c:pt idx="1326">
                  <c:v>112</c:v>
                </c:pt>
                <c:pt idx="1327">
                  <c:v>133</c:v>
                </c:pt>
                <c:pt idx="1328">
                  <c:v>150</c:v>
                </c:pt>
                <c:pt idx="1329">
                  <c:v>110</c:v>
                </c:pt>
                <c:pt idx="1330">
                  <c:v>96</c:v>
                </c:pt>
                <c:pt idx="1331">
                  <c:v>96</c:v>
                </c:pt>
                <c:pt idx="1332">
                  <c:v>123</c:v>
                </c:pt>
                <c:pt idx="1333">
                  <c:v>188</c:v>
                </c:pt>
                <c:pt idx="1334">
                  <c:v>107</c:v>
                </c:pt>
                <c:pt idx="1335">
                  <c:v>110</c:v>
                </c:pt>
                <c:pt idx="1336">
                  <c:v>113</c:v>
                </c:pt>
                <c:pt idx="1337">
                  <c:v>122</c:v>
                </c:pt>
                <c:pt idx="1338">
                  <c:v>116</c:v>
                </c:pt>
                <c:pt idx="1339">
                  <c:v>93</c:v>
                </c:pt>
                <c:pt idx="1340">
                  <c:v>118</c:v>
                </c:pt>
                <c:pt idx="1341">
                  <c:v>115</c:v>
                </c:pt>
                <c:pt idx="1342">
                  <c:v>93</c:v>
                </c:pt>
                <c:pt idx="1343">
                  <c:v>121</c:v>
                </c:pt>
                <c:pt idx="1344">
                  <c:v>101</c:v>
                </c:pt>
                <c:pt idx="1345">
                  <c:v>107</c:v>
                </c:pt>
                <c:pt idx="1346">
                  <c:v>124</c:v>
                </c:pt>
                <c:pt idx="1347">
                  <c:v>109</c:v>
                </c:pt>
                <c:pt idx="1348">
                  <c:v>105</c:v>
                </c:pt>
                <c:pt idx="1349">
                  <c:v>130</c:v>
                </c:pt>
                <c:pt idx="1350">
                  <c:v>127</c:v>
                </c:pt>
                <c:pt idx="1351">
                  <c:v>114</c:v>
                </c:pt>
                <c:pt idx="1352">
                  <c:v>106</c:v>
                </c:pt>
                <c:pt idx="1353">
                  <c:v>95</c:v>
                </c:pt>
                <c:pt idx="1354">
                  <c:v>81</c:v>
                </c:pt>
                <c:pt idx="1355">
                  <c:v>95</c:v>
                </c:pt>
                <c:pt idx="1356">
                  <c:v>108</c:v>
                </c:pt>
                <c:pt idx="1357">
                  <c:v>105</c:v>
                </c:pt>
                <c:pt idx="1358">
                  <c:v>95</c:v>
                </c:pt>
                <c:pt idx="1359">
                  <c:v>126</c:v>
                </c:pt>
                <c:pt idx="1360">
                  <c:v>102</c:v>
                </c:pt>
                <c:pt idx="1361">
                  <c:v>121</c:v>
                </c:pt>
                <c:pt idx="1362">
                  <c:v>129</c:v>
                </c:pt>
                <c:pt idx="1363">
                  <c:v>88</c:v>
                </c:pt>
                <c:pt idx="1364">
                  <c:v>106</c:v>
                </c:pt>
                <c:pt idx="1365">
                  <c:v>110</c:v>
                </c:pt>
                <c:pt idx="1366">
                  <c:v>109</c:v>
                </c:pt>
                <c:pt idx="1367">
                  <c:v>143</c:v>
                </c:pt>
                <c:pt idx="1368">
                  <c:v>120</c:v>
                </c:pt>
                <c:pt idx="1369">
                  <c:v>128</c:v>
                </c:pt>
                <c:pt idx="1370">
                  <c:v>123</c:v>
                </c:pt>
                <c:pt idx="1371">
                  <c:v>129</c:v>
                </c:pt>
                <c:pt idx="1372">
                  <c:v>105</c:v>
                </c:pt>
                <c:pt idx="1373">
                  <c:v>162</c:v>
                </c:pt>
                <c:pt idx="1374">
                  <c:v>138</c:v>
                </c:pt>
                <c:pt idx="1375">
                  <c:v>100</c:v>
                </c:pt>
                <c:pt idx="1376">
                  <c:v>90</c:v>
                </c:pt>
                <c:pt idx="1377">
                  <c:v>108</c:v>
                </c:pt>
                <c:pt idx="1378">
                  <c:v>101</c:v>
                </c:pt>
                <c:pt idx="1379">
                  <c:v>109</c:v>
                </c:pt>
                <c:pt idx="1380">
                  <c:v>132</c:v>
                </c:pt>
                <c:pt idx="1381">
                  <c:v>123</c:v>
                </c:pt>
                <c:pt idx="1382">
                  <c:v>87</c:v>
                </c:pt>
                <c:pt idx="1383">
                  <c:v>109</c:v>
                </c:pt>
                <c:pt idx="1384">
                  <c:v>109</c:v>
                </c:pt>
                <c:pt idx="1385">
                  <c:v>92</c:v>
                </c:pt>
                <c:pt idx="1386">
                  <c:v>125</c:v>
                </c:pt>
                <c:pt idx="1387">
                  <c:v>202</c:v>
                </c:pt>
                <c:pt idx="1388">
                  <c:v>134</c:v>
                </c:pt>
                <c:pt idx="1389">
                  <c:v>88</c:v>
                </c:pt>
                <c:pt idx="1390">
                  <c:v>92</c:v>
                </c:pt>
                <c:pt idx="1391">
                  <c:v>91</c:v>
                </c:pt>
                <c:pt idx="1392">
                  <c:v>75</c:v>
                </c:pt>
                <c:pt idx="1393">
                  <c:v>98</c:v>
                </c:pt>
                <c:pt idx="1394">
                  <c:v>147</c:v>
                </c:pt>
                <c:pt idx="1395">
                  <c:v>100</c:v>
                </c:pt>
                <c:pt idx="1396">
                  <c:v>120</c:v>
                </c:pt>
                <c:pt idx="1397">
                  <c:v>104</c:v>
                </c:pt>
                <c:pt idx="1398">
                  <c:v>103</c:v>
                </c:pt>
                <c:pt idx="1399">
                  <c:v>109</c:v>
                </c:pt>
                <c:pt idx="1400">
                  <c:v>104</c:v>
                </c:pt>
                <c:pt idx="1401">
                  <c:v>112</c:v>
                </c:pt>
                <c:pt idx="1402">
                  <c:v>95</c:v>
                </c:pt>
                <c:pt idx="1403">
                  <c:v>102</c:v>
                </c:pt>
                <c:pt idx="1404">
                  <c:v>102</c:v>
                </c:pt>
                <c:pt idx="1405">
                  <c:v>150</c:v>
                </c:pt>
                <c:pt idx="1406">
                  <c:v>101</c:v>
                </c:pt>
                <c:pt idx="1407">
                  <c:v>108</c:v>
                </c:pt>
                <c:pt idx="1408">
                  <c:v>98</c:v>
                </c:pt>
                <c:pt idx="1409">
                  <c:v>137</c:v>
                </c:pt>
                <c:pt idx="1410">
                  <c:v>112</c:v>
                </c:pt>
                <c:pt idx="1411">
                  <c:v>101</c:v>
                </c:pt>
                <c:pt idx="1412">
                  <c:v>103</c:v>
                </c:pt>
                <c:pt idx="1413">
                  <c:v>101</c:v>
                </c:pt>
                <c:pt idx="1414">
                  <c:v>112</c:v>
                </c:pt>
                <c:pt idx="1415">
                  <c:v>111</c:v>
                </c:pt>
                <c:pt idx="1416">
                  <c:v>102</c:v>
                </c:pt>
                <c:pt idx="1417">
                  <c:v>101</c:v>
                </c:pt>
                <c:pt idx="1418">
                  <c:v>155</c:v>
                </c:pt>
                <c:pt idx="1419">
                  <c:v>93</c:v>
                </c:pt>
                <c:pt idx="1420">
                  <c:v>109</c:v>
                </c:pt>
                <c:pt idx="1421">
                  <c:v>140</c:v>
                </c:pt>
                <c:pt idx="1422">
                  <c:v>108</c:v>
                </c:pt>
                <c:pt idx="1423">
                  <c:v>96</c:v>
                </c:pt>
                <c:pt idx="1424">
                  <c:v>123</c:v>
                </c:pt>
                <c:pt idx="1425">
                  <c:v>106</c:v>
                </c:pt>
                <c:pt idx="1426">
                  <c:v>76</c:v>
                </c:pt>
                <c:pt idx="1427">
                  <c:v>107</c:v>
                </c:pt>
                <c:pt idx="1428">
                  <c:v>82</c:v>
                </c:pt>
                <c:pt idx="1429">
                  <c:v>109</c:v>
                </c:pt>
                <c:pt idx="1430">
                  <c:v>99</c:v>
                </c:pt>
                <c:pt idx="1431">
                  <c:v>91</c:v>
                </c:pt>
                <c:pt idx="1432">
                  <c:v>87</c:v>
                </c:pt>
                <c:pt idx="1433">
                  <c:v>125</c:v>
                </c:pt>
                <c:pt idx="1434">
                  <c:v>118</c:v>
                </c:pt>
                <c:pt idx="1435">
                  <c:v>98</c:v>
                </c:pt>
                <c:pt idx="1436">
                  <c:v>92</c:v>
                </c:pt>
                <c:pt idx="1437">
                  <c:v>93</c:v>
                </c:pt>
                <c:pt idx="1438">
                  <c:v>116</c:v>
                </c:pt>
                <c:pt idx="1439">
                  <c:v>92</c:v>
                </c:pt>
                <c:pt idx="1440">
                  <c:v>115</c:v>
                </c:pt>
                <c:pt idx="1441">
                  <c:v>120</c:v>
                </c:pt>
                <c:pt idx="1442">
                  <c:v>111</c:v>
                </c:pt>
                <c:pt idx="1443">
                  <c:v>94</c:v>
                </c:pt>
                <c:pt idx="1444">
                  <c:v>100</c:v>
                </c:pt>
                <c:pt idx="1445">
                  <c:v>101</c:v>
                </c:pt>
                <c:pt idx="1446">
                  <c:v>139</c:v>
                </c:pt>
                <c:pt idx="1447">
                  <c:v>91</c:v>
                </c:pt>
                <c:pt idx="1448">
                  <c:v>109</c:v>
                </c:pt>
                <c:pt idx="1449">
                  <c:v>102</c:v>
                </c:pt>
                <c:pt idx="1450">
                  <c:v>103</c:v>
                </c:pt>
                <c:pt idx="1451">
                  <c:v>83</c:v>
                </c:pt>
                <c:pt idx="1452">
                  <c:v>123</c:v>
                </c:pt>
                <c:pt idx="1453">
                  <c:v>101</c:v>
                </c:pt>
                <c:pt idx="1454">
                  <c:v>117</c:v>
                </c:pt>
                <c:pt idx="1455">
                  <c:v>114</c:v>
                </c:pt>
                <c:pt idx="1456">
                  <c:v>330</c:v>
                </c:pt>
                <c:pt idx="1457">
                  <c:v>121</c:v>
                </c:pt>
                <c:pt idx="1458">
                  <c:v>114</c:v>
                </c:pt>
                <c:pt idx="1459">
                  <c:v>156</c:v>
                </c:pt>
                <c:pt idx="1460">
                  <c:v>135</c:v>
                </c:pt>
                <c:pt idx="1461">
                  <c:v>148</c:v>
                </c:pt>
                <c:pt idx="1462">
                  <c:v>148</c:v>
                </c:pt>
                <c:pt idx="1463">
                  <c:v>93</c:v>
                </c:pt>
                <c:pt idx="1464">
                  <c:v>113</c:v>
                </c:pt>
                <c:pt idx="1465">
                  <c:v>91</c:v>
                </c:pt>
                <c:pt idx="1466">
                  <c:v>139</c:v>
                </c:pt>
                <c:pt idx="1467">
                  <c:v>96</c:v>
                </c:pt>
                <c:pt idx="1468">
                  <c:v>102</c:v>
                </c:pt>
                <c:pt idx="1469">
                  <c:v>96</c:v>
                </c:pt>
                <c:pt idx="1470">
                  <c:v>101</c:v>
                </c:pt>
                <c:pt idx="1471">
                  <c:v>128</c:v>
                </c:pt>
                <c:pt idx="1472">
                  <c:v>109</c:v>
                </c:pt>
                <c:pt idx="1473">
                  <c:v>114</c:v>
                </c:pt>
                <c:pt idx="1474">
                  <c:v>105</c:v>
                </c:pt>
                <c:pt idx="1475">
                  <c:v>141</c:v>
                </c:pt>
                <c:pt idx="1476">
                  <c:v>195</c:v>
                </c:pt>
                <c:pt idx="1477">
                  <c:v>138</c:v>
                </c:pt>
                <c:pt idx="1478">
                  <c:v>101</c:v>
                </c:pt>
                <c:pt idx="1479">
                  <c:v>99</c:v>
                </c:pt>
                <c:pt idx="1480">
                  <c:v>85</c:v>
                </c:pt>
                <c:pt idx="1481">
                  <c:v>89</c:v>
                </c:pt>
                <c:pt idx="1482">
                  <c:v>99</c:v>
                </c:pt>
                <c:pt idx="1483">
                  <c:v>105</c:v>
                </c:pt>
                <c:pt idx="1484">
                  <c:v>97</c:v>
                </c:pt>
                <c:pt idx="1485">
                  <c:v>140</c:v>
                </c:pt>
                <c:pt idx="1486">
                  <c:v>118</c:v>
                </c:pt>
                <c:pt idx="1487">
                  <c:v>94</c:v>
                </c:pt>
                <c:pt idx="1488">
                  <c:v>124</c:v>
                </c:pt>
                <c:pt idx="1489">
                  <c:v>134</c:v>
                </c:pt>
                <c:pt idx="1490">
                  <c:v>113</c:v>
                </c:pt>
                <c:pt idx="1491">
                  <c:v>124</c:v>
                </c:pt>
                <c:pt idx="1492">
                  <c:v>98</c:v>
                </c:pt>
                <c:pt idx="1493">
                  <c:v>97</c:v>
                </c:pt>
                <c:pt idx="1494">
                  <c:v>123</c:v>
                </c:pt>
                <c:pt idx="1495">
                  <c:v>99</c:v>
                </c:pt>
                <c:pt idx="1496">
                  <c:v>101</c:v>
                </c:pt>
                <c:pt idx="1497">
                  <c:v>92</c:v>
                </c:pt>
                <c:pt idx="1498">
                  <c:v>131</c:v>
                </c:pt>
                <c:pt idx="1499">
                  <c:v>107</c:v>
                </c:pt>
                <c:pt idx="1500">
                  <c:v>103</c:v>
                </c:pt>
                <c:pt idx="1501">
                  <c:v>129</c:v>
                </c:pt>
                <c:pt idx="1502">
                  <c:v>107</c:v>
                </c:pt>
                <c:pt idx="1503">
                  <c:v>89</c:v>
                </c:pt>
                <c:pt idx="1504">
                  <c:v>113</c:v>
                </c:pt>
                <c:pt idx="1505">
                  <c:v>93</c:v>
                </c:pt>
                <c:pt idx="1506">
                  <c:v>120</c:v>
                </c:pt>
                <c:pt idx="1507">
                  <c:v>98</c:v>
                </c:pt>
                <c:pt idx="1508">
                  <c:v>105</c:v>
                </c:pt>
                <c:pt idx="1509">
                  <c:v>142</c:v>
                </c:pt>
                <c:pt idx="1510">
                  <c:v>98</c:v>
                </c:pt>
                <c:pt idx="1511">
                  <c:v>96</c:v>
                </c:pt>
                <c:pt idx="1512">
                  <c:v>87</c:v>
                </c:pt>
                <c:pt idx="1513">
                  <c:v>107</c:v>
                </c:pt>
                <c:pt idx="1514">
                  <c:v>90</c:v>
                </c:pt>
                <c:pt idx="1515">
                  <c:v>121</c:v>
                </c:pt>
                <c:pt idx="1516">
                  <c:v>119</c:v>
                </c:pt>
                <c:pt idx="1517">
                  <c:v>107</c:v>
                </c:pt>
                <c:pt idx="1518">
                  <c:v>110</c:v>
                </c:pt>
                <c:pt idx="1519">
                  <c:v>100</c:v>
                </c:pt>
                <c:pt idx="1520">
                  <c:v>75</c:v>
                </c:pt>
                <c:pt idx="1521">
                  <c:v>132</c:v>
                </c:pt>
                <c:pt idx="1522">
                  <c:v>105</c:v>
                </c:pt>
                <c:pt idx="1523">
                  <c:v>93</c:v>
                </c:pt>
                <c:pt idx="1524">
                  <c:v>289</c:v>
                </c:pt>
                <c:pt idx="1525">
                  <c:v>102</c:v>
                </c:pt>
                <c:pt idx="1526">
                  <c:v>143</c:v>
                </c:pt>
                <c:pt idx="1527">
                  <c:v>113</c:v>
                </c:pt>
                <c:pt idx="1528">
                  <c:v>161</c:v>
                </c:pt>
                <c:pt idx="1529">
                  <c:v>138</c:v>
                </c:pt>
                <c:pt idx="1530">
                  <c:v>126</c:v>
                </c:pt>
                <c:pt idx="1531">
                  <c:v>99</c:v>
                </c:pt>
                <c:pt idx="1532">
                  <c:v>101</c:v>
                </c:pt>
                <c:pt idx="1533">
                  <c:v>103</c:v>
                </c:pt>
                <c:pt idx="1534">
                  <c:v>118</c:v>
                </c:pt>
                <c:pt idx="1535">
                  <c:v>99</c:v>
                </c:pt>
                <c:pt idx="1536">
                  <c:v>105</c:v>
                </c:pt>
                <c:pt idx="1537">
                  <c:v>113</c:v>
                </c:pt>
                <c:pt idx="1538">
                  <c:v>93</c:v>
                </c:pt>
                <c:pt idx="1539">
                  <c:v>108</c:v>
                </c:pt>
                <c:pt idx="1540">
                  <c:v>74</c:v>
                </c:pt>
                <c:pt idx="1541">
                  <c:v>116</c:v>
                </c:pt>
                <c:pt idx="1542">
                  <c:v>104</c:v>
                </c:pt>
                <c:pt idx="1543">
                  <c:v>106</c:v>
                </c:pt>
                <c:pt idx="1544">
                  <c:v>120</c:v>
                </c:pt>
                <c:pt idx="1545">
                  <c:v>135</c:v>
                </c:pt>
                <c:pt idx="1546">
                  <c:v>132</c:v>
                </c:pt>
                <c:pt idx="1547">
                  <c:v>92</c:v>
                </c:pt>
                <c:pt idx="1548">
                  <c:v>99</c:v>
                </c:pt>
                <c:pt idx="1549">
                  <c:v>90</c:v>
                </c:pt>
                <c:pt idx="1550">
                  <c:v>111</c:v>
                </c:pt>
                <c:pt idx="1551">
                  <c:v>103</c:v>
                </c:pt>
                <c:pt idx="1552">
                  <c:v>127</c:v>
                </c:pt>
                <c:pt idx="1553">
                  <c:v>112</c:v>
                </c:pt>
                <c:pt idx="1554">
                  <c:v>87</c:v>
                </c:pt>
                <c:pt idx="1555">
                  <c:v>138</c:v>
                </c:pt>
                <c:pt idx="1556">
                  <c:v>132</c:v>
                </c:pt>
                <c:pt idx="1557">
                  <c:v>103</c:v>
                </c:pt>
                <c:pt idx="1558">
                  <c:v>123</c:v>
                </c:pt>
                <c:pt idx="1559">
                  <c:v>111</c:v>
                </c:pt>
                <c:pt idx="1560">
                  <c:v>102</c:v>
                </c:pt>
                <c:pt idx="1561">
                  <c:v>78</c:v>
                </c:pt>
                <c:pt idx="1562">
                  <c:v>132</c:v>
                </c:pt>
                <c:pt idx="1563">
                  <c:v>133</c:v>
                </c:pt>
                <c:pt idx="1564">
                  <c:v>108</c:v>
                </c:pt>
                <c:pt idx="1565">
                  <c:v>125</c:v>
                </c:pt>
                <c:pt idx="1566">
                  <c:v>98</c:v>
                </c:pt>
                <c:pt idx="1567">
                  <c:v>119</c:v>
                </c:pt>
                <c:pt idx="1568">
                  <c:v>87</c:v>
                </c:pt>
                <c:pt idx="1569">
                  <c:v>91</c:v>
                </c:pt>
                <c:pt idx="1570">
                  <c:v>100</c:v>
                </c:pt>
                <c:pt idx="1571">
                  <c:v>118</c:v>
                </c:pt>
                <c:pt idx="1572">
                  <c:v>109</c:v>
                </c:pt>
                <c:pt idx="1573">
                  <c:v>99</c:v>
                </c:pt>
                <c:pt idx="1574">
                  <c:v>114</c:v>
                </c:pt>
                <c:pt idx="1575">
                  <c:v>89</c:v>
                </c:pt>
                <c:pt idx="1576">
                  <c:v>95</c:v>
                </c:pt>
                <c:pt idx="1577">
                  <c:v>98</c:v>
                </c:pt>
                <c:pt idx="1578">
                  <c:v>94</c:v>
                </c:pt>
                <c:pt idx="1579">
                  <c:v>85</c:v>
                </c:pt>
                <c:pt idx="1580">
                  <c:v>124</c:v>
                </c:pt>
                <c:pt idx="1581">
                  <c:v>131</c:v>
                </c:pt>
                <c:pt idx="1582">
                  <c:v>107</c:v>
                </c:pt>
                <c:pt idx="1583">
                  <c:v>99</c:v>
                </c:pt>
                <c:pt idx="1584">
                  <c:v>83</c:v>
                </c:pt>
                <c:pt idx="1585">
                  <c:v>131</c:v>
                </c:pt>
                <c:pt idx="1586">
                  <c:v>85</c:v>
                </c:pt>
                <c:pt idx="1587">
                  <c:v>126</c:v>
                </c:pt>
                <c:pt idx="1588">
                  <c:v>102</c:v>
                </c:pt>
                <c:pt idx="1589">
                  <c:v>123</c:v>
                </c:pt>
                <c:pt idx="1590">
                  <c:v>105</c:v>
                </c:pt>
                <c:pt idx="1591">
                  <c:v>125</c:v>
                </c:pt>
                <c:pt idx="1592">
                  <c:v>92</c:v>
                </c:pt>
                <c:pt idx="1593">
                  <c:v>77</c:v>
                </c:pt>
                <c:pt idx="1594">
                  <c:v>118</c:v>
                </c:pt>
                <c:pt idx="1595">
                  <c:v>121</c:v>
                </c:pt>
                <c:pt idx="1596">
                  <c:v>124</c:v>
                </c:pt>
                <c:pt idx="1597">
                  <c:v>99</c:v>
                </c:pt>
                <c:pt idx="1598">
                  <c:v>112</c:v>
                </c:pt>
                <c:pt idx="1599">
                  <c:v>111</c:v>
                </c:pt>
                <c:pt idx="1600">
                  <c:v>107</c:v>
                </c:pt>
                <c:pt idx="1601">
                  <c:v>104</c:v>
                </c:pt>
                <c:pt idx="1602">
                  <c:v>113</c:v>
                </c:pt>
                <c:pt idx="1603">
                  <c:v>113</c:v>
                </c:pt>
                <c:pt idx="1604">
                  <c:v>95</c:v>
                </c:pt>
                <c:pt idx="1605">
                  <c:v>86</c:v>
                </c:pt>
                <c:pt idx="1606">
                  <c:v>126</c:v>
                </c:pt>
                <c:pt idx="1607">
                  <c:v>101</c:v>
                </c:pt>
                <c:pt idx="1608">
                  <c:v>102</c:v>
                </c:pt>
                <c:pt idx="1609">
                  <c:v>111</c:v>
                </c:pt>
                <c:pt idx="1610">
                  <c:v>95</c:v>
                </c:pt>
                <c:pt idx="1611">
                  <c:v>98</c:v>
                </c:pt>
                <c:pt idx="1612">
                  <c:v>100</c:v>
                </c:pt>
                <c:pt idx="1613">
                  <c:v>118</c:v>
                </c:pt>
                <c:pt idx="1614">
                  <c:v>125</c:v>
                </c:pt>
                <c:pt idx="1615">
                  <c:v>94</c:v>
                </c:pt>
                <c:pt idx="1616">
                  <c:v>79</c:v>
                </c:pt>
                <c:pt idx="1617">
                  <c:v>106</c:v>
                </c:pt>
                <c:pt idx="1618">
                  <c:v>111</c:v>
                </c:pt>
                <c:pt idx="1619">
                  <c:v>63</c:v>
                </c:pt>
                <c:pt idx="1620">
                  <c:v>85</c:v>
                </c:pt>
                <c:pt idx="1621">
                  <c:v>108</c:v>
                </c:pt>
                <c:pt idx="1622">
                  <c:v>139</c:v>
                </c:pt>
                <c:pt idx="1623">
                  <c:v>127</c:v>
                </c:pt>
                <c:pt idx="1624">
                  <c:v>106</c:v>
                </c:pt>
                <c:pt idx="1625">
                  <c:v>95</c:v>
                </c:pt>
                <c:pt idx="1626">
                  <c:v>118</c:v>
                </c:pt>
                <c:pt idx="1627">
                  <c:v>108</c:v>
                </c:pt>
                <c:pt idx="1628">
                  <c:v>105</c:v>
                </c:pt>
                <c:pt idx="1629">
                  <c:v>131</c:v>
                </c:pt>
                <c:pt idx="1630">
                  <c:v>104</c:v>
                </c:pt>
                <c:pt idx="1631">
                  <c:v>133</c:v>
                </c:pt>
                <c:pt idx="1632">
                  <c:v>94</c:v>
                </c:pt>
                <c:pt idx="1633">
                  <c:v>109</c:v>
                </c:pt>
                <c:pt idx="1634">
                  <c:v>96</c:v>
                </c:pt>
                <c:pt idx="1635">
                  <c:v>105</c:v>
                </c:pt>
                <c:pt idx="1636">
                  <c:v>99</c:v>
                </c:pt>
                <c:pt idx="1637">
                  <c:v>112</c:v>
                </c:pt>
                <c:pt idx="1638">
                  <c:v>108</c:v>
                </c:pt>
                <c:pt idx="1639">
                  <c:v>126</c:v>
                </c:pt>
                <c:pt idx="1640">
                  <c:v>98</c:v>
                </c:pt>
                <c:pt idx="1641">
                  <c:v>104</c:v>
                </c:pt>
                <c:pt idx="1642">
                  <c:v>110</c:v>
                </c:pt>
                <c:pt idx="1643">
                  <c:v>130</c:v>
                </c:pt>
                <c:pt idx="1644">
                  <c:v>93</c:v>
                </c:pt>
                <c:pt idx="1645">
                  <c:v>96</c:v>
                </c:pt>
                <c:pt idx="1646">
                  <c:v>114</c:v>
                </c:pt>
                <c:pt idx="1647">
                  <c:v>106</c:v>
                </c:pt>
                <c:pt idx="1648">
                  <c:v>150</c:v>
                </c:pt>
                <c:pt idx="1649">
                  <c:v>100</c:v>
                </c:pt>
                <c:pt idx="1650">
                  <c:v>100</c:v>
                </c:pt>
                <c:pt idx="1651">
                  <c:v>100</c:v>
                </c:pt>
                <c:pt idx="1652">
                  <c:v>107</c:v>
                </c:pt>
                <c:pt idx="1653">
                  <c:v>102</c:v>
                </c:pt>
                <c:pt idx="1654">
                  <c:v>101</c:v>
                </c:pt>
                <c:pt idx="1655">
                  <c:v>86</c:v>
                </c:pt>
                <c:pt idx="1656">
                  <c:v>108</c:v>
                </c:pt>
                <c:pt idx="1657">
                  <c:v>123</c:v>
                </c:pt>
                <c:pt idx="1658">
                  <c:v>134</c:v>
                </c:pt>
                <c:pt idx="1659">
                  <c:v>88</c:v>
                </c:pt>
                <c:pt idx="1660">
                  <c:v>109</c:v>
                </c:pt>
                <c:pt idx="1661">
                  <c:v>122</c:v>
                </c:pt>
                <c:pt idx="1662">
                  <c:v>251</c:v>
                </c:pt>
                <c:pt idx="1663">
                  <c:v>118</c:v>
                </c:pt>
                <c:pt idx="1664">
                  <c:v>131</c:v>
                </c:pt>
                <c:pt idx="1665">
                  <c:v>109</c:v>
                </c:pt>
                <c:pt idx="1666">
                  <c:v>80</c:v>
                </c:pt>
                <c:pt idx="1667">
                  <c:v>88</c:v>
                </c:pt>
                <c:pt idx="1668">
                  <c:v>103</c:v>
                </c:pt>
                <c:pt idx="1669">
                  <c:v>87</c:v>
                </c:pt>
                <c:pt idx="1670">
                  <c:v>160</c:v>
                </c:pt>
                <c:pt idx="1671">
                  <c:v>121</c:v>
                </c:pt>
                <c:pt idx="1672">
                  <c:v>91</c:v>
                </c:pt>
                <c:pt idx="1673">
                  <c:v>92</c:v>
                </c:pt>
                <c:pt idx="1674">
                  <c:v>129</c:v>
                </c:pt>
                <c:pt idx="1675">
                  <c:v>93</c:v>
                </c:pt>
                <c:pt idx="1676">
                  <c:v>118</c:v>
                </c:pt>
                <c:pt idx="1677">
                  <c:v>110</c:v>
                </c:pt>
                <c:pt idx="1678">
                  <c:v>103</c:v>
                </c:pt>
                <c:pt idx="1679">
                  <c:v>85</c:v>
                </c:pt>
                <c:pt idx="1680">
                  <c:v>110</c:v>
                </c:pt>
                <c:pt idx="1681">
                  <c:v>89</c:v>
                </c:pt>
                <c:pt idx="1682">
                  <c:v>115</c:v>
                </c:pt>
                <c:pt idx="1683">
                  <c:v>153</c:v>
                </c:pt>
                <c:pt idx="1684">
                  <c:v>128</c:v>
                </c:pt>
                <c:pt idx="1685">
                  <c:v>89</c:v>
                </c:pt>
                <c:pt idx="1686">
                  <c:v>122</c:v>
                </c:pt>
                <c:pt idx="1687">
                  <c:v>113</c:v>
                </c:pt>
                <c:pt idx="1688">
                  <c:v>99</c:v>
                </c:pt>
                <c:pt idx="1689">
                  <c:v>99</c:v>
                </c:pt>
                <c:pt idx="1690">
                  <c:v>147</c:v>
                </c:pt>
                <c:pt idx="1691">
                  <c:v>112</c:v>
                </c:pt>
                <c:pt idx="1692">
                  <c:v>88</c:v>
                </c:pt>
                <c:pt idx="1693">
                  <c:v>94</c:v>
                </c:pt>
                <c:pt idx="1694">
                  <c:v>90</c:v>
                </c:pt>
                <c:pt idx="1695">
                  <c:v>167</c:v>
                </c:pt>
                <c:pt idx="1696">
                  <c:v>118</c:v>
                </c:pt>
                <c:pt idx="1697">
                  <c:v>83</c:v>
                </c:pt>
                <c:pt idx="1698">
                  <c:v>104</c:v>
                </c:pt>
                <c:pt idx="1699">
                  <c:v>110</c:v>
                </c:pt>
                <c:pt idx="1700">
                  <c:v>102</c:v>
                </c:pt>
                <c:pt idx="1701">
                  <c:v>131</c:v>
                </c:pt>
                <c:pt idx="1702">
                  <c:v>101</c:v>
                </c:pt>
                <c:pt idx="1703">
                  <c:v>130</c:v>
                </c:pt>
                <c:pt idx="1704">
                  <c:v>120</c:v>
                </c:pt>
                <c:pt idx="1705">
                  <c:v>135</c:v>
                </c:pt>
                <c:pt idx="1706">
                  <c:v>110</c:v>
                </c:pt>
                <c:pt idx="1707">
                  <c:v>103</c:v>
                </c:pt>
                <c:pt idx="1708">
                  <c:v>115</c:v>
                </c:pt>
                <c:pt idx="1709">
                  <c:v>110</c:v>
                </c:pt>
                <c:pt idx="1710">
                  <c:v>91</c:v>
                </c:pt>
                <c:pt idx="1711">
                  <c:v>105</c:v>
                </c:pt>
                <c:pt idx="1712">
                  <c:v>127</c:v>
                </c:pt>
                <c:pt idx="1713">
                  <c:v>82</c:v>
                </c:pt>
                <c:pt idx="1714">
                  <c:v>99</c:v>
                </c:pt>
                <c:pt idx="1715">
                  <c:v>90</c:v>
                </c:pt>
                <c:pt idx="1716">
                  <c:v>115</c:v>
                </c:pt>
                <c:pt idx="1717">
                  <c:v>96</c:v>
                </c:pt>
                <c:pt idx="1718">
                  <c:v>104</c:v>
                </c:pt>
                <c:pt idx="1719">
                  <c:v>117</c:v>
                </c:pt>
                <c:pt idx="1720">
                  <c:v>83</c:v>
                </c:pt>
                <c:pt idx="1721">
                  <c:v>99</c:v>
                </c:pt>
                <c:pt idx="1722">
                  <c:v>81</c:v>
                </c:pt>
                <c:pt idx="1723">
                  <c:v>135</c:v>
                </c:pt>
                <c:pt idx="1724">
                  <c:v>117</c:v>
                </c:pt>
                <c:pt idx="1725">
                  <c:v>139</c:v>
                </c:pt>
                <c:pt idx="1726">
                  <c:v>123</c:v>
                </c:pt>
                <c:pt idx="1727">
                  <c:v>117</c:v>
                </c:pt>
                <c:pt idx="1728">
                  <c:v>97</c:v>
                </c:pt>
                <c:pt idx="1729">
                  <c:v>81</c:v>
                </c:pt>
                <c:pt idx="1730">
                  <c:v>103</c:v>
                </c:pt>
                <c:pt idx="1731">
                  <c:v>119</c:v>
                </c:pt>
                <c:pt idx="1732">
                  <c:v>94</c:v>
                </c:pt>
                <c:pt idx="1733">
                  <c:v>89</c:v>
                </c:pt>
                <c:pt idx="1734">
                  <c:v>98</c:v>
                </c:pt>
                <c:pt idx="1735">
                  <c:v>107</c:v>
                </c:pt>
                <c:pt idx="1736">
                  <c:v>108</c:v>
                </c:pt>
                <c:pt idx="1737">
                  <c:v>134</c:v>
                </c:pt>
                <c:pt idx="1738">
                  <c:v>110</c:v>
                </c:pt>
                <c:pt idx="1739">
                  <c:v>103</c:v>
                </c:pt>
                <c:pt idx="1740">
                  <c:v>145</c:v>
                </c:pt>
                <c:pt idx="1741">
                  <c:v>100</c:v>
                </c:pt>
                <c:pt idx="1742">
                  <c:v>131</c:v>
                </c:pt>
                <c:pt idx="1743">
                  <c:v>133</c:v>
                </c:pt>
                <c:pt idx="1744">
                  <c:v>109</c:v>
                </c:pt>
                <c:pt idx="1745">
                  <c:v>114</c:v>
                </c:pt>
                <c:pt idx="1746">
                  <c:v>164</c:v>
                </c:pt>
                <c:pt idx="1747">
                  <c:v>92</c:v>
                </c:pt>
                <c:pt idx="1748">
                  <c:v>122</c:v>
                </c:pt>
                <c:pt idx="1749">
                  <c:v>110</c:v>
                </c:pt>
                <c:pt idx="1750">
                  <c:v>116</c:v>
                </c:pt>
                <c:pt idx="1751">
                  <c:v>115</c:v>
                </c:pt>
                <c:pt idx="1752">
                  <c:v>148</c:v>
                </c:pt>
                <c:pt idx="1753">
                  <c:v>119</c:v>
                </c:pt>
                <c:pt idx="1754">
                  <c:v>118</c:v>
                </c:pt>
                <c:pt idx="1755">
                  <c:v>101</c:v>
                </c:pt>
                <c:pt idx="1756">
                  <c:v>82</c:v>
                </c:pt>
                <c:pt idx="1757">
                  <c:v>110</c:v>
                </c:pt>
                <c:pt idx="1758">
                  <c:v>193</c:v>
                </c:pt>
                <c:pt idx="1759">
                  <c:v>130</c:v>
                </c:pt>
                <c:pt idx="1760">
                  <c:v>94</c:v>
                </c:pt>
                <c:pt idx="1761">
                  <c:v>111</c:v>
                </c:pt>
                <c:pt idx="1762">
                  <c:v>110</c:v>
                </c:pt>
                <c:pt idx="1763">
                  <c:v>109</c:v>
                </c:pt>
                <c:pt idx="1764">
                  <c:v>123</c:v>
                </c:pt>
                <c:pt idx="1765">
                  <c:v>109</c:v>
                </c:pt>
                <c:pt idx="1766">
                  <c:v>99</c:v>
                </c:pt>
                <c:pt idx="1767">
                  <c:v>106</c:v>
                </c:pt>
                <c:pt idx="1768">
                  <c:v>89</c:v>
                </c:pt>
                <c:pt idx="1769">
                  <c:v>98</c:v>
                </c:pt>
                <c:pt idx="1770">
                  <c:v>93</c:v>
                </c:pt>
                <c:pt idx="1771">
                  <c:v>112</c:v>
                </c:pt>
                <c:pt idx="1772">
                  <c:v>101</c:v>
                </c:pt>
                <c:pt idx="1773">
                  <c:v>104</c:v>
                </c:pt>
                <c:pt idx="1774">
                  <c:v>120</c:v>
                </c:pt>
                <c:pt idx="1775">
                  <c:v>135</c:v>
                </c:pt>
                <c:pt idx="1776">
                  <c:v>91</c:v>
                </c:pt>
                <c:pt idx="1777">
                  <c:v>97</c:v>
                </c:pt>
                <c:pt idx="1778">
                  <c:v>133</c:v>
                </c:pt>
                <c:pt idx="1779">
                  <c:v>123</c:v>
                </c:pt>
                <c:pt idx="1780">
                  <c:v>114</c:v>
                </c:pt>
                <c:pt idx="1781">
                  <c:v>111</c:v>
                </c:pt>
                <c:pt idx="1782">
                  <c:v>117</c:v>
                </c:pt>
                <c:pt idx="1783">
                  <c:v>121</c:v>
                </c:pt>
                <c:pt idx="1784">
                  <c:v>139</c:v>
                </c:pt>
                <c:pt idx="1785">
                  <c:v>115</c:v>
                </c:pt>
                <c:pt idx="1786">
                  <c:v>175</c:v>
                </c:pt>
                <c:pt idx="1787">
                  <c:v>85</c:v>
                </c:pt>
                <c:pt idx="1788">
                  <c:v>90</c:v>
                </c:pt>
                <c:pt idx="1789">
                  <c:v>107</c:v>
                </c:pt>
                <c:pt idx="1790">
                  <c:v>100</c:v>
                </c:pt>
                <c:pt idx="1791">
                  <c:v>129</c:v>
                </c:pt>
                <c:pt idx="1792">
                  <c:v>109</c:v>
                </c:pt>
                <c:pt idx="1793">
                  <c:v>94</c:v>
                </c:pt>
                <c:pt idx="1794">
                  <c:v>133</c:v>
                </c:pt>
                <c:pt idx="1795">
                  <c:v>105</c:v>
                </c:pt>
                <c:pt idx="1796">
                  <c:v>100</c:v>
                </c:pt>
                <c:pt idx="1797">
                  <c:v>113</c:v>
                </c:pt>
                <c:pt idx="1798">
                  <c:v>118</c:v>
                </c:pt>
                <c:pt idx="1799">
                  <c:v>110</c:v>
                </c:pt>
                <c:pt idx="1800">
                  <c:v>110</c:v>
                </c:pt>
                <c:pt idx="1801">
                  <c:v>99</c:v>
                </c:pt>
                <c:pt idx="1802">
                  <c:v>101</c:v>
                </c:pt>
                <c:pt idx="1803">
                  <c:v>100</c:v>
                </c:pt>
                <c:pt idx="1804">
                  <c:v>103</c:v>
                </c:pt>
                <c:pt idx="1805">
                  <c:v>100</c:v>
                </c:pt>
                <c:pt idx="1806">
                  <c:v>95</c:v>
                </c:pt>
                <c:pt idx="1807">
                  <c:v>117</c:v>
                </c:pt>
                <c:pt idx="1808">
                  <c:v>129</c:v>
                </c:pt>
                <c:pt idx="1809">
                  <c:v>120</c:v>
                </c:pt>
                <c:pt idx="1810">
                  <c:v>125</c:v>
                </c:pt>
                <c:pt idx="1811">
                  <c:v>133</c:v>
                </c:pt>
                <c:pt idx="1812">
                  <c:v>116</c:v>
                </c:pt>
                <c:pt idx="1813">
                  <c:v>129</c:v>
                </c:pt>
                <c:pt idx="1814">
                  <c:v>93</c:v>
                </c:pt>
                <c:pt idx="1815">
                  <c:v>118</c:v>
                </c:pt>
                <c:pt idx="1816">
                  <c:v>129</c:v>
                </c:pt>
                <c:pt idx="1817">
                  <c:v>185</c:v>
                </c:pt>
                <c:pt idx="1818">
                  <c:v>146</c:v>
                </c:pt>
                <c:pt idx="1819">
                  <c:v>128</c:v>
                </c:pt>
                <c:pt idx="1820">
                  <c:v>93</c:v>
                </c:pt>
                <c:pt idx="1821">
                  <c:v>107</c:v>
                </c:pt>
                <c:pt idx="1822">
                  <c:v>97</c:v>
                </c:pt>
                <c:pt idx="1823">
                  <c:v>101</c:v>
                </c:pt>
                <c:pt idx="1824">
                  <c:v>82</c:v>
                </c:pt>
                <c:pt idx="1825">
                  <c:v>85</c:v>
                </c:pt>
                <c:pt idx="1826">
                  <c:v>88</c:v>
                </c:pt>
                <c:pt idx="1827">
                  <c:v>119</c:v>
                </c:pt>
                <c:pt idx="1828">
                  <c:v>122</c:v>
                </c:pt>
                <c:pt idx="1829">
                  <c:v>99</c:v>
                </c:pt>
                <c:pt idx="1830">
                  <c:v>97</c:v>
                </c:pt>
                <c:pt idx="1831">
                  <c:v>121</c:v>
                </c:pt>
                <c:pt idx="1832">
                  <c:v>95</c:v>
                </c:pt>
                <c:pt idx="1833">
                  <c:v>105</c:v>
                </c:pt>
                <c:pt idx="1834">
                  <c:v>108</c:v>
                </c:pt>
                <c:pt idx="1835">
                  <c:v>134</c:v>
                </c:pt>
                <c:pt idx="1836">
                  <c:v>115</c:v>
                </c:pt>
                <c:pt idx="1837">
                  <c:v>107</c:v>
                </c:pt>
                <c:pt idx="1838">
                  <c:v>86</c:v>
                </c:pt>
                <c:pt idx="1839">
                  <c:v>101</c:v>
                </c:pt>
                <c:pt idx="1840">
                  <c:v>96</c:v>
                </c:pt>
                <c:pt idx="1841">
                  <c:v>101</c:v>
                </c:pt>
                <c:pt idx="1842">
                  <c:v>100</c:v>
                </c:pt>
                <c:pt idx="1843">
                  <c:v>117</c:v>
                </c:pt>
                <c:pt idx="1844">
                  <c:v>101</c:v>
                </c:pt>
                <c:pt idx="1845">
                  <c:v>98</c:v>
                </c:pt>
                <c:pt idx="1846">
                  <c:v>146</c:v>
                </c:pt>
                <c:pt idx="1847">
                  <c:v>102</c:v>
                </c:pt>
                <c:pt idx="1848">
                  <c:v>97</c:v>
                </c:pt>
                <c:pt idx="1849">
                  <c:v>142</c:v>
                </c:pt>
                <c:pt idx="1850">
                  <c:v>98</c:v>
                </c:pt>
                <c:pt idx="1851">
                  <c:v>219</c:v>
                </c:pt>
                <c:pt idx="1852">
                  <c:v>109</c:v>
                </c:pt>
                <c:pt idx="1853">
                  <c:v>97</c:v>
                </c:pt>
                <c:pt idx="1854">
                  <c:v>158</c:v>
                </c:pt>
                <c:pt idx="1855">
                  <c:v>85</c:v>
                </c:pt>
                <c:pt idx="1856">
                  <c:v>80</c:v>
                </c:pt>
                <c:pt idx="1857">
                  <c:v>86</c:v>
                </c:pt>
                <c:pt idx="1858">
                  <c:v>119</c:v>
                </c:pt>
                <c:pt idx="1859">
                  <c:v>98</c:v>
                </c:pt>
                <c:pt idx="1860">
                  <c:v>97</c:v>
                </c:pt>
                <c:pt idx="1861">
                  <c:v>105</c:v>
                </c:pt>
                <c:pt idx="1862">
                  <c:v>124</c:v>
                </c:pt>
                <c:pt idx="1863">
                  <c:v>97</c:v>
                </c:pt>
                <c:pt idx="1864">
                  <c:v>105</c:v>
                </c:pt>
                <c:pt idx="1865">
                  <c:v>104</c:v>
                </c:pt>
                <c:pt idx="1866">
                  <c:v>101</c:v>
                </c:pt>
                <c:pt idx="1867">
                  <c:v>101</c:v>
                </c:pt>
                <c:pt idx="1868">
                  <c:v>114</c:v>
                </c:pt>
                <c:pt idx="1869">
                  <c:v>105</c:v>
                </c:pt>
                <c:pt idx="1870">
                  <c:v>90</c:v>
                </c:pt>
                <c:pt idx="1871">
                  <c:v>97</c:v>
                </c:pt>
                <c:pt idx="1872">
                  <c:v>144</c:v>
                </c:pt>
                <c:pt idx="1873">
                  <c:v>114</c:v>
                </c:pt>
                <c:pt idx="1874">
                  <c:v>124</c:v>
                </c:pt>
                <c:pt idx="1875">
                  <c:v>89</c:v>
                </c:pt>
                <c:pt idx="1876">
                  <c:v>160</c:v>
                </c:pt>
                <c:pt idx="1877">
                  <c:v>93</c:v>
                </c:pt>
                <c:pt idx="1878">
                  <c:v>87</c:v>
                </c:pt>
                <c:pt idx="1879">
                  <c:v>88</c:v>
                </c:pt>
                <c:pt idx="1880">
                  <c:v>142</c:v>
                </c:pt>
                <c:pt idx="1881">
                  <c:v>92</c:v>
                </c:pt>
                <c:pt idx="1882">
                  <c:v>117</c:v>
                </c:pt>
                <c:pt idx="1883">
                  <c:v>111</c:v>
                </c:pt>
                <c:pt idx="1884">
                  <c:v>121</c:v>
                </c:pt>
                <c:pt idx="1885">
                  <c:v>98</c:v>
                </c:pt>
                <c:pt idx="1886">
                  <c:v>107</c:v>
                </c:pt>
                <c:pt idx="1887">
                  <c:v>106</c:v>
                </c:pt>
                <c:pt idx="1888">
                  <c:v>136</c:v>
                </c:pt>
                <c:pt idx="1889">
                  <c:v>97</c:v>
                </c:pt>
                <c:pt idx="1890">
                  <c:v>108</c:v>
                </c:pt>
                <c:pt idx="1891">
                  <c:v>97</c:v>
                </c:pt>
                <c:pt idx="1892">
                  <c:v>99</c:v>
                </c:pt>
                <c:pt idx="1893">
                  <c:v>103</c:v>
                </c:pt>
                <c:pt idx="1894">
                  <c:v>95</c:v>
                </c:pt>
                <c:pt idx="1895">
                  <c:v>93</c:v>
                </c:pt>
                <c:pt idx="1896">
                  <c:v>98</c:v>
                </c:pt>
                <c:pt idx="1897">
                  <c:v>90</c:v>
                </c:pt>
                <c:pt idx="1898">
                  <c:v>107</c:v>
                </c:pt>
                <c:pt idx="1899">
                  <c:v>90</c:v>
                </c:pt>
                <c:pt idx="1900">
                  <c:v>120</c:v>
                </c:pt>
                <c:pt idx="1901">
                  <c:v>115</c:v>
                </c:pt>
                <c:pt idx="1902">
                  <c:v>93</c:v>
                </c:pt>
                <c:pt idx="1903">
                  <c:v>99</c:v>
                </c:pt>
                <c:pt idx="1904">
                  <c:v>107</c:v>
                </c:pt>
                <c:pt idx="1905">
                  <c:v>110</c:v>
                </c:pt>
                <c:pt idx="1906">
                  <c:v>101</c:v>
                </c:pt>
                <c:pt idx="1907">
                  <c:v>85</c:v>
                </c:pt>
                <c:pt idx="1908">
                  <c:v>132</c:v>
                </c:pt>
                <c:pt idx="1909">
                  <c:v>88</c:v>
                </c:pt>
                <c:pt idx="1910">
                  <c:v>90</c:v>
                </c:pt>
                <c:pt idx="1911">
                  <c:v>145</c:v>
                </c:pt>
                <c:pt idx="1912">
                  <c:v>110</c:v>
                </c:pt>
                <c:pt idx="1913">
                  <c:v>101</c:v>
                </c:pt>
                <c:pt idx="1914">
                  <c:v>122</c:v>
                </c:pt>
                <c:pt idx="1915">
                  <c:v>107</c:v>
                </c:pt>
                <c:pt idx="1916">
                  <c:v>127</c:v>
                </c:pt>
                <c:pt idx="1917">
                  <c:v>99</c:v>
                </c:pt>
                <c:pt idx="1918">
                  <c:v>104</c:v>
                </c:pt>
                <c:pt idx="1919">
                  <c:v>140</c:v>
                </c:pt>
                <c:pt idx="1920">
                  <c:v>133</c:v>
                </c:pt>
                <c:pt idx="1921">
                  <c:v>271</c:v>
                </c:pt>
                <c:pt idx="1922">
                  <c:v>112</c:v>
                </c:pt>
                <c:pt idx="1923">
                  <c:v>99</c:v>
                </c:pt>
                <c:pt idx="1924">
                  <c:v>100</c:v>
                </c:pt>
                <c:pt idx="1925">
                  <c:v>92</c:v>
                </c:pt>
                <c:pt idx="1926">
                  <c:v>105</c:v>
                </c:pt>
                <c:pt idx="1927">
                  <c:v>110</c:v>
                </c:pt>
                <c:pt idx="1928">
                  <c:v>116</c:v>
                </c:pt>
                <c:pt idx="1929">
                  <c:v>88</c:v>
                </c:pt>
                <c:pt idx="1930">
                  <c:v>111</c:v>
                </c:pt>
                <c:pt idx="1931">
                  <c:v>117</c:v>
                </c:pt>
                <c:pt idx="1932">
                  <c:v>95</c:v>
                </c:pt>
                <c:pt idx="1933">
                  <c:v>95</c:v>
                </c:pt>
                <c:pt idx="1934">
                  <c:v>127</c:v>
                </c:pt>
                <c:pt idx="1935">
                  <c:v>104</c:v>
                </c:pt>
                <c:pt idx="1936">
                  <c:v>95</c:v>
                </c:pt>
                <c:pt idx="1937">
                  <c:v>121</c:v>
                </c:pt>
                <c:pt idx="1938">
                  <c:v>92</c:v>
                </c:pt>
                <c:pt idx="1939">
                  <c:v>80</c:v>
                </c:pt>
                <c:pt idx="1940">
                  <c:v>107</c:v>
                </c:pt>
                <c:pt idx="1941">
                  <c:v>91</c:v>
                </c:pt>
                <c:pt idx="1942">
                  <c:v>117</c:v>
                </c:pt>
                <c:pt idx="1943">
                  <c:v>107</c:v>
                </c:pt>
                <c:pt idx="1944">
                  <c:v>131</c:v>
                </c:pt>
                <c:pt idx="1945">
                  <c:v>122</c:v>
                </c:pt>
                <c:pt idx="1946">
                  <c:v>88</c:v>
                </c:pt>
                <c:pt idx="1947">
                  <c:v>134</c:v>
                </c:pt>
                <c:pt idx="1948">
                  <c:v>117</c:v>
                </c:pt>
                <c:pt idx="1949">
                  <c:v>80</c:v>
                </c:pt>
                <c:pt idx="1950">
                  <c:v>85</c:v>
                </c:pt>
                <c:pt idx="1951">
                  <c:v>138</c:v>
                </c:pt>
                <c:pt idx="1952">
                  <c:v>121</c:v>
                </c:pt>
                <c:pt idx="1953">
                  <c:v>134</c:v>
                </c:pt>
                <c:pt idx="1954">
                  <c:v>100</c:v>
                </c:pt>
                <c:pt idx="1955">
                  <c:v>100</c:v>
                </c:pt>
                <c:pt idx="1956">
                  <c:v>119</c:v>
                </c:pt>
                <c:pt idx="1957">
                  <c:v>137</c:v>
                </c:pt>
                <c:pt idx="1958">
                  <c:v>119</c:v>
                </c:pt>
                <c:pt idx="1959">
                  <c:v>139</c:v>
                </c:pt>
                <c:pt idx="1960">
                  <c:v>120</c:v>
                </c:pt>
                <c:pt idx="1961">
                  <c:v>98</c:v>
                </c:pt>
                <c:pt idx="1962">
                  <c:v>106</c:v>
                </c:pt>
                <c:pt idx="1963">
                  <c:v>98</c:v>
                </c:pt>
                <c:pt idx="1964">
                  <c:v>107</c:v>
                </c:pt>
                <c:pt idx="1965">
                  <c:v>88</c:v>
                </c:pt>
                <c:pt idx="1966">
                  <c:v>137</c:v>
                </c:pt>
                <c:pt idx="1967">
                  <c:v>100</c:v>
                </c:pt>
                <c:pt idx="1968">
                  <c:v>115</c:v>
                </c:pt>
                <c:pt idx="1969">
                  <c:v>101</c:v>
                </c:pt>
                <c:pt idx="1970">
                  <c:v>110</c:v>
                </c:pt>
                <c:pt idx="1971">
                  <c:v>94</c:v>
                </c:pt>
                <c:pt idx="1972">
                  <c:v>88</c:v>
                </c:pt>
                <c:pt idx="1973">
                  <c:v>127</c:v>
                </c:pt>
                <c:pt idx="1974">
                  <c:v>95</c:v>
                </c:pt>
                <c:pt idx="1975">
                  <c:v>87</c:v>
                </c:pt>
                <c:pt idx="1976">
                  <c:v>118</c:v>
                </c:pt>
                <c:pt idx="1977">
                  <c:v>107</c:v>
                </c:pt>
                <c:pt idx="1978">
                  <c:v>124</c:v>
                </c:pt>
                <c:pt idx="1979">
                  <c:v>89</c:v>
                </c:pt>
                <c:pt idx="1980">
                  <c:v>88</c:v>
                </c:pt>
                <c:pt idx="1981">
                  <c:v>118</c:v>
                </c:pt>
                <c:pt idx="1982">
                  <c:v>93</c:v>
                </c:pt>
                <c:pt idx="1983">
                  <c:v>80</c:v>
                </c:pt>
                <c:pt idx="1984">
                  <c:v>120</c:v>
                </c:pt>
                <c:pt idx="1985">
                  <c:v>98</c:v>
                </c:pt>
                <c:pt idx="1986">
                  <c:v>119</c:v>
                </c:pt>
                <c:pt idx="1987">
                  <c:v>88</c:v>
                </c:pt>
                <c:pt idx="1988">
                  <c:v>90</c:v>
                </c:pt>
                <c:pt idx="1989">
                  <c:v>127</c:v>
                </c:pt>
                <c:pt idx="1990">
                  <c:v>119</c:v>
                </c:pt>
                <c:pt idx="1991">
                  <c:v>85</c:v>
                </c:pt>
                <c:pt idx="1992">
                  <c:v>98</c:v>
                </c:pt>
                <c:pt idx="1993">
                  <c:v>101</c:v>
                </c:pt>
                <c:pt idx="1994">
                  <c:v>112</c:v>
                </c:pt>
                <c:pt idx="1995">
                  <c:v>97</c:v>
                </c:pt>
                <c:pt idx="1996">
                  <c:v>126</c:v>
                </c:pt>
                <c:pt idx="1997">
                  <c:v>97</c:v>
                </c:pt>
                <c:pt idx="1998">
                  <c:v>100</c:v>
                </c:pt>
                <c:pt idx="1999">
                  <c:v>114</c:v>
                </c:pt>
                <c:pt idx="2000">
                  <c:v>88</c:v>
                </c:pt>
                <c:pt idx="2001">
                  <c:v>93</c:v>
                </c:pt>
                <c:pt idx="2002">
                  <c:v>92</c:v>
                </c:pt>
                <c:pt idx="2003">
                  <c:v>98</c:v>
                </c:pt>
                <c:pt idx="2004">
                  <c:v>94</c:v>
                </c:pt>
                <c:pt idx="2005">
                  <c:v>102</c:v>
                </c:pt>
                <c:pt idx="2006">
                  <c:v>98</c:v>
                </c:pt>
                <c:pt idx="2007">
                  <c:v>121</c:v>
                </c:pt>
                <c:pt idx="2008">
                  <c:v>111</c:v>
                </c:pt>
                <c:pt idx="2009">
                  <c:v>90</c:v>
                </c:pt>
                <c:pt idx="2010">
                  <c:v>100</c:v>
                </c:pt>
                <c:pt idx="2011">
                  <c:v>141</c:v>
                </c:pt>
                <c:pt idx="2012">
                  <c:v>139</c:v>
                </c:pt>
                <c:pt idx="2013">
                  <c:v>114</c:v>
                </c:pt>
                <c:pt idx="2014">
                  <c:v>96</c:v>
                </c:pt>
                <c:pt idx="2015">
                  <c:v>111</c:v>
                </c:pt>
                <c:pt idx="2016">
                  <c:v>127</c:v>
                </c:pt>
                <c:pt idx="2017">
                  <c:v>107</c:v>
                </c:pt>
                <c:pt idx="2018">
                  <c:v>97</c:v>
                </c:pt>
                <c:pt idx="2019">
                  <c:v>127</c:v>
                </c:pt>
                <c:pt idx="2020">
                  <c:v>110</c:v>
                </c:pt>
                <c:pt idx="2021">
                  <c:v>135</c:v>
                </c:pt>
                <c:pt idx="2022">
                  <c:v>84</c:v>
                </c:pt>
                <c:pt idx="2023">
                  <c:v>240</c:v>
                </c:pt>
                <c:pt idx="2024">
                  <c:v>122</c:v>
                </c:pt>
                <c:pt idx="2025">
                  <c:v>114</c:v>
                </c:pt>
                <c:pt idx="2026">
                  <c:v>132</c:v>
                </c:pt>
                <c:pt idx="2027">
                  <c:v>170</c:v>
                </c:pt>
                <c:pt idx="2028">
                  <c:v>133</c:v>
                </c:pt>
                <c:pt idx="2029">
                  <c:v>112</c:v>
                </c:pt>
                <c:pt idx="2030">
                  <c:v>108</c:v>
                </c:pt>
                <c:pt idx="2031">
                  <c:v>115</c:v>
                </c:pt>
                <c:pt idx="2032">
                  <c:v>83</c:v>
                </c:pt>
                <c:pt idx="2033">
                  <c:v>105</c:v>
                </c:pt>
                <c:pt idx="2034">
                  <c:v>108</c:v>
                </c:pt>
                <c:pt idx="2035">
                  <c:v>96</c:v>
                </c:pt>
                <c:pt idx="2036">
                  <c:v>94</c:v>
                </c:pt>
                <c:pt idx="2037">
                  <c:v>142</c:v>
                </c:pt>
                <c:pt idx="2038">
                  <c:v>104</c:v>
                </c:pt>
                <c:pt idx="2039">
                  <c:v>106</c:v>
                </c:pt>
                <c:pt idx="2040">
                  <c:v>106</c:v>
                </c:pt>
                <c:pt idx="2041">
                  <c:v>98</c:v>
                </c:pt>
                <c:pt idx="2042">
                  <c:v>100</c:v>
                </c:pt>
                <c:pt idx="2043">
                  <c:v>95</c:v>
                </c:pt>
                <c:pt idx="2044">
                  <c:v>107</c:v>
                </c:pt>
                <c:pt idx="2045">
                  <c:v>104</c:v>
                </c:pt>
                <c:pt idx="2046">
                  <c:v>104</c:v>
                </c:pt>
                <c:pt idx="2047">
                  <c:v>143</c:v>
                </c:pt>
                <c:pt idx="2048">
                  <c:v>77</c:v>
                </c:pt>
                <c:pt idx="2049">
                  <c:v>96</c:v>
                </c:pt>
                <c:pt idx="2050">
                  <c:v>114</c:v>
                </c:pt>
                <c:pt idx="2051">
                  <c:v>145</c:v>
                </c:pt>
                <c:pt idx="2052">
                  <c:v>116</c:v>
                </c:pt>
                <c:pt idx="2053">
                  <c:v>100</c:v>
                </c:pt>
                <c:pt idx="2054">
                  <c:v>104</c:v>
                </c:pt>
                <c:pt idx="2055">
                  <c:v>92</c:v>
                </c:pt>
                <c:pt idx="2056">
                  <c:v>92</c:v>
                </c:pt>
                <c:pt idx="2057">
                  <c:v>105</c:v>
                </c:pt>
                <c:pt idx="2058">
                  <c:v>120</c:v>
                </c:pt>
                <c:pt idx="2059">
                  <c:v>116</c:v>
                </c:pt>
                <c:pt idx="2060">
                  <c:v>119</c:v>
                </c:pt>
                <c:pt idx="2061">
                  <c:v>101</c:v>
                </c:pt>
                <c:pt idx="2062">
                  <c:v>117</c:v>
                </c:pt>
                <c:pt idx="2063">
                  <c:v>106</c:v>
                </c:pt>
                <c:pt idx="2064">
                  <c:v>112</c:v>
                </c:pt>
                <c:pt idx="2065">
                  <c:v>136</c:v>
                </c:pt>
                <c:pt idx="2066">
                  <c:v>81</c:v>
                </c:pt>
                <c:pt idx="2067">
                  <c:v>87</c:v>
                </c:pt>
                <c:pt idx="2068">
                  <c:v>96</c:v>
                </c:pt>
                <c:pt idx="2069">
                  <c:v>106</c:v>
                </c:pt>
                <c:pt idx="2070">
                  <c:v>122</c:v>
                </c:pt>
                <c:pt idx="2071">
                  <c:v>123</c:v>
                </c:pt>
                <c:pt idx="2072">
                  <c:v>133</c:v>
                </c:pt>
                <c:pt idx="2073">
                  <c:v>92</c:v>
                </c:pt>
                <c:pt idx="2074">
                  <c:v>110</c:v>
                </c:pt>
                <c:pt idx="2075">
                  <c:v>104</c:v>
                </c:pt>
                <c:pt idx="2076">
                  <c:v>98</c:v>
                </c:pt>
                <c:pt idx="2077">
                  <c:v>120</c:v>
                </c:pt>
                <c:pt idx="2078">
                  <c:v>112</c:v>
                </c:pt>
                <c:pt idx="2079">
                  <c:v>127</c:v>
                </c:pt>
                <c:pt idx="2080">
                  <c:v>102</c:v>
                </c:pt>
                <c:pt idx="2081">
                  <c:v>91</c:v>
                </c:pt>
                <c:pt idx="2082">
                  <c:v>114</c:v>
                </c:pt>
                <c:pt idx="2083">
                  <c:v>115</c:v>
                </c:pt>
                <c:pt idx="2084">
                  <c:v>115</c:v>
                </c:pt>
                <c:pt idx="2085">
                  <c:v>120</c:v>
                </c:pt>
                <c:pt idx="2086">
                  <c:v>135</c:v>
                </c:pt>
                <c:pt idx="2087">
                  <c:v>90</c:v>
                </c:pt>
                <c:pt idx="2088">
                  <c:v>100</c:v>
                </c:pt>
                <c:pt idx="2089">
                  <c:v>105</c:v>
                </c:pt>
                <c:pt idx="2090">
                  <c:v>138</c:v>
                </c:pt>
                <c:pt idx="2091">
                  <c:v>94</c:v>
                </c:pt>
                <c:pt idx="2092">
                  <c:v>101</c:v>
                </c:pt>
                <c:pt idx="2093">
                  <c:v>131</c:v>
                </c:pt>
                <c:pt idx="2094">
                  <c:v>91</c:v>
                </c:pt>
                <c:pt idx="2095">
                  <c:v>112</c:v>
                </c:pt>
                <c:pt idx="2096">
                  <c:v>95</c:v>
                </c:pt>
                <c:pt idx="2097">
                  <c:v>100</c:v>
                </c:pt>
                <c:pt idx="2098">
                  <c:v>108</c:v>
                </c:pt>
                <c:pt idx="2099">
                  <c:v>101</c:v>
                </c:pt>
                <c:pt idx="2100">
                  <c:v>109</c:v>
                </c:pt>
                <c:pt idx="2101">
                  <c:v>115</c:v>
                </c:pt>
                <c:pt idx="2102">
                  <c:v>117</c:v>
                </c:pt>
                <c:pt idx="2103">
                  <c:v>107</c:v>
                </c:pt>
                <c:pt idx="2104">
                  <c:v>134</c:v>
                </c:pt>
                <c:pt idx="2105">
                  <c:v>118</c:v>
                </c:pt>
                <c:pt idx="2106">
                  <c:v>121</c:v>
                </c:pt>
                <c:pt idx="2107">
                  <c:v>105</c:v>
                </c:pt>
                <c:pt idx="2108">
                  <c:v>110</c:v>
                </c:pt>
                <c:pt idx="2109">
                  <c:v>114</c:v>
                </c:pt>
                <c:pt idx="2110">
                  <c:v>104</c:v>
                </c:pt>
                <c:pt idx="2111">
                  <c:v>100</c:v>
                </c:pt>
                <c:pt idx="2112">
                  <c:v>85</c:v>
                </c:pt>
                <c:pt idx="2113">
                  <c:v>72</c:v>
                </c:pt>
                <c:pt idx="2114">
                  <c:v>128</c:v>
                </c:pt>
                <c:pt idx="2115">
                  <c:v>72</c:v>
                </c:pt>
                <c:pt idx="2116">
                  <c:v>89</c:v>
                </c:pt>
                <c:pt idx="2117">
                  <c:v>96</c:v>
                </c:pt>
                <c:pt idx="2118">
                  <c:v>77</c:v>
                </c:pt>
                <c:pt idx="2119">
                  <c:v>123</c:v>
                </c:pt>
                <c:pt idx="2120">
                  <c:v>111</c:v>
                </c:pt>
                <c:pt idx="2121">
                  <c:v>93</c:v>
                </c:pt>
                <c:pt idx="2122">
                  <c:v>128</c:v>
                </c:pt>
                <c:pt idx="2123">
                  <c:v>110</c:v>
                </c:pt>
                <c:pt idx="2124">
                  <c:v>137</c:v>
                </c:pt>
                <c:pt idx="2125">
                  <c:v>124</c:v>
                </c:pt>
                <c:pt idx="2126">
                  <c:v>93</c:v>
                </c:pt>
                <c:pt idx="2127">
                  <c:v>115</c:v>
                </c:pt>
                <c:pt idx="2128">
                  <c:v>98</c:v>
                </c:pt>
                <c:pt idx="2129">
                  <c:v>105</c:v>
                </c:pt>
                <c:pt idx="2130">
                  <c:v>127</c:v>
                </c:pt>
                <c:pt idx="2131">
                  <c:v>82</c:v>
                </c:pt>
                <c:pt idx="2132">
                  <c:v>143</c:v>
                </c:pt>
                <c:pt idx="2133">
                  <c:v>103</c:v>
                </c:pt>
                <c:pt idx="2134">
                  <c:v>104</c:v>
                </c:pt>
                <c:pt idx="2135">
                  <c:v>98</c:v>
                </c:pt>
                <c:pt idx="2136">
                  <c:v>92</c:v>
                </c:pt>
                <c:pt idx="2137">
                  <c:v>123</c:v>
                </c:pt>
                <c:pt idx="2138">
                  <c:v>88</c:v>
                </c:pt>
                <c:pt idx="2139">
                  <c:v>158</c:v>
                </c:pt>
                <c:pt idx="2140">
                  <c:v>128</c:v>
                </c:pt>
                <c:pt idx="2141">
                  <c:v>107</c:v>
                </c:pt>
                <c:pt idx="2142">
                  <c:v>91</c:v>
                </c:pt>
                <c:pt idx="2143">
                  <c:v>90</c:v>
                </c:pt>
                <c:pt idx="2144">
                  <c:v>115</c:v>
                </c:pt>
                <c:pt idx="2145">
                  <c:v>101</c:v>
                </c:pt>
                <c:pt idx="2146">
                  <c:v>113</c:v>
                </c:pt>
                <c:pt idx="2147">
                  <c:v>113</c:v>
                </c:pt>
                <c:pt idx="2148">
                  <c:v>87</c:v>
                </c:pt>
                <c:pt idx="2149">
                  <c:v>101</c:v>
                </c:pt>
                <c:pt idx="2150">
                  <c:v>111</c:v>
                </c:pt>
                <c:pt idx="2151">
                  <c:v>108</c:v>
                </c:pt>
                <c:pt idx="2152">
                  <c:v>105</c:v>
                </c:pt>
                <c:pt idx="2153">
                  <c:v>109</c:v>
                </c:pt>
                <c:pt idx="2154">
                  <c:v>109</c:v>
                </c:pt>
                <c:pt idx="2155">
                  <c:v>99</c:v>
                </c:pt>
                <c:pt idx="2156">
                  <c:v>98</c:v>
                </c:pt>
                <c:pt idx="2157">
                  <c:v>104</c:v>
                </c:pt>
                <c:pt idx="2158">
                  <c:v>109</c:v>
                </c:pt>
                <c:pt idx="2159">
                  <c:v>75</c:v>
                </c:pt>
                <c:pt idx="2160">
                  <c:v>119</c:v>
                </c:pt>
                <c:pt idx="2161">
                  <c:v>90</c:v>
                </c:pt>
                <c:pt idx="2162">
                  <c:v>97</c:v>
                </c:pt>
                <c:pt idx="2163">
                  <c:v>103</c:v>
                </c:pt>
                <c:pt idx="2164">
                  <c:v>89</c:v>
                </c:pt>
                <c:pt idx="2165">
                  <c:v>106</c:v>
                </c:pt>
                <c:pt idx="2166">
                  <c:v>96</c:v>
                </c:pt>
                <c:pt idx="2167">
                  <c:v>115</c:v>
                </c:pt>
                <c:pt idx="2168">
                  <c:v>104</c:v>
                </c:pt>
                <c:pt idx="2169">
                  <c:v>108</c:v>
                </c:pt>
                <c:pt idx="2170">
                  <c:v>112</c:v>
                </c:pt>
                <c:pt idx="2171">
                  <c:v>104</c:v>
                </c:pt>
                <c:pt idx="2172">
                  <c:v>113</c:v>
                </c:pt>
                <c:pt idx="2173">
                  <c:v>98</c:v>
                </c:pt>
                <c:pt idx="2174">
                  <c:v>121</c:v>
                </c:pt>
                <c:pt idx="2175">
                  <c:v>114</c:v>
                </c:pt>
                <c:pt idx="2176">
                  <c:v>124</c:v>
                </c:pt>
                <c:pt idx="2177">
                  <c:v>148</c:v>
                </c:pt>
                <c:pt idx="2178">
                  <c:v>108</c:v>
                </c:pt>
                <c:pt idx="2179">
                  <c:v>95</c:v>
                </c:pt>
                <c:pt idx="2180">
                  <c:v>108</c:v>
                </c:pt>
                <c:pt idx="2181">
                  <c:v>68</c:v>
                </c:pt>
                <c:pt idx="2182">
                  <c:v>103</c:v>
                </c:pt>
                <c:pt idx="2183">
                  <c:v>99</c:v>
                </c:pt>
                <c:pt idx="2184">
                  <c:v>88</c:v>
                </c:pt>
                <c:pt idx="2185">
                  <c:v>128</c:v>
                </c:pt>
                <c:pt idx="2186">
                  <c:v>124</c:v>
                </c:pt>
                <c:pt idx="2187">
                  <c:v>84</c:v>
                </c:pt>
                <c:pt idx="2188">
                  <c:v>101</c:v>
                </c:pt>
                <c:pt idx="2189">
                  <c:v>98</c:v>
                </c:pt>
                <c:pt idx="2190">
                  <c:v>105</c:v>
                </c:pt>
                <c:pt idx="2191">
                  <c:v>225</c:v>
                </c:pt>
                <c:pt idx="2192">
                  <c:v>111</c:v>
                </c:pt>
                <c:pt idx="2193">
                  <c:v>88</c:v>
                </c:pt>
                <c:pt idx="2194">
                  <c:v>88</c:v>
                </c:pt>
                <c:pt idx="2195">
                  <c:v>94</c:v>
                </c:pt>
                <c:pt idx="2196">
                  <c:v>117</c:v>
                </c:pt>
                <c:pt idx="2197">
                  <c:v>95</c:v>
                </c:pt>
                <c:pt idx="2198">
                  <c:v>99</c:v>
                </c:pt>
                <c:pt idx="2199">
                  <c:v>96</c:v>
                </c:pt>
                <c:pt idx="2200">
                  <c:v>98</c:v>
                </c:pt>
                <c:pt idx="2201">
                  <c:v>123</c:v>
                </c:pt>
                <c:pt idx="2202">
                  <c:v>101</c:v>
                </c:pt>
                <c:pt idx="2203">
                  <c:v>102</c:v>
                </c:pt>
                <c:pt idx="2204">
                  <c:v>94</c:v>
                </c:pt>
                <c:pt idx="2205">
                  <c:v>102</c:v>
                </c:pt>
                <c:pt idx="2206">
                  <c:v>108</c:v>
                </c:pt>
                <c:pt idx="2207">
                  <c:v>116</c:v>
                </c:pt>
                <c:pt idx="2208">
                  <c:v>93</c:v>
                </c:pt>
                <c:pt idx="2209">
                  <c:v>102</c:v>
                </c:pt>
                <c:pt idx="2210">
                  <c:v>103</c:v>
                </c:pt>
                <c:pt idx="2211">
                  <c:v>115</c:v>
                </c:pt>
                <c:pt idx="2212">
                  <c:v>96</c:v>
                </c:pt>
                <c:pt idx="2213">
                  <c:v>98</c:v>
                </c:pt>
                <c:pt idx="2214">
                  <c:v>101</c:v>
                </c:pt>
                <c:pt idx="2215">
                  <c:v>106</c:v>
                </c:pt>
                <c:pt idx="2216">
                  <c:v>101</c:v>
                </c:pt>
                <c:pt idx="2217">
                  <c:v>111</c:v>
                </c:pt>
                <c:pt idx="2218">
                  <c:v>99</c:v>
                </c:pt>
                <c:pt idx="2219">
                  <c:v>88</c:v>
                </c:pt>
                <c:pt idx="2220">
                  <c:v>83</c:v>
                </c:pt>
                <c:pt idx="2221">
                  <c:v>91</c:v>
                </c:pt>
                <c:pt idx="2222">
                  <c:v>108</c:v>
                </c:pt>
                <c:pt idx="2223">
                  <c:v>154</c:v>
                </c:pt>
                <c:pt idx="2224">
                  <c:v>148</c:v>
                </c:pt>
                <c:pt idx="2225">
                  <c:v>77</c:v>
                </c:pt>
                <c:pt idx="2226">
                  <c:v>110</c:v>
                </c:pt>
                <c:pt idx="2227">
                  <c:v>83</c:v>
                </c:pt>
                <c:pt idx="2228">
                  <c:v>107</c:v>
                </c:pt>
                <c:pt idx="2229">
                  <c:v>100</c:v>
                </c:pt>
                <c:pt idx="2230">
                  <c:v>87</c:v>
                </c:pt>
                <c:pt idx="2231">
                  <c:v>154</c:v>
                </c:pt>
                <c:pt idx="2232">
                  <c:v>106</c:v>
                </c:pt>
                <c:pt idx="2233">
                  <c:v>99</c:v>
                </c:pt>
                <c:pt idx="2234">
                  <c:v>100</c:v>
                </c:pt>
                <c:pt idx="2235">
                  <c:v>116</c:v>
                </c:pt>
                <c:pt idx="2236">
                  <c:v>94</c:v>
                </c:pt>
                <c:pt idx="2237">
                  <c:v>111</c:v>
                </c:pt>
                <c:pt idx="2238">
                  <c:v>100</c:v>
                </c:pt>
                <c:pt idx="2239">
                  <c:v>125</c:v>
                </c:pt>
                <c:pt idx="2240">
                  <c:v>114</c:v>
                </c:pt>
                <c:pt idx="2241">
                  <c:v>119</c:v>
                </c:pt>
                <c:pt idx="2242">
                  <c:v>135</c:v>
                </c:pt>
                <c:pt idx="2243">
                  <c:v>93</c:v>
                </c:pt>
                <c:pt idx="2244">
                  <c:v>114</c:v>
                </c:pt>
                <c:pt idx="2245">
                  <c:v>124</c:v>
                </c:pt>
                <c:pt idx="2246">
                  <c:v>134</c:v>
                </c:pt>
                <c:pt idx="2247">
                  <c:v>114</c:v>
                </c:pt>
                <c:pt idx="2248">
                  <c:v>124</c:v>
                </c:pt>
                <c:pt idx="2249">
                  <c:v>104</c:v>
                </c:pt>
                <c:pt idx="2250">
                  <c:v>118</c:v>
                </c:pt>
                <c:pt idx="2251">
                  <c:v>80</c:v>
                </c:pt>
                <c:pt idx="2252">
                  <c:v>107</c:v>
                </c:pt>
                <c:pt idx="2253">
                  <c:v>125</c:v>
                </c:pt>
                <c:pt idx="2254">
                  <c:v>115</c:v>
                </c:pt>
                <c:pt idx="2255">
                  <c:v>88</c:v>
                </c:pt>
                <c:pt idx="2256">
                  <c:v>122</c:v>
                </c:pt>
                <c:pt idx="2257">
                  <c:v>103</c:v>
                </c:pt>
                <c:pt idx="2258">
                  <c:v>101</c:v>
                </c:pt>
                <c:pt idx="2259">
                  <c:v>101</c:v>
                </c:pt>
                <c:pt idx="2260">
                  <c:v>107</c:v>
                </c:pt>
                <c:pt idx="2261">
                  <c:v>86</c:v>
                </c:pt>
                <c:pt idx="2262">
                  <c:v>118</c:v>
                </c:pt>
                <c:pt idx="2263">
                  <c:v>107</c:v>
                </c:pt>
                <c:pt idx="2264">
                  <c:v>100</c:v>
                </c:pt>
                <c:pt idx="2265">
                  <c:v>110</c:v>
                </c:pt>
                <c:pt idx="2266">
                  <c:v>106</c:v>
                </c:pt>
                <c:pt idx="2267">
                  <c:v>7</c:v>
                </c:pt>
                <c:pt idx="2268">
                  <c:v>102</c:v>
                </c:pt>
                <c:pt idx="2269">
                  <c:v>98</c:v>
                </c:pt>
                <c:pt idx="2270">
                  <c:v>83</c:v>
                </c:pt>
                <c:pt idx="2271">
                  <c:v>153</c:v>
                </c:pt>
                <c:pt idx="2272">
                  <c:v>98</c:v>
                </c:pt>
                <c:pt idx="2273">
                  <c:v>105</c:v>
                </c:pt>
                <c:pt idx="2274">
                  <c:v>96</c:v>
                </c:pt>
                <c:pt idx="2275">
                  <c:v>105</c:v>
                </c:pt>
                <c:pt idx="2276">
                  <c:v>125</c:v>
                </c:pt>
                <c:pt idx="2277">
                  <c:v>184</c:v>
                </c:pt>
                <c:pt idx="2278">
                  <c:v>236</c:v>
                </c:pt>
                <c:pt idx="2279">
                  <c:v>97</c:v>
                </c:pt>
                <c:pt idx="2280">
                  <c:v>113</c:v>
                </c:pt>
                <c:pt idx="2281">
                  <c:v>95</c:v>
                </c:pt>
                <c:pt idx="2282">
                  <c:v>103</c:v>
                </c:pt>
                <c:pt idx="2283">
                  <c:v>91</c:v>
                </c:pt>
                <c:pt idx="2284">
                  <c:v>146</c:v>
                </c:pt>
                <c:pt idx="2285">
                  <c:v>116</c:v>
                </c:pt>
                <c:pt idx="2286">
                  <c:v>93</c:v>
                </c:pt>
                <c:pt idx="2287">
                  <c:v>113</c:v>
                </c:pt>
                <c:pt idx="2288">
                  <c:v>90</c:v>
                </c:pt>
                <c:pt idx="2289">
                  <c:v>101</c:v>
                </c:pt>
                <c:pt idx="2290">
                  <c:v>95</c:v>
                </c:pt>
                <c:pt idx="2291">
                  <c:v>109</c:v>
                </c:pt>
                <c:pt idx="2292">
                  <c:v>85</c:v>
                </c:pt>
                <c:pt idx="2293">
                  <c:v>101</c:v>
                </c:pt>
                <c:pt idx="2294">
                  <c:v>125</c:v>
                </c:pt>
                <c:pt idx="2295">
                  <c:v>118</c:v>
                </c:pt>
                <c:pt idx="2296">
                  <c:v>132</c:v>
                </c:pt>
                <c:pt idx="2297">
                  <c:v>131</c:v>
                </c:pt>
                <c:pt idx="2298">
                  <c:v>129</c:v>
                </c:pt>
                <c:pt idx="2299">
                  <c:v>100</c:v>
                </c:pt>
                <c:pt idx="2300">
                  <c:v>172</c:v>
                </c:pt>
                <c:pt idx="2301">
                  <c:v>97</c:v>
                </c:pt>
                <c:pt idx="2302">
                  <c:v>121</c:v>
                </c:pt>
                <c:pt idx="2303">
                  <c:v>92</c:v>
                </c:pt>
                <c:pt idx="2304">
                  <c:v>116</c:v>
                </c:pt>
                <c:pt idx="2305">
                  <c:v>110</c:v>
                </c:pt>
                <c:pt idx="2306">
                  <c:v>90</c:v>
                </c:pt>
                <c:pt idx="2307">
                  <c:v>81</c:v>
                </c:pt>
                <c:pt idx="2308">
                  <c:v>97</c:v>
                </c:pt>
                <c:pt idx="2309">
                  <c:v>107</c:v>
                </c:pt>
                <c:pt idx="2310">
                  <c:v>118</c:v>
                </c:pt>
                <c:pt idx="2311">
                  <c:v>100</c:v>
                </c:pt>
                <c:pt idx="2312">
                  <c:v>97</c:v>
                </c:pt>
                <c:pt idx="2313">
                  <c:v>114</c:v>
                </c:pt>
                <c:pt idx="2314">
                  <c:v>130</c:v>
                </c:pt>
                <c:pt idx="2315">
                  <c:v>82</c:v>
                </c:pt>
                <c:pt idx="2316">
                  <c:v>96</c:v>
                </c:pt>
                <c:pt idx="2317">
                  <c:v>105</c:v>
                </c:pt>
                <c:pt idx="2318">
                  <c:v>122</c:v>
                </c:pt>
                <c:pt idx="2319">
                  <c:v>88</c:v>
                </c:pt>
                <c:pt idx="2320">
                  <c:v>110</c:v>
                </c:pt>
                <c:pt idx="2321">
                  <c:v>103</c:v>
                </c:pt>
                <c:pt idx="2322">
                  <c:v>106</c:v>
                </c:pt>
                <c:pt idx="2323">
                  <c:v>98</c:v>
                </c:pt>
                <c:pt idx="2324">
                  <c:v>68</c:v>
                </c:pt>
                <c:pt idx="2325">
                  <c:v>94</c:v>
                </c:pt>
                <c:pt idx="2326">
                  <c:v>99</c:v>
                </c:pt>
                <c:pt idx="2327">
                  <c:v>107</c:v>
                </c:pt>
                <c:pt idx="2328">
                  <c:v>180</c:v>
                </c:pt>
                <c:pt idx="2329">
                  <c:v>89</c:v>
                </c:pt>
                <c:pt idx="2330">
                  <c:v>97</c:v>
                </c:pt>
                <c:pt idx="2331">
                  <c:v>113</c:v>
                </c:pt>
                <c:pt idx="2332">
                  <c:v>131</c:v>
                </c:pt>
                <c:pt idx="2333">
                  <c:v>103</c:v>
                </c:pt>
                <c:pt idx="2334">
                  <c:v>119</c:v>
                </c:pt>
                <c:pt idx="2335">
                  <c:v>98</c:v>
                </c:pt>
                <c:pt idx="2336">
                  <c:v>111</c:v>
                </c:pt>
                <c:pt idx="2337">
                  <c:v>94</c:v>
                </c:pt>
                <c:pt idx="2338">
                  <c:v>81</c:v>
                </c:pt>
                <c:pt idx="2339">
                  <c:v>89</c:v>
                </c:pt>
                <c:pt idx="2340">
                  <c:v>106</c:v>
                </c:pt>
                <c:pt idx="2341">
                  <c:v>122</c:v>
                </c:pt>
                <c:pt idx="2342">
                  <c:v>86</c:v>
                </c:pt>
                <c:pt idx="2343">
                  <c:v>103</c:v>
                </c:pt>
                <c:pt idx="2344">
                  <c:v>121</c:v>
                </c:pt>
                <c:pt idx="2345">
                  <c:v>109</c:v>
                </c:pt>
                <c:pt idx="2346">
                  <c:v>109</c:v>
                </c:pt>
                <c:pt idx="2347">
                  <c:v>123</c:v>
                </c:pt>
                <c:pt idx="2348">
                  <c:v>94</c:v>
                </c:pt>
                <c:pt idx="2349">
                  <c:v>94</c:v>
                </c:pt>
                <c:pt idx="2350">
                  <c:v>115</c:v>
                </c:pt>
                <c:pt idx="2351">
                  <c:v>107</c:v>
                </c:pt>
                <c:pt idx="2352">
                  <c:v>91</c:v>
                </c:pt>
                <c:pt idx="2353">
                  <c:v>125</c:v>
                </c:pt>
                <c:pt idx="2354">
                  <c:v>122</c:v>
                </c:pt>
                <c:pt idx="2355">
                  <c:v>102</c:v>
                </c:pt>
                <c:pt idx="2356">
                  <c:v>90</c:v>
                </c:pt>
                <c:pt idx="2357">
                  <c:v>98</c:v>
                </c:pt>
                <c:pt idx="2358">
                  <c:v>109</c:v>
                </c:pt>
                <c:pt idx="2359">
                  <c:v>107</c:v>
                </c:pt>
                <c:pt idx="2360">
                  <c:v>90</c:v>
                </c:pt>
                <c:pt idx="2361">
                  <c:v>112</c:v>
                </c:pt>
                <c:pt idx="2362">
                  <c:v>94</c:v>
                </c:pt>
                <c:pt idx="2363">
                  <c:v>105</c:v>
                </c:pt>
                <c:pt idx="2364">
                  <c:v>104</c:v>
                </c:pt>
                <c:pt idx="2365">
                  <c:v>112</c:v>
                </c:pt>
                <c:pt idx="2366">
                  <c:v>108</c:v>
                </c:pt>
                <c:pt idx="2367">
                  <c:v>112</c:v>
                </c:pt>
                <c:pt idx="2368">
                  <c:v>127</c:v>
                </c:pt>
                <c:pt idx="2369">
                  <c:v>111</c:v>
                </c:pt>
                <c:pt idx="2370">
                  <c:v>126</c:v>
                </c:pt>
                <c:pt idx="2371">
                  <c:v>114</c:v>
                </c:pt>
                <c:pt idx="2372">
                  <c:v>99</c:v>
                </c:pt>
                <c:pt idx="2373">
                  <c:v>150</c:v>
                </c:pt>
                <c:pt idx="2374">
                  <c:v>117</c:v>
                </c:pt>
                <c:pt idx="2375">
                  <c:v>112</c:v>
                </c:pt>
                <c:pt idx="2376">
                  <c:v>108</c:v>
                </c:pt>
                <c:pt idx="2377">
                  <c:v>116</c:v>
                </c:pt>
                <c:pt idx="2378">
                  <c:v>144</c:v>
                </c:pt>
                <c:pt idx="2379">
                  <c:v>92</c:v>
                </c:pt>
                <c:pt idx="2380">
                  <c:v>93</c:v>
                </c:pt>
                <c:pt idx="2381">
                  <c:v>103</c:v>
                </c:pt>
                <c:pt idx="2382">
                  <c:v>93</c:v>
                </c:pt>
                <c:pt idx="2383">
                  <c:v>98</c:v>
                </c:pt>
                <c:pt idx="2384">
                  <c:v>114</c:v>
                </c:pt>
                <c:pt idx="2385">
                  <c:v>121</c:v>
                </c:pt>
                <c:pt idx="2386">
                  <c:v>87</c:v>
                </c:pt>
                <c:pt idx="2387">
                  <c:v>92</c:v>
                </c:pt>
                <c:pt idx="2388">
                  <c:v>105</c:v>
                </c:pt>
                <c:pt idx="2389">
                  <c:v>89</c:v>
                </c:pt>
                <c:pt idx="2390">
                  <c:v>114</c:v>
                </c:pt>
                <c:pt idx="2391">
                  <c:v>119</c:v>
                </c:pt>
                <c:pt idx="2392">
                  <c:v>103</c:v>
                </c:pt>
                <c:pt idx="2393">
                  <c:v>91</c:v>
                </c:pt>
                <c:pt idx="2394">
                  <c:v>98</c:v>
                </c:pt>
                <c:pt idx="2395">
                  <c:v>80</c:v>
                </c:pt>
                <c:pt idx="2396">
                  <c:v>121</c:v>
                </c:pt>
                <c:pt idx="2397">
                  <c:v>94</c:v>
                </c:pt>
                <c:pt idx="2398">
                  <c:v>93</c:v>
                </c:pt>
                <c:pt idx="2399">
                  <c:v>93</c:v>
                </c:pt>
                <c:pt idx="2400">
                  <c:v>116</c:v>
                </c:pt>
                <c:pt idx="2401">
                  <c:v>101</c:v>
                </c:pt>
                <c:pt idx="2402">
                  <c:v>154</c:v>
                </c:pt>
                <c:pt idx="2403">
                  <c:v>170</c:v>
                </c:pt>
                <c:pt idx="2404">
                  <c:v>99</c:v>
                </c:pt>
                <c:pt idx="2405">
                  <c:v>104</c:v>
                </c:pt>
                <c:pt idx="2406">
                  <c:v>126</c:v>
                </c:pt>
                <c:pt idx="2407">
                  <c:v>110</c:v>
                </c:pt>
                <c:pt idx="2408">
                  <c:v>101</c:v>
                </c:pt>
                <c:pt idx="2409">
                  <c:v>87</c:v>
                </c:pt>
                <c:pt idx="2410">
                  <c:v>123</c:v>
                </c:pt>
                <c:pt idx="2411">
                  <c:v>109</c:v>
                </c:pt>
                <c:pt idx="2412">
                  <c:v>90</c:v>
                </c:pt>
                <c:pt idx="2413">
                  <c:v>96</c:v>
                </c:pt>
                <c:pt idx="2414">
                  <c:v>82</c:v>
                </c:pt>
                <c:pt idx="2415">
                  <c:v>86</c:v>
                </c:pt>
                <c:pt idx="2416">
                  <c:v>108</c:v>
                </c:pt>
                <c:pt idx="2417">
                  <c:v>98</c:v>
                </c:pt>
                <c:pt idx="2418">
                  <c:v>129</c:v>
                </c:pt>
                <c:pt idx="2419">
                  <c:v>99</c:v>
                </c:pt>
                <c:pt idx="2420">
                  <c:v>105</c:v>
                </c:pt>
                <c:pt idx="2421">
                  <c:v>112</c:v>
                </c:pt>
                <c:pt idx="2422">
                  <c:v>108</c:v>
                </c:pt>
                <c:pt idx="2423">
                  <c:v>121</c:v>
                </c:pt>
                <c:pt idx="2424">
                  <c:v>89</c:v>
                </c:pt>
                <c:pt idx="2425">
                  <c:v>89</c:v>
                </c:pt>
                <c:pt idx="2426">
                  <c:v>73</c:v>
                </c:pt>
                <c:pt idx="2427">
                  <c:v>132</c:v>
                </c:pt>
                <c:pt idx="2428">
                  <c:v>154</c:v>
                </c:pt>
                <c:pt idx="2429">
                  <c:v>96</c:v>
                </c:pt>
                <c:pt idx="2430">
                  <c:v>98</c:v>
                </c:pt>
                <c:pt idx="2431">
                  <c:v>107</c:v>
                </c:pt>
                <c:pt idx="2432">
                  <c:v>134</c:v>
                </c:pt>
                <c:pt idx="2433">
                  <c:v>94</c:v>
                </c:pt>
                <c:pt idx="2434">
                  <c:v>122</c:v>
                </c:pt>
                <c:pt idx="2435">
                  <c:v>128</c:v>
                </c:pt>
                <c:pt idx="2436">
                  <c:v>97</c:v>
                </c:pt>
                <c:pt idx="2437">
                  <c:v>110</c:v>
                </c:pt>
                <c:pt idx="2438">
                  <c:v>102</c:v>
                </c:pt>
                <c:pt idx="2439">
                  <c:v>98</c:v>
                </c:pt>
                <c:pt idx="2440">
                  <c:v>120</c:v>
                </c:pt>
                <c:pt idx="2441">
                  <c:v>160</c:v>
                </c:pt>
                <c:pt idx="2442">
                  <c:v>80</c:v>
                </c:pt>
                <c:pt idx="2443">
                  <c:v>91</c:v>
                </c:pt>
                <c:pt idx="2444">
                  <c:v>83</c:v>
                </c:pt>
                <c:pt idx="2445">
                  <c:v>102</c:v>
                </c:pt>
                <c:pt idx="2446">
                  <c:v>122</c:v>
                </c:pt>
                <c:pt idx="2447">
                  <c:v>126</c:v>
                </c:pt>
                <c:pt idx="2448">
                  <c:v>136</c:v>
                </c:pt>
                <c:pt idx="2449">
                  <c:v>120</c:v>
                </c:pt>
                <c:pt idx="2450">
                  <c:v>108</c:v>
                </c:pt>
                <c:pt idx="2451">
                  <c:v>126</c:v>
                </c:pt>
                <c:pt idx="2452">
                  <c:v>128</c:v>
                </c:pt>
                <c:pt idx="2453">
                  <c:v>113</c:v>
                </c:pt>
                <c:pt idx="2454">
                  <c:v>89</c:v>
                </c:pt>
                <c:pt idx="2455">
                  <c:v>129</c:v>
                </c:pt>
                <c:pt idx="2456">
                  <c:v>94</c:v>
                </c:pt>
                <c:pt idx="2457">
                  <c:v>106</c:v>
                </c:pt>
                <c:pt idx="2458">
                  <c:v>100</c:v>
                </c:pt>
                <c:pt idx="2459">
                  <c:v>89</c:v>
                </c:pt>
                <c:pt idx="2460">
                  <c:v>94</c:v>
                </c:pt>
                <c:pt idx="2461">
                  <c:v>83</c:v>
                </c:pt>
                <c:pt idx="2462">
                  <c:v>111</c:v>
                </c:pt>
                <c:pt idx="2463">
                  <c:v>80</c:v>
                </c:pt>
                <c:pt idx="2464">
                  <c:v>112</c:v>
                </c:pt>
                <c:pt idx="2465">
                  <c:v>94</c:v>
                </c:pt>
                <c:pt idx="2466">
                  <c:v>130</c:v>
                </c:pt>
                <c:pt idx="2467">
                  <c:v>91</c:v>
                </c:pt>
                <c:pt idx="2468">
                  <c:v>91</c:v>
                </c:pt>
                <c:pt idx="2469">
                  <c:v>110</c:v>
                </c:pt>
                <c:pt idx="2470">
                  <c:v>121</c:v>
                </c:pt>
                <c:pt idx="2471">
                  <c:v>114</c:v>
                </c:pt>
                <c:pt idx="2472">
                  <c:v>96</c:v>
                </c:pt>
                <c:pt idx="2473">
                  <c:v>270</c:v>
                </c:pt>
                <c:pt idx="2474">
                  <c:v>94</c:v>
                </c:pt>
                <c:pt idx="2475">
                  <c:v>109</c:v>
                </c:pt>
                <c:pt idx="2476">
                  <c:v>107</c:v>
                </c:pt>
                <c:pt idx="2477">
                  <c:v>96</c:v>
                </c:pt>
                <c:pt idx="2478">
                  <c:v>88</c:v>
                </c:pt>
                <c:pt idx="2479">
                  <c:v>113</c:v>
                </c:pt>
                <c:pt idx="2480">
                  <c:v>101</c:v>
                </c:pt>
                <c:pt idx="2481">
                  <c:v>105</c:v>
                </c:pt>
                <c:pt idx="2482">
                  <c:v>125</c:v>
                </c:pt>
                <c:pt idx="2483">
                  <c:v>100</c:v>
                </c:pt>
                <c:pt idx="2484">
                  <c:v>97</c:v>
                </c:pt>
                <c:pt idx="2485">
                  <c:v>108</c:v>
                </c:pt>
                <c:pt idx="2486">
                  <c:v>112</c:v>
                </c:pt>
                <c:pt idx="2487">
                  <c:v>112</c:v>
                </c:pt>
                <c:pt idx="2488">
                  <c:v>95</c:v>
                </c:pt>
                <c:pt idx="2489">
                  <c:v>110</c:v>
                </c:pt>
                <c:pt idx="2490">
                  <c:v>118</c:v>
                </c:pt>
                <c:pt idx="2491">
                  <c:v>97</c:v>
                </c:pt>
                <c:pt idx="2492">
                  <c:v>120</c:v>
                </c:pt>
                <c:pt idx="2493">
                  <c:v>135</c:v>
                </c:pt>
                <c:pt idx="2494">
                  <c:v>101</c:v>
                </c:pt>
                <c:pt idx="2495">
                  <c:v>92</c:v>
                </c:pt>
                <c:pt idx="2496">
                  <c:v>106</c:v>
                </c:pt>
                <c:pt idx="2497">
                  <c:v>92</c:v>
                </c:pt>
                <c:pt idx="2498">
                  <c:v>161</c:v>
                </c:pt>
                <c:pt idx="2499">
                  <c:v>92</c:v>
                </c:pt>
                <c:pt idx="2500">
                  <c:v>93</c:v>
                </c:pt>
                <c:pt idx="2501">
                  <c:v>110</c:v>
                </c:pt>
                <c:pt idx="2502">
                  <c:v>122</c:v>
                </c:pt>
                <c:pt idx="2503">
                  <c:v>91</c:v>
                </c:pt>
                <c:pt idx="2504">
                  <c:v>115</c:v>
                </c:pt>
                <c:pt idx="2505">
                  <c:v>94</c:v>
                </c:pt>
                <c:pt idx="2506">
                  <c:v>93</c:v>
                </c:pt>
                <c:pt idx="2507">
                  <c:v>94</c:v>
                </c:pt>
                <c:pt idx="2508">
                  <c:v>95</c:v>
                </c:pt>
                <c:pt idx="2509">
                  <c:v>105</c:v>
                </c:pt>
                <c:pt idx="2510">
                  <c:v>103</c:v>
                </c:pt>
                <c:pt idx="2511">
                  <c:v>102</c:v>
                </c:pt>
                <c:pt idx="2512">
                  <c:v>116</c:v>
                </c:pt>
                <c:pt idx="2513">
                  <c:v>110</c:v>
                </c:pt>
                <c:pt idx="2514">
                  <c:v>120</c:v>
                </c:pt>
                <c:pt idx="2515">
                  <c:v>122</c:v>
                </c:pt>
                <c:pt idx="2516">
                  <c:v>118</c:v>
                </c:pt>
                <c:pt idx="2517">
                  <c:v>107</c:v>
                </c:pt>
                <c:pt idx="2518">
                  <c:v>102</c:v>
                </c:pt>
                <c:pt idx="2519">
                  <c:v>154</c:v>
                </c:pt>
                <c:pt idx="2520">
                  <c:v>103</c:v>
                </c:pt>
                <c:pt idx="2521">
                  <c:v>114</c:v>
                </c:pt>
                <c:pt idx="2522">
                  <c:v>109</c:v>
                </c:pt>
                <c:pt idx="2523">
                  <c:v>124</c:v>
                </c:pt>
                <c:pt idx="2524">
                  <c:v>94</c:v>
                </c:pt>
                <c:pt idx="2525">
                  <c:v>100</c:v>
                </c:pt>
                <c:pt idx="2526">
                  <c:v>98</c:v>
                </c:pt>
                <c:pt idx="2527">
                  <c:v>102</c:v>
                </c:pt>
                <c:pt idx="2528">
                  <c:v>94</c:v>
                </c:pt>
                <c:pt idx="2529">
                  <c:v>92</c:v>
                </c:pt>
                <c:pt idx="2530">
                  <c:v>113</c:v>
                </c:pt>
                <c:pt idx="2531">
                  <c:v>115</c:v>
                </c:pt>
                <c:pt idx="2532">
                  <c:v>95</c:v>
                </c:pt>
                <c:pt idx="2533">
                  <c:v>87</c:v>
                </c:pt>
                <c:pt idx="2534">
                  <c:v>88</c:v>
                </c:pt>
                <c:pt idx="2535">
                  <c:v>183</c:v>
                </c:pt>
                <c:pt idx="2536">
                  <c:v>97</c:v>
                </c:pt>
                <c:pt idx="2537">
                  <c:v>94</c:v>
                </c:pt>
                <c:pt idx="2538">
                  <c:v>112</c:v>
                </c:pt>
                <c:pt idx="2539">
                  <c:v>98</c:v>
                </c:pt>
                <c:pt idx="2540">
                  <c:v>104</c:v>
                </c:pt>
                <c:pt idx="2541">
                  <c:v>118</c:v>
                </c:pt>
                <c:pt idx="2542">
                  <c:v>120</c:v>
                </c:pt>
                <c:pt idx="2543">
                  <c:v>99</c:v>
                </c:pt>
                <c:pt idx="2544">
                  <c:v>109</c:v>
                </c:pt>
                <c:pt idx="2545">
                  <c:v>106</c:v>
                </c:pt>
                <c:pt idx="2546">
                  <c:v>123</c:v>
                </c:pt>
                <c:pt idx="2547">
                  <c:v>86</c:v>
                </c:pt>
                <c:pt idx="2548">
                  <c:v>120</c:v>
                </c:pt>
                <c:pt idx="2549">
                  <c:v>227</c:v>
                </c:pt>
                <c:pt idx="2550">
                  <c:v>119</c:v>
                </c:pt>
                <c:pt idx="2551">
                  <c:v>115</c:v>
                </c:pt>
                <c:pt idx="2552">
                  <c:v>114</c:v>
                </c:pt>
                <c:pt idx="2553">
                  <c:v>90</c:v>
                </c:pt>
                <c:pt idx="2554">
                  <c:v>94</c:v>
                </c:pt>
                <c:pt idx="2555">
                  <c:v>98</c:v>
                </c:pt>
                <c:pt idx="2556">
                  <c:v>126</c:v>
                </c:pt>
                <c:pt idx="2557">
                  <c:v>100</c:v>
                </c:pt>
                <c:pt idx="2558">
                  <c:v>89</c:v>
                </c:pt>
                <c:pt idx="2559">
                  <c:v>111</c:v>
                </c:pt>
                <c:pt idx="2560">
                  <c:v>100</c:v>
                </c:pt>
                <c:pt idx="2561">
                  <c:v>115</c:v>
                </c:pt>
                <c:pt idx="2562">
                  <c:v>106</c:v>
                </c:pt>
                <c:pt idx="2563">
                  <c:v>124</c:v>
                </c:pt>
                <c:pt idx="2564">
                  <c:v>107</c:v>
                </c:pt>
                <c:pt idx="2565">
                  <c:v>99</c:v>
                </c:pt>
                <c:pt idx="2566">
                  <c:v>90</c:v>
                </c:pt>
                <c:pt idx="2567">
                  <c:v>101</c:v>
                </c:pt>
                <c:pt idx="2568">
                  <c:v>119</c:v>
                </c:pt>
                <c:pt idx="2569">
                  <c:v>103</c:v>
                </c:pt>
                <c:pt idx="2570">
                  <c:v>134</c:v>
                </c:pt>
                <c:pt idx="2571">
                  <c:v>155</c:v>
                </c:pt>
                <c:pt idx="2572">
                  <c:v>94</c:v>
                </c:pt>
                <c:pt idx="2573">
                  <c:v>95</c:v>
                </c:pt>
                <c:pt idx="2574">
                  <c:v>89</c:v>
                </c:pt>
                <c:pt idx="2575">
                  <c:v>97</c:v>
                </c:pt>
                <c:pt idx="2576">
                  <c:v>90</c:v>
                </c:pt>
                <c:pt idx="2577">
                  <c:v>92</c:v>
                </c:pt>
                <c:pt idx="2578">
                  <c:v>100</c:v>
                </c:pt>
                <c:pt idx="2579">
                  <c:v>117</c:v>
                </c:pt>
                <c:pt idx="2580">
                  <c:v>84</c:v>
                </c:pt>
                <c:pt idx="2581">
                  <c:v>140</c:v>
                </c:pt>
                <c:pt idx="2582">
                  <c:v>108</c:v>
                </c:pt>
                <c:pt idx="2583">
                  <c:v>109</c:v>
                </c:pt>
                <c:pt idx="2584">
                  <c:v>131</c:v>
                </c:pt>
                <c:pt idx="2585">
                  <c:v>114</c:v>
                </c:pt>
                <c:pt idx="2586">
                  <c:v>97</c:v>
                </c:pt>
                <c:pt idx="2587">
                  <c:v>122</c:v>
                </c:pt>
                <c:pt idx="2588">
                  <c:v>87</c:v>
                </c:pt>
                <c:pt idx="2589">
                  <c:v>85</c:v>
                </c:pt>
                <c:pt idx="2590">
                  <c:v>85</c:v>
                </c:pt>
                <c:pt idx="2591">
                  <c:v>101</c:v>
                </c:pt>
                <c:pt idx="2592">
                  <c:v>121</c:v>
                </c:pt>
                <c:pt idx="2593">
                  <c:v>107</c:v>
                </c:pt>
                <c:pt idx="2594">
                  <c:v>111</c:v>
                </c:pt>
                <c:pt idx="2595">
                  <c:v>92</c:v>
                </c:pt>
                <c:pt idx="2596">
                  <c:v>97</c:v>
                </c:pt>
                <c:pt idx="2597">
                  <c:v>97</c:v>
                </c:pt>
                <c:pt idx="2598">
                  <c:v>125</c:v>
                </c:pt>
                <c:pt idx="2599">
                  <c:v>124</c:v>
                </c:pt>
                <c:pt idx="2600">
                  <c:v>76</c:v>
                </c:pt>
                <c:pt idx="2601">
                  <c:v>107</c:v>
                </c:pt>
                <c:pt idx="2602">
                  <c:v>91</c:v>
                </c:pt>
                <c:pt idx="2603">
                  <c:v>96</c:v>
                </c:pt>
                <c:pt idx="2604">
                  <c:v>142</c:v>
                </c:pt>
                <c:pt idx="2605">
                  <c:v>103</c:v>
                </c:pt>
                <c:pt idx="2606">
                  <c:v>117</c:v>
                </c:pt>
                <c:pt idx="2607">
                  <c:v>116</c:v>
                </c:pt>
                <c:pt idx="2608">
                  <c:v>118</c:v>
                </c:pt>
                <c:pt idx="2609">
                  <c:v>108</c:v>
                </c:pt>
                <c:pt idx="2610">
                  <c:v>94</c:v>
                </c:pt>
                <c:pt idx="2611">
                  <c:v>97</c:v>
                </c:pt>
                <c:pt idx="2612">
                  <c:v>97</c:v>
                </c:pt>
                <c:pt idx="2613">
                  <c:v>99</c:v>
                </c:pt>
                <c:pt idx="2614">
                  <c:v>91</c:v>
                </c:pt>
                <c:pt idx="2615">
                  <c:v>107</c:v>
                </c:pt>
                <c:pt idx="2616">
                  <c:v>95</c:v>
                </c:pt>
                <c:pt idx="2617">
                  <c:v>102</c:v>
                </c:pt>
                <c:pt idx="2618">
                  <c:v>88</c:v>
                </c:pt>
                <c:pt idx="2619">
                  <c:v>106</c:v>
                </c:pt>
                <c:pt idx="2620">
                  <c:v>92</c:v>
                </c:pt>
                <c:pt idx="2621">
                  <c:v>105</c:v>
                </c:pt>
                <c:pt idx="2622">
                  <c:v>107</c:v>
                </c:pt>
                <c:pt idx="2623">
                  <c:v>120</c:v>
                </c:pt>
                <c:pt idx="2624">
                  <c:v>103</c:v>
                </c:pt>
                <c:pt idx="2625">
                  <c:v>92</c:v>
                </c:pt>
                <c:pt idx="2626">
                  <c:v>147</c:v>
                </c:pt>
                <c:pt idx="2627">
                  <c:v>98</c:v>
                </c:pt>
                <c:pt idx="2628">
                  <c:v>98</c:v>
                </c:pt>
                <c:pt idx="2629">
                  <c:v>103</c:v>
                </c:pt>
                <c:pt idx="2630">
                  <c:v>111</c:v>
                </c:pt>
                <c:pt idx="2631">
                  <c:v>98</c:v>
                </c:pt>
                <c:pt idx="2632">
                  <c:v>111</c:v>
                </c:pt>
                <c:pt idx="2633">
                  <c:v>111</c:v>
                </c:pt>
                <c:pt idx="2634">
                  <c:v>100</c:v>
                </c:pt>
                <c:pt idx="2635">
                  <c:v>116</c:v>
                </c:pt>
                <c:pt idx="2636">
                  <c:v>145</c:v>
                </c:pt>
                <c:pt idx="2637">
                  <c:v>84</c:v>
                </c:pt>
                <c:pt idx="2638">
                  <c:v>115</c:v>
                </c:pt>
                <c:pt idx="2639">
                  <c:v>105</c:v>
                </c:pt>
                <c:pt idx="2640">
                  <c:v>98</c:v>
                </c:pt>
                <c:pt idx="2641">
                  <c:v>99</c:v>
                </c:pt>
                <c:pt idx="2642">
                  <c:v>110</c:v>
                </c:pt>
                <c:pt idx="2643">
                  <c:v>97</c:v>
                </c:pt>
                <c:pt idx="2644">
                  <c:v>88</c:v>
                </c:pt>
                <c:pt idx="2645">
                  <c:v>103</c:v>
                </c:pt>
                <c:pt idx="2646">
                  <c:v>104</c:v>
                </c:pt>
                <c:pt idx="2647">
                  <c:v>90</c:v>
                </c:pt>
                <c:pt idx="2648">
                  <c:v>105</c:v>
                </c:pt>
                <c:pt idx="2649">
                  <c:v>93</c:v>
                </c:pt>
                <c:pt idx="2650">
                  <c:v>141</c:v>
                </c:pt>
                <c:pt idx="2651">
                  <c:v>85</c:v>
                </c:pt>
                <c:pt idx="2652">
                  <c:v>109</c:v>
                </c:pt>
                <c:pt idx="2653">
                  <c:v>105</c:v>
                </c:pt>
                <c:pt idx="2654">
                  <c:v>98</c:v>
                </c:pt>
                <c:pt idx="2655">
                  <c:v>119</c:v>
                </c:pt>
                <c:pt idx="2656">
                  <c:v>124</c:v>
                </c:pt>
                <c:pt idx="2657">
                  <c:v>101</c:v>
                </c:pt>
                <c:pt idx="2658">
                  <c:v>115</c:v>
                </c:pt>
                <c:pt idx="2659">
                  <c:v>120</c:v>
                </c:pt>
                <c:pt idx="2660">
                  <c:v>111</c:v>
                </c:pt>
                <c:pt idx="2661">
                  <c:v>94</c:v>
                </c:pt>
                <c:pt idx="2662">
                  <c:v>131</c:v>
                </c:pt>
                <c:pt idx="2663">
                  <c:v>139</c:v>
                </c:pt>
                <c:pt idx="2664">
                  <c:v>120</c:v>
                </c:pt>
                <c:pt idx="2665">
                  <c:v>119</c:v>
                </c:pt>
                <c:pt idx="2666">
                  <c:v>125</c:v>
                </c:pt>
                <c:pt idx="2667">
                  <c:v>65</c:v>
                </c:pt>
                <c:pt idx="2668">
                  <c:v>108</c:v>
                </c:pt>
                <c:pt idx="2669">
                  <c:v>101</c:v>
                </c:pt>
                <c:pt idx="2670">
                  <c:v>145</c:v>
                </c:pt>
                <c:pt idx="2671">
                  <c:v>98</c:v>
                </c:pt>
                <c:pt idx="2672">
                  <c:v>101</c:v>
                </c:pt>
                <c:pt idx="2673">
                  <c:v>109</c:v>
                </c:pt>
                <c:pt idx="2674">
                  <c:v>123</c:v>
                </c:pt>
                <c:pt idx="2675">
                  <c:v>99</c:v>
                </c:pt>
                <c:pt idx="2676">
                  <c:v>110</c:v>
                </c:pt>
                <c:pt idx="2677">
                  <c:v>107</c:v>
                </c:pt>
                <c:pt idx="2678">
                  <c:v>81</c:v>
                </c:pt>
                <c:pt idx="2679">
                  <c:v>105</c:v>
                </c:pt>
                <c:pt idx="2680">
                  <c:v>82</c:v>
                </c:pt>
                <c:pt idx="2681">
                  <c:v>109</c:v>
                </c:pt>
                <c:pt idx="2682">
                  <c:v>95</c:v>
                </c:pt>
                <c:pt idx="2683">
                  <c:v>100</c:v>
                </c:pt>
                <c:pt idx="2684">
                  <c:v>118</c:v>
                </c:pt>
                <c:pt idx="2685">
                  <c:v>91</c:v>
                </c:pt>
                <c:pt idx="2686">
                  <c:v>90</c:v>
                </c:pt>
                <c:pt idx="2687">
                  <c:v>108</c:v>
                </c:pt>
                <c:pt idx="2688">
                  <c:v>103</c:v>
                </c:pt>
                <c:pt idx="2689">
                  <c:v>96</c:v>
                </c:pt>
                <c:pt idx="2690">
                  <c:v>117</c:v>
                </c:pt>
                <c:pt idx="2691">
                  <c:v>93</c:v>
                </c:pt>
                <c:pt idx="2692">
                  <c:v>136</c:v>
                </c:pt>
                <c:pt idx="2693">
                  <c:v>115</c:v>
                </c:pt>
                <c:pt idx="2694">
                  <c:v>94</c:v>
                </c:pt>
                <c:pt idx="2695">
                  <c:v>85</c:v>
                </c:pt>
                <c:pt idx="2696">
                  <c:v>112</c:v>
                </c:pt>
                <c:pt idx="2697">
                  <c:v>86</c:v>
                </c:pt>
                <c:pt idx="2698">
                  <c:v>86</c:v>
                </c:pt>
                <c:pt idx="2699">
                  <c:v>112</c:v>
                </c:pt>
                <c:pt idx="2700">
                  <c:v>137</c:v>
                </c:pt>
                <c:pt idx="2701">
                  <c:v>90</c:v>
                </c:pt>
                <c:pt idx="2702">
                  <c:v>107</c:v>
                </c:pt>
                <c:pt idx="2703">
                  <c:v>98</c:v>
                </c:pt>
                <c:pt idx="2704">
                  <c:v>84</c:v>
                </c:pt>
                <c:pt idx="2705">
                  <c:v>139</c:v>
                </c:pt>
                <c:pt idx="2706">
                  <c:v>97</c:v>
                </c:pt>
                <c:pt idx="2707">
                  <c:v>127</c:v>
                </c:pt>
                <c:pt idx="2708">
                  <c:v>150</c:v>
                </c:pt>
                <c:pt idx="2709">
                  <c:v>104</c:v>
                </c:pt>
                <c:pt idx="2710">
                  <c:v>132</c:v>
                </c:pt>
                <c:pt idx="2711">
                  <c:v>117</c:v>
                </c:pt>
                <c:pt idx="2712">
                  <c:v>115</c:v>
                </c:pt>
                <c:pt idx="2713">
                  <c:v>186</c:v>
                </c:pt>
                <c:pt idx="2714">
                  <c:v>90</c:v>
                </c:pt>
                <c:pt idx="2715">
                  <c:v>90</c:v>
                </c:pt>
                <c:pt idx="2716">
                  <c:v>134</c:v>
                </c:pt>
                <c:pt idx="2717">
                  <c:v>97</c:v>
                </c:pt>
                <c:pt idx="2718">
                  <c:v>107</c:v>
                </c:pt>
                <c:pt idx="2719">
                  <c:v>99</c:v>
                </c:pt>
                <c:pt idx="2720">
                  <c:v>124</c:v>
                </c:pt>
                <c:pt idx="2721">
                  <c:v>110</c:v>
                </c:pt>
                <c:pt idx="2722">
                  <c:v>105</c:v>
                </c:pt>
                <c:pt idx="2723">
                  <c:v>178</c:v>
                </c:pt>
                <c:pt idx="2724">
                  <c:v>125</c:v>
                </c:pt>
                <c:pt idx="2725">
                  <c:v>108</c:v>
                </c:pt>
                <c:pt idx="2726">
                  <c:v>121</c:v>
                </c:pt>
                <c:pt idx="2727">
                  <c:v>100</c:v>
                </c:pt>
                <c:pt idx="2728">
                  <c:v>115</c:v>
                </c:pt>
                <c:pt idx="2729">
                  <c:v>108</c:v>
                </c:pt>
                <c:pt idx="2730">
                  <c:v>220</c:v>
                </c:pt>
                <c:pt idx="2731">
                  <c:v>112</c:v>
                </c:pt>
                <c:pt idx="2732">
                  <c:v>99</c:v>
                </c:pt>
                <c:pt idx="2733">
                  <c:v>109</c:v>
                </c:pt>
                <c:pt idx="2734">
                  <c:v>83</c:v>
                </c:pt>
                <c:pt idx="2735">
                  <c:v>107</c:v>
                </c:pt>
                <c:pt idx="2736">
                  <c:v>102</c:v>
                </c:pt>
                <c:pt idx="2737">
                  <c:v>100</c:v>
                </c:pt>
                <c:pt idx="2738">
                  <c:v>97</c:v>
                </c:pt>
                <c:pt idx="2739">
                  <c:v>92</c:v>
                </c:pt>
                <c:pt idx="2740">
                  <c:v>84</c:v>
                </c:pt>
                <c:pt idx="2741">
                  <c:v>86</c:v>
                </c:pt>
                <c:pt idx="2742">
                  <c:v>120</c:v>
                </c:pt>
                <c:pt idx="2743">
                  <c:v>89</c:v>
                </c:pt>
                <c:pt idx="2744">
                  <c:v>117</c:v>
                </c:pt>
                <c:pt idx="2745">
                  <c:v>97</c:v>
                </c:pt>
                <c:pt idx="2746">
                  <c:v>91</c:v>
                </c:pt>
                <c:pt idx="2747">
                  <c:v>100</c:v>
                </c:pt>
                <c:pt idx="2748">
                  <c:v>72</c:v>
                </c:pt>
                <c:pt idx="2749">
                  <c:v>84</c:v>
                </c:pt>
                <c:pt idx="2750">
                  <c:v>126</c:v>
                </c:pt>
                <c:pt idx="2751">
                  <c:v>108</c:v>
                </c:pt>
                <c:pt idx="2752">
                  <c:v>112</c:v>
                </c:pt>
                <c:pt idx="2753">
                  <c:v>90</c:v>
                </c:pt>
                <c:pt idx="2754">
                  <c:v>91</c:v>
                </c:pt>
                <c:pt idx="2755">
                  <c:v>135</c:v>
                </c:pt>
                <c:pt idx="2756">
                  <c:v>141</c:v>
                </c:pt>
                <c:pt idx="2757">
                  <c:v>104</c:v>
                </c:pt>
                <c:pt idx="2758">
                  <c:v>84</c:v>
                </c:pt>
                <c:pt idx="2759">
                  <c:v>118</c:v>
                </c:pt>
                <c:pt idx="2760">
                  <c:v>82</c:v>
                </c:pt>
                <c:pt idx="2761">
                  <c:v>95</c:v>
                </c:pt>
                <c:pt idx="2762">
                  <c:v>94</c:v>
                </c:pt>
                <c:pt idx="2763">
                  <c:v>88</c:v>
                </c:pt>
                <c:pt idx="2764">
                  <c:v>99</c:v>
                </c:pt>
                <c:pt idx="2765">
                  <c:v>121</c:v>
                </c:pt>
                <c:pt idx="2766">
                  <c:v>84</c:v>
                </c:pt>
                <c:pt idx="2767">
                  <c:v>93</c:v>
                </c:pt>
                <c:pt idx="2768">
                  <c:v>93</c:v>
                </c:pt>
                <c:pt idx="2769">
                  <c:v>120</c:v>
                </c:pt>
                <c:pt idx="2770">
                  <c:v>112</c:v>
                </c:pt>
                <c:pt idx="2771">
                  <c:v>107</c:v>
                </c:pt>
                <c:pt idx="2772">
                  <c:v>112</c:v>
                </c:pt>
                <c:pt idx="2773">
                  <c:v>96</c:v>
                </c:pt>
                <c:pt idx="2774">
                  <c:v>91</c:v>
                </c:pt>
                <c:pt idx="2775">
                  <c:v>125</c:v>
                </c:pt>
                <c:pt idx="2776">
                  <c:v>102</c:v>
                </c:pt>
                <c:pt idx="2777">
                  <c:v>87</c:v>
                </c:pt>
                <c:pt idx="2778">
                  <c:v>118</c:v>
                </c:pt>
                <c:pt idx="2779">
                  <c:v>115</c:v>
                </c:pt>
                <c:pt idx="2780">
                  <c:v>91</c:v>
                </c:pt>
                <c:pt idx="2781">
                  <c:v>88</c:v>
                </c:pt>
                <c:pt idx="2782">
                  <c:v>127</c:v>
                </c:pt>
                <c:pt idx="2783">
                  <c:v>94</c:v>
                </c:pt>
                <c:pt idx="2784">
                  <c:v>115</c:v>
                </c:pt>
                <c:pt idx="2785">
                  <c:v>90</c:v>
                </c:pt>
                <c:pt idx="2786">
                  <c:v>102</c:v>
                </c:pt>
                <c:pt idx="2787">
                  <c:v>117</c:v>
                </c:pt>
                <c:pt idx="2788">
                  <c:v>109</c:v>
                </c:pt>
                <c:pt idx="2789">
                  <c:v>121</c:v>
                </c:pt>
                <c:pt idx="2790">
                  <c:v>111</c:v>
                </c:pt>
                <c:pt idx="2791">
                  <c:v>100</c:v>
                </c:pt>
                <c:pt idx="2792">
                  <c:v>109</c:v>
                </c:pt>
                <c:pt idx="2793">
                  <c:v>93</c:v>
                </c:pt>
                <c:pt idx="2794">
                  <c:v>101</c:v>
                </c:pt>
                <c:pt idx="2795">
                  <c:v>101</c:v>
                </c:pt>
                <c:pt idx="2796">
                  <c:v>106</c:v>
                </c:pt>
                <c:pt idx="2797">
                  <c:v>94</c:v>
                </c:pt>
                <c:pt idx="2798">
                  <c:v>140</c:v>
                </c:pt>
                <c:pt idx="2799">
                  <c:v>132</c:v>
                </c:pt>
                <c:pt idx="2800">
                  <c:v>99</c:v>
                </c:pt>
                <c:pt idx="2801">
                  <c:v>90</c:v>
                </c:pt>
                <c:pt idx="2802">
                  <c:v>105</c:v>
                </c:pt>
                <c:pt idx="2803">
                  <c:v>108</c:v>
                </c:pt>
                <c:pt idx="2804">
                  <c:v>69</c:v>
                </c:pt>
                <c:pt idx="2805">
                  <c:v>148</c:v>
                </c:pt>
                <c:pt idx="2806">
                  <c:v>118</c:v>
                </c:pt>
                <c:pt idx="2807">
                  <c:v>132</c:v>
                </c:pt>
                <c:pt idx="2808">
                  <c:v>130</c:v>
                </c:pt>
                <c:pt idx="2809">
                  <c:v>95</c:v>
                </c:pt>
                <c:pt idx="2810">
                  <c:v>80</c:v>
                </c:pt>
                <c:pt idx="2811">
                  <c:v>94</c:v>
                </c:pt>
                <c:pt idx="2812">
                  <c:v>122</c:v>
                </c:pt>
                <c:pt idx="2813">
                  <c:v>102</c:v>
                </c:pt>
                <c:pt idx="2814">
                  <c:v>116</c:v>
                </c:pt>
                <c:pt idx="2815">
                  <c:v>78</c:v>
                </c:pt>
                <c:pt idx="2816">
                  <c:v>114</c:v>
                </c:pt>
                <c:pt idx="2817">
                  <c:v>112</c:v>
                </c:pt>
                <c:pt idx="2818">
                  <c:v>110</c:v>
                </c:pt>
                <c:pt idx="2819">
                  <c:v>104</c:v>
                </c:pt>
                <c:pt idx="2820">
                  <c:v>81</c:v>
                </c:pt>
                <c:pt idx="2821">
                  <c:v>154</c:v>
                </c:pt>
                <c:pt idx="2822">
                  <c:v>102</c:v>
                </c:pt>
                <c:pt idx="2823">
                  <c:v>89</c:v>
                </c:pt>
                <c:pt idx="2824">
                  <c:v>132</c:v>
                </c:pt>
                <c:pt idx="2825">
                  <c:v>103</c:v>
                </c:pt>
                <c:pt idx="2826">
                  <c:v>93</c:v>
                </c:pt>
                <c:pt idx="2827">
                  <c:v>93</c:v>
                </c:pt>
                <c:pt idx="2828">
                  <c:v>172</c:v>
                </c:pt>
                <c:pt idx="2829">
                  <c:v>96</c:v>
                </c:pt>
                <c:pt idx="2830">
                  <c:v>89</c:v>
                </c:pt>
                <c:pt idx="2831">
                  <c:v>92</c:v>
                </c:pt>
                <c:pt idx="2832">
                  <c:v>97</c:v>
                </c:pt>
                <c:pt idx="2833">
                  <c:v>93</c:v>
                </c:pt>
                <c:pt idx="2834">
                  <c:v>89</c:v>
                </c:pt>
                <c:pt idx="2835">
                  <c:v>123</c:v>
                </c:pt>
                <c:pt idx="2836">
                  <c:v>93</c:v>
                </c:pt>
                <c:pt idx="2837">
                  <c:v>133</c:v>
                </c:pt>
                <c:pt idx="2838">
                  <c:v>121</c:v>
                </c:pt>
                <c:pt idx="2839">
                  <c:v>102</c:v>
                </c:pt>
                <c:pt idx="2840">
                  <c:v>102</c:v>
                </c:pt>
                <c:pt idx="2841">
                  <c:v>99</c:v>
                </c:pt>
                <c:pt idx="2842">
                  <c:v>98</c:v>
                </c:pt>
                <c:pt idx="2843">
                  <c:v>118</c:v>
                </c:pt>
                <c:pt idx="2844">
                  <c:v>125</c:v>
                </c:pt>
                <c:pt idx="2845">
                  <c:v>104</c:v>
                </c:pt>
                <c:pt idx="2846">
                  <c:v>109</c:v>
                </c:pt>
                <c:pt idx="2847">
                  <c:v>86</c:v>
                </c:pt>
                <c:pt idx="2848">
                  <c:v>115</c:v>
                </c:pt>
                <c:pt idx="2849">
                  <c:v>92</c:v>
                </c:pt>
                <c:pt idx="2850">
                  <c:v>91</c:v>
                </c:pt>
                <c:pt idx="2851">
                  <c:v>94</c:v>
                </c:pt>
                <c:pt idx="2852">
                  <c:v>93</c:v>
                </c:pt>
                <c:pt idx="2853">
                  <c:v>93</c:v>
                </c:pt>
                <c:pt idx="2854">
                  <c:v>100</c:v>
                </c:pt>
                <c:pt idx="2855">
                  <c:v>100</c:v>
                </c:pt>
                <c:pt idx="2856">
                  <c:v>113</c:v>
                </c:pt>
                <c:pt idx="2857">
                  <c:v>122</c:v>
                </c:pt>
                <c:pt idx="2858">
                  <c:v>100</c:v>
                </c:pt>
                <c:pt idx="2859">
                  <c:v>293</c:v>
                </c:pt>
                <c:pt idx="2860">
                  <c:v>93</c:v>
                </c:pt>
                <c:pt idx="2861">
                  <c:v>123</c:v>
                </c:pt>
                <c:pt idx="2862">
                  <c:v>119</c:v>
                </c:pt>
                <c:pt idx="2863">
                  <c:v>107</c:v>
                </c:pt>
                <c:pt idx="2864">
                  <c:v>106</c:v>
                </c:pt>
                <c:pt idx="2865">
                  <c:v>109</c:v>
                </c:pt>
                <c:pt idx="2866">
                  <c:v>81</c:v>
                </c:pt>
                <c:pt idx="2867">
                  <c:v>95</c:v>
                </c:pt>
                <c:pt idx="2868">
                  <c:v>86</c:v>
                </c:pt>
                <c:pt idx="2869">
                  <c:v>113</c:v>
                </c:pt>
                <c:pt idx="2870">
                  <c:v>122</c:v>
                </c:pt>
                <c:pt idx="2871">
                  <c:v>90</c:v>
                </c:pt>
                <c:pt idx="2872">
                  <c:v>108</c:v>
                </c:pt>
                <c:pt idx="2873">
                  <c:v>113</c:v>
                </c:pt>
                <c:pt idx="2874">
                  <c:v>110</c:v>
                </c:pt>
                <c:pt idx="2875">
                  <c:v>109</c:v>
                </c:pt>
                <c:pt idx="2876">
                  <c:v>100</c:v>
                </c:pt>
                <c:pt idx="2877">
                  <c:v>101</c:v>
                </c:pt>
                <c:pt idx="2878">
                  <c:v>97</c:v>
                </c:pt>
                <c:pt idx="2879">
                  <c:v>172</c:v>
                </c:pt>
                <c:pt idx="2880">
                  <c:v>104</c:v>
                </c:pt>
                <c:pt idx="2881">
                  <c:v>99</c:v>
                </c:pt>
                <c:pt idx="2882">
                  <c:v>129</c:v>
                </c:pt>
                <c:pt idx="2883">
                  <c:v>91</c:v>
                </c:pt>
                <c:pt idx="2884">
                  <c:v>100</c:v>
                </c:pt>
                <c:pt idx="2885">
                  <c:v>111</c:v>
                </c:pt>
                <c:pt idx="2886">
                  <c:v>114</c:v>
                </c:pt>
                <c:pt idx="2887">
                  <c:v>86</c:v>
                </c:pt>
                <c:pt idx="2888">
                  <c:v>107</c:v>
                </c:pt>
                <c:pt idx="2889">
                  <c:v>90</c:v>
                </c:pt>
                <c:pt idx="2890">
                  <c:v>103</c:v>
                </c:pt>
                <c:pt idx="2891">
                  <c:v>120</c:v>
                </c:pt>
                <c:pt idx="2892">
                  <c:v>134</c:v>
                </c:pt>
                <c:pt idx="2893">
                  <c:v>110</c:v>
                </c:pt>
                <c:pt idx="2894">
                  <c:v>95</c:v>
                </c:pt>
                <c:pt idx="2895">
                  <c:v>95</c:v>
                </c:pt>
                <c:pt idx="2896">
                  <c:v>132</c:v>
                </c:pt>
                <c:pt idx="2897">
                  <c:v>89</c:v>
                </c:pt>
                <c:pt idx="2898">
                  <c:v>138</c:v>
                </c:pt>
                <c:pt idx="2899">
                  <c:v>113</c:v>
                </c:pt>
                <c:pt idx="2900">
                  <c:v>99</c:v>
                </c:pt>
                <c:pt idx="2901">
                  <c:v>111</c:v>
                </c:pt>
                <c:pt idx="2902">
                  <c:v>99</c:v>
                </c:pt>
                <c:pt idx="2903">
                  <c:v>104</c:v>
                </c:pt>
                <c:pt idx="2904">
                  <c:v>89</c:v>
                </c:pt>
                <c:pt idx="2905">
                  <c:v>103</c:v>
                </c:pt>
                <c:pt idx="2906">
                  <c:v>134</c:v>
                </c:pt>
                <c:pt idx="2907">
                  <c:v>100</c:v>
                </c:pt>
                <c:pt idx="2908">
                  <c:v>130</c:v>
                </c:pt>
                <c:pt idx="2909">
                  <c:v>106</c:v>
                </c:pt>
                <c:pt idx="2910">
                  <c:v>125</c:v>
                </c:pt>
                <c:pt idx="2911">
                  <c:v>109</c:v>
                </c:pt>
                <c:pt idx="2912">
                  <c:v>200</c:v>
                </c:pt>
                <c:pt idx="2913">
                  <c:v>114</c:v>
                </c:pt>
                <c:pt idx="2914">
                  <c:v>112</c:v>
                </c:pt>
                <c:pt idx="2915">
                  <c:v>116</c:v>
                </c:pt>
                <c:pt idx="2916">
                  <c:v>92</c:v>
                </c:pt>
                <c:pt idx="2917">
                  <c:v>120</c:v>
                </c:pt>
                <c:pt idx="2918">
                  <c:v>107</c:v>
                </c:pt>
                <c:pt idx="2919">
                  <c:v>92</c:v>
                </c:pt>
                <c:pt idx="2920">
                  <c:v>107</c:v>
                </c:pt>
                <c:pt idx="2921">
                  <c:v>100</c:v>
                </c:pt>
                <c:pt idx="2922">
                  <c:v>81</c:v>
                </c:pt>
                <c:pt idx="2923">
                  <c:v>101</c:v>
                </c:pt>
                <c:pt idx="2924">
                  <c:v>122</c:v>
                </c:pt>
                <c:pt idx="2925">
                  <c:v>97</c:v>
                </c:pt>
                <c:pt idx="2926">
                  <c:v>92</c:v>
                </c:pt>
                <c:pt idx="2927">
                  <c:v>92</c:v>
                </c:pt>
                <c:pt idx="2928">
                  <c:v>110</c:v>
                </c:pt>
                <c:pt idx="2929">
                  <c:v>86</c:v>
                </c:pt>
                <c:pt idx="2930">
                  <c:v>91</c:v>
                </c:pt>
                <c:pt idx="2931">
                  <c:v>145</c:v>
                </c:pt>
                <c:pt idx="2932">
                  <c:v>100</c:v>
                </c:pt>
                <c:pt idx="2933">
                  <c:v>111</c:v>
                </c:pt>
                <c:pt idx="2934">
                  <c:v>184</c:v>
                </c:pt>
                <c:pt idx="2935">
                  <c:v>89</c:v>
                </c:pt>
                <c:pt idx="2936">
                  <c:v>84</c:v>
                </c:pt>
                <c:pt idx="2937">
                  <c:v>98</c:v>
                </c:pt>
                <c:pt idx="2938">
                  <c:v>95</c:v>
                </c:pt>
                <c:pt idx="2939">
                  <c:v>100</c:v>
                </c:pt>
                <c:pt idx="2940">
                  <c:v>109</c:v>
                </c:pt>
                <c:pt idx="2941">
                  <c:v>118</c:v>
                </c:pt>
                <c:pt idx="2942">
                  <c:v>88</c:v>
                </c:pt>
                <c:pt idx="2943">
                  <c:v>86</c:v>
                </c:pt>
                <c:pt idx="2944">
                  <c:v>118</c:v>
                </c:pt>
                <c:pt idx="2945">
                  <c:v>125</c:v>
                </c:pt>
                <c:pt idx="2946">
                  <c:v>125</c:v>
                </c:pt>
                <c:pt idx="2947">
                  <c:v>94</c:v>
                </c:pt>
                <c:pt idx="2948">
                  <c:v>113</c:v>
                </c:pt>
                <c:pt idx="2949">
                  <c:v>104</c:v>
                </c:pt>
                <c:pt idx="2950">
                  <c:v>95</c:v>
                </c:pt>
                <c:pt idx="2951">
                  <c:v>102</c:v>
                </c:pt>
                <c:pt idx="2952">
                  <c:v>124</c:v>
                </c:pt>
                <c:pt idx="2953">
                  <c:v>105</c:v>
                </c:pt>
                <c:pt idx="2954">
                  <c:v>104</c:v>
                </c:pt>
                <c:pt idx="2955">
                  <c:v>111</c:v>
                </c:pt>
                <c:pt idx="2956">
                  <c:v>95</c:v>
                </c:pt>
                <c:pt idx="2957">
                  <c:v>96</c:v>
                </c:pt>
                <c:pt idx="2958">
                  <c:v>97</c:v>
                </c:pt>
                <c:pt idx="2959">
                  <c:v>118</c:v>
                </c:pt>
                <c:pt idx="2960">
                  <c:v>193</c:v>
                </c:pt>
                <c:pt idx="2961">
                  <c:v>97</c:v>
                </c:pt>
                <c:pt idx="2962">
                  <c:v>98</c:v>
                </c:pt>
                <c:pt idx="2963">
                  <c:v>103</c:v>
                </c:pt>
                <c:pt idx="2964">
                  <c:v>161</c:v>
                </c:pt>
                <c:pt idx="2965">
                  <c:v>120</c:v>
                </c:pt>
                <c:pt idx="2966">
                  <c:v>97</c:v>
                </c:pt>
                <c:pt idx="2967">
                  <c:v>97</c:v>
                </c:pt>
                <c:pt idx="2968">
                  <c:v>99</c:v>
                </c:pt>
                <c:pt idx="2969">
                  <c:v>144</c:v>
                </c:pt>
                <c:pt idx="2970">
                  <c:v>145</c:v>
                </c:pt>
                <c:pt idx="2971">
                  <c:v>106</c:v>
                </c:pt>
                <c:pt idx="2972">
                  <c:v>126</c:v>
                </c:pt>
                <c:pt idx="2973">
                  <c:v>106</c:v>
                </c:pt>
                <c:pt idx="2974">
                  <c:v>121</c:v>
                </c:pt>
                <c:pt idx="2975">
                  <c:v>117</c:v>
                </c:pt>
                <c:pt idx="2976">
                  <c:v>98</c:v>
                </c:pt>
                <c:pt idx="2977">
                  <c:v>109</c:v>
                </c:pt>
                <c:pt idx="2978">
                  <c:v>95</c:v>
                </c:pt>
                <c:pt idx="2979">
                  <c:v>96</c:v>
                </c:pt>
                <c:pt idx="2980">
                  <c:v>101</c:v>
                </c:pt>
                <c:pt idx="2981">
                  <c:v>107</c:v>
                </c:pt>
                <c:pt idx="2982">
                  <c:v>119</c:v>
                </c:pt>
                <c:pt idx="2983">
                  <c:v>178</c:v>
                </c:pt>
                <c:pt idx="2984">
                  <c:v>100</c:v>
                </c:pt>
                <c:pt idx="2985">
                  <c:v>98</c:v>
                </c:pt>
                <c:pt idx="2986">
                  <c:v>92</c:v>
                </c:pt>
                <c:pt idx="2987">
                  <c:v>90</c:v>
                </c:pt>
                <c:pt idx="2988">
                  <c:v>90</c:v>
                </c:pt>
                <c:pt idx="2989">
                  <c:v>153</c:v>
                </c:pt>
                <c:pt idx="2990">
                  <c:v>124</c:v>
                </c:pt>
                <c:pt idx="2991">
                  <c:v>82</c:v>
                </c:pt>
                <c:pt idx="2992">
                  <c:v>107</c:v>
                </c:pt>
                <c:pt idx="2993">
                  <c:v>75</c:v>
                </c:pt>
                <c:pt idx="2994">
                  <c:v>97</c:v>
                </c:pt>
                <c:pt idx="2995">
                  <c:v>80</c:v>
                </c:pt>
                <c:pt idx="2996">
                  <c:v>85</c:v>
                </c:pt>
                <c:pt idx="2997">
                  <c:v>97</c:v>
                </c:pt>
                <c:pt idx="2998">
                  <c:v>109</c:v>
                </c:pt>
                <c:pt idx="2999">
                  <c:v>140</c:v>
                </c:pt>
                <c:pt idx="3000">
                  <c:v>90</c:v>
                </c:pt>
                <c:pt idx="3001">
                  <c:v>130</c:v>
                </c:pt>
                <c:pt idx="3002">
                  <c:v>98</c:v>
                </c:pt>
                <c:pt idx="3003">
                  <c:v>101</c:v>
                </c:pt>
                <c:pt idx="3004">
                  <c:v>114</c:v>
                </c:pt>
                <c:pt idx="3005">
                  <c:v>100</c:v>
                </c:pt>
                <c:pt idx="3006">
                  <c:v>85</c:v>
                </c:pt>
                <c:pt idx="3007">
                  <c:v>103</c:v>
                </c:pt>
                <c:pt idx="3008">
                  <c:v>100</c:v>
                </c:pt>
                <c:pt idx="3009">
                  <c:v>114</c:v>
                </c:pt>
                <c:pt idx="3010">
                  <c:v>102</c:v>
                </c:pt>
                <c:pt idx="3011">
                  <c:v>103</c:v>
                </c:pt>
                <c:pt idx="3012">
                  <c:v>97</c:v>
                </c:pt>
                <c:pt idx="3013">
                  <c:v>116</c:v>
                </c:pt>
                <c:pt idx="3014">
                  <c:v>96</c:v>
                </c:pt>
                <c:pt idx="3015">
                  <c:v>98</c:v>
                </c:pt>
                <c:pt idx="3016">
                  <c:v>105</c:v>
                </c:pt>
                <c:pt idx="3017">
                  <c:v>123</c:v>
                </c:pt>
                <c:pt idx="3018">
                  <c:v>107</c:v>
                </c:pt>
                <c:pt idx="3019">
                  <c:v>112</c:v>
                </c:pt>
                <c:pt idx="3020">
                  <c:v>93</c:v>
                </c:pt>
                <c:pt idx="3021">
                  <c:v>97</c:v>
                </c:pt>
                <c:pt idx="3022">
                  <c:v>122</c:v>
                </c:pt>
                <c:pt idx="3023">
                  <c:v>101</c:v>
                </c:pt>
                <c:pt idx="3024">
                  <c:v>100</c:v>
                </c:pt>
                <c:pt idx="3025">
                  <c:v>129</c:v>
                </c:pt>
                <c:pt idx="3026">
                  <c:v>81</c:v>
                </c:pt>
                <c:pt idx="3027">
                  <c:v>96</c:v>
                </c:pt>
                <c:pt idx="3028">
                  <c:v>84</c:v>
                </c:pt>
                <c:pt idx="3029">
                  <c:v>100</c:v>
                </c:pt>
                <c:pt idx="3030">
                  <c:v>110</c:v>
                </c:pt>
                <c:pt idx="3031">
                  <c:v>130</c:v>
                </c:pt>
                <c:pt idx="3032">
                  <c:v>84</c:v>
                </c:pt>
                <c:pt idx="3033">
                  <c:v>106</c:v>
                </c:pt>
                <c:pt idx="3034">
                  <c:v>89</c:v>
                </c:pt>
                <c:pt idx="3035">
                  <c:v>76</c:v>
                </c:pt>
                <c:pt idx="3036">
                  <c:v>99</c:v>
                </c:pt>
                <c:pt idx="3037">
                  <c:v>96</c:v>
                </c:pt>
                <c:pt idx="3038">
                  <c:v>104</c:v>
                </c:pt>
                <c:pt idx="3039">
                  <c:v>108</c:v>
                </c:pt>
                <c:pt idx="3040">
                  <c:v>108</c:v>
                </c:pt>
                <c:pt idx="3041">
                  <c:v>87</c:v>
                </c:pt>
                <c:pt idx="3042">
                  <c:v>89</c:v>
                </c:pt>
                <c:pt idx="3043">
                  <c:v>97</c:v>
                </c:pt>
                <c:pt idx="3044">
                  <c:v>106</c:v>
                </c:pt>
                <c:pt idx="3045">
                  <c:v>100</c:v>
                </c:pt>
                <c:pt idx="3046">
                  <c:v>89</c:v>
                </c:pt>
                <c:pt idx="3047">
                  <c:v>114</c:v>
                </c:pt>
                <c:pt idx="3048">
                  <c:v>95</c:v>
                </c:pt>
                <c:pt idx="3049">
                  <c:v>97</c:v>
                </c:pt>
                <c:pt idx="3050">
                  <c:v>94</c:v>
                </c:pt>
                <c:pt idx="3051">
                  <c:v>95</c:v>
                </c:pt>
                <c:pt idx="3052">
                  <c:v>101</c:v>
                </c:pt>
                <c:pt idx="3053">
                  <c:v>87</c:v>
                </c:pt>
                <c:pt idx="3054">
                  <c:v>101</c:v>
                </c:pt>
                <c:pt idx="3055">
                  <c:v>82</c:v>
                </c:pt>
                <c:pt idx="3056">
                  <c:v>74</c:v>
                </c:pt>
                <c:pt idx="3057">
                  <c:v>130</c:v>
                </c:pt>
                <c:pt idx="3058">
                  <c:v>112</c:v>
                </c:pt>
                <c:pt idx="3059">
                  <c:v>96</c:v>
                </c:pt>
                <c:pt idx="3060">
                  <c:v>89</c:v>
                </c:pt>
                <c:pt idx="3061">
                  <c:v>100</c:v>
                </c:pt>
                <c:pt idx="3062">
                  <c:v>78</c:v>
                </c:pt>
                <c:pt idx="3063">
                  <c:v>121</c:v>
                </c:pt>
                <c:pt idx="3064">
                  <c:v>85</c:v>
                </c:pt>
                <c:pt idx="3065">
                  <c:v>120</c:v>
                </c:pt>
                <c:pt idx="3066">
                  <c:v>106</c:v>
                </c:pt>
                <c:pt idx="3067">
                  <c:v>83</c:v>
                </c:pt>
                <c:pt idx="3068">
                  <c:v>120</c:v>
                </c:pt>
                <c:pt idx="3069">
                  <c:v>111</c:v>
                </c:pt>
                <c:pt idx="3070">
                  <c:v>100</c:v>
                </c:pt>
                <c:pt idx="3071">
                  <c:v>89</c:v>
                </c:pt>
                <c:pt idx="3072">
                  <c:v>115</c:v>
                </c:pt>
                <c:pt idx="3073">
                  <c:v>135</c:v>
                </c:pt>
                <c:pt idx="3074">
                  <c:v>92</c:v>
                </c:pt>
                <c:pt idx="3075">
                  <c:v>120</c:v>
                </c:pt>
                <c:pt idx="3076">
                  <c:v>97</c:v>
                </c:pt>
                <c:pt idx="3077">
                  <c:v>135</c:v>
                </c:pt>
                <c:pt idx="3078">
                  <c:v>93</c:v>
                </c:pt>
                <c:pt idx="3079">
                  <c:v>118</c:v>
                </c:pt>
                <c:pt idx="3080">
                  <c:v>97</c:v>
                </c:pt>
                <c:pt idx="3081">
                  <c:v>98</c:v>
                </c:pt>
                <c:pt idx="3082">
                  <c:v>98</c:v>
                </c:pt>
                <c:pt idx="3083">
                  <c:v>101</c:v>
                </c:pt>
                <c:pt idx="3084">
                  <c:v>132</c:v>
                </c:pt>
                <c:pt idx="3085">
                  <c:v>106</c:v>
                </c:pt>
                <c:pt idx="3086">
                  <c:v>168</c:v>
                </c:pt>
                <c:pt idx="3087">
                  <c:v>87</c:v>
                </c:pt>
                <c:pt idx="3088">
                  <c:v>98</c:v>
                </c:pt>
                <c:pt idx="3089">
                  <c:v>96</c:v>
                </c:pt>
                <c:pt idx="3090">
                  <c:v>104</c:v>
                </c:pt>
                <c:pt idx="3091">
                  <c:v>93</c:v>
                </c:pt>
                <c:pt idx="3092">
                  <c:v>95</c:v>
                </c:pt>
                <c:pt idx="3093">
                  <c:v>119</c:v>
                </c:pt>
                <c:pt idx="3094">
                  <c:v>89</c:v>
                </c:pt>
                <c:pt idx="3095">
                  <c:v>107</c:v>
                </c:pt>
                <c:pt idx="3096">
                  <c:v>85</c:v>
                </c:pt>
                <c:pt idx="3097">
                  <c:v>93</c:v>
                </c:pt>
                <c:pt idx="3098">
                  <c:v>101</c:v>
                </c:pt>
                <c:pt idx="3099">
                  <c:v>103</c:v>
                </c:pt>
                <c:pt idx="3100">
                  <c:v>101</c:v>
                </c:pt>
                <c:pt idx="3101">
                  <c:v>123</c:v>
                </c:pt>
                <c:pt idx="3102">
                  <c:v>111</c:v>
                </c:pt>
                <c:pt idx="3103">
                  <c:v>86</c:v>
                </c:pt>
                <c:pt idx="3104">
                  <c:v>99</c:v>
                </c:pt>
                <c:pt idx="3105">
                  <c:v>90</c:v>
                </c:pt>
                <c:pt idx="3106">
                  <c:v>82</c:v>
                </c:pt>
                <c:pt idx="3107">
                  <c:v>110</c:v>
                </c:pt>
                <c:pt idx="3108">
                  <c:v>83</c:v>
                </c:pt>
                <c:pt idx="3109">
                  <c:v>128</c:v>
                </c:pt>
                <c:pt idx="3110">
                  <c:v>125</c:v>
                </c:pt>
                <c:pt idx="3111">
                  <c:v>97</c:v>
                </c:pt>
                <c:pt idx="3112">
                  <c:v>86</c:v>
                </c:pt>
                <c:pt idx="3113">
                  <c:v>91</c:v>
                </c:pt>
                <c:pt idx="3114">
                  <c:v>90</c:v>
                </c:pt>
                <c:pt idx="3115">
                  <c:v>90</c:v>
                </c:pt>
                <c:pt idx="3116">
                  <c:v>94</c:v>
                </c:pt>
                <c:pt idx="3117">
                  <c:v>112</c:v>
                </c:pt>
                <c:pt idx="3118">
                  <c:v>85</c:v>
                </c:pt>
                <c:pt idx="3119">
                  <c:v>93</c:v>
                </c:pt>
                <c:pt idx="3120">
                  <c:v>104</c:v>
                </c:pt>
                <c:pt idx="3121">
                  <c:v>94</c:v>
                </c:pt>
                <c:pt idx="3122">
                  <c:v>85</c:v>
                </c:pt>
                <c:pt idx="3123">
                  <c:v>99</c:v>
                </c:pt>
                <c:pt idx="3124">
                  <c:v>91</c:v>
                </c:pt>
                <c:pt idx="3125">
                  <c:v>117</c:v>
                </c:pt>
                <c:pt idx="3126">
                  <c:v>85</c:v>
                </c:pt>
                <c:pt idx="3127">
                  <c:v>106</c:v>
                </c:pt>
                <c:pt idx="3128">
                  <c:v>81</c:v>
                </c:pt>
                <c:pt idx="3129">
                  <c:v>100</c:v>
                </c:pt>
                <c:pt idx="3130">
                  <c:v>90</c:v>
                </c:pt>
                <c:pt idx="3131">
                  <c:v>116</c:v>
                </c:pt>
                <c:pt idx="3132">
                  <c:v>84</c:v>
                </c:pt>
                <c:pt idx="3133">
                  <c:v>135</c:v>
                </c:pt>
                <c:pt idx="3134">
                  <c:v>84</c:v>
                </c:pt>
                <c:pt idx="3135">
                  <c:v>89</c:v>
                </c:pt>
                <c:pt idx="3136">
                  <c:v>107</c:v>
                </c:pt>
                <c:pt idx="3137">
                  <c:v>144</c:v>
                </c:pt>
                <c:pt idx="3138">
                  <c:v>98</c:v>
                </c:pt>
                <c:pt idx="3139">
                  <c:v>94</c:v>
                </c:pt>
                <c:pt idx="3140">
                  <c:v>117</c:v>
                </c:pt>
                <c:pt idx="3141">
                  <c:v>102</c:v>
                </c:pt>
                <c:pt idx="3142">
                  <c:v>127</c:v>
                </c:pt>
                <c:pt idx="3143">
                  <c:v>98</c:v>
                </c:pt>
                <c:pt idx="3144">
                  <c:v>88</c:v>
                </c:pt>
                <c:pt idx="3145">
                  <c:v>197</c:v>
                </c:pt>
                <c:pt idx="3146">
                  <c:v>121</c:v>
                </c:pt>
                <c:pt idx="3147">
                  <c:v>90</c:v>
                </c:pt>
                <c:pt idx="3148">
                  <c:v>89</c:v>
                </c:pt>
                <c:pt idx="3149">
                  <c:v>104</c:v>
                </c:pt>
                <c:pt idx="3150">
                  <c:v>94</c:v>
                </c:pt>
                <c:pt idx="3151">
                  <c:v>90</c:v>
                </c:pt>
                <c:pt idx="3152">
                  <c:v>130</c:v>
                </c:pt>
                <c:pt idx="3153">
                  <c:v>92</c:v>
                </c:pt>
                <c:pt idx="3154">
                  <c:v>176</c:v>
                </c:pt>
                <c:pt idx="3155">
                  <c:v>116</c:v>
                </c:pt>
                <c:pt idx="3156">
                  <c:v>88</c:v>
                </c:pt>
                <c:pt idx="3157">
                  <c:v>106</c:v>
                </c:pt>
                <c:pt idx="3158">
                  <c:v>181</c:v>
                </c:pt>
                <c:pt idx="3159">
                  <c:v>130</c:v>
                </c:pt>
                <c:pt idx="3160">
                  <c:v>93</c:v>
                </c:pt>
                <c:pt idx="3161">
                  <c:v>110</c:v>
                </c:pt>
                <c:pt idx="3162">
                  <c:v>123</c:v>
                </c:pt>
                <c:pt idx="3163">
                  <c:v>120</c:v>
                </c:pt>
                <c:pt idx="3164">
                  <c:v>87</c:v>
                </c:pt>
                <c:pt idx="3165">
                  <c:v>123</c:v>
                </c:pt>
                <c:pt idx="3166">
                  <c:v>103</c:v>
                </c:pt>
                <c:pt idx="3167">
                  <c:v>91</c:v>
                </c:pt>
                <c:pt idx="3168">
                  <c:v>88</c:v>
                </c:pt>
                <c:pt idx="3169">
                  <c:v>126</c:v>
                </c:pt>
                <c:pt idx="3170">
                  <c:v>120</c:v>
                </c:pt>
                <c:pt idx="3171">
                  <c:v>116</c:v>
                </c:pt>
                <c:pt idx="3172">
                  <c:v>94</c:v>
                </c:pt>
                <c:pt idx="3173">
                  <c:v>85</c:v>
                </c:pt>
                <c:pt idx="3174">
                  <c:v>137</c:v>
                </c:pt>
                <c:pt idx="3175">
                  <c:v>114</c:v>
                </c:pt>
                <c:pt idx="3176">
                  <c:v>76</c:v>
                </c:pt>
                <c:pt idx="3177">
                  <c:v>119</c:v>
                </c:pt>
                <c:pt idx="3178">
                  <c:v>99</c:v>
                </c:pt>
                <c:pt idx="3179">
                  <c:v>79</c:v>
                </c:pt>
                <c:pt idx="3180">
                  <c:v>114</c:v>
                </c:pt>
                <c:pt idx="3181">
                  <c:v>91</c:v>
                </c:pt>
                <c:pt idx="3182">
                  <c:v>95</c:v>
                </c:pt>
                <c:pt idx="3183">
                  <c:v>103</c:v>
                </c:pt>
                <c:pt idx="3184">
                  <c:v>92</c:v>
                </c:pt>
                <c:pt idx="3185">
                  <c:v>124</c:v>
                </c:pt>
                <c:pt idx="3186">
                  <c:v>156</c:v>
                </c:pt>
                <c:pt idx="3187">
                  <c:v>84</c:v>
                </c:pt>
                <c:pt idx="3188">
                  <c:v>300</c:v>
                </c:pt>
                <c:pt idx="3189">
                  <c:v>120</c:v>
                </c:pt>
                <c:pt idx="3190">
                  <c:v>98</c:v>
                </c:pt>
                <c:pt idx="3191">
                  <c:v>121</c:v>
                </c:pt>
                <c:pt idx="3192">
                  <c:v>97</c:v>
                </c:pt>
                <c:pt idx="3193">
                  <c:v>86</c:v>
                </c:pt>
                <c:pt idx="3194">
                  <c:v>45</c:v>
                </c:pt>
                <c:pt idx="3195">
                  <c:v>97</c:v>
                </c:pt>
                <c:pt idx="3196">
                  <c:v>102</c:v>
                </c:pt>
                <c:pt idx="3197">
                  <c:v>105</c:v>
                </c:pt>
                <c:pt idx="3198">
                  <c:v>103</c:v>
                </c:pt>
                <c:pt idx="3199">
                  <c:v>93</c:v>
                </c:pt>
                <c:pt idx="3200">
                  <c:v>76</c:v>
                </c:pt>
                <c:pt idx="3201">
                  <c:v>90</c:v>
                </c:pt>
                <c:pt idx="3202">
                  <c:v>122</c:v>
                </c:pt>
                <c:pt idx="3203">
                  <c:v>127</c:v>
                </c:pt>
                <c:pt idx="3204">
                  <c:v>84</c:v>
                </c:pt>
                <c:pt idx="3205">
                  <c:v>96</c:v>
                </c:pt>
                <c:pt idx="3206">
                  <c:v>97</c:v>
                </c:pt>
                <c:pt idx="3207">
                  <c:v>112</c:v>
                </c:pt>
                <c:pt idx="3208">
                  <c:v>125</c:v>
                </c:pt>
                <c:pt idx="3209">
                  <c:v>96</c:v>
                </c:pt>
                <c:pt idx="3210">
                  <c:v>98</c:v>
                </c:pt>
                <c:pt idx="3211">
                  <c:v>92</c:v>
                </c:pt>
                <c:pt idx="3212">
                  <c:v>103</c:v>
                </c:pt>
                <c:pt idx="3213">
                  <c:v>122</c:v>
                </c:pt>
                <c:pt idx="3214">
                  <c:v>101</c:v>
                </c:pt>
                <c:pt idx="3215">
                  <c:v>104</c:v>
                </c:pt>
                <c:pt idx="3216">
                  <c:v>101</c:v>
                </c:pt>
                <c:pt idx="3217">
                  <c:v>135</c:v>
                </c:pt>
                <c:pt idx="3218">
                  <c:v>119</c:v>
                </c:pt>
                <c:pt idx="3219">
                  <c:v>128</c:v>
                </c:pt>
                <c:pt idx="3220">
                  <c:v>106</c:v>
                </c:pt>
                <c:pt idx="3221">
                  <c:v>126</c:v>
                </c:pt>
                <c:pt idx="3222">
                  <c:v>128</c:v>
                </c:pt>
                <c:pt idx="3223">
                  <c:v>127</c:v>
                </c:pt>
                <c:pt idx="3224">
                  <c:v>160</c:v>
                </c:pt>
                <c:pt idx="3225">
                  <c:v>171</c:v>
                </c:pt>
                <c:pt idx="3226">
                  <c:v>150</c:v>
                </c:pt>
                <c:pt idx="3227">
                  <c:v>122</c:v>
                </c:pt>
                <c:pt idx="3228">
                  <c:v>178</c:v>
                </c:pt>
                <c:pt idx="3229">
                  <c:v>95</c:v>
                </c:pt>
                <c:pt idx="3230">
                  <c:v>117</c:v>
                </c:pt>
                <c:pt idx="3231">
                  <c:v>119</c:v>
                </c:pt>
                <c:pt idx="3232">
                  <c:v>174</c:v>
                </c:pt>
                <c:pt idx="3233">
                  <c:v>111</c:v>
                </c:pt>
                <c:pt idx="3234">
                  <c:v>101</c:v>
                </c:pt>
                <c:pt idx="3235">
                  <c:v>89</c:v>
                </c:pt>
                <c:pt idx="3236">
                  <c:v>113</c:v>
                </c:pt>
                <c:pt idx="3237">
                  <c:v>95</c:v>
                </c:pt>
                <c:pt idx="3238">
                  <c:v>112</c:v>
                </c:pt>
                <c:pt idx="3239">
                  <c:v>109</c:v>
                </c:pt>
                <c:pt idx="3240">
                  <c:v>108</c:v>
                </c:pt>
                <c:pt idx="3241">
                  <c:v>100</c:v>
                </c:pt>
                <c:pt idx="3242">
                  <c:v>90</c:v>
                </c:pt>
                <c:pt idx="3243">
                  <c:v>94</c:v>
                </c:pt>
                <c:pt idx="3244">
                  <c:v>93</c:v>
                </c:pt>
                <c:pt idx="3245">
                  <c:v>80</c:v>
                </c:pt>
                <c:pt idx="3246">
                  <c:v>111</c:v>
                </c:pt>
                <c:pt idx="3247">
                  <c:v>142</c:v>
                </c:pt>
                <c:pt idx="3248">
                  <c:v>107</c:v>
                </c:pt>
                <c:pt idx="3249">
                  <c:v>91</c:v>
                </c:pt>
                <c:pt idx="3250">
                  <c:v>112</c:v>
                </c:pt>
                <c:pt idx="3251">
                  <c:v>82</c:v>
                </c:pt>
                <c:pt idx="3252">
                  <c:v>97</c:v>
                </c:pt>
                <c:pt idx="3253">
                  <c:v>102</c:v>
                </c:pt>
                <c:pt idx="3254">
                  <c:v>93</c:v>
                </c:pt>
                <c:pt idx="3255">
                  <c:v>116</c:v>
                </c:pt>
                <c:pt idx="3256">
                  <c:v>138</c:v>
                </c:pt>
                <c:pt idx="3257">
                  <c:v>117</c:v>
                </c:pt>
                <c:pt idx="3258">
                  <c:v>93</c:v>
                </c:pt>
                <c:pt idx="3259">
                  <c:v>92</c:v>
                </c:pt>
                <c:pt idx="3260">
                  <c:v>110</c:v>
                </c:pt>
                <c:pt idx="3261">
                  <c:v>92</c:v>
                </c:pt>
                <c:pt idx="3262">
                  <c:v>104</c:v>
                </c:pt>
                <c:pt idx="3263">
                  <c:v>98</c:v>
                </c:pt>
                <c:pt idx="3264">
                  <c:v>89</c:v>
                </c:pt>
                <c:pt idx="3265">
                  <c:v>92</c:v>
                </c:pt>
                <c:pt idx="3266">
                  <c:v>140</c:v>
                </c:pt>
                <c:pt idx="3267">
                  <c:v>90</c:v>
                </c:pt>
                <c:pt idx="3268">
                  <c:v>129</c:v>
                </c:pt>
                <c:pt idx="3269">
                  <c:v>111</c:v>
                </c:pt>
                <c:pt idx="3270">
                  <c:v>79</c:v>
                </c:pt>
                <c:pt idx="3271">
                  <c:v>104</c:v>
                </c:pt>
                <c:pt idx="3272">
                  <c:v>101</c:v>
                </c:pt>
                <c:pt idx="3273">
                  <c:v>113</c:v>
                </c:pt>
                <c:pt idx="3274">
                  <c:v>92</c:v>
                </c:pt>
                <c:pt idx="3275">
                  <c:v>106</c:v>
                </c:pt>
                <c:pt idx="3276">
                  <c:v>98</c:v>
                </c:pt>
                <c:pt idx="3277">
                  <c:v>75</c:v>
                </c:pt>
                <c:pt idx="3278">
                  <c:v>104</c:v>
                </c:pt>
                <c:pt idx="3279">
                  <c:v>108</c:v>
                </c:pt>
                <c:pt idx="3280">
                  <c:v>99</c:v>
                </c:pt>
                <c:pt idx="3281">
                  <c:v>180</c:v>
                </c:pt>
                <c:pt idx="3282">
                  <c:v>109</c:v>
                </c:pt>
                <c:pt idx="3283">
                  <c:v>111</c:v>
                </c:pt>
                <c:pt idx="3284">
                  <c:v>93</c:v>
                </c:pt>
                <c:pt idx="3285">
                  <c:v>99</c:v>
                </c:pt>
                <c:pt idx="3286">
                  <c:v>98</c:v>
                </c:pt>
                <c:pt idx="3287">
                  <c:v>95</c:v>
                </c:pt>
                <c:pt idx="3288">
                  <c:v>107</c:v>
                </c:pt>
                <c:pt idx="3289">
                  <c:v>102</c:v>
                </c:pt>
                <c:pt idx="3290">
                  <c:v>97</c:v>
                </c:pt>
                <c:pt idx="3291">
                  <c:v>124</c:v>
                </c:pt>
                <c:pt idx="3292">
                  <c:v>97</c:v>
                </c:pt>
                <c:pt idx="3293">
                  <c:v>124</c:v>
                </c:pt>
                <c:pt idx="3294">
                  <c:v>96</c:v>
                </c:pt>
                <c:pt idx="3295">
                  <c:v>114</c:v>
                </c:pt>
                <c:pt idx="3296">
                  <c:v>90</c:v>
                </c:pt>
                <c:pt idx="3297">
                  <c:v>104</c:v>
                </c:pt>
                <c:pt idx="3298">
                  <c:v>102</c:v>
                </c:pt>
                <c:pt idx="3299">
                  <c:v>93</c:v>
                </c:pt>
                <c:pt idx="3300">
                  <c:v>90</c:v>
                </c:pt>
                <c:pt idx="3301">
                  <c:v>106</c:v>
                </c:pt>
                <c:pt idx="3302">
                  <c:v>99</c:v>
                </c:pt>
                <c:pt idx="3303">
                  <c:v>115</c:v>
                </c:pt>
                <c:pt idx="3304">
                  <c:v>89</c:v>
                </c:pt>
                <c:pt idx="3305">
                  <c:v>101</c:v>
                </c:pt>
                <c:pt idx="3306">
                  <c:v>92</c:v>
                </c:pt>
                <c:pt idx="3307">
                  <c:v>94</c:v>
                </c:pt>
                <c:pt idx="3308">
                  <c:v>100</c:v>
                </c:pt>
                <c:pt idx="3309">
                  <c:v>106</c:v>
                </c:pt>
                <c:pt idx="3310">
                  <c:v>109</c:v>
                </c:pt>
                <c:pt idx="3311">
                  <c:v>105</c:v>
                </c:pt>
                <c:pt idx="3312">
                  <c:v>102</c:v>
                </c:pt>
                <c:pt idx="3313">
                  <c:v>97</c:v>
                </c:pt>
                <c:pt idx="3314">
                  <c:v>118</c:v>
                </c:pt>
                <c:pt idx="3315">
                  <c:v>92</c:v>
                </c:pt>
                <c:pt idx="3316">
                  <c:v>112</c:v>
                </c:pt>
                <c:pt idx="3317">
                  <c:v>103</c:v>
                </c:pt>
                <c:pt idx="3318">
                  <c:v>93</c:v>
                </c:pt>
                <c:pt idx="3319">
                  <c:v>101</c:v>
                </c:pt>
                <c:pt idx="3320">
                  <c:v>113</c:v>
                </c:pt>
                <c:pt idx="3321">
                  <c:v>95</c:v>
                </c:pt>
                <c:pt idx="3322">
                  <c:v>153</c:v>
                </c:pt>
                <c:pt idx="3323">
                  <c:v>89</c:v>
                </c:pt>
                <c:pt idx="3324">
                  <c:v>92</c:v>
                </c:pt>
                <c:pt idx="3325">
                  <c:v>107</c:v>
                </c:pt>
                <c:pt idx="3326">
                  <c:v>118</c:v>
                </c:pt>
                <c:pt idx="3327">
                  <c:v>97</c:v>
                </c:pt>
                <c:pt idx="3328">
                  <c:v>100</c:v>
                </c:pt>
                <c:pt idx="3329">
                  <c:v>96</c:v>
                </c:pt>
                <c:pt idx="3330">
                  <c:v>104</c:v>
                </c:pt>
                <c:pt idx="3331">
                  <c:v>120</c:v>
                </c:pt>
                <c:pt idx="3332">
                  <c:v>175</c:v>
                </c:pt>
                <c:pt idx="3333">
                  <c:v>95</c:v>
                </c:pt>
                <c:pt idx="3334">
                  <c:v>95</c:v>
                </c:pt>
                <c:pt idx="3335">
                  <c:v>121</c:v>
                </c:pt>
                <c:pt idx="3336">
                  <c:v>110</c:v>
                </c:pt>
                <c:pt idx="3337">
                  <c:v>96</c:v>
                </c:pt>
                <c:pt idx="3338">
                  <c:v>121</c:v>
                </c:pt>
                <c:pt idx="3339">
                  <c:v>95</c:v>
                </c:pt>
                <c:pt idx="3340">
                  <c:v>112</c:v>
                </c:pt>
                <c:pt idx="3341">
                  <c:v>112</c:v>
                </c:pt>
                <c:pt idx="3342">
                  <c:v>93</c:v>
                </c:pt>
                <c:pt idx="3343">
                  <c:v>110</c:v>
                </c:pt>
                <c:pt idx="3344">
                  <c:v>104</c:v>
                </c:pt>
                <c:pt idx="3345">
                  <c:v>119</c:v>
                </c:pt>
                <c:pt idx="3346">
                  <c:v>125</c:v>
                </c:pt>
                <c:pt idx="3347">
                  <c:v>96</c:v>
                </c:pt>
                <c:pt idx="3348">
                  <c:v>100</c:v>
                </c:pt>
                <c:pt idx="3349">
                  <c:v>46</c:v>
                </c:pt>
                <c:pt idx="3350">
                  <c:v>89</c:v>
                </c:pt>
                <c:pt idx="3351">
                  <c:v>92</c:v>
                </c:pt>
                <c:pt idx="3352">
                  <c:v>109</c:v>
                </c:pt>
                <c:pt idx="3353">
                  <c:v>103</c:v>
                </c:pt>
                <c:pt idx="3354">
                  <c:v>95</c:v>
                </c:pt>
                <c:pt idx="3355">
                  <c:v>105</c:v>
                </c:pt>
                <c:pt idx="3356">
                  <c:v>79</c:v>
                </c:pt>
                <c:pt idx="3357">
                  <c:v>106</c:v>
                </c:pt>
                <c:pt idx="3358">
                  <c:v>100</c:v>
                </c:pt>
                <c:pt idx="3359">
                  <c:v>103</c:v>
                </c:pt>
                <c:pt idx="3360">
                  <c:v>116</c:v>
                </c:pt>
                <c:pt idx="3361">
                  <c:v>99</c:v>
                </c:pt>
                <c:pt idx="3362">
                  <c:v>164</c:v>
                </c:pt>
                <c:pt idx="3363">
                  <c:v>96</c:v>
                </c:pt>
                <c:pt idx="3364">
                  <c:v>122</c:v>
                </c:pt>
                <c:pt idx="3365">
                  <c:v>94</c:v>
                </c:pt>
                <c:pt idx="3366">
                  <c:v>93</c:v>
                </c:pt>
                <c:pt idx="3367">
                  <c:v>96</c:v>
                </c:pt>
                <c:pt idx="3368">
                  <c:v>113</c:v>
                </c:pt>
                <c:pt idx="3369">
                  <c:v>192</c:v>
                </c:pt>
                <c:pt idx="3370">
                  <c:v>99</c:v>
                </c:pt>
                <c:pt idx="3371">
                  <c:v>91</c:v>
                </c:pt>
                <c:pt idx="3372">
                  <c:v>100</c:v>
                </c:pt>
                <c:pt idx="3373">
                  <c:v>105</c:v>
                </c:pt>
                <c:pt idx="3374">
                  <c:v>99</c:v>
                </c:pt>
                <c:pt idx="3375">
                  <c:v>112</c:v>
                </c:pt>
                <c:pt idx="3376">
                  <c:v>100</c:v>
                </c:pt>
                <c:pt idx="3377">
                  <c:v>99</c:v>
                </c:pt>
                <c:pt idx="3378">
                  <c:v>100</c:v>
                </c:pt>
                <c:pt idx="3379">
                  <c:v>125</c:v>
                </c:pt>
                <c:pt idx="3380">
                  <c:v>107</c:v>
                </c:pt>
                <c:pt idx="3381">
                  <c:v>107</c:v>
                </c:pt>
                <c:pt idx="3382">
                  <c:v>97</c:v>
                </c:pt>
                <c:pt idx="3383">
                  <c:v>105</c:v>
                </c:pt>
                <c:pt idx="3384">
                  <c:v>95</c:v>
                </c:pt>
                <c:pt idx="3385">
                  <c:v>106</c:v>
                </c:pt>
                <c:pt idx="3386">
                  <c:v>93</c:v>
                </c:pt>
                <c:pt idx="3387">
                  <c:v>103</c:v>
                </c:pt>
                <c:pt idx="3388">
                  <c:v>96</c:v>
                </c:pt>
                <c:pt idx="3389">
                  <c:v>103</c:v>
                </c:pt>
                <c:pt idx="3390">
                  <c:v>108</c:v>
                </c:pt>
                <c:pt idx="3391">
                  <c:v>177</c:v>
                </c:pt>
                <c:pt idx="3392">
                  <c:v>118</c:v>
                </c:pt>
                <c:pt idx="3393">
                  <c:v>97</c:v>
                </c:pt>
                <c:pt idx="3394">
                  <c:v>102</c:v>
                </c:pt>
                <c:pt idx="3395">
                  <c:v>92</c:v>
                </c:pt>
                <c:pt idx="3396">
                  <c:v>88</c:v>
                </c:pt>
                <c:pt idx="3397">
                  <c:v>80</c:v>
                </c:pt>
                <c:pt idx="3398">
                  <c:v>115</c:v>
                </c:pt>
                <c:pt idx="3399">
                  <c:v>97</c:v>
                </c:pt>
                <c:pt idx="3400">
                  <c:v>102</c:v>
                </c:pt>
                <c:pt idx="3401">
                  <c:v>111</c:v>
                </c:pt>
                <c:pt idx="3402">
                  <c:v>96</c:v>
                </c:pt>
                <c:pt idx="3403">
                  <c:v>94</c:v>
                </c:pt>
                <c:pt idx="3404">
                  <c:v>125</c:v>
                </c:pt>
                <c:pt idx="3405">
                  <c:v>108</c:v>
                </c:pt>
                <c:pt idx="3406">
                  <c:v>101</c:v>
                </c:pt>
                <c:pt idx="3407">
                  <c:v>101</c:v>
                </c:pt>
                <c:pt idx="3408">
                  <c:v>139</c:v>
                </c:pt>
                <c:pt idx="3409">
                  <c:v>125</c:v>
                </c:pt>
                <c:pt idx="3410">
                  <c:v>88</c:v>
                </c:pt>
                <c:pt idx="3411">
                  <c:v>115</c:v>
                </c:pt>
                <c:pt idx="3412">
                  <c:v>99</c:v>
                </c:pt>
                <c:pt idx="3413">
                  <c:v>88</c:v>
                </c:pt>
                <c:pt idx="3414">
                  <c:v>112</c:v>
                </c:pt>
                <c:pt idx="3415">
                  <c:v>108</c:v>
                </c:pt>
                <c:pt idx="3416">
                  <c:v>107</c:v>
                </c:pt>
                <c:pt idx="3417">
                  <c:v>104</c:v>
                </c:pt>
                <c:pt idx="3418">
                  <c:v>108</c:v>
                </c:pt>
                <c:pt idx="3419">
                  <c:v>102</c:v>
                </c:pt>
                <c:pt idx="3420">
                  <c:v>88</c:v>
                </c:pt>
                <c:pt idx="3421">
                  <c:v>115</c:v>
                </c:pt>
                <c:pt idx="3422">
                  <c:v>91</c:v>
                </c:pt>
                <c:pt idx="3423">
                  <c:v>141</c:v>
                </c:pt>
                <c:pt idx="3424">
                  <c:v>101</c:v>
                </c:pt>
                <c:pt idx="3425">
                  <c:v>105</c:v>
                </c:pt>
                <c:pt idx="3426">
                  <c:v>100</c:v>
                </c:pt>
                <c:pt idx="3427">
                  <c:v>116</c:v>
                </c:pt>
                <c:pt idx="3428">
                  <c:v>97</c:v>
                </c:pt>
                <c:pt idx="3429">
                  <c:v>106</c:v>
                </c:pt>
                <c:pt idx="3430">
                  <c:v>105</c:v>
                </c:pt>
                <c:pt idx="3431">
                  <c:v>102</c:v>
                </c:pt>
                <c:pt idx="3432">
                  <c:v>122</c:v>
                </c:pt>
                <c:pt idx="3433">
                  <c:v>107</c:v>
                </c:pt>
                <c:pt idx="3434">
                  <c:v>121</c:v>
                </c:pt>
                <c:pt idx="3435">
                  <c:v>98</c:v>
                </c:pt>
                <c:pt idx="3436">
                  <c:v>108</c:v>
                </c:pt>
                <c:pt idx="3437">
                  <c:v>123</c:v>
                </c:pt>
                <c:pt idx="3438">
                  <c:v>110</c:v>
                </c:pt>
                <c:pt idx="3439">
                  <c:v>120</c:v>
                </c:pt>
                <c:pt idx="3440">
                  <c:v>122</c:v>
                </c:pt>
                <c:pt idx="3441">
                  <c:v>110</c:v>
                </c:pt>
                <c:pt idx="3442">
                  <c:v>139</c:v>
                </c:pt>
                <c:pt idx="3443">
                  <c:v>124</c:v>
                </c:pt>
                <c:pt idx="3444">
                  <c:v>152</c:v>
                </c:pt>
                <c:pt idx="3445">
                  <c:v>98</c:v>
                </c:pt>
                <c:pt idx="3446">
                  <c:v>106</c:v>
                </c:pt>
                <c:pt idx="3447">
                  <c:v>106</c:v>
                </c:pt>
                <c:pt idx="3448">
                  <c:v>106</c:v>
                </c:pt>
                <c:pt idx="3449">
                  <c:v>89</c:v>
                </c:pt>
                <c:pt idx="3450">
                  <c:v>94</c:v>
                </c:pt>
                <c:pt idx="3451">
                  <c:v>109</c:v>
                </c:pt>
                <c:pt idx="3452">
                  <c:v>144</c:v>
                </c:pt>
                <c:pt idx="3453">
                  <c:v>90</c:v>
                </c:pt>
                <c:pt idx="3454">
                  <c:v>106</c:v>
                </c:pt>
                <c:pt idx="3455">
                  <c:v>121</c:v>
                </c:pt>
                <c:pt idx="3456">
                  <c:v>89</c:v>
                </c:pt>
                <c:pt idx="3457">
                  <c:v>86</c:v>
                </c:pt>
                <c:pt idx="3458">
                  <c:v>91</c:v>
                </c:pt>
                <c:pt idx="3459">
                  <c:v>104</c:v>
                </c:pt>
                <c:pt idx="3460">
                  <c:v>99</c:v>
                </c:pt>
                <c:pt idx="3461">
                  <c:v>98</c:v>
                </c:pt>
                <c:pt idx="3462">
                  <c:v>121</c:v>
                </c:pt>
                <c:pt idx="3463">
                  <c:v>96</c:v>
                </c:pt>
                <c:pt idx="3464">
                  <c:v>99</c:v>
                </c:pt>
                <c:pt idx="3465">
                  <c:v>42</c:v>
                </c:pt>
                <c:pt idx="3466">
                  <c:v>122</c:v>
                </c:pt>
                <c:pt idx="3467">
                  <c:v>101</c:v>
                </c:pt>
                <c:pt idx="3468">
                  <c:v>102</c:v>
                </c:pt>
                <c:pt idx="3469">
                  <c:v>84</c:v>
                </c:pt>
                <c:pt idx="3470">
                  <c:v>104</c:v>
                </c:pt>
                <c:pt idx="3471">
                  <c:v>96</c:v>
                </c:pt>
                <c:pt idx="3472">
                  <c:v>94</c:v>
                </c:pt>
                <c:pt idx="3473">
                  <c:v>90</c:v>
                </c:pt>
                <c:pt idx="3474">
                  <c:v>97</c:v>
                </c:pt>
                <c:pt idx="3475">
                  <c:v>90</c:v>
                </c:pt>
                <c:pt idx="3476">
                  <c:v>106</c:v>
                </c:pt>
                <c:pt idx="3477">
                  <c:v>96</c:v>
                </c:pt>
                <c:pt idx="3478">
                  <c:v>95</c:v>
                </c:pt>
                <c:pt idx="3479">
                  <c:v>99</c:v>
                </c:pt>
                <c:pt idx="3480">
                  <c:v>93</c:v>
                </c:pt>
                <c:pt idx="3481">
                  <c:v>99</c:v>
                </c:pt>
                <c:pt idx="3482">
                  <c:v>95</c:v>
                </c:pt>
                <c:pt idx="3483">
                  <c:v>84</c:v>
                </c:pt>
                <c:pt idx="3484">
                  <c:v>144</c:v>
                </c:pt>
                <c:pt idx="3485">
                  <c:v>99</c:v>
                </c:pt>
                <c:pt idx="3486">
                  <c:v>110</c:v>
                </c:pt>
                <c:pt idx="3487">
                  <c:v>97</c:v>
                </c:pt>
                <c:pt idx="3488">
                  <c:v>107</c:v>
                </c:pt>
                <c:pt idx="3489">
                  <c:v>90</c:v>
                </c:pt>
                <c:pt idx="3490">
                  <c:v>104</c:v>
                </c:pt>
                <c:pt idx="3491">
                  <c:v>96</c:v>
                </c:pt>
                <c:pt idx="3492">
                  <c:v>104</c:v>
                </c:pt>
                <c:pt idx="3493">
                  <c:v>97</c:v>
                </c:pt>
                <c:pt idx="3494">
                  <c:v>107</c:v>
                </c:pt>
                <c:pt idx="3495">
                  <c:v>117</c:v>
                </c:pt>
                <c:pt idx="3496">
                  <c:v>85</c:v>
                </c:pt>
                <c:pt idx="3497">
                  <c:v>152</c:v>
                </c:pt>
                <c:pt idx="3498">
                  <c:v>85</c:v>
                </c:pt>
                <c:pt idx="3499">
                  <c:v>76</c:v>
                </c:pt>
                <c:pt idx="3500">
                  <c:v>87</c:v>
                </c:pt>
                <c:pt idx="3501">
                  <c:v>95</c:v>
                </c:pt>
                <c:pt idx="3502">
                  <c:v>101</c:v>
                </c:pt>
                <c:pt idx="3503">
                  <c:v>90</c:v>
                </c:pt>
                <c:pt idx="3504">
                  <c:v>89</c:v>
                </c:pt>
                <c:pt idx="3505">
                  <c:v>111</c:v>
                </c:pt>
                <c:pt idx="3506">
                  <c:v>86</c:v>
                </c:pt>
                <c:pt idx="3507">
                  <c:v>103</c:v>
                </c:pt>
                <c:pt idx="3508">
                  <c:v>90</c:v>
                </c:pt>
                <c:pt idx="3509">
                  <c:v>133</c:v>
                </c:pt>
                <c:pt idx="3510">
                  <c:v>88</c:v>
                </c:pt>
                <c:pt idx="3511">
                  <c:v>111</c:v>
                </c:pt>
                <c:pt idx="3512">
                  <c:v>94</c:v>
                </c:pt>
                <c:pt idx="3513">
                  <c:v>112</c:v>
                </c:pt>
                <c:pt idx="3514">
                  <c:v>141</c:v>
                </c:pt>
                <c:pt idx="3515">
                  <c:v>95</c:v>
                </c:pt>
                <c:pt idx="3516">
                  <c:v>141</c:v>
                </c:pt>
                <c:pt idx="3517">
                  <c:v>85</c:v>
                </c:pt>
                <c:pt idx="3518">
                  <c:v>105</c:v>
                </c:pt>
                <c:pt idx="3519">
                  <c:v>129</c:v>
                </c:pt>
                <c:pt idx="3520">
                  <c:v>125</c:v>
                </c:pt>
                <c:pt idx="3521">
                  <c:v>116</c:v>
                </c:pt>
                <c:pt idx="3522">
                  <c:v>105</c:v>
                </c:pt>
                <c:pt idx="3523">
                  <c:v>90</c:v>
                </c:pt>
                <c:pt idx="3524">
                  <c:v>105</c:v>
                </c:pt>
                <c:pt idx="3525">
                  <c:v>111</c:v>
                </c:pt>
                <c:pt idx="3526">
                  <c:v>91</c:v>
                </c:pt>
                <c:pt idx="3527">
                  <c:v>95</c:v>
                </c:pt>
                <c:pt idx="3528">
                  <c:v>97</c:v>
                </c:pt>
                <c:pt idx="3529">
                  <c:v>92</c:v>
                </c:pt>
                <c:pt idx="3530">
                  <c:v>104</c:v>
                </c:pt>
                <c:pt idx="3531">
                  <c:v>120</c:v>
                </c:pt>
                <c:pt idx="3532">
                  <c:v>99</c:v>
                </c:pt>
                <c:pt idx="3533">
                  <c:v>93</c:v>
                </c:pt>
                <c:pt idx="3534">
                  <c:v>99</c:v>
                </c:pt>
                <c:pt idx="3535">
                  <c:v>99</c:v>
                </c:pt>
                <c:pt idx="3536">
                  <c:v>157</c:v>
                </c:pt>
                <c:pt idx="3537">
                  <c:v>90</c:v>
                </c:pt>
                <c:pt idx="3538">
                  <c:v>96</c:v>
                </c:pt>
                <c:pt idx="3539">
                  <c:v>96</c:v>
                </c:pt>
                <c:pt idx="3540">
                  <c:v>90</c:v>
                </c:pt>
                <c:pt idx="3541">
                  <c:v>100</c:v>
                </c:pt>
                <c:pt idx="3542">
                  <c:v>94</c:v>
                </c:pt>
                <c:pt idx="3543">
                  <c:v>98</c:v>
                </c:pt>
                <c:pt idx="3544">
                  <c:v>129</c:v>
                </c:pt>
                <c:pt idx="3545">
                  <c:v>103</c:v>
                </c:pt>
                <c:pt idx="3546">
                  <c:v>128</c:v>
                </c:pt>
                <c:pt idx="3547">
                  <c:v>106</c:v>
                </c:pt>
                <c:pt idx="3548">
                  <c:v>95</c:v>
                </c:pt>
                <c:pt idx="3549">
                  <c:v>104</c:v>
                </c:pt>
                <c:pt idx="3550">
                  <c:v>87</c:v>
                </c:pt>
                <c:pt idx="3551">
                  <c:v>81</c:v>
                </c:pt>
                <c:pt idx="3552">
                  <c:v>94</c:v>
                </c:pt>
                <c:pt idx="3553">
                  <c:v>89</c:v>
                </c:pt>
                <c:pt idx="3554">
                  <c:v>88</c:v>
                </c:pt>
                <c:pt idx="3555">
                  <c:v>115</c:v>
                </c:pt>
                <c:pt idx="3556">
                  <c:v>96</c:v>
                </c:pt>
                <c:pt idx="3557">
                  <c:v>135</c:v>
                </c:pt>
                <c:pt idx="3558">
                  <c:v>113</c:v>
                </c:pt>
                <c:pt idx="3559">
                  <c:v>93</c:v>
                </c:pt>
                <c:pt idx="3560">
                  <c:v>109</c:v>
                </c:pt>
                <c:pt idx="3561">
                  <c:v>127</c:v>
                </c:pt>
                <c:pt idx="3562">
                  <c:v>101</c:v>
                </c:pt>
                <c:pt idx="3563">
                  <c:v>124</c:v>
                </c:pt>
                <c:pt idx="3564">
                  <c:v>117</c:v>
                </c:pt>
                <c:pt idx="3565">
                  <c:v>83</c:v>
                </c:pt>
                <c:pt idx="3566">
                  <c:v>113</c:v>
                </c:pt>
                <c:pt idx="3567">
                  <c:v>104</c:v>
                </c:pt>
                <c:pt idx="3568">
                  <c:v>97</c:v>
                </c:pt>
                <c:pt idx="3569">
                  <c:v>110</c:v>
                </c:pt>
                <c:pt idx="3570">
                  <c:v>103</c:v>
                </c:pt>
                <c:pt idx="3571">
                  <c:v>94</c:v>
                </c:pt>
                <c:pt idx="3572">
                  <c:v>102</c:v>
                </c:pt>
                <c:pt idx="3573">
                  <c:v>77</c:v>
                </c:pt>
                <c:pt idx="3574">
                  <c:v>134</c:v>
                </c:pt>
                <c:pt idx="3575">
                  <c:v>129</c:v>
                </c:pt>
                <c:pt idx="3576">
                  <c:v>90</c:v>
                </c:pt>
                <c:pt idx="3577">
                  <c:v>134</c:v>
                </c:pt>
                <c:pt idx="3578">
                  <c:v>104</c:v>
                </c:pt>
                <c:pt idx="3579">
                  <c:v>93</c:v>
                </c:pt>
                <c:pt idx="3580">
                  <c:v>106</c:v>
                </c:pt>
                <c:pt idx="3581">
                  <c:v>109</c:v>
                </c:pt>
                <c:pt idx="3582">
                  <c:v>101</c:v>
                </c:pt>
                <c:pt idx="3583">
                  <c:v>139</c:v>
                </c:pt>
                <c:pt idx="3584">
                  <c:v>99</c:v>
                </c:pt>
                <c:pt idx="3585">
                  <c:v>100</c:v>
                </c:pt>
                <c:pt idx="3586">
                  <c:v>95</c:v>
                </c:pt>
                <c:pt idx="3587">
                  <c:v>94</c:v>
                </c:pt>
                <c:pt idx="3588">
                  <c:v>93</c:v>
                </c:pt>
                <c:pt idx="3589">
                  <c:v>106</c:v>
                </c:pt>
                <c:pt idx="3590">
                  <c:v>99</c:v>
                </c:pt>
                <c:pt idx="3591">
                  <c:v>82</c:v>
                </c:pt>
                <c:pt idx="3592">
                  <c:v>135</c:v>
                </c:pt>
                <c:pt idx="3593">
                  <c:v>88</c:v>
                </c:pt>
                <c:pt idx="3594">
                  <c:v>89</c:v>
                </c:pt>
                <c:pt idx="3595">
                  <c:v>110</c:v>
                </c:pt>
                <c:pt idx="3596">
                  <c:v>107</c:v>
                </c:pt>
                <c:pt idx="3597">
                  <c:v>86</c:v>
                </c:pt>
                <c:pt idx="3598">
                  <c:v>91</c:v>
                </c:pt>
                <c:pt idx="3599">
                  <c:v>103</c:v>
                </c:pt>
                <c:pt idx="3600">
                  <c:v>90</c:v>
                </c:pt>
                <c:pt idx="3601">
                  <c:v>141</c:v>
                </c:pt>
                <c:pt idx="3602">
                  <c:v>92</c:v>
                </c:pt>
                <c:pt idx="3603">
                  <c:v>99</c:v>
                </c:pt>
                <c:pt idx="3604">
                  <c:v>79</c:v>
                </c:pt>
                <c:pt idx="3605">
                  <c:v>96</c:v>
                </c:pt>
                <c:pt idx="3606">
                  <c:v>82</c:v>
                </c:pt>
                <c:pt idx="3607">
                  <c:v>92</c:v>
                </c:pt>
                <c:pt idx="3608">
                  <c:v>112</c:v>
                </c:pt>
                <c:pt idx="3609">
                  <c:v>106</c:v>
                </c:pt>
                <c:pt idx="3610">
                  <c:v>90</c:v>
                </c:pt>
                <c:pt idx="3611">
                  <c:v>126</c:v>
                </c:pt>
                <c:pt idx="3612">
                  <c:v>150</c:v>
                </c:pt>
                <c:pt idx="3613">
                  <c:v>90</c:v>
                </c:pt>
                <c:pt idx="3614">
                  <c:v>91</c:v>
                </c:pt>
                <c:pt idx="3615">
                  <c:v>145</c:v>
                </c:pt>
                <c:pt idx="3616">
                  <c:v>95</c:v>
                </c:pt>
                <c:pt idx="3617">
                  <c:v>97</c:v>
                </c:pt>
                <c:pt idx="3618">
                  <c:v>90</c:v>
                </c:pt>
                <c:pt idx="3619">
                  <c:v>41</c:v>
                </c:pt>
                <c:pt idx="3620">
                  <c:v>112</c:v>
                </c:pt>
                <c:pt idx="3621">
                  <c:v>122</c:v>
                </c:pt>
                <c:pt idx="3622">
                  <c:v>110</c:v>
                </c:pt>
                <c:pt idx="3623">
                  <c:v>87</c:v>
                </c:pt>
                <c:pt idx="3624">
                  <c:v>108</c:v>
                </c:pt>
                <c:pt idx="3625">
                  <c:v>121</c:v>
                </c:pt>
                <c:pt idx="3626">
                  <c:v>97</c:v>
                </c:pt>
                <c:pt idx="3627">
                  <c:v>116</c:v>
                </c:pt>
                <c:pt idx="3628">
                  <c:v>94</c:v>
                </c:pt>
                <c:pt idx="3629">
                  <c:v>103</c:v>
                </c:pt>
                <c:pt idx="3630">
                  <c:v>112</c:v>
                </c:pt>
                <c:pt idx="3631">
                  <c:v>91</c:v>
                </c:pt>
                <c:pt idx="3632">
                  <c:v>98</c:v>
                </c:pt>
                <c:pt idx="3633">
                  <c:v>95</c:v>
                </c:pt>
                <c:pt idx="3634">
                  <c:v>88</c:v>
                </c:pt>
                <c:pt idx="3635">
                  <c:v>99</c:v>
                </c:pt>
                <c:pt idx="3636">
                  <c:v>91</c:v>
                </c:pt>
                <c:pt idx="3637">
                  <c:v>97</c:v>
                </c:pt>
                <c:pt idx="3638">
                  <c:v>136</c:v>
                </c:pt>
                <c:pt idx="3639">
                  <c:v>118</c:v>
                </c:pt>
                <c:pt idx="3640">
                  <c:v>94</c:v>
                </c:pt>
                <c:pt idx="3641">
                  <c:v>89</c:v>
                </c:pt>
                <c:pt idx="3642">
                  <c:v>90</c:v>
                </c:pt>
                <c:pt idx="3643">
                  <c:v>95</c:v>
                </c:pt>
                <c:pt idx="3644">
                  <c:v>90</c:v>
                </c:pt>
                <c:pt idx="3645">
                  <c:v>95</c:v>
                </c:pt>
                <c:pt idx="3646">
                  <c:v>94</c:v>
                </c:pt>
                <c:pt idx="3647">
                  <c:v>90</c:v>
                </c:pt>
                <c:pt idx="3648">
                  <c:v>103</c:v>
                </c:pt>
                <c:pt idx="3649">
                  <c:v>91</c:v>
                </c:pt>
                <c:pt idx="3650">
                  <c:v>102</c:v>
                </c:pt>
                <c:pt idx="3651">
                  <c:v>92</c:v>
                </c:pt>
                <c:pt idx="3652">
                  <c:v>87</c:v>
                </c:pt>
                <c:pt idx="3653">
                  <c:v>80</c:v>
                </c:pt>
                <c:pt idx="3654">
                  <c:v>90</c:v>
                </c:pt>
                <c:pt idx="3655">
                  <c:v>105</c:v>
                </c:pt>
                <c:pt idx="3656">
                  <c:v>67</c:v>
                </c:pt>
                <c:pt idx="3657">
                  <c:v>95</c:v>
                </c:pt>
                <c:pt idx="3658">
                  <c:v>87</c:v>
                </c:pt>
                <c:pt idx="3659">
                  <c:v>94</c:v>
                </c:pt>
                <c:pt idx="3660">
                  <c:v>109</c:v>
                </c:pt>
                <c:pt idx="3661">
                  <c:v>130</c:v>
                </c:pt>
                <c:pt idx="3662">
                  <c:v>88</c:v>
                </c:pt>
                <c:pt idx="3663">
                  <c:v>88</c:v>
                </c:pt>
                <c:pt idx="3664">
                  <c:v>97</c:v>
                </c:pt>
                <c:pt idx="3665">
                  <c:v>113</c:v>
                </c:pt>
                <c:pt idx="3666">
                  <c:v>99</c:v>
                </c:pt>
                <c:pt idx="3667">
                  <c:v>148</c:v>
                </c:pt>
                <c:pt idx="3668">
                  <c:v>107</c:v>
                </c:pt>
                <c:pt idx="3669">
                  <c:v>93</c:v>
                </c:pt>
                <c:pt idx="3670">
                  <c:v>94</c:v>
                </c:pt>
                <c:pt idx="3671">
                  <c:v>121</c:v>
                </c:pt>
                <c:pt idx="3672">
                  <c:v>118</c:v>
                </c:pt>
                <c:pt idx="3673">
                  <c:v>98</c:v>
                </c:pt>
                <c:pt idx="3674">
                  <c:v>82</c:v>
                </c:pt>
                <c:pt idx="3675">
                  <c:v>101</c:v>
                </c:pt>
                <c:pt idx="3676">
                  <c:v>106</c:v>
                </c:pt>
                <c:pt idx="3677">
                  <c:v>90</c:v>
                </c:pt>
                <c:pt idx="3678">
                  <c:v>79</c:v>
                </c:pt>
                <c:pt idx="3679">
                  <c:v>87</c:v>
                </c:pt>
                <c:pt idx="3680">
                  <c:v>105</c:v>
                </c:pt>
                <c:pt idx="3681">
                  <c:v>89</c:v>
                </c:pt>
                <c:pt idx="3682">
                  <c:v>100</c:v>
                </c:pt>
                <c:pt idx="3683">
                  <c:v>92</c:v>
                </c:pt>
                <c:pt idx="3684">
                  <c:v>97</c:v>
                </c:pt>
                <c:pt idx="3685">
                  <c:v>96</c:v>
                </c:pt>
                <c:pt idx="3686">
                  <c:v>104</c:v>
                </c:pt>
                <c:pt idx="3687">
                  <c:v>117</c:v>
                </c:pt>
                <c:pt idx="3688">
                  <c:v>90</c:v>
                </c:pt>
                <c:pt idx="3689">
                  <c:v>115</c:v>
                </c:pt>
                <c:pt idx="3690">
                  <c:v>108</c:v>
                </c:pt>
                <c:pt idx="3691">
                  <c:v>109</c:v>
                </c:pt>
                <c:pt idx="3692">
                  <c:v>102</c:v>
                </c:pt>
                <c:pt idx="3693">
                  <c:v>100</c:v>
                </c:pt>
                <c:pt idx="3694">
                  <c:v>115</c:v>
                </c:pt>
                <c:pt idx="3695">
                  <c:v>122</c:v>
                </c:pt>
                <c:pt idx="3696">
                  <c:v>98</c:v>
                </c:pt>
                <c:pt idx="3697">
                  <c:v>133</c:v>
                </c:pt>
                <c:pt idx="3698">
                  <c:v>105</c:v>
                </c:pt>
                <c:pt idx="3699">
                  <c:v>122</c:v>
                </c:pt>
                <c:pt idx="3700">
                  <c:v>106</c:v>
                </c:pt>
                <c:pt idx="3701">
                  <c:v>98</c:v>
                </c:pt>
                <c:pt idx="3702">
                  <c:v>112</c:v>
                </c:pt>
                <c:pt idx="3703">
                  <c:v>120</c:v>
                </c:pt>
                <c:pt idx="3704">
                  <c:v>99</c:v>
                </c:pt>
                <c:pt idx="3705">
                  <c:v>110</c:v>
                </c:pt>
                <c:pt idx="3706">
                  <c:v>102</c:v>
                </c:pt>
                <c:pt idx="3707">
                  <c:v>109</c:v>
                </c:pt>
                <c:pt idx="3708">
                  <c:v>104</c:v>
                </c:pt>
                <c:pt idx="3709">
                  <c:v>134</c:v>
                </c:pt>
                <c:pt idx="3710">
                  <c:v>133</c:v>
                </c:pt>
                <c:pt idx="3711">
                  <c:v>85</c:v>
                </c:pt>
                <c:pt idx="3712">
                  <c:v>130</c:v>
                </c:pt>
                <c:pt idx="3713">
                  <c:v>103</c:v>
                </c:pt>
                <c:pt idx="3714">
                  <c:v>112</c:v>
                </c:pt>
                <c:pt idx="3715">
                  <c:v>89</c:v>
                </c:pt>
                <c:pt idx="3716">
                  <c:v>124</c:v>
                </c:pt>
                <c:pt idx="3717">
                  <c:v>101</c:v>
                </c:pt>
                <c:pt idx="3718">
                  <c:v>133</c:v>
                </c:pt>
                <c:pt idx="3719">
                  <c:v>112</c:v>
                </c:pt>
                <c:pt idx="3720">
                  <c:v>98</c:v>
                </c:pt>
                <c:pt idx="3721">
                  <c:v>93</c:v>
                </c:pt>
                <c:pt idx="3722">
                  <c:v>104</c:v>
                </c:pt>
                <c:pt idx="3723">
                  <c:v>112</c:v>
                </c:pt>
                <c:pt idx="3724">
                  <c:v>94</c:v>
                </c:pt>
                <c:pt idx="3725">
                  <c:v>90</c:v>
                </c:pt>
                <c:pt idx="3726">
                  <c:v>96</c:v>
                </c:pt>
                <c:pt idx="3727">
                  <c:v>101</c:v>
                </c:pt>
                <c:pt idx="3728">
                  <c:v>93</c:v>
                </c:pt>
                <c:pt idx="3729">
                  <c:v>152</c:v>
                </c:pt>
                <c:pt idx="3730">
                  <c:v>112</c:v>
                </c:pt>
                <c:pt idx="3731">
                  <c:v>95</c:v>
                </c:pt>
                <c:pt idx="3732">
                  <c:v>111</c:v>
                </c:pt>
                <c:pt idx="3733">
                  <c:v>86</c:v>
                </c:pt>
                <c:pt idx="3734">
                  <c:v>105</c:v>
                </c:pt>
                <c:pt idx="3735">
                  <c:v>91</c:v>
                </c:pt>
                <c:pt idx="3736">
                  <c:v>105</c:v>
                </c:pt>
                <c:pt idx="3737">
                  <c:v>106</c:v>
                </c:pt>
                <c:pt idx="3738">
                  <c:v>93</c:v>
                </c:pt>
                <c:pt idx="3739">
                  <c:v>172</c:v>
                </c:pt>
                <c:pt idx="3740">
                  <c:v>109</c:v>
                </c:pt>
                <c:pt idx="3741">
                  <c:v>93</c:v>
                </c:pt>
                <c:pt idx="3742">
                  <c:v>165</c:v>
                </c:pt>
                <c:pt idx="3743">
                  <c:v>96</c:v>
                </c:pt>
                <c:pt idx="3744">
                  <c:v>93</c:v>
                </c:pt>
                <c:pt idx="3745">
                  <c:v>82</c:v>
                </c:pt>
                <c:pt idx="3746">
                  <c:v>101</c:v>
                </c:pt>
                <c:pt idx="3747">
                  <c:v>120</c:v>
                </c:pt>
                <c:pt idx="3748">
                  <c:v>81</c:v>
                </c:pt>
                <c:pt idx="3749">
                  <c:v>82</c:v>
                </c:pt>
                <c:pt idx="3750">
                  <c:v>105</c:v>
                </c:pt>
                <c:pt idx="3751">
                  <c:v>86</c:v>
                </c:pt>
                <c:pt idx="3752">
                  <c:v>110</c:v>
                </c:pt>
                <c:pt idx="3753">
                  <c:v>127</c:v>
                </c:pt>
                <c:pt idx="3754">
                  <c:v>90</c:v>
                </c:pt>
                <c:pt idx="3755">
                  <c:v>110</c:v>
                </c:pt>
                <c:pt idx="3756">
                  <c:v>104</c:v>
                </c:pt>
                <c:pt idx="3757">
                  <c:v>96</c:v>
                </c:pt>
                <c:pt idx="3758">
                  <c:v>110</c:v>
                </c:pt>
                <c:pt idx="3759">
                  <c:v>84</c:v>
                </c:pt>
                <c:pt idx="3760">
                  <c:v>94</c:v>
                </c:pt>
                <c:pt idx="3761">
                  <c:v>93</c:v>
                </c:pt>
                <c:pt idx="3762">
                  <c:v>96</c:v>
                </c:pt>
                <c:pt idx="3763">
                  <c:v>88</c:v>
                </c:pt>
                <c:pt idx="3764">
                  <c:v>101</c:v>
                </c:pt>
                <c:pt idx="3765">
                  <c:v>87</c:v>
                </c:pt>
                <c:pt idx="3766">
                  <c:v>83</c:v>
                </c:pt>
                <c:pt idx="3767">
                  <c:v>103</c:v>
                </c:pt>
                <c:pt idx="3768">
                  <c:v>99</c:v>
                </c:pt>
                <c:pt idx="3769">
                  <c:v>106</c:v>
                </c:pt>
                <c:pt idx="3770">
                  <c:v>115</c:v>
                </c:pt>
                <c:pt idx="3771">
                  <c:v>117</c:v>
                </c:pt>
                <c:pt idx="3772">
                  <c:v>99</c:v>
                </c:pt>
                <c:pt idx="3773">
                  <c:v>102</c:v>
                </c:pt>
                <c:pt idx="3774">
                  <c:v>85</c:v>
                </c:pt>
                <c:pt idx="3775">
                  <c:v>86</c:v>
                </c:pt>
                <c:pt idx="3776">
                  <c:v>120</c:v>
                </c:pt>
                <c:pt idx="3777">
                  <c:v>106</c:v>
                </c:pt>
                <c:pt idx="3778">
                  <c:v>103</c:v>
                </c:pt>
                <c:pt idx="3779">
                  <c:v>93</c:v>
                </c:pt>
                <c:pt idx="3780">
                  <c:v>112</c:v>
                </c:pt>
                <c:pt idx="3781">
                  <c:v>100</c:v>
                </c:pt>
                <c:pt idx="3782">
                  <c:v>113</c:v>
                </c:pt>
                <c:pt idx="3783">
                  <c:v>98</c:v>
                </c:pt>
                <c:pt idx="3784">
                  <c:v>92</c:v>
                </c:pt>
                <c:pt idx="3785">
                  <c:v>106</c:v>
                </c:pt>
                <c:pt idx="3786">
                  <c:v>119</c:v>
                </c:pt>
                <c:pt idx="3787">
                  <c:v>99</c:v>
                </c:pt>
                <c:pt idx="3788">
                  <c:v>90</c:v>
                </c:pt>
                <c:pt idx="3789">
                  <c:v>120</c:v>
                </c:pt>
                <c:pt idx="3790">
                  <c:v>168</c:v>
                </c:pt>
                <c:pt idx="3791">
                  <c:v>93</c:v>
                </c:pt>
                <c:pt idx="3792">
                  <c:v>96</c:v>
                </c:pt>
                <c:pt idx="3793">
                  <c:v>103</c:v>
                </c:pt>
                <c:pt idx="3794">
                  <c:v>93</c:v>
                </c:pt>
                <c:pt idx="3795">
                  <c:v>84</c:v>
                </c:pt>
                <c:pt idx="3796">
                  <c:v>81</c:v>
                </c:pt>
                <c:pt idx="3797">
                  <c:v>84</c:v>
                </c:pt>
                <c:pt idx="3798">
                  <c:v>94</c:v>
                </c:pt>
                <c:pt idx="3799">
                  <c:v>120</c:v>
                </c:pt>
                <c:pt idx="3800">
                  <c:v>121</c:v>
                </c:pt>
                <c:pt idx="3801">
                  <c:v>226</c:v>
                </c:pt>
                <c:pt idx="3802">
                  <c:v>104</c:v>
                </c:pt>
                <c:pt idx="3803">
                  <c:v>152</c:v>
                </c:pt>
                <c:pt idx="3804">
                  <c:v>92</c:v>
                </c:pt>
                <c:pt idx="3805">
                  <c:v>107</c:v>
                </c:pt>
                <c:pt idx="3806">
                  <c:v>97</c:v>
                </c:pt>
                <c:pt idx="3807">
                  <c:v>115</c:v>
                </c:pt>
                <c:pt idx="3808">
                  <c:v>95</c:v>
                </c:pt>
                <c:pt idx="3809">
                  <c:v>102</c:v>
                </c:pt>
                <c:pt idx="3810">
                  <c:v>99</c:v>
                </c:pt>
                <c:pt idx="3811">
                  <c:v>109</c:v>
                </c:pt>
                <c:pt idx="3812">
                  <c:v>113</c:v>
                </c:pt>
                <c:pt idx="3813">
                  <c:v>91</c:v>
                </c:pt>
                <c:pt idx="3814">
                  <c:v>88</c:v>
                </c:pt>
                <c:pt idx="3815">
                  <c:v>88</c:v>
                </c:pt>
                <c:pt idx="3816">
                  <c:v>97</c:v>
                </c:pt>
                <c:pt idx="3817">
                  <c:v>97</c:v>
                </c:pt>
                <c:pt idx="3818">
                  <c:v>85</c:v>
                </c:pt>
                <c:pt idx="3819">
                  <c:v>121</c:v>
                </c:pt>
                <c:pt idx="3820">
                  <c:v>134</c:v>
                </c:pt>
                <c:pt idx="3821">
                  <c:v>149</c:v>
                </c:pt>
                <c:pt idx="3822">
                  <c:v>121</c:v>
                </c:pt>
                <c:pt idx="3823">
                  <c:v>116</c:v>
                </c:pt>
                <c:pt idx="3824">
                  <c:v>92</c:v>
                </c:pt>
                <c:pt idx="3825">
                  <c:v>93</c:v>
                </c:pt>
                <c:pt idx="3826">
                  <c:v>96</c:v>
                </c:pt>
                <c:pt idx="3827">
                  <c:v>105</c:v>
                </c:pt>
                <c:pt idx="3828">
                  <c:v>129</c:v>
                </c:pt>
                <c:pt idx="3829">
                  <c:v>94</c:v>
                </c:pt>
                <c:pt idx="3830">
                  <c:v>37</c:v>
                </c:pt>
                <c:pt idx="3831">
                  <c:v>81</c:v>
                </c:pt>
                <c:pt idx="3832">
                  <c:v>97</c:v>
                </c:pt>
                <c:pt idx="3833">
                  <c:v>106</c:v>
                </c:pt>
                <c:pt idx="3834">
                  <c:v>103</c:v>
                </c:pt>
                <c:pt idx="3835">
                  <c:v>101</c:v>
                </c:pt>
                <c:pt idx="3836">
                  <c:v>98</c:v>
                </c:pt>
                <c:pt idx="3837">
                  <c:v>91</c:v>
                </c:pt>
                <c:pt idx="3838">
                  <c:v>105</c:v>
                </c:pt>
                <c:pt idx="3839">
                  <c:v>98</c:v>
                </c:pt>
                <c:pt idx="3840">
                  <c:v>104</c:v>
                </c:pt>
                <c:pt idx="3841">
                  <c:v>96</c:v>
                </c:pt>
                <c:pt idx="3842">
                  <c:v>148</c:v>
                </c:pt>
                <c:pt idx="3843">
                  <c:v>100</c:v>
                </c:pt>
                <c:pt idx="3844">
                  <c:v>86</c:v>
                </c:pt>
                <c:pt idx="3845">
                  <c:v>92</c:v>
                </c:pt>
                <c:pt idx="3846">
                  <c:v>88</c:v>
                </c:pt>
                <c:pt idx="3847">
                  <c:v>90</c:v>
                </c:pt>
                <c:pt idx="3848">
                  <c:v>94</c:v>
                </c:pt>
                <c:pt idx="3849">
                  <c:v>80</c:v>
                </c:pt>
                <c:pt idx="3850">
                  <c:v>107</c:v>
                </c:pt>
                <c:pt idx="3851">
                  <c:v>99</c:v>
                </c:pt>
                <c:pt idx="3852">
                  <c:v>92</c:v>
                </c:pt>
                <c:pt idx="3853">
                  <c:v>107</c:v>
                </c:pt>
                <c:pt idx="3854">
                  <c:v>135</c:v>
                </c:pt>
                <c:pt idx="3855">
                  <c:v>99</c:v>
                </c:pt>
                <c:pt idx="3856">
                  <c:v>102</c:v>
                </c:pt>
                <c:pt idx="3857">
                  <c:v>93</c:v>
                </c:pt>
                <c:pt idx="3858">
                  <c:v>115</c:v>
                </c:pt>
                <c:pt idx="3859">
                  <c:v>94</c:v>
                </c:pt>
                <c:pt idx="3860">
                  <c:v>91</c:v>
                </c:pt>
                <c:pt idx="3861">
                  <c:v>98</c:v>
                </c:pt>
                <c:pt idx="3862">
                  <c:v>97</c:v>
                </c:pt>
                <c:pt idx="3863">
                  <c:v>92</c:v>
                </c:pt>
                <c:pt idx="3864">
                  <c:v>128</c:v>
                </c:pt>
                <c:pt idx="3865">
                  <c:v>136</c:v>
                </c:pt>
                <c:pt idx="3866">
                  <c:v>113</c:v>
                </c:pt>
                <c:pt idx="3867">
                  <c:v>99</c:v>
                </c:pt>
                <c:pt idx="3868">
                  <c:v>101</c:v>
                </c:pt>
                <c:pt idx="3869">
                  <c:v>105</c:v>
                </c:pt>
                <c:pt idx="3870">
                  <c:v>95</c:v>
                </c:pt>
                <c:pt idx="3871">
                  <c:v>109</c:v>
                </c:pt>
                <c:pt idx="3872">
                  <c:v>110</c:v>
                </c:pt>
                <c:pt idx="3873">
                  <c:v>108</c:v>
                </c:pt>
                <c:pt idx="3874">
                  <c:v>118</c:v>
                </c:pt>
                <c:pt idx="3875">
                  <c:v>94</c:v>
                </c:pt>
                <c:pt idx="3876">
                  <c:v>115</c:v>
                </c:pt>
                <c:pt idx="3877">
                  <c:v>98</c:v>
                </c:pt>
                <c:pt idx="3878">
                  <c:v>91</c:v>
                </c:pt>
                <c:pt idx="3879">
                  <c:v>120</c:v>
                </c:pt>
                <c:pt idx="3880">
                  <c:v>109</c:v>
                </c:pt>
                <c:pt idx="3881">
                  <c:v>87</c:v>
                </c:pt>
                <c:pt idx="3882">
                  <c:v>117</c:v>
                </c:pt>
                <c:pt idx="3883">
                  <c:v>85</c:v>
                </c:pt>
                <c:pt idx="3884">
                  <c:v>110</c:v>
                </c:pt>
                <c:pt idx="3885">
                  <c:v>113</c:v>
                </c:pt>
                <c:pt idx="3886">
                  <c:v>108</c:v>
                </c:pt>
                <c:pt idx="3887">
                  <c:v>95</c:v>
                </c:pt>
                <c:pt idx="3888">
                  <c:v>98</c:v>
                </c:pt>
                <c:pt idx="3889">
                  <c:v>93</c:v>
                </c:pt>
                <c:pt idx="3890">
                  <c:v>86</c:v>
                </c:pt>
                <c:pt idx="3891">
                  <c:v>161</c:v>
                </c:pt>
                <c:pt idx="3892">
                  <c:v>100</c:v>
                </c:pt>
                <c:pt idx="3893">
                  <c:v>120</c:v>
                </c:pt>
                <c:pt idx="3894">
                  <c:v>125</c:v>
                </c:pt>
                <c:pt idx="3895">
                  <c:v>91</c:v>
                </c:pt>
                <c:pt idx="3896">
                  <c:v>128</c:v>
                </c:pt>
                <c:pt idx="3897">
                  <c:v>100</c:v>
                </c:pt>
                <c:pt idx="3898">
                  <c:v>84</c:v>
                </c:pt>
                <c:pt idx="3899">
                  <c:v>97</c:v>
                </c:pt>
                <c:pt idx="3900">
                  <c:v>84</c:v>
                </c:pt>
                <c:pt idx="3901">
                  <c:v>146</c:v>
                </c:pt>
                <c:pt idx="3902">
                  <c:v>186</c:v>
                </c:pt>
                <c:pt idx="3903">
                  <c:v>94</c:v>
                </c:pt>
                <c:pt idx="3904">
                  <c:v>126</c:v>
                </c:pt>
                <c:pt idx="3905">
                  <c:v>99</c:v>
                </c:pt>
                <c:pt idx="3906">
                  <c:v>109</c:v>
                </c:pt>
                <c:pt idx="3907">
                  <c:v>95</c:v>
                </c:pt>
                <c:pt idx="3908">
                  <c:v>97</c:v>
                </c:pt>
                <c:pt idx="3909">
                  <c:v>94</c:v>
                </c:pt>
                <c:pt idx="3910">
                  <c:v>90</c:v>
                </c:pt>
                <c:pt idx="3911">
                  <c:v>117</c:v>
                </c:pt>
                <c:pt idx="3912">
                  <c:v>96</c:v>
                </c:pt>
                <c:pt idx="3913">
                  <c:v>82</c:v>
                </c:pt>
                <c:pt idx="3914">
                  <c:v>109</c:v>
                </c:pt>
                <c:pt idx="3915">
                  <c:v>90</c:v>
                </c:pt>
                <c:pt idx="3916">
                  <c:v>89</c:v>
                </c:pt>
                <c:pt idx="3917">
                  <c:v>98</c:v>
                </c:pt>
                <c:pt idx="3918">
                  <c:v>95</c:v>
                </c:pt>
                <c:pt idx="3919">
                  <c:v>94</c:v>
                </c:pt>
                <c:pt idx="3920">
                  <c:v>104</c:v>
                </c:pt>
                <c:pt idx="3921">
                  <c:v>87</c:v>
                </c:pt>
                <c:pt idx="3922">
                  <c:v>108</c:v>
                </c:pt>
                <c:pt idx="3923">
                  <c:v>86</c:v>
                </c:pt>
                <c:pt idx="3924">
                  <c:v>94</c:v>
                </c:pt>
                <c:pt idx="3925">
                  <c:v>134</c:v>
                </c:pt>
                <c:pt idx="3926">
                  <c:v>89</c:v>
                </c:pt>
                <c:pt idx="3927">
                  <c:v>102</c:v>
                </c:pt>
                <c:pt idx="3928">
                  <c:v>120</c:v>
                </c:pt>
                <c:pt idx="3929">
                  <c:v>110</c:v>
                </c:pt>
                <c:pt idx="3930">
                  <c:v>86</c:v>
                </c:pt>
                <c:pt idx="3931">
                  <c:v>101</c:v>
                </c:pt>
                <c:pt idx="3932">
                  <c:v>102</c:v>
                </c:pt>
                <c:pt idx="3933">
                  <c:v>123</c:v>
                </c:pt>
                <c:pt idx="3934">
                  <c:v>99</c:v>
                </c:pt>
                <c:pt idx="3935">
                  <c:v>87</c:v>
                </c:pt>
                <c:pt idx="3936">
                  <c:v>120</c:v>
                </c:pt>
                <c:pt idx="3937">
                  <c:v>93</c:v>
                </c:pt>
                <c:pt idx="3938">
                  <c:v>98</c:v>
                </c:pt>
                <c:pt idx="3939">
                  <c:v>100</c:v>
                </c:pt>
                <c:pt idx="3940">
                  <c:v>88</c:v>
                </c:pt>
                <c:pt idx="3941">
                  <c:v>97</c:v>
                </c:pt>
                <c:pt idx="3942">
                  <c:v>122</c:v>
                </c:pt>
                <c:pt idx="3943">
                  <c:v>86</c:v>
                </c:pt>
                <c:pt idx="3944">
                  <c:v>83</c:v>
                </c:pt>
                <c:pt idx="3945">
                  <c:v>80</c:v>
                </c:pt>
                <c:pt idx="3946">
                  <c:v>90</c:v>
                </c:pt>
                <c:pt idx="3947">
                  <c:v>96</c:v>
                </c:pt>
                <c:pt idx="3948">
                  <c:v>85</c:v>
                </c:pt>
                <c:pt idx="3949">
                  <c:v>83</c:v>
                </c:pt>
                <c:pt idx="3950">
                  <c:v>80</c:v>
                </c:pt>
                <c:pt idx="3951">
                  <c:v>90</c:v>
                </c:pt>
                <c:pt idx="3952">
                  <c:v>92</c:v>
                </c:pt>
                <c:pt idx="3953">
                  <c:v>100</c:v>
                </c:pt>
                <c:pt idx="3954">
                  <c:v>88</c:v>
                </c:pt>
                <c:pt idx="3955">
                  <c:v>95</c:v>
                </c:pt>
                <c:pt idx="3956">
                  <c:v>82</c:v>
                </c:pt>
                <c:pt idx="3957">
                  <c:v>97</c:v>
                </c:pt>
                <c:pt idx="3958">
                  <c:v>94</c:v>
                </c:pt>
                <c:pt idx="3959">
                  <c:v>95</c:v>
                </c:pt>
                <c:pt idx="3960">
                  <c:v>113</c:v>
                </c:pt>
                <c:pt idx="3961">
                  <c:v>136</c:v>
                </c:pt>
                <c:pt idx="3962">
                  <c:v>80</c:v>
                </c:pt>
                <c:pt idx="3963">
                  <c:v>105</c:v>
                </c:pt>
                <c:pt idx="3964">
                  <c:v>90</c:v>
                </c:pt>
                <c:pt idx="3965">
                  <c:v>93</c:v>
                </c:pt>
                <c:pt idx="3966">
                  <c:v>89</c:v>
                </c:pt>
                <c:pt idx="3967">
                  <c:v>90</c:v>
                </c:pt>
                <c:pt idx="3968">
                  <c:v>89</c:v>
                </c:pt>
                <c:pt idx="3969">
                  <c:v>116</c:v>
                </c:pt>
                <c:pt idx="3970">
                  <c:v>120</c:v>
                </c:pt>
                <c:pt idx="3971">
                  <c:v>88</c:v>
                </c:pt>
                <c:pt idx="3972">
                  <c:v>102</c:v>
                </c:pt>
                <c:pt idx="3973">
                  <c:v>106</c:v>
                </c:pt>
                <c:pt idx="3974">
                  <c:v>95</c:v>
                </c:pt>
                <c:pt idx="3975">
                  <c:v>144</c:v>
                </c:pt>
                <c:pt idx="3976">
                  <c:v>113</c:v>
                </c:pt>
                <c:pt idx="3977">
                  <c:v>118</c:v>
                </c:pt>
                <c:pt idx="3978">
                  <c:v>141</c:v>
                </c:pt>
                <c:pt idx="3979">
                  <c:v>90</c:v>
                </c:pt>
                <c:pt idx="3980">
                  <c:v>109</c:v>
                </c:pt>
                <c:pt idx="3981">
                  <c:v>95</c:v>
                </c:pt>
                <c:pt idx="3982">
                  <c:v>122</c:v>
                </c:pt>
                <c:pt idx="3983">
                  <c:v>93</c:v>
                </c:pt>
                <c:pt idx="3984">
                  <c:v>97</c:v>
                </c:pt>
                <c:pt idx="3985">
                  <c:v>82</c:v>
                </c:pt>
                <c:pt idx="3986">
                  <c:v>140</c:v>
                </c:pt>
                <c:pt idx="3987">
                  <c:v>86</c:v>
                </c:pt>
                <c:pt idx="3988">
                  <c:v>105</c:v>
                </c:pt>
                <c:pt idx="3989">
                  <c:v>66</c:v>
                </c:pt>
                <c:pt idx="3990">
                  <c:v>99</c:v>
                </c:pt>
                <c:pt idx="3991">
                  <c:v>100</c:v>
                </c:pt>
                <c:pt idx="3992">
                  <c:v>103</c:v>
                </c:pt>
                <c:pt idx="3993">
                  <c:v>97</c:v>
                </c:pt>
                <c:pt idx="3994">
                  <c:v>86</c:v>
                </c:pt>
                <c:pt idx="3995">
                  <c:v>87</c:v>
                </c:pt>
                <c:pt idx="3996">
                  <c:v>149</c:v>
                </c:pt>
                <c:pt idx="3997">
                  <c:v>98</c:v>
                </c:pt>
                <c:pt idx="3998">
                  <c:v>98</c:v>
                </c:pt>
                <c:pt idx="3999">
                  <c:v>112</c:v>
                </c:pt>
                <c:pt idx="4000">
                  <c:v>75</c:v>
                </c:pt>
                <c:pt idx="4001">
                  <c:v>104</c:v>
                </c:pt>
                <c:pt idx="4002">
                  <c:v>102</c:v>
                </c:pt>
                <c:pt idx="4003">
                  <c:v>105</c:v>
                </c:pt>
                <c:pt idx="4004">
                  <c:v>99</c:v>
                </c:pt>
                <c:pt idx="4005">
                  <c:v>107</c:v>
                </c:pt>
                <c:pt idx="4006">
                  <c:v>96</c:v>
                </c:pt>
                <c:pt idx="4007">
                  <c:v>101</c:v>
                </c:pt>
                <c:pt idx="4008">
                  <c:v>89</c:v>
                </c:pt>
                <c:pt idx="4009">
                  <c:v>106</c:v>
                </c:pt>
                <c:pt idx="4010">
                  <c:v>95</c:v>
                </c:pt>
                <c:pt idx="4011">
                  <c:v>34</c:v>
                </c:pt>
                <c:pt idx="4012">
                  <c:v>101</c:v>
                </c:pt>
                <c:pt idx="4013">
                  <c:v>112</c:v>
                </c:pt>
                <c:pt idx="4014">
                  <c:v>100</c:v>
                </c:pt>
                <c:pt idx="4015">
                  <c:v>100</c:v>
                </c:pt>
                <c:pt idx="4016">
                  <c:v>80</c:v>
                </c:pt>
                <c:pt idx="4017">
                  <c:v>106</c:v>
                </c:pt>
                <c:pt idx="4018">
                  <c:v>103</c:v>
                </c:pt>
                <c:pt idx="4019">
                  <c:v>90</c:v>
                </c:pt>
                <c:pt idx="4020">
                  <c:v>96</c:v>
                </c:pt>
                <c:pt idx="4021">
                  <c:v>89</c:v>
                </c:pt>
                <c:pt idx="4022">
                  <c:v>87</c:v>
                </c:pt>
                <c:pt idx="4023">
                  <c:v>94</c:v>
                </c:pt>
                <c:pt idx="4024">
                  <c:v>120</c:v>
                </c:pt>
                <c:pt idx="4025">
                  <c:v>101</c:v>
                </c:pt>
                <c:pt idx="4026">
                  <c:v>84</c:v>
                </c:pt>
                <c:pt idx="4027">
                  <c:v>110</c:v>
                </c:pt>
                <c:pt idx="4028">
                  <c:v>101</c:v>
                </c:pt>
                <c:pt idx="4029">
                  <c:v>101</c:v>
                </c:pt>
                <c:pt idx="4030">
                  <c:v>101</c:v>
                </c:pt>
                <c:pt idx="4031">
                  <c:v>105</c:v>
                </c:pt>
                <c:pt idx="4032">
                  <c:v>97</c:v>
                </c:pt>
                <c:pt idx="4033">
                  <c:v>108</c:v>
                </c:pt>
                <c:pt idx="4034">
                  <c:v>95</c:v>
                </c:pt>
                <c:pt idx="4035">
                  <c:v>108</c:v>
                </c:pt>
                <c:pt idx="4036">
                  <c:v>90</c:v>
                </c:pt>
                <c:pt idx="4037">
                  <c:v>120</c:v>
                </c:pt>
                <c:pt idx="4038">
                  <c:v>90</c:v>
                </c:pt>
                <c:pt idx="4039">
                  <c:v>91</c:v>
                </c:pt>
                <c:pt idx="4040">
                  <c:v>92</c:v>
                </c:pt>
                <c:pt idx="4041">
                  <c:v>117</c:v>
                </c:pt>
                <c:pt idx="4042">
                  <c:v>120</c:v>
                </c:pt>
                <c:pt idx="4043">
                  <c:v>90</c:v>
                </c:pt>
                <c:pt idx="4044">
                  <c:v>119</c:v>
                </c:pt>
                <c:pt idx="4045">
                  <c:v>90</c:v>
                </c:pt>
                <c:pt idx="4046">
                  <c:v>90</c:v>
                </c:pt>
                <c:pt idx="4047">
                  <c:v>97</c:v>
                </c:pt>
                <c:pt idx="4048">
                  <c:v>90</c:v>
                </c:pt>
                <c:pt idx="4049">
                  <c:v>172</c:v>
                </c:pt>
                <c:pt idx="4050">
                  <c:v>115</c:v>
                </c:pt>
                <c:pt idx="4051">
                  <c:v>89</c:v>
                </c:pt>
                <c:pt idx="4052">
                  <c:v>125</c:v>
                </c:pt>
                <c:pt idx="4053">
                  <c:v>78</c:v>
                </c:pt>
                <c:pt idx="4054">
                  <c:v>89</c:v>
                </c:pt>
                <c:pt idx="4055">
                  <c:v>100</c:v>
                </c:pt>
                <c:pt idx="4056">
                  <c:v>77</c:v>
                </c:pt>
                <c:pt idx="4057">
                  <c:v>81</c:v>
                </c:pt>
                <c:pt idx="4058">
                  <c:v>115</c:v>
                </c:pt>
                <c:pt idx="4059">
                  <c:v>96</c:v>
                </c:pt>
                <c:pt idx="4060">
                  <c:v>89</c:v>
                </c:pt>
                <c:pt idx="4061">
                  <c:v>100</c:v>
                </c:pt>
                <c:pt idx="4062">
                  <c:v>88</c:v>
                </c:pt>
                <c:pt idx="4063">
                  <c:v>129</c:v>
                </c:pt>
                <c:pt idx="4064">
                  <c:v>87</c:v>
                </c:pt>
                <c:pt idx="4065">
                  <c:v>102</c:v>
                </c:pt>
                <c:pt idx="4066">
                  <c:v>118</c:v>
                </c:pt>
                <c:pt idx="4067">
                  <c:v>86</c:v>
                </c:pt>
                <c:pt idx="4068">
                  <c:v>137</c:v>
                </c:pt>
                <c:pt idx="4069">
                  <c:v>129</c:v>
                </c:pt>
                <c:pt idx="4070">
                  <c:v>134</c:v>
                </c:pt>
                <c:pt idx="4071">
                  <c:v>119</c:v>
                </c:pt>
                <c:pt idx="4072">
                  <c:v>80</c:v>
                </c:pt>
                <c:pt idx="4073">
                  <c:v>89</c:v>
                </c:pt>
                <c:pt idx="4074">
                  <c:v>101</c:v>
                </c:pt>
                <c:pt idx="4075">
                  <c:v>80</c:v>
                </c:pt>
                <c:pt idx="4076">
                  <c:v>115</c:v>
                </c:pt>
                <c:pt idx="4077">
                  <c:v>100</c:v>
                </c:pt>
                <c:pt idx="4078">
                  <c:v>118</c:v>
                </c:pt>
                <c:pt idx="4079">
                  <c:v>100</c:v>
                </c:pt>
                <c:pt idx="4080">
                  <c:v>106</c:v>
                </c:pt>
                <c:pt idx="4081">
                  <c:v>106</c:v>
                </c:pt>
                <c:pt idx="4082">
                  <c:v>91</c:v>
                </c:pt>
                <c:pt idx="4083">
                  <c:v>105</c:v>
                </c:pt>
                <c:pt idx="4084">
                  <c:v>96</c:v>
                </c:pt>
                <c:pt idx="4085">
                  <c:v>116</c:v>
                </c:pt>
                <c:pt idx="4086">
                  <c:v>116</c:v>
                </c:pt>
                <c:pt idx="4087">
                  <c:v>97</c:v>
                </c:pt>
                <c:pt idx="4088">
                  <c:v>101</c:v>
                </c:pt>
                <c:pt idx="4089">
                  <c:v>98</c:v>
                </c:pt>
                <c:pt idx="4090">
                  <c:v>101</c:v>
                </c:pt>
                <c:pt idx="4091">
                  <c:v>90</c:v>
                </c:pt>
                <c:pt idx="4092">
                  <c:v>120</c:v>
                </c:pt>
                <c:pt idx="4093">
                  <c:v>102</c:v>
                </c:pt>
                <c:pt idx="4094">
                  <c:v>102</c:v>
                </c:pt>
                <c:pt idx="4095">
                  <c:v>100</c:v>
                </c:pt>
                <c:pt idx="4096">
                  <c:v>104</c:v>
                </c:pt>
                <c:pt idx="4097">
                  <c:v>89</c:v>
                </c:pt>
                <c:pt idx="4098">
                  <c:v>99</c:v>
                </c:pt>
                <c:pt idx="4099">
                  <c:v>96</c:v>
                </c:pt>
                <c:pt idx="4100">
                  <c:v>86</c:v>
                </c:pt>
                <c:pt idx="4101">
                  <c:v>98</c:v>
                </c:pt>
                <c:pt idx="4102">
                  <c:v>96</c:v>
                </c:pt>
                <c:pt idx="4103">
                  <c:v>94</c:v>
                </c:pt>
                <c:pt idx="4104">
                  <c:v>91</c:v>
                </c:pt>
                <c:pt idx="4105">
                  <c:v>90</c:v>
                </c:pt>
                <c:pt idx="4106">
                  <c:v>85</c:v>
                </c:pt>
                <c:pt idx="4107">
                  <c:v>96</c:v>
                </c:pt>
                <c:pt idx="4108">
                  <c:v>129</c:v>
                </c:pt>
                <c:pt idx="4109">
                  <c:v>93</c:v>
                </c:pt>
                <c:pt idx="4110">
                  <c:v>100</c:v>
                </c:pt>
                <c:pt idx="4111">
                  <c:v>97</c:v>
                </c:pt>
                <c:pt idx="4112">
                  <c:v>94</c:v>
                </c:pt>
                <c:pt idx="4113">
                  <c:v>95</c:v>
                </c:pt>
                <c:pt idx="4114">
                  <c:v>97</c:v>
                </c:pt>
                <c:pt idx="4115">
                  <c:v>92</c:v>
                </c:pt>
                <c:pt idx="4116">
                  <c:v>96</c:v>
                </c:pt>
                <c:pt idx="4117">
                  <c:v>87</c:v>
                </c:pt>
                <c:pt idx="4118">
                  <c:v>91</c:v>
                </c:pt>
                <c:pt idx="4119">
                  <c:v>99</c:v>
                </c:pt>
                <c:pt idx="4120">
                  <c:v>88</c:v>
                </c:pt>
                <c:pt idx="4121">
                  <c:v>119</c:v>
                </c:pt>
                <c:pt idx="4122">
                  <c:v>99</c:v>
                </c:pt>
                <c:pt idx="4123">
                  <c:v>92</c:v>
                </c:pt>
                <c:pt idx="4124">
                  <c:v>86</c:v>
                </c:pt>
                <c:pt idx="4125">
                  <c:v>83</c:v>
                </c:pt>
                <c:pt idx="4126">
                  <c:v>81</c:v>
                </c:pt>
                <c:pt idx="4127">
                  <c:v>82</c:v>
                </c:pt>
                <c:pt idx="4128">
                  <c:v>102</c:v>
                </c:pt>
                <c:pt idx="4129">
                  <c:v>90</c:v>
                </c:pt>
                <c:pt idx="4130">
                  <c:v>92</c:v>
                </c:pt>
                <c:pt idx="4131">
                  <c:v>88</c:v>
                </c:pt>
                <c:pt idx="4132">
                  <c:v>97</c:v>
                </c:pt>
                <c:pt idx="4133">
                  <c:v>96</c:v>
                </c:pt>
                <c:pt idx="4134">
                  <c:v>87</c:v>
                </c:pt>
                <c:pt idx="4135">
                  <c:v>106</c:v>
                </c:pt>
                <c:pt idx="4136">
                  <c:v>107</c:v>
                </c:pt>
                <c:pt idx="4137">
                  <c:v>80</c:v>
                </c:pt>
                <c:pt idx="4138">
                  <c:v>91</c:v>
                </c:pt>
                <c:pt idx="4139">
                  <c:v>99</c:v>
                </c:pt>
                <c:pt idx="4140">
                  <c:v>102</c:v>
                </c:pt>
                <c:pt idx="4141">
                  <c:v>108</c:v>
                </c:pt>
                <c:pt idx="4142">
                  <c:v>88</c:v>
                </c:pt>
                <c:pt idx="4143">
                  <c:v>89</c:v>
                </c:pt>
                <c:pt idx="4144">
                  <c:v>92</c:v>
                </c:pt>
                <c:pt idx="4145">
                  <c:v>99</c:v>
                </c:pt>
                <c:pt idx="4146">
                  <c:v>103</c:v>
                </c:pt>
                <c:pt idx="4147">
                  <c:v>90</c:v>
                </c:pt>
                <c:pt idx="4148">
                  <c:v>95</c:v>
                </c:pt>
                <c:pt idx="4149">
                  <c:v>97</c:v>
                </c:pt>
                <c:pt idx="4150">
                  <c:v>108</c:v>
                </c:pt>
                <c:pt idx="4151">
                  <c:v>95</c:v>
                </c:pt>
                <c:pt idx="4152">
                  <c:v>160</c:v>
                </c:pt>
                <c:pt idx="4153">
                  <c:v>90</c:v>
                </c:pt>
                <c:pt idx="4154">
                  <c:v>86</c:v>
                </c:pt>
                <c:pt idx="4155">
                  <c:v>89</c:v>
                </c:pt>
                <c:pt idx="4156">
                  <c:v>87</c:v>
                </c:pt>
                <c:pt idx="4157">
                  <c:v>98</c:v>
                </c:pt>
                <c:pt idx="4158">
                  <c:v>125</c:v>
                </c:pt>
                <c:pt idx="4159">
                  <c:v>95</c:v>
                </c:pt>
                <c:pt idx="4160">
                  <c:v>118</c:v>
                </c:pt>
                <c:pt idx="4161">
                  <c:v>93</c:v>
                </c:pt>
                <c:pt idx="4162">
                  <c:v>96</c:v>
                </c:pt>
                <c:pt idx="4163">
                  <c:v>109</c:v>
                </c:pt>
                <c:pt idx="4164">
                  <c:v>109</c:v>
                </c:pt>
                <c:pt idx="4165">
                  <c:v>155</c:v>
                </c:pt>
                <c:pt idx="4166">
                  <c:v>90</c:v>
                </c:pt>
                <c:pt idx="4167">
                  <c:v>93</c:v>
                </c:pt>
                <c:pt idx="4168">
                  <c:v>108</c:v>
                </c:pt>
                <c:pt idx="4169">
                  <c:v>114</c:v>
                </c:pt>
                <c:pt idx="4170">
                  <c:v>87</c:v>
                </c:pt>
                <c:pt idx="4171">
                  <c:v>113</c:v>
                </c:pt>
                <c:pt idx="4172">
                  <c:v>87</c:v>
                </c:pt>
                <c:pt idx="4173">
                  <c:v>90</c:v>
                </c:pt>
                <c:pt idx="4174">
                  <c:v>111</c:v>
                </c:pt>
                <c:pt idx="4175">
                  <c:v>81</c:v>
                </c:pt>
                <c:pt idx="4176">
                  <c:v>93</c:v>
                </c:pt>
                <c:pt idx="4177">
                  <c:v>90</c:v>
                </c:pt>
                <c:pt idx="4178">
                  <c:v>112</c:v>
                </c:pt>
                <c:pt idx="4179">
                  <c:v>106</c:v>
                </c:pt>
                <c:pt idx="4180">
                  <c:v>88</c:v>
                </c:pt>
                <c:pt idx="4181">
                  <c:v>138</c:v>
                </c:pt>
                <c:pt idx="4182">
                  <c:v>105</c:v>
                </c:pt>
                <c:pt idx="4183">
                  <c:v>98</c:v>
                </c:pt>
                <c:pt idx="4184">
                  <c:v>86</c:v>
                </c:pt>
                <c:pt idx="4185">
                  <c:v>104</c:v>
                </c:pt>
                <c:pt idx="4186">
                  <c:v>100</c:v>
                </c:pt>
                <c:pt idx="4187">
                  <c:v>126</c:v>
                </c:pt>
                <c:pt idx="4188">
                  <c:v>118</c:v>
                </c:pt>
                <c:pt idx="4189">
                  <c:v>103</c:v>
                </c:pt>
                <c:pt idx="4190">
                  <c:v>102</c:v>
                </c:pt>
                <c:pt idx="4191">
                  <c:v>84</c:v>
                </c:pt>
                <c:pt idx="4192">
                  <c:v>95</c:v>
                </c:pt>
                <c:pt idx="4193">
                  <c:v>92</c:v>
                </c:pt>
                <c:pt idx="4194">
                  <c:v>90</c:v>
                </c:pt>
                <c:pt idx="4195">
                  <c:v>113</c:v>
                </c:pt>
                <c:pt idx="4196">
                  <c:v>123</c:v>
                </c:pt>
                <c:pt idx="4197">
                  <c:v>111</c:v>
                </c:pt>
                <c:pt idx="4198">
                  <c:v>99</c:v>
                </c:pt>
                <c:pt idx="4199">
                  <c:v>108</c:v>
                </c:pt>
                <c:pt idx="4200">
                  <c:v>92</c:v>
                </c:pt>
                <c:pt idx="4201">
                  <c:v>120</c:v>
                </c:pt>
                <c:pt idx="4202">
                  <c:v>91</c:v>
                </c:pt>
                <c:pt idx="4203">
                  <c:v>88</c:v>
                </c:pt>
                <c:pt idx="4204">
                  <c:v>97</c:v>
                </c:pt>
                <c:pt idx="4205">
                  <c:v>95</c:v>
                </c:pt>
                <c:pt idx="4206">
                  <c:v>103</c:v>
                </c:pt>
                <c:pt idx="4207">
                  <c:v>110</c:v>
                </c:pt>
                <c:pt idx="4208">
                  <c:v>103</c:v>
                </c:pt>
                <c:pt idx="4209">
                  <c:v>92</c:v>
                </c:pt>
                <c:pt idx="4210">
                  <c:v>114</c:v>
                </c:pt>
                <c:pt idx="4211">
                  <c:v>101</c:v>
                </c:pt>
                <c:pt idx="4212">
                  <c:v>112</c:v>
                </c:pt>
                <c:pt idx="4213">
                  <c:v>104</c:v>
                </c:pt>
                <c:pt idx="4214">
                  <c:v>99</c:v>
                </c:pt>
                <c:pt idx="4215">
                  <c:v>98</c:v>
                </c:pt>
                <c:pt idx="4216">
                  <c:v>107</c:v>
                </c:pt>
                <c:pt idx="4217">
                  <c:v>93</c:v>
                </c:pt>
                <c:pt idx="4218">
                  <c:v>100</c:v>
                </c:pt>
                <c:pt idx="4219">
                  <c:v>80</c:v>
                </c:pt>
                <c:pt idx="4220">
                  <c:v>94</c:v>
                </c:pt>
                <c:pt idx="4221">
                  <c:v>93</c:v>
                </c:pt>
                <c:pt idx="4222">
                  <c:v>87</c:v>
                </c:pt>
                <c:pt idx="4223">
                  <c:v>91</c:v>
                </c:pt>
                <c:pt idx="4224">
                  <c:v>84</c:v>
                </c:pt>
                <c:pt idx="4225">
                  <c:v>90</c:v>
                </c:pt>
                <c:pt idx="4226">
                  <c:v>98</c:v>
                </c:pt>
                <c:pt idx="4227">
                  <c:v>108</c:v>
                </c:pt>
                <c:pt idx="4228">
                  <c:v>124</c:v>
                </c:pt>
                <c:pt idx="4229">
                  <c:v>95</c:v>
                </c:pt>
                <c:pt idx="4230">
                  <c:v>90</c:v>
                </c:pt>
                <c:pt idx="4231">
                  <c:v>93</c:v>
                </c:pt>
                <c:pt idx="4232">
                  <c:v>101</c:v>
                </c:pt>
                <c:pt idx="4233">
                  <c:v>107</c:v>
                </c:pt>
                <c:pt idx="4234">
                  <c:v>20</c:v>
                </c:pt>
                <c:pt idx="4235">
                  <c:v>87</c:v>
                </c:pt>
                <c:pt idx="4236">
                  <c:v>98</c:v>
                </c:pt>
                <c:pt idx="4237">
                  <c:v>112</c:v>
                </c:pt>
                <c:pt idx="4238">
                  <c:v>82</c:v>
                </c:pt>
                <c:pt idx="4239">
                  <c:v>102</c:v>
                </c:pt>
                <c:pt idx="4240">
                  <c:v>97</c:v>
                </c:pt>
                <c:pt idx="4241">
                  <c:v>101</c:v>
                </c:pt>
                <c:pt idx="4242">
                  <c:v>93</c:v>
                </c:pt>
                <c:pt idx="4243">
                  <c:v>83</c:v>
                </c:pt>
                <c:pt idx="4244">
                  <c:v>106</c:v>
                </c:pt>
                <c:pt idx="4245">
                  <c:v>113</c:v>
                </c:pt>
                <c:pt idx="4246">
                  <c:v>94</c:v>
                </c:pt>
                <c:pt idx="4247">
                  <c:v>101</c:v>
                </c:pt>
                <c:pt idx="4248">
                  <c:v>99</c:v>
                </c:pt>
                <c:pt idx="4249">
                  <c:v>76</c:v>
                </c:pt>
                <c:pt idx="4250">
                  <c:v>91</c:v>
                </c:pt>
                <c:pt idx="4251">
                  <c:v>105</c:v>
                </c:pt>
                <c:pt idx="4252">
                  <c:v>120</c:v>
                </c:pt>
                <c:pt idx="4253">
                  <c:v>105</c:v>
                </c:pt>
                <c:pt idx="4254">
                  <c:v>105</c:v>
                </c:pt>
                <c:pt idx="4255">
                  <c:v>95</c:v>
                </c:pt>
                <c:pt idx="4256">
                  <c:v>135</c:v>
                </c:pt>
                <c:pt idx="4257">
                  <c:v>105</c:v>
                </c:pt>
                <c:pt idx="4258">
                  <c:v>83</c:v>
                </c:pt>
                <c:pt idx="4259">
                  <c:v>135</c:v>
                </c:pt>
                <c:pt idx="4260">
                  <c:v>88</c:v>
                </c:pt>
                <c:pt idx="4261">
                  <c:v>87</c:v>
                </c:pt>
                <c:pt idx="4262">
                  <c:v>97</c:v>
                </c:pt>
                <c:pt idx="4263">
                  <c:v>82</c:v>
                </c:pt>
                <c:pt idx="4264">
                  <c:v>103</c:v>
                </c:pt>
                <c:pt idx="4265">
                  <c:v>130</c:v>
                </c:pt>
                <c:pt idx="4266">
                  <c:v>87</c:v>
                </c:pt>
                <c:pt idx="4267">
                  <c:v>101</c:v>
                </c:pt>
                <c:pt idx="4268">
                  <c:v>96</c:v>
                </c:pt>
                <c:pt idx="4269">
                  <c:v>80</c:v>
                </c:pt>
                <c:pt idx="4270">
                  <c:v>87</c:v>
                </c:pt>
                <c:pt idx="4271">
                  <c:v>92</c:v>
                </c:pt>
                <c:pt idx="4272">
                  <c:v>118</c:v>
                </c:pt>
                <c:pt idx="4273">
                  <c:v>123</c:v>
                </c:pt>
                <c:pt idx="4274">
                  <c:v>100</c:v>
                </c:pt>
                <c:pt idx="4275">
                  <c:v>103</c:v>
                </c:pt>
                <c:pt idx="4276">
                  <c:v>100</c:v>
                </c:pt>
                <c:pt idx="4277">
                  <c:v>99</c:v>
                </c:pt>
                <c:pt idx="4278">
                  <c:v>89</c:v>
                </c:pt>
                <c:pt idx="4279">
                  <c:v>114</c:v>
                </c:pt>
                <c:pt idx="4280">
                  <c:v>111</c:v>
                </c:pt>
                <c:pt idx="4281">
                  <c:v>99</c:v>
                </c:pt>
                <c:pt idx="4282">
                  <c:v>85</c:v>
                </c:pt>
                <c:pt idx="4283">
                  <c:v>113</c:v>
                </c:pt>
                <c:pt idx="4284">
                  <c:v>99</c:v>
                </c:pt>
                <c:pt idx="4285">
                  <c:v>83</c:v>
                </c:pt>
                <c:pt idx="4286">
                  <c:v>142</c:v>
                </c:pt>
                <c:pt idx="4287">
                  <c:v>112</c:v>
                </c:pt>
                <c:pt idx="4288">
                  <c:v>108</c:v>
                </c:pt>
                <c:pt idx="4289">
                  <c:v>88</c:v>
                </c:pt>
                <c:pt idx="4290">
                  <c:v>97</c:v>
                </c:pt>
                <c:pt idx="4291">
                  <c:v>85</c:v>
                </c:pt>
                <c:pt idx="4292">
                  <c:v>103</c:v>
                </c:pt>
                <c:pt idx="4293">
                  <c:v>110</c:v>
                </c:pt>
                <c:pt idx="4294">
                  <c:v>88</c:v>
                </c:pt>
                <c:pt idx="4295">
                  <c:v>76</c:v>
                </c:pt>
                <c:pt idx="4296">
                  <c:v>100</c:v>
                </c:pt>
                <c:pt idx="4297">
                  <c:v>99</c:v>
                </c:pt>
                <c:pt idx="4298">
                  <c:v>84</c:v>
                </c:pt>
                <c:pt idx="4299">
                  <c:v>91</c:v>
                </c:pt>
                <c:pt idx="4300">
                  <c:v>97</c:v>
                </c:pt>
                <c:pt idx="4301">
                  <c:v>84</c:v>
                </c:pt>
                <c:pt idx="4302">
                  <c:v>100</c:v>
                </c:pt>
                <c:pt idx="4303">
                  <c:v>94</c:v>
                </c:pt>
                <c:pt idx="4304">
                  <c:v>90</c:v>
                </c:pt>
                <c:pt idx="4305">
                  <c:v>92</c:v>
                </c:pt>
                <c:pt idx="4306">
                  <c:v>105</c:v>
                </c:pt>
                <c:pt idx="4307">
                  <c:v>73</c:v>
                </c:pt>
                <c:pt idx="4308">
                  <c:v>116</c:v>
                </c:pt>
                <c:pt idx="4309">
                  <c:v>110</c:v>
                </c:pt>
                <c:pt idx="4310">
                  <c:v>102</c:v>
                </c:pt>
                <c:pt idx="4311">
                  <c:v>89</c:v>
                </c:pt>
                <c:pt idx="4312">
                  <c:v>76</c:v>
                </c:pt>
                <c:pt idx="4313">
                  <c:v>82</c:v>
                </c:pt>
                <c:pt idx="4314">
                  <c:v>89</c:v>
                </c:pt>
                <c:pt idx="4315">
                  <c:v>150</c:v>
                </c:pt>
                <c:pt idx="4316">
                  <c:v>89</c:v>
                </c:pt>
                <c:pt idx="4317">
                  <c:v>145</c:v>
                </c:pt>
                <c:pt idx="4318">
                  <c:v>91</c:v>
                </c:pt>
                <c:pt idx="4319">
                  <c:v>121</c:v>
                </c:pt>
                <c:pt idx="4320">
                  <c:v>83</c:v>
                </c:pt>
                <c:pt idx="4321">
                  <c:v>110</c:v>
                </c:pt>
                <c:pt idx="4322">
                  <c:v>91</c:v>
                </c:pt>
                <c:pt idx="4323">
                  <c:v>110</c:v>
                </c:pt>
                <c:pt idx="4324">
                  <c:v>86</c:v>
                </c:pt>
                <c:pt idx="4325">
                  <c:v>86</c:v>
                </c:pt>
                <c:pt idx="4326">
                  <c:v>120</c:v>
                </c:pt>
                <c:pt idx="4327">
                  <c:v>90</c:v>
                </c:pt>
                <c:pt idx="4328">
                  <c:v>99</c:v>
                </c:pt>
                <c:pt idx="4329">
                  <c:v>112</c:v>
                </c:pt>
                <c:pt idx="4330">
                  <c:v>103</c:v>
                </c:pt>
                <c:pt idx="4331">
                  <c:v>83</c:v>
                </c:pt>
                <c:pt idx="4332">
                  <c:v>109</c:v>
                </c:pt>
                <c:pt idx="4333">
                  <c:v>89</c:v>
                </c:pt>
                <c:pt idx="4334">
                  <c:v>96</c:v>
                </c:pt>
                <c:pt idx="4335">
                  <c:v>109</c:v>
                </c:pt>
                <c:pt idx="4336">
                  <c:v>122</c:v>
                </c:pt>
                <c:pt idx="4337">
                  <c:v>100</c:v>
                </c:pt>
                <c:pt idx="4338">
                  <c:v>109</c:v>
                </c:pt>
                <c:pt idx="4339">
                  <c:v>95</c:v>
                </c:pt>
                <c:pt idx="4340">
                  <c:v>94</c:v>
                </c:pt>
                <c:pt idx="4341">
                  <c:v>107</c:v>
                </c:pt>
                <c:pt idx="4342">
                  <c:v>104</c:v>
                </c:pt>
                <c:pt idx="4343">
                  <c:v>93</c:v>
                </c:pt>
                <c:pt idx="4344">
                  <c:v>102</c:v>
                </c:pt>
                <c:pt idx="4345">
                  <c:v>84</c:v>
                </c:pt>
                <c:pt idx="4346">
                  <c:v>97</c:v>
                </c:pt>
                <c:pt idx="4347">
                  <c:v>91</c:v>
                </c:pt>
                <c:pt idx="4348">
                  <c:v>84</c:v>
                </c:pt>
                <c:pt idx="4349">
                  <c:v>86</c:v>
                </c:pt>
                <c:pt idx="4350">
                  <c:v>92</c:v>
                </c:pt>
                <c:pt idx="4351">
                  <c:v>94</c:v>
                </c:pt>
                <c:pt idx="4352">
                  <c:v>92</c:v>
                </c:pt>
                <c:pt idx="4353">
                  <c:v>100</c:v>
                </c:pt>
                <c:pt idx="4354">
                  <c:v>119</c:v>
                </c:pt>
                <c:pt idx="4355">
                  <c:v>167</c:v>
                </c:pt>
                <c:pt idx="4356">
                  <c:v>92</c:v>
                </c:pt>
                <c:pt idx="4357">
                  <c:v>108</c:v>
                </c:pt>
                <c:pt idx="4358">
                  <c:v>97</c:v>
                </c:pt>
                <c:pt idx="4359">
                  <c:v>88</c:v>
                </c:pt>
                <c:pt idx="4360">
                  <c:v>100</c:v>
                </c:pt>
                <c:pt idx="4361">
                  <c:v>100</c:v>
                </c:pt>
                <c:pt idx="4362">
                  <c:v>124</c:v>
                </c:pt>
                <c:pt idx="4363">
                  <c:v>88</c:v>
                </c:pt>
                <c:pt idx="4364">
                  <c:v>106</c:v>
                </c:pt>
                <c:pt idx="4365">
                  <c:v>79</c:v>
                </c:pt>
                <c:pt idx="4366">
                  <c:v>96</c:v>
                </c:pt>
                <c:pt idx="4367">
                  <c:v>53</c:v>
                </c:pt>
                <c:pt idx="4368">
                  <c:v>97</c:v>
                </c:pt>
                <c:pt idx="4369">
                  <c:v>120</c:v>
                </c:pt>
                <c:pt idx="4370">
                  <c:v>90</c:v>
                </c:pt>
                <c:pt idx="4371">
                  <c:v>91</c:v>
                </c:pt>
                <c:pt idx="4372">
                  <c:v>93</c:v>
                </c:pt>
                <c:pt idx="4373">
                  <c:v>112</c:v>
                </c:pt>
                <c:pt idx="4374">
                  <c:v>160</c:v>
                </c:pt>
                <c:pt idx="4375">
                  <c:v>95</c:v>
                </c:pt>
                <c:pt idx="4376">
                  <c:v>93</c:v>
                </c:pt>
                <c:pt idx="4377">
                  <c:v>88</c:v>
                </c:pt>
                <c:pt idx="4378">
                  <c:v>105</c:v>
                </c:pt>
                <c:pt idx="4379">
                  <c:v>98</c:v>
                </c:pt>
                <c:pt idx="4380">
                  <c:v>82</c:v>
                </c:pt>
                <c:pt idx="4381">
                  <c:v>89</c:v>
                </c:pt>
                <c:pt idx="4382">
                  <c:v>78</c:v>
                </c:pt>
                <c:pt idx="4383">
                  <c:v>97</c:v>
                </c:pt>
                <c:pt idx="4384">
                  <c:v>81</c:v>
                </c:pt>
                <c:pt idx="4385">
                  <c:v>90</c:v>
                </c:pt>
                <c:pt idx="4386">
                  <c:v>97</c:v>
                </c:pt>
                <c:pt idx="4387">
                  <c:v>88</c:v>
                </c:pt>
                <c:pt idx="4388">
                  <c:v>96</c:v>
                </c:pt>
                <c:pt idx="4389">
                  <c:v>105</c:v>
                </c:pt>
                <c:pt idx="4390">
                  <c:v>76</c:v>
                </c:pt>
                <c:pt idx="4391">
                  <c:v>96</c:v>
                </c:pt>
                <c:pt idx="4392">
                  <c:v>99</c:v>
                </c:pt>
                <c:pt idx="4393">
                  <c:v>90</c:v>
                </c:pt>
                <c:pt idx="4394">
                  <c:v>94</c:v>
                </c:pt>
                <c:pt idx="4395">
                  <c:v>87</c:v>
                </c:pt>
                <c:pt idx="4396">
                  <c:v>93</c:v>
                </c:pt>
                <c:pt idx="4397">
                  <c:v>90</c:v>
                </c:pt>
                <c:pt idx="4398">
                  <c:v>89</c:v>
                </c:pt>
                <c:pt idx="4399">
                  <c:v>83</c:v>
                </c:pt>
                <c:pt idx="4400">
                  <c:v>96</c:v>
                </c:pt>
                <c:pt idx="4401">
                  <c:v>90</c:v>
                </c:pt>
                <c:pt idx="4402">
                  <c:v>138</c:v>
                </c:pt>
                <c:pt idx="4403">
                  <c:v>84</c:v>
                </c:pt>
                <c:pt idx="4404">
                  <c:v>83</c:v>
                </c:pt>
                <c:pt idx="4405">
                  <c:v>96</c:v>
                </c:pt>
                <c:pt idx="4406">
                  <c:v>94</c:v>
                </c:pt>
                <c:pt idx="4407">
                  <c:v>90</c:v>
                </c:pt>
                <c:pt idx="4408">
                  <c:v>95</c:v>
                </c:pt>
                <c:pt idx="4409">
                  <c:v>93</c:v>
                </c:pt>
                <c:pt idx="4410">
                  <c:v>103</c:v>
                </c:pt>
                <c:pt idx="4411">
                  <c:v>87</c:v>
                </c:pt>
                <c:pt idx="4412">
                  <c:v>100</c:v>
                </c:pt>
                <c:pt idx="4413">
                  <c:v>90</c:v>
                </c:pt>
                <c:pt idx="4414">
                  <c:v>83</c:v>
                </c:pt>
                <c:pt idx="4415">
                  <c:v>108</c:v>
                </c:pt>
                <c:pt idx="4416">
                  <c:v>100</c:v>
                </c:pt>
                <c:pt idx="4417">
                  <c:v>113</c:v>
                </c:pt>
                <c:pt idx="4418">
                  <c:v>97</c:v>
                </c:pt>
                <c:pt idx="4419">
                  <c:v>104</c:v>
                </c:pt>
                <c:pt idx="4420">
                  <c:v>91</c:v>
                </c:pt>
                <c:pt idx="4421">
                  <c:v>107</c:v>
                </c:pt>
                <c:pt idx="4422">
                  <c:v>85</c:v>
                </c:pt>
                <c:pt idx="4423">
                  <c:v>101</c:v>
                </c:pt>
                <c:pt idx="4424">
                  <c:v>70</c:v>
                </c:pt>
                <c:pt idx="4425">
                  <c:v>88</c:v>
                </c:pt>
                <c:pt idx="4426">
                  <c:v>107</c:v>
                </c:pt>
                <c:pt idx="4427">
                  <c:v>78</c:v>
                </c:pt>
                <c:pt idx="4428">
                  <c:v>90</c:v>
                </c:pt>
                <c:pt idx="4429">
                  <c:v>88</c:v>
                </c:pt>
                <c:pt idx="4430">
                  <c:v>92</c:v>
                </c:pt>
                <c:pt idx="4431">
                  <c:v>95</c:v>
                </c:pt>
                <c:pt idx="4432">
                  <c:v>85</c:v>
                </c:pt>
                <c:pt idx="4433">
                  <c:v>86</c:v>
                </c:pt>
                <c:pt idx="4434">
                  <c:v>90</c:v>
                </c:pt>
                <c:pt idx="4435">
                  <c:v>123</c:v>
                </c:pt>
                <c:pt idx="4436">
                  <c:v>93</c:v>
                </c:pt>
                <c:pt idx="4437">
                  <c:v>88</c:v>
                </c:pt>
                <c:pt idx="4438">
                  <c:v>114</c:v>
                </c:pt>
                <c:pt idx="4439">
                  <c:v>88</c:v>
                </c:pt>
                <c:pt idx="4440">
                  <c:v>110</c:v>
                </c:pt>
                <c:pt idx="4441">
                  <c:v>95</c:v>
                </c:pt>
                <c:pt idx="4442">
                  <c:v>83</c:v>
                </c:pt>
                <c:pt idx="4443">
                  <c:v>104</c:v>
                </c:pt>
                <c:pt idx="4444">
                  <c:v>94</c:v>
                </c:pt>
                <c:pt idx="4445">
                  <c:v>87</c:v>
                </c:pt>
                <c:pt idx="4446">
                  <c:v>93</c:v>
                </c:pt>
                <c:pt idx="4447">
                  <c:v>91</c:v>
                </c:pt>
                <c:pt idx="4448">
                  <c:v>90</c:v>
                </c:pt>
                <c:pt idx="4449">
                  <c:v>14</c:v>
                </c:pt>
                <c:pt idx="4450">
                  <c:v>112</c:v>
                </c:pt>
                <c:pt idx="4451">
                  <c:v>75</c:v>
                </c:pt>
                <c:pt idx="4452">
                  <c:v>86</c:v>
                </c:pt>
                <c:pt idx="4453">
                  <c:v>86</c:v>
                </c:pt>
                <c:pt idx="4454">
                  <c:v>89</c:v>
                </c:pt>
                <c:pt idx="4455">
                  <c:v>95</c:v>
                </c:pt>
                <c:pt idx="4456">
                  <c:v>101</c:v>
                </c:pt>
                <c:pt idx="4457">
                  <c:v>106</c:v>
                </c:pt>
                <c:pt idx="4458">
                  <c:v>88</c:v>
                </c:pt>
                <c:pt idx="4459">
                  <c:v>99</c:v>
                </c:pt>
                <c:pt idx="4460">
                  <c:v>90</c:v>
                </c:pt>
                <c:pt idx="4461">
                  <c:v>95</c:v>
                </c:pt>
                <c:pt idx="4462">
                  <c:v>85</c:v>
                </c:pt>
                <c:pt idx="4463">
                  <c:v>170</c:v>
                </c:pt>
                <c:pt idx="4464">
                  <c:v>86</c:v>
                </c:pt>
                <c:pt idx="4465">
                  <c:v>97</c:v>
                </c:pt>
                <c:pt idx="4466">
                  <c:v>104</c:v>
                </c:pt>
                <c:pt idx="4467">
                  <c:v>88</c:v>
                </c:pt>
                <c:pt idx="4468">
                  <c:v>106</c:v>
                </c:pt>
                <c:pt idx="4469">
                  <c:v>107</c:v>
                </c:pt>
                <c:pt idx="4470">
                  <c:v>84</c:v>
                </c:pt>
                <c:pt idx="4471">
                  <c:v>91</c:v>
                </c:pt>
                <c:pt idx="4472">
                  <c:v>90</c:v>
                </c:pt>
                <c:pt idx="4473">
                  <c:v>103</c:v>
                </c:pt>
                <c:pt idx="4474">
                  <c:v>71</c:v>
                </c:pt>
                <c:pt idx="4475">
                  <c:v>90</c:v>
                </c:pt>
                <c:pt idx="4476">
                  <c:v>67</c:v>
                </c:pt>
                <c:pt idx="4477">
                  <c:v>94</c:v>
                </c:pt>
                <c:pt idx="4478">
                  <c:v>81</c:v>
                </c:pt>
                <c:pt idx="4479">
                  <c:v>81</c:v>
                </c:pt>
                <c:pt idx="4480">
                  <c:v>215</c:v>
                </c:pt>
                <c:pt idx="4481">
                  <c:v>83</c:v>
                </c:pt>
                <c:pt idx="4482">
                  <c:v>106</c:v>
                </c:pt>
                <c:pt idx="4483">
                  <c:v>103</c:v>
                </c:pt>
                <c:pt idx="4484">
                  <c:v>90</c:v>
                </c:pt>
                <c:pt idx="4485">
                  <c:v>88</c:v>
                </c:pt>
                <c:pt idx="4486">
                  <c:v>105</c:v>
                </c:pt>
                <c:pt idx="4487">
                  <c:v>115</c:v>
                </c:pt>
                <c:pt idx="4488">
                  <c:v>90</c:v>
                </c:pt>
                <c:pt idx="4489">
                  <c:v>102</c:v>
                </c:pt>
                <c:pt idx="4490">
                  <c:v>98</c:v>
                </c:pt>
                <c:pt idx="4491">
                  <c:v>87</c:v>
                </c:pt>
                <c:pt idx="4492">
                  <c:v>80</c:v>
                </c:pt>
                <c:pt idx="4493">
                  <c:v>88</c:v>
                </c:pt>
                <c:pt idx="4494">
                  <c:v>83</c:v>
                </c:pt>
                <c:pt idx="4495">
                  <c:v>122</c:v>
                </c:pt>
                <c:pt idx="4496">
                  <c:v>115</c:v>
                </c:pt>
                <c:pt idx="4497">
                  <c:v>86</c:v>
                </c:pt>
                <c:pt idx="4498">
                  <c:v>79</c:v>
                </c:pt>
                <c:pt idx="4499">
                  <c:v>87</c:v>
                </c:pt>
                <c:pt idx="4500">
                  <c:v>97</c:v>
                </c:pt>
                <c:pt idx="4501">
                  <c:v>105</c:v>
                </c:pt>
                <c:pt idx="4502">
                  <c:v>89</c:v>
                </c:pt>
                <c:pt idx="4503">
                  <c:v>120</c:v>
                </c:pt>
                <c:pt idx="4504">
                  <c:v>94</c:v>
                </c:pt>
                <c:pt idx="4505">
                  <c:v>108</c:v>
                </c:pt>
                <c:pt idx="4506">
                  <c:v>102</c:v>
                </c:pt>
                <c:pt idx="4507">
                  <c:v>83</c:v>
                </c:pt>
                <c:pt idx="4508">
                  <c:v>93</c:v>
                </c:pt>
                <c:pt idx="4509">
                  <c:v>86</c:v>
                </c:pt>
                <c:pt idx="4510">
                  <c:v>101</c:v>
                </c:pt>
                <c:pt idx="4511">
                  <c:v>111</c:v>
                </c:pt>
                <c:pt idx="4512">
                  <c:v>90</c:v>
                </c:pt>
                <c:pt idx="4513">
                  <c:v>86</c:v>
                </c:pt>
                <c:pt idx="4514">
                  <c:v>98</c:v>
                </c:pt>
                <c:pt idx="4515">
                  <c:v>91</c:v>
                </c:pt>
                <c:pt idx="4516">
                  <c:v>91</c:v>
                </c:pt>
                <c:pt idx="4517">
                  <c:v>90</c:v>
                </c:pt>
                <c:pt idx="4518">
                  <c:v>88</c:v>
                </c:pt>
                <c:pt idx="4519">
                  <c:v>202</c:v>
                </c:pt>
                <c:pt idx="4520">
                  <c:v>89</c:v>
                </c:pt>
                <c:pt idx="4521">
                  <c:v>97</c:v>
                </c:pt>
                <c:pt idx="4522">
                  <c:v>84</c:v>
                </c:pt>
                <c:pt idx="4523">
                  <c:v>82</c:v>
                </c:pt>
                <c:pt idx="4524">
                  <c:v>100</c:v>
                </c:pt>
                <c:pt idx="4525">
                  <c:v>112</c:v>
                </c:pt>
                <c:pt idx="4526">
                  <c:v>94</c:v>
                </c:pt>
                <c:pt idx="4527">
                  <c:v>87</c:v>
                </c:pt>
                <c:pt idx="4528">
                  <c:v>91</c:v>
                </c:pt>
                <c:pt idx="4529">
                  <c:v>87</c:v>
                </c:pt>
                <c:pt idx="4530">
                  <c:v>98</c:v>
                </c:pt>
                <c:pt idx="4531">
                  <c:v>95</c:v>
                </c:pt>
                <c:pt idx="4532">
                  <c:v>87</c:v>
                </c:pt>
                <c:pt idx="4533">
                  <c:v>102</c:v>
                </c:pt>
                <c:pt idx="4534">
                  <c:v>127</c:v>
                </c:pt>
                <c:pt idx="4535">
                  <c:v>96</c:v>
                </c:pt>
                <c:pt idx="4536">
                  <c:v>103</c:v>
                </c:pt>
                <c:pt idx="4537">
                  <c:v>104</c:v>
                </c:pt>
                <c:pt idx="4538">
                  <c:v>90</c:v>
                </c:pt>
                <c:pt idx="4539">
                  <c:v>122</c:v>
                </c:pt>
                <c:pt idx="4540">
                  <c:v>90</c:v>
                </c:pt>
                <c:pt idx="4541">
                  <c:v>101</c:v>
                </c:pt>
                <c:pt idx="4542">
                  <c:v>94</c:v>
                </c:pt>
                <c:pt idx="4543">
                  <c:v>97</c:v>
                </c:pt>
                <c:pt idx="4544">
                  <c:v>90</c:v>
                </c:pt>
                <c:pt idx="4545">
                  <c:v>108</c:v>
                </c:pt>
                <c:pt idx="4546">
                  <c:v>82</c:v>
                </c:pt>
                <c:pt idx="4547">
                  <c:v>84</c:v>
                </c:pt>
                <c:pt idx="4548">
                  <c:v>91</c:v>
                </c:pt>
                <c:pt idx="4549">
                  <c:v>91</c:v>
                </c:pt>
                <c:pt idx="4550">
                  <c:v>107</c:v>
                </c:pt>
                <c:pt idx="4551">
                  <c:v>82</c:v>
                </c:pt>
                <c:pt idx="4552">
                  <c:v>84</c:v>
                </c:pt>
                <c:pt idx="4553">
                  <c:v>103</c:v>
                </c:pt>
                <c:pt idx="4554">
                  <c:v>86</c:v>
                </c:pt>
                <c:pt idx="4555">
                  <c:v>89</c:v>
                </c:pt>
                <c:pt idx="4556">
                  <c:v>52</c:v>
                </c:pt>
                <c:pt idx="4557">
                  <c:v>98</c:v>
                </c:pt>
                <c:pt idx="4558">
                  <c:v>133</c:v>
                </c:pt>
                <c:pt idx="4559">
                  <c:v>81</c:v>
                </c:pt>
                <c:pt idx="4560">
                  <c:v>92</c:v>
                </c:pt>
                <c:pt idx="4561">
                  <c:v>90</c:v>
                </c:pt>
                <c:pt idx="4562">
                  <c:v>84</c:v>
                </c:pt>
                <c:pt idx="4563">
                  <c:v>91</c:v>
                </c:pt>
                <c:pt idx="4564">
                  <c:v>91</c:v>
                </c:pt>
                <c:pt idx="4565">
                  <c:v>90</c:v>
                </c:pt>
                <c:pt idx="4566">
                  <c:v>96</c:v>
                </c:pt>
                <c:pt idx="4567">
                  <c:v>88</c:v>
                </c:pt>
                <c:pt idx="4568">
                  <c:v>92</c:v>
                </c:pt>
                <c:pt idx="4569">
                  <c:v>97</c:v>
                </c:pt>
                <c:pt idx="4570">
                  <c:v>82</c:v>
                </c:pt>
                <c:pt idx="4571">
                  <c:v>101</c:v>
                </c:pt>
                <c:pt idx="4572">
                  <c:v>80</c:v>
                </c:pt>
                <c:pt idx="4573">
                  <c:v>97</c:v>
                </c:pt>
                <c:pt idx="4574">
                  <c:v>84</c:v>
                </c:pt>
                <c:pt idx="4575">
                  <c:v>97</c:v>
                </c:pt>
                <c:pt idx="4576">
                  <c:v>91</c:v>
                </c:pt>
                <c:pt idx="4577">
                  <c:v>86</c:v>
                </c:pt>
                <c:pt idx="4578">
                  <c:v>100</c:v>
                </c:pt>
                <c:pt idx="4579">
                  <c:v>96</c:v>
                </c:pt>
                <c:pt idx="4580">
                  <c:v>89</c:v>
                </c:pt>
                <c:pt idx="4581">
                  <c:v>84</c:v>
                </c:pt>
                <c:pt idx="4582">
                  <c:v>88</c:v>
                </c:pt>
                <c:pt idx="4583">
                  <c:v>90</c:v>
                </c:pt>
                <c:pt idx="4584">
                  <c:v>90</c:v>
                </c:pt>
                <c:pt idx="4585">
                  <c:v>98</c:v>
                </c:pt>
                <c:pt idx="4586">
                  <c:v>96</c:v>
                </c:pt>
                <c:pt idx="4587">
                  <c:v>83</c:v>
                </c:pt>
                <c:pt idx="4588">
                  <c:v>65</c:v>
                </c:pt>
                <c:pt idx="4589">
                  <c:v>94</c:v>
                </c:pt>
                <c:pt idx="4590">
                  <c:v>112</c:v>
                </c:pt>
                <c:pt idx="4591">
                  <c:v>102</c:v>
                </c:pt>
                <c:pt idx="4592">
                  <c:v>98</c:v>
                </c:pt>
                <c:pt idx="4593">
                  <c:v>91</c:v>
                </c:pt>
                <c:pt idx="4594">
                  <c:v>80</c:v>
                </c:pt>
                <c:pt idx="4595">
                  <c:v>114</c:v>
                </c:pt>
                <c:pt idx="4596">
                  <c:v>76</c:v>
                </c:pt>
                <c:pt idx="4597">
                  <c:v>80</c:v>
                </c:pt>
                <c:pt idx="4598">
                  <c:v>88</c:v>
                </c:pt>
                <c:pt idx="4599">
                  <c:v>110</c:v>
                </c:pt>
                <c:pt idx="4600">
                  <c:v>104</c:v>
                </c:pt>
                <c:pt idx="4601">
                  <c:v>102</c:v>
                </c:pt>
                <c:pt idx="4602">
                  <c:v>95</c:v>
                </c:pt>
                <c:pt idx="4603">
                  <c:v>94</c:v>
                </c:pt>
                <c:pt idx="4604">
                  <c:v>109</c:v>
                </c:pt>
                <c:pt idx="4605">
                  <c:v>90</c:v>
                </c:pt>
                <c:pt idx="4606">
                  <c:v>110</c:v>
                </c:pt>
                <c:pt idx="4607">
                  <c:v>80</c:v>
                </c:pt>
                <c:pt idx="4608">
                  <c:v>95</c:v>
                </c:pt>
                <c:pt idx="4609">
                  <c:v>94</c:v>
                </c:pt>
                <c:pt idx="4610">
                  <c:v>98</c:v>
                </c:pt>
                <c:pt idx="4611">
                  <c:v>98</c:v>
                </c:pt>
                <c:pt idx="4612">
                  <c:v>96</c:v>
                </c:pt>
                <c:pt idx="4613">
                  <c:v>97</c:v>
                </c:pt>
                <c:pt idx="4614">
                  <c:v>90</c:v>
                </c:pt>
                <c:pt idx="4615">
                  <c:v>113</c:v>
                </c:pt>
                <c:pt idx="4616">
                  <c:v>91</c:v>
                </c:pt>
                <c:pt idx="4617">
                  <c:v>90</c:v>
                </c:pt>
                <c:pt idx="4618">
                  <c:v>98</c:v>
                </c:pt>
                <c:pt idx="4619">
                  <c:v>94</c:v>
                </c:pt>
                <c:pt idx="4620">
                  <c:v>96</c:v>
                </c:pt>
                <c:pt idx="4621">
                  <c:v>100</c:v>
                </c:pt>
                <c:pt idx="4622">
                  <c:v>90</c:v>
                </c:pt>
                <c:pt idx="4623">
                  <c:v>90</c:v>
                </c:pt>
                <c:pt idx="4624">
                  <c:v>76</c:v>
                </c:pt>
                <c:pt idx="4625">
                  <c:v>75</c:v>
                </c:pt>
                <c:pt idx="4626">
                  <c:v>78</c:v>
                </c:pt>
                <c:pt idx="4627">
                  <c:v>90</c:v>
                </c:pt>
                <c:pt idx="4628">
                  <c:v>96</c:v>
                </c:pt>
                <c:pt idx="4629">
                  <c:v>92</c:v>
                </c:pt>
                <c:pt idx="4630">
                  <c:v>75</c:v>
                </c:pt>
                <c:pt idx="4631">
                  <c:v>99</c:v>
                </c:pt>
                <c:pt idx="4632">
                  <c:v>86</c:v>
                </c:pt>
                <c:pt idx="4633">
                  <c:v>92</c:v>
                </c:pt>
                <c:pt idx="4634">
                  <c:v>101</c:v>
                </c:pt>
                <c:pt idx="4635">
                  <c:v>81</c:v>
                </c:pt>
                <c:pt idx="4636">
                  <c:v>93</c:v>
                </c:pt>
                <c:pt idx="4637">
                  <c:v>95</c:v>
                </c:pt>
                <c:pt idx="4638">
                  <c:v>107</c:v>
                </c:pt>
                <c:pt idx="4639">
                  <c:v>98</c:v>
                </c:pt>
                <c:pt idx="4640">
                  <c:v>35</c:v>
                </c:pt>
                <c:pt idx="4641">
                  <c:v>108</c:v>
                </c:pt>
                <c:pt idx="4642">
                  <c:v>66</c:v>
                </c:pt>
                <c:pt idx="4643">
                  <c:v>95</c:v>
                </c:pt>
                <c:pt idx="4644">
                  <c:v>108</c:v>
                </c:pt>
                <c:pt idx="4645">
                  <c:v>90</c:v>
                </c:pt>
                <c:pt idx="4646">
                  <c:v>83</c:v>
                </c:pt>
                <c:pt idx="4647">
                  <c:v>108</c:v>
                </c:pt>
                <c:pt idx="4648">
                  <c:v>92</c:v>
                </c:pt>
                <c:pt idx="4649">
                  <c:v>105</c:v>
                </c:pt>
                <c:pt idx="4650">
                  <c:v>86</c:v>
                </c:pt>
                <c:pt idx="4651">
                  <c:v>106</c:v>
                </c:pt>
                <c:pt idx="4652">
                  <c:v>93</c:v>
                </c:pt>
                <c:pt idx="4653">
                  <c:v>80</c:v>
                </c:pt>
                <c:pt idx="4654">
                  <c:v>93</c:v>
                </c:pt>
                <c:pt idx="4655">
                  <c:v>96</c:v>
                </c:pt>
                <c:pt idx="4656">
                  <c:v>99</c:v>
                </c:pt>
                <c:pt idx="4657">
                  <c:v>66</c:v>
                </c:pt>
                <c:pt idx="4658">
                  <c:v>85</c:v>
                </c:pt>
                <c:pt idx="4659">
                  <c:v>101</c:v>
                </c:pt>
                <c:pt idx="4660">
                  <c:v>97</c:v>
                </c:pt>
                <c:pt idx="4661">
                  <c:v>119</c:v>
                </c:pt>
                <c:pt idx="4662">
                  <c:v>103</c:v>
                </c:pt>
                <c:pt idx="4663">
                  <c:v>86</c:v>
                </c:pt>
                <c:pt idx="4664">
                  <c:v>90</c:v>
                </c:pt>
                <c:pt idx="4665">
                  <c:v>95</c:v>
                </c:pt>
                <c:pt idx="4666">
                  <c:v>94</c:v>
                </c:pt>
                <c:pt idx="4667">
                  <c:v>84</c:v>
                </c:pt>
                <c:pt idx="4668">
                  <c:v>89</c:v>
                </c:pt>
                <c:pt idx="4669">
                  <c:v>59</c:v>
                </c:pt>
                <c:pt idx="4670">
                  <c:v>126</c:v>
                </c:pt>
                <c:pt idx="4671">
                  <c:v>86</c:v>
                </c:pt>
                <c:pt idx="4672">
                  <c:v>87</c:v>
                </c:pt>
                <c:pt idx="4673">
                  <c:v>106</c:v>
                </c:pt>
                <c:pt idx="4674">
                  <c:v>86</c:v>
                </c:pt>
                <c:pt idx="4675">
                  <c:v>89</c:v>
                </c:pt>
                <c:pt idx="4676">
                  <c:v>105</c:v>
                </c:pt>
                <c:pt idx="4677">
                  <c:v>93</c:v>
                </c:pt>
                <c:pt idx="4678">
                  <c:v>94</c:v>
                </c:pt>
                <c:pt idx="4679">
                  <c:v>89</c:v>
                </c:pt>
                <c:pt idx="4680">
                  <c:v>97</c:v>
                </c:pt>
                <c:pt idx="4681">
                  <c:v>88</c:v>
                </c:pt>
                <c:pt idx="4682">
                  <c:v>78</c:v>
                </c:pt>
                <c:pt idx="4683">
                  <c:v>104</c:v>
                </c:pt>
                <c:pt idx="4684">
                  <c:v>92</c:v>
                </c:pt>
                <c:pt idx="4685">
                  <c:v>97</c:v>
                </c:pt>
                <c:pt idx="4686">
                  <c:v>109</c:v>
                </c:pt>
                <c:pt idx="4687">
                  <c:v>78</c:v>
                </c:pt>
                <c:pt idx="4688">
                  <c:v>85</c:v>
                </c:pt>
                <c:pt idx="4689">
                  <c:v>88</c:v>
                </c:pt>
                <c:pt idx="4690">
                  <c:v>93</c:v>
                </c:pt>
                <c:pt idx="4691">
                  <c:v>86</c:v>
                </c:pt>
                <c:pt idx="4692">
                  <c:v>98</c:v>
                </c:pt>
                <c:pt idx="4693">
                  <c:v>25</c:v>
                </c:pt>
                <c:pt idx="4694">
                  <c:v>72</c:v>
                </c:pt>
                <c:pt idx="4695">
                  <c:v>66</c:v>
                </c:pt>
                <c:pt idx="4696">
                  <c:v>80</c:v>
                </c:pt>
                <c:pt idx="4697">
                  <c:v>91</c:v>
                </c:pt>
                <c:pt idx="4698">
                  <c:v>89</c:v>
                </c:pt>
                <c:pt idx="4699">
                  <c:v>85</c:v>
                </c:pt>
                <c:pt idx="4700">
                  <c:v>62</c:v>
                </c:pt>
                <c:pt idx="4701">
                  <c:v>90</c:v>
                </c:pt>
                <c:pt idx="4702">
                  <c:v>90</c:v>
                </c:pt>
                <c:pt idx="4703">
                  <c:v>88</c:v>
                </c:pt>
                <c:pt idx="4704">
                  <c:v>94</c:v>
                </c:pt>
                <c:pt idx="4705">
                  <c:v>120</c:v>
                </c:pt>
                <c:pt idx="4706">
                  <c:v>77</c:v>
                </c:pt>
                <c:pt idx="4707">
                  <c:v>111</c:v>
                </c:pt>
                <c:pt idx="4708">
                  <c:v>81</c:v>
                </c:pt>
                <c:pt idx="4709">
                  <c:v>89</c:v>
                </c:pt>
                <c:pt idx="4710">
                  <c:v>81</c:v>
                </c:pt>
                <c:pt idx="4711">
                  <c:v>100</c:v>
                </c:pt>
                <c:pt idx="4712">
                  <c:v>99</c:v>
                </c:pt>
                <c:pt idx="4713">
                  <c:v>90</c:v>
                </c:pt>
                <c:pt idx="4714">
                  <c:v>82</c:v>
                </c:pt>
                <c:pt idx="4715">
                  <c:v>88</c:v>
                </c:pt>
                <c:pt idx="4716">
                  <c:v>103</c:v>
                </c:pt>
                <c:pt idx="4717">
                  <c:v>80</c:v>
                </c:pt>
                <c:pt idx="4718">
                  <c:v>68</c:v>
                </c:pt>
                <c:pt idx="4719">
                  <c:v>81</c:v>
                </c:pt>
                <c:pt idx="4720">
                  <c:v>106</c:v>
                </c:pt>
                <c:pt idx="4721">
                  <c:v>77</c:v>
                </c:pt>
                <c:pt idx="4722">
                  <c:v>80</c:v>
                </c:pt>
                <c:pt idx="4723">
                  <c:v>84</c:v>
                </c:pt>
                <c:pt idx="4724">
                  <c:v>86</c:v>
                </c:pt>
                <c:pt idx="4725">
                  <c:v>87</c:v>
                </c:pt>
                <c:pt idx="4726">
                  <c:v>80</c:v>
                </c:pt>
                <c:pt idx="4727">
                  <c:v>100</c:v>
                </c:pt>
                <c:pt idx="4728">
                  <c:v>82</c:v>
                </c:pt>
                <c:pt idx="4729">
                  <c:v>82</c:v>
                </c:pt>
                <c:pt idx="4730">
                  <c:v>70</c:v>
                </c:pt>
                <c:pt idx="4731">
                  <c:v>75</c:v>
                </c:pt>
                <c:pt idx="4732">
                  <c:v>87</c:v>
                </c:pt>
                <c:pt idx="4733">
                  <c:v>87</c:v>
                </c:pt>
                <c:pt idx="4734">
                  <c:v>98</c:v>
                </c:pt>
                <c:pt idx="4735">
                  <c:v>83</c:v>
                </c:pt>
                <c:pt idx="4736">
                  <c:v>99</c:v>
                </c:pt>
                <c:pt idx="4737">
                  <c:v>98</c:v>
                </c:pt>
                <c:pt idx="4738">
                  <c:v>93</c:v>
                </c:pt>
                <c:pt idx="4739">
                  <c:v>111</c:v>
                </c:pt>
                <c:pt idx="4740">
                  <c:v>47</c:v>
                </c:pt>
                <c:pt idx="4741">
                  <c:v>92</c:v>
                </c:pt>
                <c:pt idx="4742">
                  <c:v>97</c:v>
                </c:pt>
                <c:pt idx="4743">
                  <c:v>81</c:v>
                </c:pt>
                <c:pt idx="4744">
                  <c:v>83</c:v>
                </c:pt>
                <c:pt idx="4745">
                  <c:v>96</c:v>
                </c:pt>
                <c:pt idx="4746">
                  <c:v>90</c:v>
                </c:pt>
                <c:pt idx="4747">
                  <c:v>90</c:v>
                </c:pt>
                <c:pt idx="4748">
                  <c:v>95</c:v>
                </c:pt>
                <c:pt idx="4749">
                  <c:v>83</c:v>
                </c:pt>
                <c:pt idx="4750">
                  <c:v>117</c:v>
                </c:pt>
                <c:pt idx="4751">
                  <c:v>75</c:v>
                </c:pt>
                <c:pt idx="4752">
                  <c:v>79</c:v>
                </c:pt>
                <c:pt idx="4753">
                  <c:v>78</c:v>
                </c:pt>
                <c:pt idx="4754">
                  <c:v>109</c:v>
                </c:pt>
                <c:pt idx="4755">
                  <c:v>89</c:v>
                </c:pt>
                <c:pt idx="4756">
                  <c:v>93</c:v>
                </c:pt>
                <c:pt idx="4757">
                  <c:v>102</c:v>
                </c:pt>
                <c:pt idx="4758">
                  <c:v>65</c:v>
                </c:pt>
                <c:pt idx="4759">
                  <c:v>85</c:v>
                </c:pt>
                <c:pt idx="4760">
                  <c:v>97</c:v>
                </c:pt>
                <c:pt idx="4761">
                  <c:v>79</c:v>
                </c:pt>
                <c:pt idx="4762">
                  <c:v>80</c:v>
                </c:pt>
                <c:pt idx="4763">
                  <c:v>100</c:v>
                </c:pt>
                <c:pt idx="4764">
                  <c:v>90</c:v>
                </c:pt>
                <c:pt idx="4765">
                  <c:v>90</c:v>
                </c:pt>
                <c:pt idx="4766">
                  <c:v>120</c:v>
                </c:pt>
                <c:pt idx="4767">
                  <c:v>91</c:v>
                </c:pt>
                <c:pt idx="4768">
                  <c:v>143</c:v>
                </c:pt>
                <c:pt idx="4769">
                  <c:v>85</c:v>
                </c:pt>
                <c:pt idx="4770">
                  <c:v>60</c:v>
                </c:pt>
                <c:pt idx="4771">
                  <c:v>88</c:v>
                </c:pt>
                <c:pt idx="4772">
                  <c:v>78</c:v>
                </c:pt>
                <c:pt idx="4773">
                  <c:v>108</c:v>
                </c:pt>
                <c:pt idx="4774">
                  <c:v>110</c:v>
                </c:pt>
                <c:pt idx="4775">
                  <c:v>90</c:v>
                </c:pt>
                <c:pt idx="4776">
                  <c:v>83</c:v>
                </c:pt>
                <c:pt idx="4777">
                  <c:v>111</c:v>
                </c:pt>
                <c:pt idx="4778">
                  <c:v>84</c:v>
                </c:pt>
                <c:pt idx="4779">
                  <c:v>82</c:v>
                </c:pt>
                <c:pt idx="4780">
                  <c:v>98</c:v>
                </c:pt>
                <c:pt idx="4781">
                  <c:v>77</c:v>
                </c:pt>
                <c:pt idx="4782">
                  <c:v>80</c:v>
                </c:pt>
                <c:pt idx="4783">
                  <c:v>81</c:v>
                </c:pt>
                <c:pt idx="4784">
                  <c:v>84</c:v>
                </c:pt>
                <c:pt idx="4785">
                  <c:v>95</c:v>
                </c:pt>
                <c:pt idx="4786">
                  <c:v>87</c:v>
                </c:pt>
                <c:pt idx="4787">
                  <c:v>76</c:v>
                </c:pt>
                <c:pt idx="4788">
                  <c:v>100</c:v>
                </c:pt>
                <c:pt idx="4789">
                  <c:v>90</c:v>
                </c:pt>
              </c:numCache>
            </c:numRef>
          </c:xVal>
          <c:yVal>
            <c:numRef>
              <c:f>IMDB_Movies!$F$2:$F$4791</c:f>
              <c:numCache>
                <c:formatCode>General</c:formatCode>
                <c:ptCount val="4790"/>
                <c:pt idx="0">
                  <c:v>7.9</c:v>
                </c:pt>
                <c:pt idx="1">
                  <c:v>7.1</c:v>
                </c:pt>
                <c:pt idx="2">
                  <c:v>6.8</c:v>
                </c:pt>
                <c:pt idx="3">
                  <c:v>8.5</c:v>
                </c:pt>
                <c:pt idx="4">
                  <c:v>6.6</c:v>
                </c:pt>
                <c:pt idx="5">
                  <c:v>6.2</c:v>
                </c:pt>
                <c:pt idx="6">
                  <c:v>7.8</c:v>
                </c:pt>
                <c:pt idx="7">
                  <c:v>7.5</c:v>
                </c:pt>
                <c:pt idx="8">
                  <c:v>7.5</c:v>
                </c:pt>
                <c:pt idx="9">
                  <c:v>6.9</c:v>
                </c:pt>
                <c:pt idx="10">
                  <c:v>6.1</c:v>
                </c:pt>
                <c:pt idx="11">
                  <c:v>6.7</c:v>
                </c:pt>
                <c:pt idx="12">
                  <c:v>7.3</c:v>
                </c:pt>
                <c:pt idx="13">
                  <c:v>6.5</c:v>
                </c:pt>
                <c:pt idx="14">
                  <c:v>7.2</c:v>
                </c:pt>
                <c:pt idx="15">
                  <c:v>6.6</c:v>
                </c:pt>
                <c:pt idx="16">
                  <c:v>8.1</c:v>
                </c:pt>
                <c:pt idx="17">
                  <c:v>6.7</c:v>
                </c:pt>
                <c:pt idx="18">
                  <c:v>6.8</c:v>
                </c:pt>
                <c:pt idx="19">
                  <c:v>7.5</c:v>
                </c:pt>
                <c:pt idx="20">
                  <c:v>7</c:v>
                </c:pt>
                <c:pt idx="21">
                  <c:v>6.7</c:v>
                </c:pt>
                <c:pt idx="22">
                  <c:v>7.9</c:v>
                </c:pt>
                <c:pt idx="23">
                  <c:v>6.1</c:v>
                </c:pt>
                <c:pt idx="24">
                  <c:v>7.2</c:v>
                </c:pt>
                <c:pt idx="25">
                  <c:v>7.7</c:v>
                </c:pt>
                <c:pt idx="26">
                  <c:v>8.1999999999999993</c:v>
                </c:pt>
                <c:pt idx="27">
                  <c:v>5.9</c:v>
                </c:pt>
                <c:pt idx="28">
                  <c:v>7</c:v>
                </c:pt>
                <c:pt idx="29">
                  <c:v>7.8</c:v>
                </c:pt>
                <c:pt idx="30">
                  <c:v>7.3</c:v>
                </c:pt>
                <c:pt idx="31">
                  <c:v>7.2</c:v>
                </c:pt>
                <c:pt idx="32">
                  <c:v>6.5</c:v>
                </c:pt>
                <c:pt idx="33">
                  <c:v>6.8</c:v>
                </c:pt>
                <c:pt idx="34">
                  <c:v>7.3</c:v>
                </c:pt>
                <c:pt idx="35">
                  <c:v>6</c:v>
                </c:pt>
                <c:pt idx="36">
                  <c:v>5.7</c:v>
                </c:pt>
                <c:pt idx="37">
                  <c:v>6.4</c:v>
                </c:pt>
                <c:pt idx="38">
                  <c:v>6.7</c:v>
                </c:pt>
                <c:pt idx="39">
                  <c:v>6.8</c:v>
                </c:pt>
                <c:pt idx="40">
                  <c:v>6.3</c:v>
                </c:pt>
                <c:pt idx="41">
                  <c:v>5.6</c:v>
                </c:pt>
                <c:pt idx="42">
                  <c:v>8.3000000000000007</c:v>
                </c:pt>
                <c:pt idx="43">
                  <c:v>6.6</c:v>
                </c:pt>
                <c:pt idx="44">
                  <c:v>7.2</c:v>
                </c:pt>
                <c:pt idx="45">
                  <c:v>7</c:v>
                </c:pt>
                <c:pt idx="46">
                  <c:v>8</c:v>
                </c:pt>
                <c:pt idx="47">
                  <c:v>7.8</c:v>
                </c:pt>
                <c:pt idx="48">
                  <c:v>6.3</c:v>
                </c:pt>
                <c:pt idx="49">
                  <c:v>7.3</c:v>
                </c:pt>
                <c:pt idx="50">
                  <c:v>6.6</c:v>
                </c:pt>
                <c:pt idx="51">
                  <c:v>7</c:v>
                </c:pt>
                <c:pt idx="52">
                  <c:v>6.3</c:v>
                </c:pt>
                <c:pt idx="53">
                  <c:v>6.2</c:v>
                </c:pt>
                <c:pt idx="54">
                  <c:v>6.8</c:v>
                </c:pt>
                <c:pt idx="55">
                  <c:v>7.2</c:v>
                </c:pt>
                <c:pt idx="56">
                  <c:v>7.5</c:v>
                </c:pt>
                <c:pt idx="57">
                  <c:v>8.4</c:v>
                </c:pt>
                <c:pt idx="58">
                  <c:v>6.2</c:v>
                </c:pt>
                <c:pt idx="59">
                  <c:v>5.8</c:v>
                </c:pt>
                <c:pt idx="60">
                  <c:v>6.8</c:v>
                </c:pt>
                <c:pt idx="61">
                  <c:v>5.4</c:v>
                </c:pt>
                <c:pt idx="62">
                  <c:v>6.6</c:v>
                </c:pt>
                <c:pt idx="63">
                  <c:v>6.9</c:v>
                </c:pt>
                <c:pt idx="64">
                  <c:v>7.3</c:v>
                </c:pt>
                <c:pt idx="65">
                  <c:v>9</c:v>
                </c:pt>
                <c:pt idx="66">
                  <c:v>8.3000000000000007</c:v>
                </c:pt>
                <c:pt idx="67">
                  <c:v>6.5</c:v>
                </c:pt>
                <c:pt idx="68">
                  <c:v>7.9</c:v>
                </c:pt>
                <c:pt idx="69">
                  <c:v>7.5</c:v>
                </c:pt>
                <c:pt idx="70">
                  <c:v>4.8</c:v>
                </c:pt>
                <c:pt idx="71">
                  <c:v>5.2</c:v>
                </c:pt>
                <c:pt idx="72">
                  <c:v>6.9</c:v>
                </c:pt>
                <c:pt idx="73">
                  <c:v>5.4</c:v>
                </c:pt>
                <c:pt idx="74">
                  <c:v>7.9</c:v>
                </c:pt>
                <c:pt idx="75">
                  <c:v>6.1</c:v>
                </c:pt>
                <c:pt idx="76">
                  <c:v>5.8</c:v>
                </c:pt>
                <c:pt idx="77">
                  <c:v>8.3000000000000007</c:v>
                </c:pt>
                <c:pt idx="78">
                  <c:v>7.8</c:v>
                </c:pt>
                <c:pt idx="79">
                  <c:v>7</c:v>
                </c:pt>
                <c:pt idx="80">
                  <c:v>6.1</c:v>
                </c:pt>
                <c:pt idx="81">
                  <c:v>7</c:v>
                </c:pt>
                <c:pt idx="82">
                  <c:v>7.6</c:v>
                </c:pt>
                <c:pt idx="83">
                  <c:v>4.5</c:v>
                </c:pt>
                <c:pt idx="84">
                  <c:v>6.3</c:v>
                </c:pt>
                <c:pt idx="85">
                  <c:v>7.8</c:v>
                </c:pt>
                <c:pt idx="86">
                  <c:v>6.4</c:v>
                </c:pt>
                <c:pt idx="87">
                  <c:v>6.5</c:v>
                </c:pt>
                <c:pt idx="88">
                  <c:v>7.9</c:v>
                </c:pt>
                <c:pt idx="89">
                  <c:v>7.8</c:v>
                </c:pt>
                <c:pt idx="90">
                  <c:v>6.6</c:v>
                </c:pt>
                <c:pt idx="91">
                  <c:v>5.5</c:v>
                </c:pt>
                <c:pt idx="92">
                  <c:v>8.1999999999999993</c:v>
                </c:pt>
                <c:pt idx="93">
                  <c:v>6.4</c:v>
                </c:pt>
                <c:pt idx="94">
                  <c:v>8.1</c:v>
                </c:pt>
                <c:pt idx="95">
                  <c:v>8.6</c:v>
                </c:pt>
                <c:pt idx="96">
                  <c:v>8.8000000000000007</c:v>
                </c:pt>
                <c:pt idx="97">
                  <c:v>8.1999999999999993</c:v>
                </c:pt>
                <c:pt idx="98">
                  <c:v>7.9</c:v>
                </c:pt>
                <c:pt idx="99">
                  <c:v>6.7</c:v>
                </c:pt>
                <c:pt idx="100">
                  <c:v>7.8</c:v>
                </c:pt>
                <c:pt idx="101">
                  <c:v>7.8</c:v>
                </c:pt>
                <c:pt idx="102">
                  <c:v>6.6</c:v>
                </c:pt>
                <c:pt idx="103">
                  <c:v>6.1</c:v>
                </c:pt>
                <c:pt idx="104">
                  <c:v>5.6</c:v>
                </c:pt>
                <c:pt idx="105">
                  <c:v>6.4</c:v>
                </c:pt>
                <c:pt idx="106">
                  <c:v>6.1</c:v>
                </c:pt>
                <c:pt idx="107">
                  <c:v>7.3</c:v>
                </c:pt>
                <c:pt idx="108">
                  <c:v>6.6</c:v>
                </c:pt>
                <c:pt idx="109">
                  <c:v>6.3</c:v>
                </c:pt>
                <c:pt idx="110">
                  <c:v>6.1</c:v>
                </c:pt>
                <c:pt idx="111">
                  <c:v>7.1</c:v>
                </c:pt>
                <c:pt idx="112">
                  <c:v>5.5</c:v>
                </c:pt>
                <c:pt idx="113">
                  <c:v>7.5</c:v>
                </c:pt>
                <c:pt idx="114">
                  <c:v>7.6</c:v>
                </c:pt>
                <c:pt idx="115">
                  <c:v>6.4</c:v>
                </c:pt>
                <c:pt idx="116">
                  <c:v>7.2</c:v>
                </c:pt>
                <c:pt idx="117">
                  <c:v>6.7</c:v>
                </c:pt>
                <c:pt idx="118">
                  <c:v>8</c:v>
                </c:pt>
                <c:pt idx="119">
                  <c:v>8.3000000000000007</c:v>
                </c:pt>
                <c:pt idx="120">
                  <c:v>6.7</c:v>
                </c:pt>
                <c:pt idx="121">
                  <c:v>5.9</c:v>
                </c:pt>
                <c:pt idx="122">
                  <c:v>6.7</c:v>
                </c:pt>
                <c:pt idx="123">
                  <c:v>6.7</c:v>
                </c:pt>
                <c:pt idx="124">
                  <c:v>7.6</c:v>
                </c:pt>
                <c:pt idx="125">
                  <c:v>7.2</c:v>
                </c:pt>
                <c:pt idx="126">
                  <c:v>7.1</c:v>
                </c:pt>
                <c:pt idx="127">
                  <c:v>8.1</c:v>
                </c:pt>
                <c:pt idx="128">
                  <c:v>6.7</c:v>
                </c:pt>
                <c:pt idx="129">
                  <c:v>7</c:v>
                </c:pt>
                <c:pt idx="130">
                  <c:v>6.9</c:v>
                </c:pt>
                <c:pt idx="131">
                  <c:v>5.0999999999999996</c:v>
                </c:pt>
                <c:pt idx="132">
                  <c:v>5.8</c:v>
                </c:pt>
                <c:pt idx="133">
                  <c:v>6.2</c:v>
                </c:pt>
                <c:pt idx="134">
                  <c:v>7.4</c:v>
                </c:pt>
                <c:pt idx="135">
                  <c:v>5.8</c:v>
                </c:pt>
                <c:pt idx="136">
                  <c:v>6.2</c:v>
                </c:pt>
                <c:pt idx="137">
                  <c:v>7.3</c:v>
                </c:pt>
                <c:pt idx="138">
                  <c:v>4.2</c:v>
                </c:pt>
                <c:pt idx="139">
                  <c:v>6.9</c:v>
                </c:pt>
                <c:pt idx="140">
                  <c:v>6.4</c:v>
                </c:pt>
                <c:pt idx="141">
                  <c:v>5.4</c:v>
                </c:pt>
                <c:pt idx="142">
                  <c:v>6.7</c:v>
                </c:pt>
                <c:pt idx="143">
                  <c:v>5.8</c:v>
                </c:pt>
                <c:pt idx="144">
                  <c:v>6.9</c:v>
                </c:pt>
                <c:pt idx="145">
                  <c:v>7.2</c:v>
                </c:pt>
                <c:pt idx="146">
                  <c:v>6.9</c:v>
                </c:pt>
                <c:pt idx="147">
                  <c:v>6.1</c:v>
                </c:pt>
                <c:pt idx="148">
                  <c:v>5.5</c:v>
                </c:pt>
                <c:pt idx="149">
                  <c:v>6.6</c:v>
                </c:pt>
                <c:pt idx="150">
                  <c:v>6.1</c:v>
                </c:pt>
                <c:pt idx="151">
                  <c:v>6.3</c:v>
                </c:pt>
                <c:pt idx="152">
                  <c:v>7.2</c:v>
                </c:pt>
                <c:pt idx="153">
                  <c:v>7.4</c:v>
                </c:pt>
                <c:pt idx="154">
                  <c:v>7.3</c:v>
                </c:pt>
                <c:pt idx="155">
                  <c:v>6.1</c:v>
                </c:pt>
                <c:pt idx="156">
                  <c:v>7.7</c:v>
                </c:pt>
                <c:pt idx="157">
                  <c:v>6.1</c:v>
                </c:pt>
                <c:pt idx="158">
                  <c:v>8</c:v>
                </c:pt>
                <c:pt idx="159">
                  <c:v>7.3</c:v>
                </c:pt>
                <c:pt idx="160">
                  <c:v>7.9</c:v>
                </c:pt>
                <c:pt idx="161">
                  <c:v>5.5</c:v>
                </c:pt>
                <c:pt idx="162">
                  <c:v>5</c:v>
                </c:pt>
                <c:pt idx="163">
                  <c:v>7.7</c:v>
                </c:pt>
                <c:pt idx="164">
                  <c:v>6.6</c:v>
                </c:pt>
                <c:pt idx="165">
                  <c:v>5.7</c:v>
                </c:pt>
                <c:pt idx="166">
                  <c:v>5.8</c:v>
                </c:pt>
                <c:pt idx="167">
                  <c:v>6</c:v>
                </c:pt>
                <c:pt idx="168">
                  <c:v>6.4</c:v>
                </c:pt>
                <c:pt idx="169">
                  <c:v>6.9</c:v>
                </c:pt>
                <c:pt idx="170">
                  <c:v>6.4</c:v>
                </c:pt>
                <c:pt idx="171">
                  <c:v>7.4</c:v>
                </c:pt>
                <c:pt idx="172">
                  <c:v>5.5</c:v>
                </c:pt>
                <c:pt idx="173">
                  <c:v>5.9</c:v>
                </c:pt>
                <c:pt idx="174">
                  <c:v>6.8</c:v>
                </c:pt>
                <c:pt idx="175">
                  <c:v>6.8</c:v>
                </c:pt>
                <c:pt idx="176">
                  <c:v>8.1</c:v>
                </c:pt>
                <c:pt idx="177">
                  <c:v>6.5</c:v>
                </c:pt>
                <c:pt idx="178">
                  <c:v>7.2</c:v>
                </c:pt>
                <c:pt idx="179">
                  <c:v>6.7</c:v>
                </c:pt>
                <c:pt idx="180">
                  <c:v>8.1</c:v>
                </c:pt>
                <c:pt idx="181">
                  <c:v>7.6</c:v>
                </c:pt>
                <c:pt idx="182">
                  <c:v>7.4</c:v>
                </c:pt>
                <c:pt idx="183">
                  <c:v>7.6</c:v>
                </c:pt>
                <c:pt idx="184">
                  <c:v>6.7</c:v>
                </c:pt>
                <c:pt idx="185">
                  <c:v>6.5</c:v>
                </c:pt>
                <c:pt idx="186">
                  <c:v>6.6</c:v>
                </c:pt>
                <c:pt idx="187">
                  <c:v>6.7</c:v>
                </c:pt>
                <c:pt idx="188">
                  <c:v>6.4</c:v>
                </c:pt>
                <c:pt idx="189">
                  <c:v>5.8</c:v>
                </c:pt>
                <c:pt idx="190">
                  <c:v>7.4</c:v>
                </c:pt>
                <c:pt idx="191">
                  <c:v>7.8</c:v>
                </c:pt>
                <c:pt idx="192">
                  <c:v>6.6</c:v>
                </c:pt>
                <c:pt idx="193">
                  <c:v>4.9000000000000004</c:v>
                </c:pt>
                <c:pt idx="194">
                  <c:v>6.5</c:v>
                </c:pt>
                <c:pt idx="195">
                  <c:v>6.2</c:v>
                </c:pt>
                <c:pt idx="196">
                  <c:v>7.3</c:v>
                </c:pt>
                <c:pt idx="197">
                  <c:v>7.5</c:v>
                </c:pt>
                <c:pt idx="198">
                  <c:v>5.6</c:v>
                </c:pt>
                <c:pt idx="199">
                  <c:v>8.1</c:v>
                </c:pt>
                <c:pt idx="200">
                  <c:v>6.7</c:v>
                </c:pt>
                <c:pt idx="201">
                  <c:v>6.6</c:v>
                </c:pt>
                <c:pt idx="202">
                  <c:v>6.4</c:v>
                </c:pt>
                <c:pt idx="203">
                  <c:v>7.5</c:v>
                </c:pt>
                <c:pt idx="204">
                  <c:v>7.3</c:v>
                </c:pt>
                <c:pt idx="205">
                  <c:v>7.5</c:v>
                </c:pt>
                <c:pt idx="206">
                  <c:v>5.8</c:v>
                </c:pt>
                <c:pt idx="207">
                  <c:v>7.5</c:v>
                </c:pt>
                <c:pt idx="208">
                  <c:v>6.6</c:v>
                </c:pt>
                <c:pt idx="209">
                  <c:v>6.7</c:v>
                </c:pt>
                <c:pt idx="210">
                  <c:v>3.7</c:v>
                </c:pt>
                <c:pt idx="211">
                  <c:v>6</c:v>
                </c:pt>
                <c:pt idx="212">
                  <c:v>6.4</c:v>
                </c:pt>
                <c:pt idx="213">
                  <c:v>6.1</c:v>
                </c:pt>
                <c:pt idx="214">
                  <c:v>6.4</c:v>
                </c:pt>
                <c:pt idx="215">
                  <c:v>5.6</c:v>
                </c:pt>
                <c:pt idx="216">
                  <c:v>8</c:v>
                </c:pt>
                <c:pt idx="217">
                  <c:v>5.2</c:v>
                </c:pt>
                <c:pt idx="218">
                  <c:v>7.1</c:v>
                </c:pt>
                <c:pt idx="219">
                  <c:v>4.8</c:v>
                </c:pt>
                <c:pt idx="220">
                  <c:v>7</c:v>
                </c:pt>
                <c:pt idx="221">
                  <c:v>5.4</c:v>
                </c:pt>
                <c:pt idx="222">
                  <c:v>6.6</c:v>
                </c:pt>
                <c:pt idx="223">
                  <c:v>6.7</c:v>
                </c:pt>
                <c:pt idx="224">
                  <c:v>6.2</c:v>
                </c:pt>
                <c:pt idx="225">
                  <c:v>6.1</c:v>
                </c:pt>
                <c:pt idx="226">
                  <c:v>5.3</c:v>
                </c:pt>
                <c:pt idx="227">
                  <c:v>6.3</c:v>
                </c:pt>
                <c:pt idx="228">
                  <c:v>7</c:v>
                </c:pt>
                <c:pt idx="229">
                  <c:v>7.6</c:v>
                </c:pt>
                <c:pt idx="230">
                  <c:v>6.7</c:v>
                </c:pt>
                <c:pt idx="231">
                  <c:v>8.1</c:v>
                </c:pt>
                <c:pt idx="232">
                  <c:v>6.7</c:v>
                </c:pt>
                <c:pt idx="233">
                  <c:v>6.5</c:v>
                </c:pt>
                <c:pt idx="234">
                  <c:v>7.3</c:v>
                </c:pt>
                <c:pt idx="235">
                  <c:v>5.0999999999999996</c:v>
                </c:pt>
                <c:pt idx="236">
                  <c:v>6</c:v>
                </c:pt>
                <c:pt idx="237">
                  <c:v>6.1</c:v>
                </c:pt>
                <c:pt idx="238">
                  <c:v>5.9</c:v>
                </c:pt>
                <c:pt idx="239">
                  <c:v>7.8</c:v>
                </c:pt>
                <c:pt idx="240">
                  <c:v>5.8</c:v>
                </c:pt>
                <c:pt idx="241">
                  <c:v>6.3</c:v>
                </c:pt>
                <c:pt idx="242">
                  <c:v>4.3</c:v>
                </c:pt>
                <c:pt idx="243">
                  <c:v>6.4</c:v>
                </c:pt>
                <c:pt idx="244">
                  <c:v>6.1</c:v>
                </c:pt>
                <c:pt idx="245">
                  <c:v>6.5</c:v>
                </c:pt>
                <c:pt idx="246">
                  <c:v>7.1</c:v>
                </c:pt>
                <c:pt idx="247">
                  <c:v>6.4</c:v>
                </c:pt>
                <c:pt idx="248">
                  <c:v>6.5</c:v>
                </c:pt>
                <c:pt idx="249">
                  <c:v>6.3</c:v>
                </c:pt>
                <c:pt idx="250">
                  <c:v>7.5</c:v>
                </c:pt>
                <c:pt idx="251">
                  <c:v>4.9000000000000004</c:v>
                </c:pt>
                <c:pt idx="252">
                  <c:v>5.8</c:v>
                </c:pt>
                <c:pt idx="253">
                  <c:v>6.2</c:v>
                </c:pt>
                <c:pt idx="254">
                  <c:v>5.5</c:v>
                </c:pt>
                <c:pt idx="255">
                  <c:v>5.4</c:v>
                </c:pt>
                <c:pt idx="256">
                  <c:v>5.8</c:v>
                </c:pt>
                <c:pt idx="257">
                  <c:v>7.1</c:v>
                </c:pt>
                <c:pt idx="258">
                  <c:v>5.4</c:v>
                </c:pt>
                <c:pt idx="259">
                  <c:v>3.7</c:v>
                </c:pt>
                <c:pt idx="260">
                  <c:v>6.7</c:v>
                </c:pt>
                <c:pt idx="261">
                  <c:v>7.2</c:v>
                </c:pt>
                <c:pt idx="262">
                  <c:v>8.8000000000000007</c:v>
                </c:pt>
                <c:pt idx="263">
                  <c:v>5.8</c:v>
                </c:pt>
                <c:pt idx="264">
                  <c:v>6.8</c:v>
                </c:pt>
                <c:pt idx="265">
                  <c:v>3.8</c:v>
                </c:pt>
                <c:pt idx="266">
                  <c:v>7.1</c:v>
                </c:pt>
                <c:pt idx="267">
                  <c:v>7.2</c:v>
                </c:pt>
                <c:pt idx="268">
                  <c:v>5.9</c:v>
                </c:pt>
                <c:pt idx="269">
                  <c:v>7.1</c:v>
                </c:pt>
                <c:pt idx="270">
                  <c:v>8.1</c:v>
                </c:pt>
                <c:pt idx="271">
                  <c:v>6.9</c:v>
                </c:pt>
                <c:pt idx="272">
                  <c:v>4.4000000000000004</c:v>
                </c:pt>
                <c:pt idx="273">
                  <c:v>6.5</c:v>
                </c:pt>
                <c:pt idx="274">
                  <c:v>8.5</c:v>
                </c:pt>
                <c:pt idx="275">
                  <c:v>7.7</c:v>
                </c:pt>
                <c:pt idx="276">
                  <c:v>7.4</c:v>
                </c:pt>
                <c:pt idx="277">
                  <c:v>8</c:v>
                </c:pt>
                <c:pt idx="278">
                  <c:v>5.7</c:v>
                </c:pt>
                <c:pt idx="279">
                  <c:v>8.5</c:v>
                </c:pt>
                <c:pt idx="280">
                  <c:v>7</c:v>
                </c:pt>
                <c:pt idx="281">
                  <c:v>7.8</c:v>
                </c:pt>
                <c:pt idx="282">
                  <c:v>7.2</c:v>
                </c:pt>
                <c:pt idx="283">
                  <c:v>6.4</c:v>
                </c:pt>
                <c:pt idx="284">
                  <c:v>5.5</c:v>
                </c:pt>
                <c:pt idx="285">
                  <c:v>6.7</c:v>
                </c:pt>
                <c:pt idx="286">
                  <c:v>6.1</c:v>
                </c:pt>
                <c:pt idx="287">
                  <c:v>8.5</c:v>
                </c:pt>
                <c:pt idx="288">
                  <c:v>6.9</c:v>
                </c:pt>
                <c:pt idx="289">
                  <c:v>7.3</c:v>
                </c:pt>
                <c:pt idx="290">
                  <c:v>6.7</c:v>
                </c:pt>
                <c:pt idx="291">
                  <c:v>6.9</c:v>
                </c:pt>
                <c:pt idx="292">
                  <c:v>5.0999999999999996</c:v>
                </c:pt>
                <c:pt idx="293">
                  <c:v>6.8</c:v>
                </c:pt>
                <c:pt idx="294">
                  <c:v>6.7</c:v>
                </c:pt>
                <c:pt idx="295">
                  <c:v>6</c:v>
                </c:pt>
                <c:pt idx="296">
                  <c:v>5.7</c:v>
                </c:pt>
                <c:pt idx="297">
                  <c:v>8</c:v>
                </c:pt>
                <c:pt idx="298">
                  <c:v>8.1999999999999993</c:v>
                </c:pt>
                <c:pt idx="299">
                  <c:v>5.4</c:v>
                </c:pt>
                <c:pt idx="300">
                  <c:v>7.2</c:v>
                </c:pt>
                <c:pt idx="301">
                  <c:v>7.5</c:v>
                </c:pt>
                <c:pt idx="302">
                  <c:v>7</c:v>
                </c:pt>
                <c:pt idx="303">
                  <c:v>3.3</c:v>
                </c:pt>
                <c:pt idx="304">
                  <c:v>6</c:v>
                </c:pt>
                <c:pt idx="305">
                  <c:v>7.1</c:v>
                </c:pt>
                <c:pt idx="306">
                  <c:v>5.4</c:v>
                </c:pt>
                <c:pt idx="307">
                  <c:v>6.1</c:v>
                </c:pt>
                <c:pt idx="308">
                  <c:v>5.3</c:v>
                </c:pt>
                <c:pt idx="309">
                  <c:v>2.2000000000000002</c:v>
                </c:pt>
                <c:pt idx="310">
                  <c:v>7</c:v>
                </c:pt>
                <c:pt idx="311">
                  <c:v>3.8</c:v>
                </c:pt>
                <c:pt idx="312">
                  <c:v>6.9</c:v>
                </c:pt>
                <c:pt idx="313">
                  <c:v>7.2</c:v>
                </c:pt>
                <c:pt idx="314">
                  <c:v>7.3</c:v>
                </c:pt>
                <c:pt idx="315">
                  <c:v>6.3</c:v>
                </c:pt>
                <c:pt idx="316">
                  <c:v>7.5</c:v>
                </c:pt>
                <c:pt idx="317">
                  <c:v>7.6</c:v>
                </c:pt>
                <c:pt idx="318">
                  <c:v>6.8</c:v>
                </c:pt>
                <c:pt idx="319">
                  <c:v>5.2</c:v>
                </c:pt>
                <c:pt idx="320">
                  <c:v>7.7</c:v>
                </c:pt>
                <c:pt idx="321">
                  <c:v>6.2</c:v>
                </c:pt>
                <c:pt idx="322">
                  <c:v>7.7</c:v>
                </c:pt>
                <c:pt idx="323">
                  <c:v>4.3</c:v>
                </c:pt>
                <c:pt idx="324">
                  <c:v>6.9</c:v>
                </c:pt>
                <c:pt idx="325">
                  <c:v>6.6</c:v>
                </c:pt>
                <c:pt idx="326">
                  <c:v>7</c:v>
                </c:pt>
                <c:pt idx="327">
                  <c:v>6.7</c:v>
                </c:pt>
                <c:pt idx="328">
                  <c:v>8.1999999999999993</c:v>
                </c:pt>
                <c:pt idx="329">
                  <c:v>8.9</c:v>
                </c:pt>
                <c:pt idx="330">
                  <c:v>8.6999999999999993</c:v>
                </c:pt>
                <c:pt idx="331">
                  <c:v>5.5</c:v>
                </c:pt>
                <c:pt idx="332">
                  <c:v>5.7</c:v>
                </c:pt>
                <c:pt idx="333">
                  <c:v>6.3</c:v>
                </c:pt>
                <c:pt idx="334">
                  <c:v>5.9</c:v>
                </c:pt>
                <c:pt idx="335">
                  <c:v>7.6</c:v>
                </c:pt>
                <c:pt idx="336">
                  <c:v>6.6</c:v>
                </c:pt>
                <c:pt idx="337">
                  <c:v>5.3</c:v>
                </c:pt>
                <c:pt idx="338">
                  <c:v>6</c:v>
                </c:pt>
                <c:pt idx="339">
                  <c:v>8</c:v>
                </c:pt>
                <c:pt idx="340">
                  <c:v>5.6</c:v>
                </c:pt>
                <c:pt idx="341">
                  <c:v>5.9</c:v>
                </c:pt>
                <c:pt idx="342">
                  <c:v>7.3</c:v>
                </c:pt>
                <c:pt idx="343">
                  <c:v>7.9</c:v>
                </c:pt>
                <c:pt idx="344">
                  <c:v>6.8</c:v>
                </c:pt>
                <c:pt idx="345">
                  <c:v>6.6</c:v>
                </c:pt>
                <c:pt idx="346">
                  <c:v>6.6</c:v>
                </c:pt>
                <c:pt idx="347">
                  <c:v>7</c:v>
                </c:pt>
                <c:pt idx="348">
                  <c:v>7</c:v>
                </c:pt>
                <c:pt idx="349">
                  <c:v>7.3</c:v>
                </c:pt>
                <c:pt idx="350">
                  <c:v>5.5</c:v>
                </c:pt>
                <c:pt idx="351">
                  <c:v>8.5</c:v>
                </c:pt>
                <c:pt idx="352">
                  <c:v>7.5</c:v>
                </c:pt>
                <c:pt idx="353">
                  <c:v>7</c:v>
                </c:pt>
                <c:pt idx="354">
                  <c:v>7.8</c:v>
                </c:pt>
                <c:pt idx="355">
                  <c:v>7.6</c:v>
                </c:pt>
                <c:pt idx="356">
                  <c:v>7.6</c:v>
                </c:pt>
                <c:pt idx="357">
                  <c:v>6.1</c:v>
                </c:pt>
                <c:pt idx="358">
                  <c:v>6.8</c:v>
                </c:pt>
                <c:pt idx="359">
                  <c:v>5</c:v>
                </c:pt>
                <c:pt idx="360">
                  <c:v>7.1</c:v>
                </c:pt>
                <c:pt idx="361">
                  <c:v>5.5</c:v>
                </c:pt>
                <c:pt idx="362">
                  <c:v>5.6</c:v>
                </c:pt>
                <c:pt idx="363">
                  <c:v>7.1</c:v>
                </c:pt>
                <c:pt idx="364">
                  <c:v>4.9000000000000004</c:v>
                </c:pt>
                <c:pt idx="365">
                  <c:v>7.4</c:v>
                </c:pt>
                <c:pt idx="366">
                  <c:v>5.7</c:v>
                </c:pt>
                <c:pt idx="367">
                  <c:v>6.4</c:v>
                </c:pt>
                <c:pt idx="368">
                  <c:v>5.9</c:v>
                </c:pt>
                <c:pt idx="369">
                  <c:v>5.5</c:v>
                </c:pt>
                <c:pt idx="370">
                  <c:v>6.9</c:v>
                </c:pt>
                <c:pt idx="371">
                  <c:v>6.2</c:v>
                </c:pt>
                <c:pt idx="372">
                  <c:v>7</c:v>
                </c:pt>
                <c:pt idx="373">
                  <c:v>5.6</c:v>
                </c:pt>
                <c:pt idx="374">
                  <c:v>7</c:v>
                </c:pt>
                <c:pt idx="375">
                  <c:v>6.8</c:v>
                </c:pt>
                <c:pt idx="376">
                  <c:v>5.4</c:v>
                </c:pt>
                <c:pt idx="377">
                  <c:v>6.1</c:v>
                </c:pt>
                <c:pt idx="378">
                  <c:v>6.7</c:v>
                </c:pt>
                <c:pt idx="379">
                  <c:v>6.9</c:v>
                </c:pt>
                <c:pt idx="380">
                  <c:v>8</c:v>
                </c:pt>
                <c:pt idx="381">
                  <c:v>4.4000000000000004</c:v>
                </c:pt>
                <c:pt idx="382">
                  <c:v>7.3</c:v>
                </c:pt>
                <c:pt idx="383">
                  <c:v>6.3</c:v>
                </c:pt>
                <c:pt idx="384">
                  <c:v>7.7</c:v>
                </c:pt>
                <c:pt idx="385">
                  <c:v>6.5</c:v>
                </c:pt>
                <c:pt idx="386">
                  <c:v>7.8</c:v>
                </c:pt>
                <c:pt idx="387">
                  <c:v>6.4</c:v>
                </c:pt>
                <c:pt idx="388">
                  <c:v>7.8</c:v>
                </c:pt>
                <c:pt idx="389">
                  <c:v>5.8</c:v>
                </c:pt>
                <c:pt idx="390">
                  <c:v>7.1</c:v>
                </c:pt>
                <c:pt idx="391">
                  <c:v>7.1</c:v>
                </c:pt>
                <c:pt idx="392">
                  <c:v>6.8</c:v>
                </c:pt>
                <c:pt idx="393">
                  <c:v>4.8</c:v>
                </c:pt>
                <c:pt idx="394">
                  <c:v>6.2</c:v>
                </c:pt>
                <c:pt idx="395">
                  <c:v>6.9</c:v>
                </c:pt>
                <c:pt idx="396">
                  <c:v>7.3</c:v>
                </c:pt>
                <c:pt idx="397">
                  <c:v>6.6</c:v>
                </c:pt>
                <c:pt idx="398">
                  <c:v>6.9</c:v>
                </c:pt>
                <c:pt idx="399">
                  <c:v>6.2</c:v>
                </c:pt>
                <c:pt idx="400">
                  <c:v>6.7</c:v>
                </c:pt>
                <c:pt idx="401">
                  <c:v>7.6</c:v>
                </c:pt>
                <c:pt idx="402">
                  <c:v>6.7</c:v>
                </c:pt>
                <c:pt idx="403">
                  <c:v>6.2</c:v>
                </c:pt>
                <c:pt idx="404">
                  <c:v>7.3</c:v>
                </c:pt>
                <c:pt idx="405">
                  <c:v>6</c:v>
                </c:pt>
                <c:pt idx="406">
                  <c:v>7.1</c:v>
                </c:pt>
                <c:pt idx="407">
                  <c:v>7.1</c:v>
                </c:pt>
                <c:pt idx="408">
                  <c:v>5.5</c:v>
                </c:pt>
                <c:pt idx="409">
                  <c:v>7.8</c:v>
                </c:pt>
                <c:pt idx="410">
                  <c:v>5.6</c:v>
                </c:pt>
                <c:pt idx="411">
                  <c:v>7.5</c:v>
                </c:pt>
                <c:pt idx="412">
                  <c:v>5.4</c:v>
                </c:pt>
                <c:pt idx="413">
                  <c:v>4.3</c:v>
                </c:pt>
                <c:pt idx="414">
                  <c:v>4.9000000000000004</c:v>
                </c:pt>
                <c:pt idx="415">
                  <c:v>7.1</c:v>
                </c:pt>
                <c:pt idx="416">
                  <c:v>6.4</c:v>
                </c:pt>
                <c:pt idx="417">
                  <c:v>6.9</c:v>
                </c:pt>
                <c:pt idx="418">
                  <c:v>4.3</c:v>
                </c:pt>
                <c:pt idx="419">
                  <c:v>6.1</c:v>
                </c:pt>
                <c:pt idx="420">
                  <c:v>7</c:v>
                </c:pt>
                <c:pt idx="421">
                  <c:v>7.7</c:v>
                </c:pt>
                <c:pt idx="422">
                  <c:v>5.9</c:v>
                </c:pt>
                <c:pt idx="423">
                  <c:v>6.7</c:v>
                </c:pt>
                <c:pt idx="424">
                  <c:v>6.5</c:v>
                </c:pt>
                <c:pt idx="425">
                  <c:v>7.1</c:v>
                </c:pt>
                <c:pt idx="426">
                  <c:v>7.3</c:v>
                </c:pt>
                <c:pt idx="427">
                  <c:v>6.5</c:v>
                </c:pt>
                <c:pt idx="428">
                  <c:v>7</c:v>
                </c:pt>
                <c:pt idx="429">
                  <c:v>6.8</c:v>
                </c:pt>
                <c:pt idx="430">
                  <c:v>7.2</c:v>
                </c:pt>
                <c:pt idx="431">
                  <c:v>6.4</c:v>
                </c:pt>
                <c:pt idx="432">
                  <c:v>6.1</c:v>
                </c:pt>
                <c:pt idx="433">
                  <c:v>6.7</c:v>
                </c:pt>
                <c:pt idx="434">
                  <c:v>6.4</c:v>
                </c:pt>
                <c:pt idx="435">
                  <c:v>4.4000000000000004</c:v>
                </c:pt>
                <c:pt idx="436">
                  <c:v>5.4</c:v>
                </c:pt>
                <c:pt idx="437">
                  <c:v>6.5</c:v>
                </c:pt>
                <c:pt idx="438">
                  <c:v>6.7</c:v>
                </c:pt>
                <c:pt idx="439">
                  <c:v>8.1</c:v>
                </c:pt>
                <c:pt idx="440">
                  <c:v>5.6</c:v>
                </c:pt>
                <c:pt idx="441">
                  <c:v>6.3</c:v>
                </c:pt>
                <c:pt idx="442">
                  <c:v>7.3</c:v>
                </c:pt>
                <c:pt idx="443">
                  <c:v>6.1</c:v>
                </c:pt>
                <c:pt idx="444">
                  <c:v>7.7</c:v>
                </c:pt>
                <c:pt idx="445">
                  <c:v>6.4</c:v>
                </c:pt>
                <c:pt idx="446">
                  <c:v>6.8</c:v>
                </c:pt>
                <c:pt idx="447">
                  <c:v>6.6</c:v>
                </c:pt>
                <c:pt idx="448">
                  <c:v>7.2</c:v>
                </c:pt>
                <c:pt idx="449">
                  <c:v>6.9</c:v>
                </c:pt>
                <c:pt idx="450">
                  <c:v>5.2</c:v>
                </c:pt>
                <c:pt idx="451">
                  <c:v>4.9000000000000004</c:v>
                </c:pt>
                <c:pt idx="452">
                  <c:v>6.3</c:v>
                </c:pt>
                <c:pt idx="453">
                  <c:v>5.6</c:v>
                </c:pt>
                <c:pt idx="454">
                  <c:v>5.5</c:v>
                </c:pt>
                <c:pt idx="455">
                  <c:v>6.7</c:v>
                </c:pt>
                <c:pt idx="456">
                  <c:v>7.6</c:v>
                </c:pt>
                <c:pt idx="457">
                  <c:v>5.7</c:v>
                </c:pt>
                <c:pt idx="458">
                  <c:v>4.5999999999999996</c:v>
                </c:pt>
                <c:pt idx="459">
                  <c:v>7</c:v>
                </c:pt>
                <c:pt idx="460">
                  <c:v>5.2</c:v>
                </c:pt>
                <c:pt idx="461">
                  <c:v>5.0999999999999996</c:v>
                </c:pt>
                <c:pt idx="462">
                  <c:v>6.6</c:v>
                </c:pt>
                <c:pt idx="463">
                  <c:v>7</c:v>
                </c:pt>
                <c:pt idx="464">
                  <c:v>6.7</c:v>
                </c:pt>
                <c:pt idx="465">
                  <c:v>7.3</c:v>
                </c:pt>
                <c:pt idx="466">
                  <c:v>5.9</c:v>
                </c:pt>
                <c:pt idx="467">
                  <c:v>5.6</c:v>
                </c:pt>
                <c:pt idx="468">
                  <c:v>6.5</c:v>
                </c:pt>
                <c:pt idx="469">
                  <c:v>5.9</c:v>
                </c:pt>
                <c:pt idx="470">
                  <c:v>7</c:v>
                </c:pt>
                <c:pt idx="471">
                  <c:v>5.3</c:v>
                </c:pt>
                <c:pt idx="472">
                  <c:v>5.9</c:v>
                </c:pt>
                <c:pt idx="473">
                  <c:v>6.3</c:v>
                </c:pt>
                <c:pt idx="474">
                  <c:v>6.4</c:v>
                </c:pt>
                <c:pt idx="475">
                  <c:v>6.9</c:v>
                </c:pt>
                <c:pt idx="476">
                  <c:v>6.3</c:v>
                </c:pt>
                <c:pt idx="477">
                  <c:v>7.3</c:v>
                </c:pt>
                <c:pt idx="478">
                  <c:v>5.8</c:v>
                </c:pt>
                <c:pt idx="479">
                  <c:v>5.2</c:v>
                </c:pt>
                <c:pt idx="480">
                  <c:v>2.4</c:v>
                </c:pt>
                <c:pt idx="481">
                  <c:v>5.7</c:v>
                </c:pt>
                <c:pt idx="482">
                  <c:v>5.8</c:v>
                </c:pt>
                <c:pt idx="483">
                  <c:v>5.6</c:v>
                </c:pt>
                <c:pt idx="484">
                  <c:v>6</c:v>
                </c:pt>
                <c:pt idx="485">
                  <c:v>5.8</c:v>
                </c:pt>
                <c:pt idx="486">
                  <c:v>6</c:v>
                </c:pt>
                <c:pt idx="487">
                  <c:v>5.7</c:v>
                </c:pt>
                <c:pt idx="488">
                  <c:v>6</c:v>
                </c:pt>
                <c:pt idx="489">
                  <c:v>7.8</c:v>
                </c:pt>
                <c:pt idx="490">
                  <c:v>4.2</c:v>
                </c:pt>
                <c:pt idx="491">
                  <c:v>5.6</c:v>
                </c:pt>
                <c:pt idx="492">
                  <c:v>4.4000000000000004</c:v>
                </c:pt>
                <c:pt idx="493">
                  <c:v>8.1999999999999993</c:v>
                </c:pt>
                <c:pt idx="494">
                  <c:v>8.5</c:v>
                </c:pt>
                <c:pt idx="495">
                  <c:v>5.8</c:v>
                </c:pt>
                <c:pt idx="496">
                  <c:v>6.5</c:v>
                </c:pt>
                <c:pt idx="497">
                  <c:v>7.2</c:v>
                </c:pt>
                <c:pt idx="498">
                  <c:v>6.7</c:v>
                </c:pt>
                <c:pt idx="499">
                  <c:v>3.4</c:v>
                </c:pt>
                <c:pt idx="500">
                  <c:v>5.9</c:v>
                </c:pt>
                <c:pt idx="501">
                  <c:v>7.8</c:v>
                </c:pt>
                <c:pt idx="502">
                  <c:v>5.9</c:v>
                </c:pt>
                <c:pt idx="503">
                  <c:v>4.0999999999999996</c:v>
                </c:pt>
                <c:pt idx="504">
                  <c:v>6.8</c:v>
                </c:pt>
                <c:pt idx="505">
                  <c:v>5.8</c:v>
                </c:pt>
                <c:pt idx="506">
                  <c:v>7.5</c:v>
                </c:pt>
                <c:pt idx="507">
                  <c:v>6.9</c:v>
                </c:pt>
                <c:pt idx="508">
                  <c:v>6.5</c:v>
                </c:pt>
                <c:pt idx="509">
                  <c:v>6.9</c:v>
                </c:pt>
                <c:pt idx="510">
                  <c:v>7.9</c:v>
                </c:pt>
                <c:pt idx="511">
                  <c:v>7.4</c:v>
                </c:pt>
                <c:pt idx="512">
                  <c:v>6.7</c:v>
                </c:pt>
                <c:pt idx="513">
                  <c:v>7.4</c:v>
                </c:pt>
                <c:pt idx="514">
                  <c:v>6.9</c:v>
                </c:pt>
                <c:pt idx="515">
                  <c:v>6.8</c:v>
                </c:pt>
                <c:pt idx="516">
                  <c:v>6.7</c:v>
                </c:pt>
                <c:pt idx="517">
                  <c:v>5.0999999999999996</c:v>
                </c:pt>
                <c:pt idx="518">
                  <c:v>4.0999999999999996</c:v>
                </c:pt>
                <c:pt idx="519">
                  <c:v>7.3</c:v>
                </c:pt>
                <c:pt idx="520">
                  <c:v>6</c:v>
                </c:pt>
                <c:pt idx="521">
                  <c:v>7.3</c:v>
                </c:pt>
                <c:pt idx="522">
                  <c:v>5.4</c:v>
                </c:pt>
                <c:pt idx="523">
                  <c:v>5.9</c:v>
                </c:pt>
                <c:pt idx="524">
                  <c:v>7.1</c:v>
                </c:pt>
                <c:pt idx="525">
                  <c:v>6</c:v>
                </c:pt>
                <c:pt idx="526">
                  <c:v>6.5</c:v>
                </c:pt>
                <c:pt idx="527">
                  <c:v>5.7</c:v>
                </c:pt>
                <c:pt idx="528">
                  <c:v>7.6</c:v>
                </c:pt>
                <c:pt idx="529">
                  <c:v>6.6</c:v>
                </c:pt>
                <c:pt idx="530">
                  <c:v>5.4</c:v>
                </c:pt>
                <c:pt idx="531">
                  <c:v>7.3</c:v>
                </c:pt>
                <c:pt idx="532">
                  <c:v>6.5</c:v>
                </c:pt>
                <c:pt idx="533">
                  <c:v>6.6</c:v>
                </c:pt>
                <c:pt idx="534">
                  <c:v>6.6</c:v>
                </c:pt>
                <c:pt idx="535">
                  <c:v>5.9</c:v>
                </c:pt>
                <c:pt idx="536">
                  <c:v>6.7</c:v>
                </c:pt>
                <c:pt idx="537">
                  <c:v>6.1</c:v>
                </c:pt>
                <c:pt idx="538">
                  <c:v>6.6</c:v>
                </c:pt>
                <c:pt idx="539">
                  <c:v>6.6</c:v>
                </c:pt>
                <c:pt idx="540">
                  <c:v>5.3</c:v>
                </c:pt>
                <c:pt idx="541">
                  <c:v>6</c:v>
                </c:pt>
                <c:pt idx="542">
                  <c:v>6</c:v>
                </c:pt>
                <c:pt idx="543">
                  <c:v>4.7</c:v>
                </c:pt>
                <c:pt idx="544">
                  <c:v>6.1</c:v>
                </c:pt>
                <c:pt idx="545">
                  <c:v>7.2</c:v>
                </c:pt>
                <c:pt idx="546">
                  <c:v>6.4</c:v>
                </c:pt>
                <c:pt idx="547">
                  <c:v>6.1</c:v>
                </c:pt>
                <c:pt idx="548">
                  <c:v>5.9</c:v>
                </c:pt>
                <c:pt idx="549">
                  <c:v>6</c:v>
                </c:pt>
                <c:pt idx="550">
                  <c:v>6.3</c:v>
                </c:pt>
                <c:pt idx="551">
                  <c:v>5.6</c:v>
                </c:pt>
                <c:pt idx="552">
                  <c:v>6.4</c:v>
                </c:pt>
                <c:pt idx="553">
                  <c:v>7.1</c:v>
                </c:pt>
                <c:pt idx="554">
                  <c:v>6.6</c:v>
                </c:pt>
                <c:pt idx="555">
                  <c:v>4.5999999999999996</c:v>
                </c:pt>
                <c:pt idx="556">
                  <c:v>8.4</c:v>
                </c:pt>
                <c:pt idx="557">
                  <c:v>7.1</c:v>
                </c:pt>
                <c:pt idx="558">
                  <c:v>7.4</c:v>
                </c:pt>
                <c:pt idx="559">
                  <c:v>6.9</c:v>
                </c:pt>
                <c:pt idx="560">
                  <c:v>4.5</c:v>
                </c:pt>
                <c:pt idx="561">
                  <c:v>7.1</c:v>
                </c:pt>
                <c:pt idx="562">
                  <c:v>6.5</c:v>
                </c:pt>
                <c:pt idx="563">
                  <c:v>5.3</c:v>
                </c:pt>
                <c:pt idx="564">
                  <c:v>6.7</c:v>
                </c:pt>
                <c:pt idx="565">
                  <c:v>7.2</c:v>
                </c:pt>
                <c:pt idx="566">
                  <c:v>7.2</c:v>
                </c:pt>
                <c:pt idx="567">
                  <c:v>5.5</c:v>
                </c:pt>
                <c:pt idx="568">
                  <c:v>5.8</c:v>
                </c:pt>
                <c:pt idx="569">
                  <c:v>6</c:v>
                </c:pt>
                <c:pt idx="570">
                  <c:v>6.6</c:v>
                </c:pt>
                <c:pt idx="571">
                  <c:v>8.3000000000000007</c:v>
                </c:pt>
                <c:pt idx="572">
                  <c:v>6.7</c:v>
                </c:pt>
                <c:pt idx="573">
                  <c:v>7.1</c:v>
                </c:pt>
                <c:pt idx="574">
                  <c:v>6</c:v>
                </c:pt>
                <c:pt idx="575">
                  <c:v>6.9</c:v>
                </c:pt>
                <c:pt idx="576">
                  <c:v>5.6</c:v>
                </c:pt>
                <c:pt idx="577">
                  <c:v>5.6</c:v>
                </c:pt>
                <c:pt idx="578">
                  <c:v>4.5</c:v>
                </c:pt>
                <c:pt idx="579">
                  <c:v>7.1</c:v>
                </c:pt>
                <c:pt idx="580">
                  <c:v>6.5</c:v>
                </c:pt>
                <c:pt idx="581">
                  <c:v>6.4</c:v>
                </c:pt>
                <c:pt idx="582">
                  <c:v>5.8</c:v>
                </c:pt>
                <c:pt idx="583">
                  <c:v>8</c:v>
                </c:pt>
                <c:pt idx="584">
                  <c:v>6.2</c:v>
                </c:pt>
                <c:pt idx="585">
                  <c:v>7.2</c:v>
                </c:pt>
                <c:pt idx="586">
                  <c:v>6.1</c:v>
                </c:pt>
                <c:pt idx="587">
                  <c:v>7.6</c:v>
                </c:pt>
                <c:pt idx="588">
                  <c:v>6.3</c:v>
                </c:pt>
                <c:pt idx="589">
                  <c:v>6.3</c:v>
                </c:pt>
                <c:pt idx="590">
                  <c:v>6.3</c:v>
                </c:pt>
                <c:pt idx="591">
                  <c:v>7.7</c:v>
                </c:pt>
                <c:pt idx="592">
                  <c:v>7</c:v>
                </c:pt>
                <c:pt idx="593">
                  <c:v>5.3</c:v>
                </c:pt>
                <c:pt idx="594">
                  <c:v>5.6</c:v>
                </c:pt>
                <c:pt idx="595">
                  <c:v>5.2</c:v>
                </c:pt>
                <c:pt idx="596">
                  <c:v>5.4</c:v>
                </c:pt>
                <c:pt idx="597">
                  <c:v>6.4</c:v>
                </c:pt>
                <c:pt idx="598">
                  <c:v>5.9</c:v>
                </c:pt>
                <c:pt idx="599">
                  <c:v>6.3</c:v>
                </c:pt>
                <c:pt idx="600">
                  <c:v>6.5</c:v>
                </c:pt>
                <c:pt idx="601">
                  <c:v>3</c:v>
                </c:pt>
                <c:pt idx="602">
                  <c:v>3.6</c:v>
                </c:pt>
                <c:pt idx="603">
                  <c:v>5.8</c:v>
                </c:pt>
                <c:pt idx="604">
                  <c:v>6.2</c:v>
                </c:pt>
                <c:pt idx="605">
                  <c:v>5.6</c:v>
                </c:pt>
                <c:pt idx="606">
                  <c:v>5.4</c:v>
                </c:pt>
                <c:pt idx="607">
                  <c:v>6.1</c:v>
                </c:pt>
                <c:pt idx="608">
                  <c:v>4.2</c:v>
                </c:pt>
                <c:pt idx="609">
                  <c:v>6.7</c:v>
                </c:pt>
                <c:pt idx="610">
                  <c:v>4.2</c:v>
                </c:pt>
                <c:pt idx="611">
                  <c:v>6.4</c:v>
                </c:pt>
                <c:pt idx="612">
                  <c:v>4.9000000000000004</c:v>
                </c:pt>
                <c:pt idx="613">
                  <c:v>6.8</c:v>
                </c:pt>
                <c:pt idx="614">
                  <c:v>7.7</c:v>
                </c:pt>
                <c:pt idx="615">
                  <c:v>5.6</c:v>
                </c:pt>
                <c:pt idx="616">
                  <c:v>6.4</c:v>
                </c:pt>
                <c:pt idx="617">
                  <c:v>7.2</c:v>
                </c:pt>
                <c:pt idx="618">
                  <c:v>6</c:v>
                </c:pt>
                <c:pt idx="619">
                  <c:v>5.9</c:v>
                </c:pt>
                <c:pt idx="620">
                  <c:v>7.9</c:v>
                </c:pt>
                <c:pt idx="621">
                  <c:v>6.8</c:v>
                </c:pt>
                <c:pt idx="622">
                  <c:v>7.1</c:v>
                </c:pt>
                <c:pt idx="623">
                  <c:v>5.9</c:v>
                </c:pt>
                <c:pt idx="624">
                  <c:v>5.9</c:v>
                </c:pt>
                <c:pt idx="625">
                  <c:v>6.2</c:v>
                </c:pt>
                <c:pt idx="626">
                  <c:v>7</c:v>
                </c:pt>
                <c:pt idx="627">
                  <c:v>5.4</c:v>
                </c:pt>
                <c:pt idx="628">
                  <c:v>8.6</c:v>
                </c:pt>
                <c:pt idx="629">
                  <c:v>6.5</c:v>
                </c:pt>
                <c:pt idx="630">
                  <c:v>6.4</c:v>
                </c:pt>
                <c:pt idx="631">
                  <c:v>7.6</c:v>
                </c:pt>
                <c:pt idx="632">
                  <c:v>5.5</c:v>
                </c:pt>
                <c:pt idx="633">
                  <c:v>7.4</c:v>
                </c:pt>
                <c:pt idx="634">
                  <c:v>8.6999999999999993</c:v>
                </c:pt>
                <c:pt idx="635">
                  <c:v>7.6</c:v>
                </c:pt>
                <c:pt idx="636">
                  <c:v>5.5</c:v>
                </c:pt>
                <c:pt idx="637">
                  <c:v>7.6</c:v>
                </c:pt>
                <c:pt idx="638">
                  <c:v>6.5</c:v>
                </c:pt>
                <c:pt idx="639">
                  <c:v>6.9</c:v>
                </c:pt>
                <c:pt idx="640">
                  <c:v>6.7</c:v>
                </c:pt>
                <c:pt idx="641">
                  <c:v>6.6</c:v>
                </c:pt>
                <c:pt idx="642">
                  <c:v>7.2</c:v>
                </c:pt>
                <c:pt idx="643">
                  <c:v>6.4</c:v>
                </c:pt>
                <c:pt idx="644">
                  <c:v>6.4</c:v>
                </c:pt>
                <c:pt idx="645">
                  <c:v>6</c:v>
                </c:pt>
                <c:pt idx="646">
                  <c:v>6.1</c:v>
                </c:pt>
                <c:pt idx="647">
                  <c:v>6</c:v>
                </c:pt>
                <c:pt idx="648">
                  <c:v>6.4</c:v>
                </c:pt>
                <c:pt idx="649">
                  <c:v>6.4</c:v>
                </c:pt>
                <c:pt idx="650">
                  <c:v>7.3</c:v>
                </c:pt>
                <c:pt idx="651">
                  <c:v>5.2</c:v>
                </c:pt>
                <c:pt idx="652">
                  <c:v>6.6</c:v>
                </c:pt>
                <c:pt idx="653">
                  <c:v>6.3</c:v>
                </c:pt>
                <c:pt idx="654">
                  <c:v>5.9</c:v>
                </c:pt>
                <c:pt idx="655">
                  <c:v>6.4</c:v>
                </c:pt>
                <c:pt idx="656">
                  <c:v>6.7</c:v>
                </c:pt>
                <c:pt idx="657">
                  <c:v>5.4</c:v>
                </c:pt>
                <c:pt idx="658">
                  <c:v>6.4</c:v>
                </c:pt>
                <c:pt idx="659">
                  <c:v>6.7</c:v>
                </c:pt>
                <c:pt idx="660">
                  <c:v>6.2</c:v>
                </c:pt>
                <c:pt idx="661">
                  <c:v>6.1</c:v>
                </c:pt>
                <c:pt idx="662">
                  <c:v>8.8000000000000007</c:v>
                </c:pt>
                <c:pt idx="663">
                  <c:v>7.1</c:v>
                </c:pt>
                <c:pt idx="664">
                  <c:v>5.7</c:v>
                </c:pt>
                <c:pt idx="665">
                  <c:v>5</c:v>
                </c:pt>
                <c:pt idx="666">
                  <c:v>5.0999999999999996</c:v>
                </c:pt>
                <c:pt idx="667">
                  <c:v>6.9</c:v>
                </c:pt>
                <c:pt idx="668">
                  <c:v>4.8</c:v>
                </c:pt>
                <c:pt idx="669">
                  <c:v>6.5</c:v>
                </c:pt>
                <c:pt idx="670">
                  <c:v>5.0999999999999996</c:v>
                </c:pt>
                <c:pt idx="671">
                  <c:v>7.1</c:v>
                </c:pt>
                <c:pt idx="672">
                  <c:v>7.5</c:v>
                </c:pt>
                <c:pt idx="673">
                  <c:v>6.2</c:v>
                </c:pt>
                <c:pt idx="674">
                  <c:v>6.3</c:v>
                </c:pt>
                <c:pt idx="675">
                  <c:v>8.1</c:v>
                </c:pt>
                <c:pt idx="676">
                  <c:v>6.6</c:v>
                </c:pt>
                <c:pt idx="677">
                  <c:v>6.9</c:v>
                </c:pt>
                <c:pt idx="678">
                  <c:v>6.1</c:v>
                </c:pt>
                <c:pt idx="679">
                  <c:v>4.3</c:v>
                </c:pt>
                <c:pt idx="680">
                  <c:v>6.6</c:v>
                </c:pt>
                <c:pt idx="681">
                  <c:v>6.8</c:v>
                </c:pt>
                <c:pt idx="682">
                  <c:v>3.8</c:v>
                </c:pt>
                <c:pt idx="683">
                  <c:v>5.9</c:v>
                </c:pt>
                <c:pt idx="684">
                  <c:v>7.9</c:v>
                </c:pt>
                <c:pt idx="685">
                  <c:v>6.3</c:v>
                </c:pt>
                <c:pt idx="686">
                  <c:v>5.5</c:v>
                </c:pt>
                <c:pt idx="687">
                  <c:v>7.7</c:v>
                </c:pt>
                <c:pt idx="688">
                  <c:v>6.3</c:v>
                </c:pt>
                <c:pt idx="689">
                  <c:v>7.1</c:v>
                </c:pt>
                <c:pt idx="690">
                  <c:v>8.5</c:v>
                </c:pt>
                <c:pt idx="691">
                  <c:v>5.9</c:v>
                </c:pt>
                <c:pt idx="692">
                  <c:v>5.8</c:v>
                </c:pt>
                <c:pt idx="693">
                  <c:v>8.1</c:v>
                </c:pt>
                <c:pt idx="694">
                  <c:v>7.9</c:v>
                </c:pt>
                <c:pt idx="695">
                  <c:v>7.2</c:v>
                </c:pt>
                <c:pt idx="696">
                  <c:v>6.3</c:v>
                </c:pt>
                <c:pt idx="697">
                  <c:v>8.1</c:v>
                </c:pt>
                <c:pt idx="698">
                  <c:v>7</c:v>
                </c:pt>
                <c:pt idx="699">
                  <c:v>5.5</c:v>
                </c:pt>
                <c:pt idx="700">
                  <c:v>6.7</c:v>
                </c:pt>
                <c:pt idx="701">
                  <c:v>5.2</c:v>
                </c:pt>
                <c:pt idx="702">
                  <c:v>7</c:v>
                </c:pt>
                <c:pt idx="703">
                  <c:v>6.1</c:v>
                </c:pt>
                <c:pt idx="704">
                  <c:v>6.6</c:v>
                </c:pt>
                <c:pt idx="705">
                  <c:v>5.5</c:v>
                </c:pt>
                <c:pt idx="706">
                  <c:v>5.9</c:v>
                </c:pt>
                <c:pt idx="707">
                  <c:v>5.4</c:v>
                </c:pt>
                <c:pt idx="708">
                  <c:v>6.4</c:v>
                </c:pt>
                <c:pt idx="709">
                  <c:v>5.7</c:v>
                </c:pt>
                <c:pt idx="710">
                  <c:v>6.7</c:v>
                </c:pt>
                <c:pt idx="711">
                  <c:v>7.1</c:v>
                </c:pt>
                <c:pt idx="712">
                  <c:v>6.8</c:v>
                </c:pt>
                <c:pt idx="713">
                  <c:v>6.5</c:v>
                </c:pt>
                <c:pt idx="714">
                  <c:v>7.6</c:v>
                </c:pt>
                <c:pt idx="715">
                  <c:v>5.5</c:v>
                </c:pt>
                <c:pt idx="716">
                  <c:v>6.5</c:v>
                </c:pt>
                <c:pt idx="717">
                  <c:v>7</c:v>
                </c:pt>
                <c:pt idx="718">
                  <c:v>5.8</c:v>
                </c:pt>
                <c:pt idx="719">
                  <c:v>7.3</c:v>
                </c:pt>
                <c:pt idx="720">
                  <c:v>6.6</c:v>
                </c:pt>
                <c:pt idx="721">
                  <c:v>4.4000000000000004</c:v>
                </c:pt>
                <c:pt idx="722">
                  <c:v>7.7</c:v>
                </c:pt>
                <c:pt idx="723">
                  <c:v>5</c:v>
                </c:pt>
                <c:pt idx="724">
                  <c:v>7.7</c:v>
                </c:pt>
                <c:pt idx="725">
                  <c:v>4.4000000000000004</c:v>
                </c:pt>
                <c:pt idx="726">
                  <c:v>6.1</c:v>
                </c:pt>
                <c:pt idx="727">
                  <c:v>5.4</c:v>
                </c:pt>
                <c:pt idx="728">
                  <c:v>6.8</c:v>
                </c:pt>
                <c:pt idx="729">
                  <c:v>6.5</c:v>
                </c:pt>
                <c:pt idx="730">
                  <c:v>7</c:v>
                </c:pt>
                <c:pt idx="731">
                  <c:v>6.3</c:v>
                </c:pt>
                <c:pt idx="732">
                  <c:v>6.3</c:v>
                </c:pt>
                <c:pt idx="733">
                  <c:v>6.1</c:v>
                </c:pt>
                <c:pt idx="734">
                  <c:v>6.1</c:v>
                </c:pt>
                <c:pt idx="735">
                  <c:v>5.3</c:v>
                </c:pt>
                <c:pt idx="736">
                  <c:v>5.4</c:v>
                </c:pt>
                <c:pt idx="737">
                  <c:v>6.2</c:v>
                </c:pt>
                <c:pt idx="738">
                  <c:v>6.6</c:v>
                </c:pt>
                <c:pt idx="739">
                  <c:v>5.9</c:v>
                </c:pt>
                <c:pt idx="740">
                  <c:v>6.3</c:v>
                </c:pt>
                <c:pt idx="741">
                  <c:v>7.2</c:v>
                </c:pt>
                <c:pt idx="742">
                  <c:v>6.8</c:v>
                </c:pt>
                <c:pt idx="743">
                  <c:v>6.1</c:v>
                </c:pt>
                <c:pt idx="744">
                  <c:v>7.8</c:v>
                </c:pt>
                <c:pt idx="745">
                  <c:v>5</c:v>
                </c:pt>
                <c:pt idx="746">
                  <c:v>6.2</c:v>
                </c:pt>
                <c:pt idx="747">
                  <c:v>6.7</c:v>
                </c:pt>
                <c:pt idx="748">
                  <c:v>4.9000000000000004</c:v>
                </c:pt>
                <c:pt idx="749">
                  <c:v>7.4</c:v>
                </c:pt>
                <c:pt idx="750">
                  <c:v>7.1</c:v>
                </c:pt>
                <c:pt idx="751">
                  <c:v>6.2</c:v>
                </c:pt>
                <c:pt idx="752">
                  <c:v>4.9000000000000004</c:v>
                </c:pt>
                <c:pt idx="753">
                  <c:v>6.1</c:v>
                </c:pt>
                <c:pt idx="754">
                  <c:v>6.1</c:v>
                </c:pt>
                <c:pt idx="755">
                  <c:v>6.4</c:v>
                </c:pt>
                <c:pt idx="756">
                  <c:v>6.3</c:v>
                </c:pt>
                <c:pt idx="757">
                  <c:v>6.8</c:v>
                </c:pt>
                <c:pt idx="758">
                  <c:v>6.6</c:v>
                </c:pt>
                <c:pt idx="759">
                  <c:v>5.7</c:v>
                </c:pt>
                <c:pt idx="760">
                  <c:v>5.9</c:v>
                </c:pt>
                <c:pt idx="761">
                  <c:v>6</c:v>
                </c:pt>
                <c:pt idx="762">
                  <c:v>6.1</c:v>
                </c:pt>
                <c:pt idx="763">
                  <c:v>6.7</c:v>
                </c:pt>
                <c:pt idx="764">
                  <c:v>6.7</c:v>
                </c:pt>
                <c:pt idx="765">
                  <c:v>7.9</c:v>
                </c:pt>
                <c:pt idx="766">
                  <c:v>5</c:v>
                </c:pt>
                <c:pt idx="767">
                  <c:v>4.3</c:v>
                </c:pt>
                <c:pt idx="768">
                  <c:v>5.7</c:v>
                </c:pt>
                <c:pt idx="769">
                  <c:v>6.7</c:v>
                </c:pt>
                <c:pt idx="770">
                  <c:v>6.7</c:v>
                </c:pt>
                <c:pt idx="771">
                  <c:v>6.1</c:v>
                </c:pt>
                <c:pt idx="772">
                  <c:v>5.6</c:v>
                </c:pt>
                <c:pt idx="773">
                  <c:v>6.6</c:v>
                </c:pt>
                <c:pt idx="774">
                  <c:v>6.9</c:v>
                </c:pt>
                <c:pt idx="775">
                  <c:v>4.8</c:v>
                </c:pt>
                <c:pt idx="776">
                  <c:v>6.2</c:v>
                </c:pt>
                <c:pt idx="777">
                  <c:v>6</c:v>
                </c:pt>
                <c:pt idx="778">
                  <c:v>4.9000000000000004</c:v>
                </c:pt>
                <c:pt idx="779">
                  <c:v>5.6</c:v>
                </c:pt>
                <c:pt idx="780">
                  <c:v>6.1</c:v>
                </c:pt>
                <c:pt idx="781">
                  <c:v>6.1</c:v>
                </c:pt>
                <c:pt idx="782">
                  <c:v>4.8</c:v>
                </c:pt>
                <c:pt idx="783">
                  <c:v>5.5</c:v>
                </c:pt>
                <c:pt idx="784">
                  <c:v>3.8</c:v>
                </c:pt>
                <c:pt idx="785">
                  <c:v>6.5</c:v>
                </c:pt>
                <c:pt idx="786">
                  <c:v>6</c:v>
                </c:pt>
                <c:pt idx="787">
                  <c:v>6.7</c:v>
                </c:pt>
                <c:pt idx="788">
                  <c:v>8.1</c:v>
                </c:pt>
                <c:pt idx="789">
                  <c:v>4.9000000000000004</c:v>
                </c:pt>
                <c:pt idx="790">
                  <c:v>7.3</c:v>
                </c:pt>
                <c:pt idx="791">
                  <c:v>6.4</c:v>
                </c:pt>
                <c:pt idx="792">
                  <c:v>6.7</c:v>
                </c:pt>
                <c:pt idx="793">
                  <c:v>3.6</c:v>
                </c:pt>
                <c:pt idx="794">
                  <c:v>5.7</c:v>
                </c:pt>
                <c:pt idx="795">
                  <c:v>6</c:v>
                </c:pt>
                <c:pt idx="796">
                  <c:v>4.9000000000000004</c:v>
                </c:pt>
                <c:pt idx="797">
                  <c:v>4.7</c:v>
                </c:pt>
                <c:pt idx="798">
                  <c:v>6.3</c:v>
                </c:pt>
                <c:pt idx="799">
                  <c:v>5.9</c:v>
                </c:pt>
                <c:pt idx="800">
                  <c:v>5.9</c:v>
                </c:pt>
                <c:pt idx="801">
                  <c:v>7.5</c:v>
                </c:pt>
                <c:pt idx="802">
                  <c:v>5.6</c:v>
                </c:pt>
                <c:pt idx="803">
                  <c:v>6.4</c:v>
                </c:pt>
                <c:pt idx="804">
                  <c:v>6.3</c:v>
                </c:pt>
                <c:pt idx="805">
                  <c:v>4.3</c:v>
                </c:pt>
                <c:pt idx="806">
                  <c:v>5.9</c:v>
                </c:pt>
                <c:pt idx="807">
                  <c:v>5.5</c:v>
                </c:pt>
                <c:pt idx="808">
                  <c:v>6.2</c:v>
                </c:pt>
                <c:pt idx="809">
                  <c:v>8.8000000000000007</c:v>
                </c:pt>
                <c:pt idx="810">
                  <c:v>5.2</c:v>
                </c:pt>
                <c:pt idx="811">
                  <c:v>7</c:v>
                </c:pt>
                <c:pt idx="812">
                  <c:v>6.6</c:v>
                </c:pt>
                <c:pt idx="813">
                  <c:v>7.3</c:v>
                </c:pt>
                <c:pt idx="814">
                  <c:v>5.6</c:v>
                </c:pt>
                <c:pt idx="815">
                  <c:v>6.6</c:v>
                </c:pt>
                <c:pt idx="816">
                  <c:v>5.4</c:v>
                </c:pt>
                <c:pt idx="817">
                  <c:v>6.3</c:v>
                </c:pt>
                <c:pt idx="818">
                  <c:v>7.9</c:v>
                </c:pt>
                <c:pt idx="819">
                  <c:v>6.3</c:v>
                </c:pt>
                <c:pt idx="820">
                  <c:v>6</c:v>
                </c:pt>
                <c:pt idx="821">
                  <c:v>7.2</c:v>
                </c:pt>
                <c:pt idx="822">
                  <c:v>5.0999999999999996</c:v>
                </c:pt>
                <c:pt idx="823">
                  <c:v>7.3</c:v>
                </c:pt>
                <c:pt idx="824">
                  <c:v>8</c:v>
                </c:pt>
                <c:pt idx="825">
                  <c:v>6.2</c:v>
                </c:pt>
                <c:pt idx="826">
                  <c:v>6</c:v>
                </c:pt>
                <c:pt idx="827">
                  <c:v>6.7</c:v>
                </c:pt>
                <c:pt idx="828">
                  <c:v>8.1</c:v>
                </c:pt>
                <c:pt idx="829">
                  <c:v>6.4</c:v>
                </c:pt>
                <c:pt idx="830">
                  <c:v>8</c:v>
                </c:pt>
                <c:pt idx="831">
                  <c:v>6.3</c:v>
                </c:pt>
                <c:pt idx="832">
                  <c:v>6.4</c:v>
                </c:pt>
                <c:pt idx="833">
                  <c:v>6.6</c:v>
                </c:pt>
                <c:pt idx="834">
                  <c:v>6.4</c:v>
                </c:pt>
                <c:pt idx="835">
                  <c:v>6</c:v>
                </c:pt>
                <c:pt idx="836">
                  <c:v>6.6</c:v>
                </c:pt>
                <c:pt idx="837">
                  <c:v>5.9</c:v>
                </c:pt>
                <c:pt idx="838">
                  <c:v>6.4</c:v>
                </c:pt>
                <c:pt idx="839">
                  <c:v>6.3</c:v>
                </c:pt>
                <c:pt idx="840">
                  <c:v>7.3</c:v>
                </c:pt>
                <c:pt idx="841">
                  <c:v>6.8</c:v>
                </c:pt>
                <c:pt idx="842">
                  <c:v>7.2</c:v>
                </c:pt>
                <c:pt idx="843">
                  <c:v>5.7</c:v>
                </c:pt>
                <c:pt idx="844">
                  <c:v>6</c:v>
                </c:pt>
                <c:pt idx="845">
                  <c:v>6.5</c:v>
                </c:pt>
                <c:pt idx="846">
                  <c:v>5.8</c:v>
                </c:pt>
                <c:pt idx="847">
                  <c:v>5.8</c:v>
                </c:pt>
                <c:pt idx="848">
                  <c:v>6.7</c:v>
                </c:pt>
                <c:pt idx="849">
                  <c:v>7.8</c:v>
                </c:pt>
                <c:pt idx="850">
                  <c:v>5.6</c:v>
                </c:pt>
                <c:pt idx="851">
                  <c:v>5.8</c:v>
                </c:pt>
                <c:pt idx="852">
                  <c:v>7.4</c:v>
                </c:pt>
                <c:pt idx="853">
                  <c:v>6.9</c:v>
                </c:pt>
                <c:pt idx="854">
                  <c:v>5.5</c:v>
                </c:pt>
                <c:pt idx="855">
                  <c:v>6.3</c:v>
                </c:pt>
                <c:pt idx="856">
                  <c:v>4.7</c:v>
                </c:pt>
                <c:pt idx="857">
                  <c:v>5.6</c:v>
                </c:pt>
                <c:pt idx="858">
                  <c:v>6.4</c:v>
                </c:pt>
                <c:pt idx="859">
                  <c:v>4.2</c:v>
                </c:pt>
                <c:pt idx="860">
                  <c:v>6.4</c:v>
                </c:pt>
                <c:pt idx="861">
                  <c:v>7.7</c:v>
                </c:pt>
                <c:pt idx="862">
                  <c:v>7.7</c:v>
                </c:pt>
                <c:pt idx="863">
                  <c:v>5.3</c:v>
                </c:pt>
                <c:pt idx="864">
                  <c:v>6.7</c:v>
                </c:pt>
                <c:pt idx="865">
                  <c:v>7.7</c:v>
                </c:pt>
                <c:pt idx="866">
                  <c:v>5.7</c:v>
                </c:pt>
                <c:pt idx="867">
                  <c:v>7.6</c:v>
                </c:pt>
                <c:pt idx="868">
                  <c:v>6.4</c:v>
                </c:pt>
                <c:pt idx="869">
                  <c:v>5.6</c:v>
                </c:pt>
                <c:pt idx="870">
                  <c:v>6.8</c:v>
                </c:pt>
                <c:pt idx="871">
                  <c:v>2.4</c:v>
                </c:pt>
                <c:pt idx="872">
                  <c:v>6.2</c:v>
                </c:pt>
                <c:pt idx="873">
                  <c:v>5.9</c:v>
                </c:pt>
                <c:pt idx="874">
                  <c:v>7.1</c:v>
                </c:pt>
                <c:pt idx="875">
                  <c:v>7.6</c:v>
                </c:pt>
                <c:pt idx="876">
                  <c:v>5.5</c:v>
                </c:pt>
                <c:pt idx="877">
                  <c:v>7</c:v>
                </c:pt>
                <c:pt idx="878">
                  <c:v>7.1</c:v>
                </c:pt>
                <c:pt idx="879">
                  <c:v>7.4</c:v>
                </c:pt>
                <c:pt idx="880">
                  <c:v>7.6</c:v>
                </c:pt>
                <c:pt idx="881">
                  <c:v>5.9</c:v>
                </c:pt>
                <c:pt idx="882">
                  <c:v>5.9</c:v>
                </c:pt>
                <c:pt idx="883">
                  <c:v>8</c:v>
                </c:pt>
                <c:pt idx="884">
                  <c:v>7.4</c:v>
                </c:pt>
                <c:pt idx="885">
                  <c:v>5.8</c:v>
                </c:pt>
                <c:pt idx="886">
                  <c:v>6.3</c:v>
                </c:pt>
                <c:pt idx="887">
                  <c:v>5.7</c:v>
                </c:pt>
                <c:pt idx="888">
                  <c:v>5.0999999999999996</c:v>
                </c:pt>
                <c:pt idx="889">
                  <c:v>7.6</c:v>
                </c:pt>
                <c:pt idx="890">
                  <c:v>6.4</c:v>
                </c:pt>
                <c:pt idx="891">
                  <c:v>7.4</c:v>
                </c:pt>
                <c:pt idx="892">
                  <c:v>8.1999999999999993</c:v>
                </c:pt>
                <c:pt idx="893">
                  <c:v>6.5</c:v>
                </c:pt>
                <c:pt idx="894">
                  <c:v>5.5</c:v>
                </c:pt>
                <c:pt idx="895">
                  <c:v>6.5</c:v>
                </c:pt>
                <c:pt idx="896">
                  <c:v>5.6</c:v>
                </c:pt>
                <c:pt idx="897">
                  <c:v>4.9000000000000004</c:v>
                </c:pt>
                <c:pt idx="898">
                  <c:v>4.5999999999999996</c:v>
                </c:pt>
                <c:pt idx="899">
                  <c:v>7.9</c:v>
                </c:pt>
                <c:pt idx="900">
                  <c:v>7.1</c:v>
                </c:pt>
                <c:pt idx="901">
                  <c:v>6.9</c:v>
                </c:pt>
                <c:pt idx="902">
                  <c:v>7.3</c:v>
                </c:pt>
                <c:pt idx="903">
                  <c:v>7</c:v>
                </c:pt>
                <c:pt idx="904">
                  <c:v>7.7</c:v>
                </c:pt>
                <c:pt idx="905">
                  <c:v>6.7</c:v>
                </c:pt>
                <c:pt idx="906">
                  <c:v>6.3</c:v>
                </c:pt>
                <c:pt idx="907">
                  <c:v>5.8</c:v>
                </c:pt>
                <c:pt idx="908">
                  <c:v>7.1</c:v>
                </c:pt>
                <c:pt idx="909">
                  <c:v>7.3</c:v>
                </c:pt>
                <c:pt idx="910">
                  <c:v>6.4</c:v>
                </c:pt>
                <c:pt idx="911">
                  <c:v>7.1</c:v>
                </c:pt>
                <c:pt idx="912">
                  <c:v>7.6</c:v>
                </c:pt>
                <c:pt idx="913">
                  <c:v>6.8</c:v>
                </c:pt>
                <c:pt idx="914">
                  <c:v>6.6</c:v>
                </c:pt>
                <c:pt idx="915">
                  <c:v>6.7</c:v>
                </c:pt>
                <c:pt idx="916">
                  <c:v>6.1</c:v>
                </c:pt>
                <c:pt idx="917">
                  <c:v>6</c:v>
                </c:pt>
                <c:pt idx="918">
                  <c:v>7.6</c:v>
                </c:pt>
                <c:pt idx="919">
                  <c:v>7.1</c:v>
                </c:pt>
                <c:pt idx="920">
                  <c:v>5</c:v>
                </c:pt>
                <c:pt idx="921">
                  <c:v>7.1</c:v>
                </c:pt>
                <c:pt idx="922">
                  <c:v>6.2</c:v>
                </c:pt>
                <c:pt idx="923">
                  <c:v>5.6</c:v>
                </c:pt>
                <c:pt idx="924">
                  <c:v>5.4</c:v>
                </c:pt>
                <c:pt idx="925">
                  <c:v>7.4</c:v>
                </c:pt>
                <c:pt idx="926">
                  <c:v>5</c:v>
                </c:pt>
                <c:pt idx="927">
                  <c:v>5.2</c:v>
                </c:pt>
                <c:pt idx="928">
                  <c:v>7.6</c:v>
                </c:pt>
                <c:pt idx="929">
                  <c:v>6.6</c:v>
                </c:pt>
                <c:pt idx="930">
                  <c:v>7</c:v>
                </c:pt>
                <c:pt idx="931">
                  <c:v>5.7</c:v>
                </c:pt>
                <c:pt idx="932">
                  <c:v>8.1999999999999993</c:v>
                </c:pt>
                <c:pt idx="933">
                  <c:v>6.2</c:v>
                </c:pt>
                <c:pt idx="934">
                  <c:v>6.6</c:v>
                </c:pt>
                <c:pt idx="935">
                  <c:v>4.7</c:v>
                </c:pt>
                <c:pt idx="936">
                  <c:v>6.3</c:v>
                </c:pt>
                <c:pt idx="937">
                  <c:v>6.1</c:v>
                </c:pt>
                <c:pt idx="938">
                  <c:v>6.7</c:v>
                </c:pt>
                <c:pt idx="939">
                  <c:v>6.1</c:v>
                </c:pt>
                <c:pt idx="940">
                  <c:v>7</c:v>
                </c:pt>
                <c:pt idx="941">
                  <c:v>7.4</c:v>
                </c:pt>
                <c:pt idx="942">
                  <c:v>7.3</c:v>
                </c:pt>
                <c:pt idx="943">
                  <c:v>5.8</c:v>
                </c:pt>
                <c:pt idx="944">
                  <c:v>6.7</c:v>
                </c:pt>
                <c:pt idx="945">
                  <c:v>5.8</c:v>
                </c:pt>
                <c:pt idx="946">
                  <c:v>7.8</c:v>
                </c:pt>
                <c:pt idx="947">
                  <c:v>6.6</c:v>
                </c:pt>
                <c:pt idx="948">
                  <c:v>6.5</c:v>
                </c:pt>
                <c:pt idx="949">
                  <c:v>6.7</c:v>
                </c:pt>
                <c:pt idx="950">
                  <c:v>7.3</c:v>
                </c:pt>
                <c:pt idx="951">
                  <c:v>5.8</c:v>
                </c:pt>
                <c:pt idx="952">
                  <c:v>5.5</c:v>
                </c:pt>
                <c:pt idx="953">
                  <c:v>6.3</c:v>
                </c:pt>
                <c:pt idx="954">
                  <c:v>7.4</c:v>
                </c:pt>
                <c:pt idx="955">
                  <c:v>5.9</c:v>
                </c:pt>
                <c:pt idx="956">
                  <c:v>6.2</c:v>
                </c:pt>
                <c:pt idx="957">
                  <c:v>5.9</c:v>
                </c:pt>
                <c:pt idx="958">
                  <c:v>6.5</c:v>
                </c:pt>
                <c:pt idx="959">
                  <c:v>4.4000000000000004</c:v>
                </c:pt>
                <c:pt idx="960">
                  <c:v>3.5</c:v>
                </c:pt>
                <c:pt idx="961">
                  <c:v>6.6</c:v>
                </c:pt>
                <c:pt idx="962">
                  <c:v>6</c:v>
                </c:pt>
                <c:pt idx="963">
                  <c:v>6.4</c:v>
                </c:pt>
                <c:pt idx="964">
                  <c:v>6.5</c:v>
                </c:pt>
                <c:pt idx="965">
                  <c:v>4.3</c:v>
                </c:pt>
                <c:pt idx="966">
                  <c:v>4.2</c:v>
                </c:pt>
                <c:pt idx="967">
                  <c:v>6.5</c:v>
                </c:pt>
                <c:pt idx="968">
                  <c:v>6.1</c:v>
                </c:pt>
                <c:pt idx="969">
                  <c:v>6.3</c:v>
                </c:pt>
                <c:pt idx="970">
                  <c:v>6.2</c:v>
                </c:pt>
                <c:pt idx="971">
                  <c:v>5.9</c:v>
                </c:pt>
                <c:pt idx="972">
                  <c:v>5.9</c:v>
                </c:pt>
                <c:pt idx="973">
                  <c:v>6.5</c:v>
                </c:pt>
                <c:pt idx="974">
                  <c:v>6.4</c:v>
                </c:pt>
                <c:pt idx="975">
                  <c:v>6.5</c:v>
                </c:pt>
                <c:pt idx="976">
                  <c:v>5.7</c:v>
                </c:pt>
                <c:pt idx="977">
                  <c:v>8</c:v>
                </c:pt>
                <c:pt idx="978">
                  <c:v>7.3</c:v>
                </c:pt>
                <c:pt idx="979">
                  <c:v>6.7</c:v>
                </c:pt>
                <c:pt idx="980">
                  <c:v>7.5</c:v>
                </c:pt>
                <c:pt idx="981">
                  <c:v>5.4</c:v>
                </c:pt>
                <c:pt idx="982">
                  <c:v>6.6</c:v>
                </c:pt>
                <c:pt idx="983">
                  <c:v>7.7</c:v>
                </c:pt>
                <c:pt idx="984">
                  <c:v>5.8</c:v>
                </c:pt>
                <c:pt idx="985">
                  <c:v>6.4</c:v>
                </c:pt>
                <c:pt idx="986">
                  <c:v>5.6</c:v>
                </c:pt>
                <c:pt idx="987">
                  <c:v>6</c:v>
                </c:pt>
                <c:pt idx="988">
                  <c:v>6.2</c:v>
                </c:pt>
                <c:pt idx="989">
                  <c:v>5.9</c:v>
                </c:pt>
                <c:pt idx="990">
                  <c:v>5.0999999999999996</c:v>
                </c:pt>
                <c:pt idx="991">
                  <c:v>6.8</c:v>
                </c:pt>
                <c:pt idx="992">
                  <c:v>6</c:v>
                </c:pt>
                <c:pt idx="993">
                  <c:v>5.0999999999999996</c:v>
                </c:pt>
                <c:pt idx="994">
                  <c:v>5.8</c:v>
                </c:pt>
                <c:pt idx="995">
                  <c:v>6.2</c:v>
                </c:pt>
                <c:pt idx="996">
                  <c:v>6.4</c:v>
                </c:pt>
                <c:pt idx="997">
                  <c:v>4.8</c:v>
                </c:pt>
                <c:pt idx="998">
                  <c:v>4.9000000000000004</c:v>
                </c:pt>
                <c:pt idx="999">
                  <c:v>5.6</c:v>
                </c:pt>
                <c:pt idx="1000">
                  <c:v>5.5</c:v>
                </c:pt>
                <c:pt idx="1001">
                  <c:v>3.7</c:v>
                </c:pt>
                <c:pt idx="1002">
                  <c:v>5.9</c:v>
                </c:pt>
                <c:pt idx="1003">
                  <c:v>6.3</c:v>
                </c:pt>
                <c:pt idx="1004">
                  <c:v>7.4</c:v>
                </c:pt>
                <c:pt idx="1005">
                  <c:v>7.6</c:v>
                </c:pt>
                <c:pt idx="1006">
                  <c:v>8.3000000000000007</c:v>
                </c:pt>
                <c:pt idx="1007">
                  <c:v>6.6</c:v>
                </c:pt>
                <c:pt idx="1008">
                  <c:v>6.9</c:v>
                </c:pt>
                <c:pt idx="1009">
                  <c:v>6.7</c:v>
                </c:pt>
                <c:pt idx="1010">
                  <c:v>6.8</c:v>
                </c:pt>
                <c:pt idx="1011">
                  <c:v>4.5999999999999996</c:v>
                </c:pt>
                <c:pt idx="1012">
                  <c:v>7.1</c:v>
                </c:pt>
                <c:pt idx="1013">
                  <c:v>6.4</c:v>
                </c:pt>
                <c:pt idx="1014">
                  <c:v>6.4</c:v>
                </c:pt>
                <c:pt idx="1015">
                  <c:v>7.4</c:v>
                </c:pt>
                <c:pt idx="1016">
                  <c:v>6.4</c:v>
                </c:pt>
                <c:pt idx="1017">
                  <c:v>6</c:v>
                </c:pt>
                <c:pt idx="1018">
                  <c:v>6.5</c:v>
                </c:pt>
                <c:pt idx="1019">
                  <c:v>7.8</c:v>
                </c:pt>
                <c:pt idx="1020">
                  <c:v>6</c:v>
                </c:pt>
                <c:pt idx="1021">
                  <c:v>7</c:v>
                </c:pt>
                <c:pt idx="1022">
                  <c:v>6</c:v>
                </c:pt>
                <c:pt idx="1023">
                  <c:v>7.8</c:v>
                </c:pt>
                <c:pt idx="1024">
                  <c:v>6.1</c:v>
                </c:pt>
                <c:pt idx="1025">
                  <c:v>6.8</c:v>
                </c:pt>
                <c:pt idx="1026">
                  <c:v>6.4</c:v>
                </c:pt>
                <c:pt idx="1027">
                  <c:v>7.7</c:v>
                </c:pt>
                <c:pt idx="1028">
                  <c:v>8.1</c:v>
                </c:pt>
                <c:pt idx="1029">
                  <c:v>4.5</c:v>
                </c:pt>
                <c:pt idx="1030">
                  <c:v>5.8</c:v>
                </c:pt>
                <c:pt idx="1031">
                  <c:v>6.3</c:v>
                </c:pt>
                <c:pt idx="1032">
                  <c:v>5.7</c:v>
                </c:pt>
                <c:pt idx="1033">
                  <c:v>7.2</c:v>
                </c:pt>
                <c:pt idx="1034">
                  <c:v>7.6</c:v>
                </c:pt>
                <c:pt idx="1035">
                  <c:v>4.7</c:v>
                </c:pt>
                <c:pt idx="1036">
                  <c:v>6.6</c:v>
                </c:pt>
                <c:pt idx="1037">
                  <c:v>6.8</c:v>
                </c:pt>
                <c:pt idx="1038">
                  <c:v>7.3</c:v>
                </c:pt>
                <c:pt idx="1039">
                  <c:v>2.7</c:v>
                </c:pt>
                <c:pt idx="1040">
                  <c:v>4.8</c:v>
                </c:pt>
                <c:pt idx="1041">
                  <c:v>6.3</c:v>
                </c:pt>
                <c:pt idx="1042">
                  <c:v>5.5</c:v>
                </c:pt>
                <c:pt idx="1043">
                  <c:v>6.2</c:v>
                </c:pt>
                <c:pt idx="1044">
                  <c:v>5.8</c:v>
                </c:pt>
                <c:pt idx="1045">
                  <c:v>5.7</c:v>
                </c:pt>
                <c:pt idx="1046">
                  <c:v>6.5</c:v>
                </c:pt>
                <c:pt idx="1047">
                  <c:v>6.7</c:v>
                </c:pt>
                <c:pt idx="1048">
                  <c:v>7.4</c:v>
                </c:pt>
                <c:pt idx="1049">
                  <c:v>6.9</c:v>
                </c:pt>
                <c:pt idx="1050">
                  <c:v>5.5</c:v>
                </c:pt>
                <c:pt idx="1051">
                  <c:v>8.1</c:v>
                </c:pt>
                <c:pt idx="1052">
                  <c:v>7.7</c:v>
                </c:pt>
                <c:pt idx="1053">
                  <c:v>7.3</c:v>
                </c:pt>
                <c:pt idx="1054">
                  <c:v>5.2</c:v>
                </c:pt>
                <c:pt idx="1055">
                  <c:v>7.1</c:v>
                </c:pt>
                <c:pt idx="1056">
                  <c:v>7.1</c:v>
                </c:pt>
                <c:pt idx="1057">
                  <c:v>7.2</c:v>
                </c:pt>
                <c:pt idx="1058">
                  <c:v>6.5</c:v>
                </c:pt>
                <c:pt idx="1059">
                  <c:v>4.5999999999999996</c:v>
                </c:pt>
                <c:pt idx="1060">
                  <c:v>5.6</c:v>
                </c:pt>
                <c:pt idx="1061">
                  <c:v>7.7</c:v>
                </c:pt>
                <c:pt idx="1062">
                  <c:v>7.2</c:v>
                </c:pt>
                <c:pt idx="1063">
                  <c:v>6.8</c:v>
                </c:pt>
                <c:pt idx="1064">
                  <c:v>5.4</c:v>
                </c:pt>
                <c:pt idx="1065">
                  <c:v>6.3</c:v>
                </c:pt>
                <c:pt idx="1066">
                  <c:v>7.2</c:v>
                </c:pt>
                <c:pt idx="1067">
                  <c:v>5.6</c:v>
                </c:pt>
                <c:pt idx="1068">
                  <c:v>6.8</c:v>
                </c:pt>
                <c:pt idx="1069">
                  <c:v>4.3</c:v>
                </c:pt>
                <c:pt idx="1070">
                  <c:v>6.3</c:v>
                </c:pt>
                <c:pt idx="1071">
                  <c:v>6.5</c:v>
                </c:pt>
                <c:pt idx="1072">
                  <c:v>6.4</c:v>
                </c:pt>
                <c:pt idx="1073">
                  <c:v>6.3</c:v>
                </c:pt>
                <c:pt idx="1074">
                  <c:v>5.9</c:v>
                </c:pt>
                <c:pt idx="1075">
                  <c:v>6.5</c:v>
                </c:pt>
                <c:pt idx="1076">
                  <c:v>6.5</c:v>
                </c:pt>
                <c:pt idx="1077">
                  <c:v>6.1</c:v>
                </c:pt>
                <c:pt idx="1078">
                  <c:v>5.9</c:v>
                </c:pt>
                <c:pt idx="1079">
                  <c:v>6.6</c:v>
                </c:pt>
                <c:pt idx="1080">
                  <c:v>7.4</c:v>
                </c:pt>
                <c:pt idx="1081">
                  <c:v>7.3</c:v>
                </c:pt>
                <c:pt idx="1082">
                  <c:v>6.6</c:v>
                </c:pt>
                <c:pt idx="1083">
                  <c:v>5.6</c:v>
                </c:pt>
                <c:pt idx="1084">
                  <c:v>5.3</c:v>
                </c:pt>
                <c:pt idx="1085">
                  <c:v>6</c:v>
                </c:pt>
                <c:pt idx="1086">
                  <c:v>5.4</c:v>
                </c:pt>
                <c:pt idx="1087">
                  <c:v>6.8</c:v>
                </c:pt>
                <c:pt idx="1088">
                  <c:v>6.4</c:v>
                </c:pt>
                <c:pt idx="1089">
                  <c:v>4.9000000000000004</c:v>
                </c:pt>
                <c:pt idx="1090">
                  <c:v>5.8</c:v>
                </c:pt>
                <c:pt idx="1091">
                  <c:v>7.1</c:v>
                </c:pt>
                <c:pt idx="1092">
                  <c:v>7.2</c:v>
                </c:pt>
                <c:pt idx="1093">
                  <c:v>6</c:v>
                </c:pt>
                <c:pt idx="1094">
                  <c:v>6</c:v>
                </c:pt>
                <c:pt idx="1095">
                  <c:v>7</c:v>
                </c:pt>
                <c:pt idx="1096">
                  <c:v>5.4</c:v>
                </c:pt>
                <c:pt idx="1097">
                  <c:v>6.5</c:v>
                </c:pt>
                <c:pt idx="1098">
                  <c:v>6.4</c:v>
                </c:pt>
                <c:pt idx="1099">
                  <c:v>4.9000000000000004</c:v>
                </c:pt>
                <c:pt idx="1100">
                  <c:v>6.3</c:v>
                </c:pt>
                <c:pt idx="1101">
                  <c:v>1.7</c:v>
                </c:pt>
                <c:pt idx="1102">
                  <c:v>7.7</c:v>
                </c:pt>
                <c:pt idx="1103">
                  <c:v>7.8</c:v>
                </c:pt>
                <c:pt idx="1104">
                  <c:v>5.5</c:v>
                </c:pt>
                <c:pt idx="1105">
                  <c:v>7.5</c:v>
                </c:pt>
                <c:pt idx="1106">
                  <c:v>6.4</c:v>
                </c:pt>
                <c:pt idx="1107">
                  <c:v>5.6</c:v>
                </c:pt>
                <c:pt idx="1108">
                  <c:v>7.5</c:v>
                </c:pt>
                <c:pt idx="1109">
                  <c:v>6.8</c:v>
                </c:pt>
                <c:pt idx="1110">
                  <c:v>6.8</c:v>
                </c:pt>
                <c:pt idx="1111">
                  <c:v>6</c:v>
                </c:pt>
                <c:pt idx="1112">
                  <c:v>7.3</c:v>
                </c:pt>
                <c:pt idx="1113">
                  <c:v>6</c:v>
                </c:pt>
                <c:pt idx="1114">
                  <c:v>7</c:v>
                </c:pt>
                <c:pt idx="1115">
                  <c:v>5.0999999999999996</c:v>
                </c:pt>
                <c:pt idx="1116">
                  <c:v>6.8</c:v>
                </c:pt>
                <c:pt idx="1117">
                  <c:v>6.5</c:v>
                </c:pt>
                <c:pt idx="1118">
                  <c:v>6.6</c:v>
                </c:pt>
                <c:pt idx="1119">
                  <c:v>7.2</c:v>
                </c:pt>
                <c:pt idx="1120">
                  <c:v>7</c:v>
                </c:pt>
                <c:pt idx="1121">
                  <c:v>7</c:v>
                </c:pt>
                <c:pt idx="1122">
                  <c:v>5.9</c:v>
                </c:pt>
                <c:pt idx="1123">
                  <c:v>5.4</c:v>
                </c:pt>
                <c:pt idx="1124">
                  <c:v>6.6</c:v>
                </c:pt>
                <c:pt idx="1125">
                  <c:v>7</c:v>
                </c:pt>
                <c:pt idx="1126">
                  <c:v>6.5</c:v>
                </c:pt>
                <c:pt idx="1127">
                  <c:v>6.3</c:v>
                </c:pt>
                <c:pt idx="1128">
                  <c:v>6.5</c:v>
                </c:pt>
                <c:pt idx="1129">
                  <c:v>6.5</c:v>
                </c:pt>
                <c:pt idx="1130">
                  <c:v>5.8</c:v>
                </c:pt>
                <c:pt idx="1131">
                  <c:v>6.6</c:v>
                </c:pt>
                <c:pt idx="1132">
                  <c:v>5.4</c:v>
                </c:pt>
                <c:pt idx="1133">
                  <c:v>6.1</c:v>
                </c:pt>
                <c:pt idx="1134">
                  <c:v>4</c:v>
                </c:pt>
                <c:pt idx="1135">
                  <c:v>7.6</c:v>
                </c:pt>
                <c:pt idx="1136">
                  <c:v>7.9</c:v>
                </c:pt>
                <c:pt idx="1137">
                  <c:v>5.3</c:v>
                </c:pt>
                <c:pt idx="1138">
                  <c:v>6.6</c:v>
                </c:pt>
                <c:pt idx="1139">
                  <c:v>6.3</c:v>
                </c:pt>
                <c:pt idx="1140">
                  <c:v>7.2</c:v>
                </c:pt>
                <c:pt idx="1141">
                  <c:v>7</c:v>
                </c:pt>
                <c:pt idx="1142">
                  <c:v>4.9000000000000004</c:v>
                </c:pt>
                <c:pt idx="1143">
                  <c:v>6.9</c:v>
                </c:pt>
                <c:pt idx="1144">
                  <c:v>5.2</c:v>
                </c:pt>
                <c:pt idx="1145">
                  <c:v>8.1</c:v>
                </c:pt>
                <c:pt idx="1146">
                  <c:v>6.6</c:v>
                </c:pt>
                <c:pt idx="1147">
                  <c:v>6.2</c:v>
                </c:pt>
                <c:pt idx="1148">
                  <c:v>7.2</c:v>
                </c:pt>
                <c:pt idx="1149">
                  <c:v>7.3</c:v>
                </c:pt>
                <c:pt idx="1150">
                  <c:v>6.7</c:v>
                </c:pt>
                <c:pt idx="1151">
                  <c:v>6.4</c:v>
                </c:pt>
                <c:pt idx="1152">
                  <c:v>7.8</c:v>
                </c:pt>
                <c:pt idx="1153">
                  <c:v>6.4</c:v>
                </c:pt>
                <c:pt idx="1154">
                  <c:v>4.0999999999999996</c:v>
                </c:pt>
                <c:pt idx="1155">
                  <c:v>4.0999999999999996</c:v>
                </c:pt>
                <c:pt idx="1156">
                  <c:v>7.4</c:v>
                </c:pt>
                <c:pt idx="1157">
                  <c:v>5.8</c:v>
                </c:pt>
                <c:pt idx="1158">
                  <c:v>7.6</c:v>
                </c:pt>
                <c:pt idx="1159">
                  <c:v>7.2</c:v>
                </c:pt>
                <c:pt idx="1160">
                  <c:v>7.8</c:v>
                </c:pt>
                <c:pt idx="1161">
                  <c:v>7.7</c:v>
                </c:pt>
                <c:pt idx="1162">
                  <c:v>6.4</c:v>
                </c:pt>
                <c:pt idx="1163">
                  <c:v>5.0999999999999996</c:v>
                </c:pt>
                <c:pt idx="1164">
                  <c:v>5.5</c:v>
                </c:pt>
                <c:pt idx="1165">
                  <c:v>7.4</c:v>
                </c:pt>
                <c:pt idx="1166">
                  <c:v>6</c:v>
                </c:pt>
                <c:pt idx="1167">
                  <c:v>7.5</c:v>
                </c:pt>
                <c:pt idx="1168">
                  <c:v>7</c:v>
                </c:pt>
                <c:pt idx="1169">
                  <c:v>7.5</c:v>
                </c:pt>
                <c:pt idx="1170">
                  <c:v>7.3</c:v>
                </c:pt>
                <c:pt idx="1171">
                  <c:v>5.7</c:v>
                </c:pt>
                <c:pt idx="1172">
                  <c:v>7.3</c:v>
                </c:pt>
                <c:pt idx="1173">
                  <c:v>7.2</c:v>
                </c:pt>
                <c:pt idx="1174">
                  <c:v>5.9</c:v>
                </c:pt>
                <c:pt idx="1175">
                  <c:v>7.8</c:v>
                </c:pt>
                <c:pt idx="1176">
                  <c:v>7.7</c:v>
                </c:pt>
                <c:pt idx="1177">
                  <c:v>8.1</c:v>
                </c:pt>
                <c:pt idx="1178">
                  <c:v>6.6</c:v>
                </c:pt>
                <c:pt idx="1179">
                  <c:v>7.1</c:v>
                </c:pt>
                <c:pt idx="1180">
                  <c:v>5.9</c:v>
                </c:pt>
                <c:pt idx="1181">
                  <c:v>8</c:v>
                </c:pt>
                <c:pt idx="1182">
                  <c:v>4.5999999999999996</c:v>
                </c:pt>
                <c:pt idx="1183">
                  <c:v>6.1</c:v>
                </c:pt>
                <c:pt idx="1184">
                  <c:v>6.4</c:v>
                </c:pt>
                <c:pt idx="1185">
                  <c:v>6</c:v>
                </c:pt>
                <c:pt idx="1186">
                  <c:v>5.2</c:v>
                </c:pt>
                <c:pt idx="1187">
                  <c:v>7.6</c:v>
                </c:pt>
                <c:pt idx="1188">
                  <c:v>6.4</c:v>
                </c:pt>
                <c:pt idx="1189">
                  <c:v>6.4</c:v>
                </c:pt>
                <c:pt idx="1190">
                  <c:v>6.1</c:v>
                </c:pt>
                <c:pt idx="1191">
                  <c:v>6.1</c:v>
                </c:pt>
                <c:pt idx="1192">
                  <c:v>5.2</c:v>
                </c:pt>
                <c:pt idx="1193">
                  <c:v>7.7</c:v>
                </c:pt>
                <c:pt idx="1194">
                  <c:v>7.3</c:v>
                </c:pt>
                <c:pt idx="1195">
                  <c:v>6.9</c:v>
                </c:pt>
                <c:pt idx="1196">
                  <c:v>8.5</c:v>
                </c:pt>
                <c:pt idx="1197">
                  <c:v>6.3</c:v>
                </c:pt>
                <c:pt idx="1198">
                  <c:v>5.9</c:v>
                </c:pt>
                <c:pt idx="1199">
                  <c:v>7.8</c:v>
                </c:pt>
                <c:pt idx="1200">
                  <c:v>6.7</c:v>
                </c:pt>
                <c:pt idx="1201">
                  <c:v>6.4</c:v>
                </c:pt>
                <c:pt idx="1202">
                  <c:v>5.9</c:v>
                </c:pt>
                <c:pt idx="1203">
                  <c:v>6.6</c:v>
                </c:pt>
                <c:pt idx="1204">
                  <c:v>6.8</c:v>
                </c:pt>
                <c:pt idx="1205">
                  <c:v>6.5</c:v>
                </c:pt>
                <c:pt idx="1206">
                  <c:v>6.6</c:v>
                </c:pt>
                <c:pt idx="1207">
                  <c:v>5.8</c:v>
                </c:pt>
                <c:pt idx="1208">
                  <c:v>6.9</c:v>
                </c:pt>
                <c:pt idx="1209">
                  <c:v>7.1</c:v>
                </c:pt>
                <c:pt idx="1210">
                  <c:v>5.8</c:v>
                </c:pt>
                <c:pt idx="1211">
                  <c:v>7.2</c:v>
                </c:pt>
                <c:pt idx="1212">
                  <c:v>6</c:v>
                </c:pt>
                <c:pt idx="1213">
                  <c:v>4.7</c:v>
                </c:pt>
                <c:pt idx="1214">
                  <c:v>5.2</c:v>
                </c:pt>
                <c:pt idx="1215">
                  <c:v>5.5</c:v>
                </c:pt>
                <c:pt idx="1216">
                  <c:v>6.5</c:v>
                </c:pt>
                <c:pt idx="1217">
                  <c:v>7</c:v>
                </c:pt>
                <c:pt idx="1218">
                  <c:v>5.8</c:v>
                </c:pt>
                <c:pt idx="1219">
                  <c:v>6.2</c:v>
                </c:pt>
                <c:pt idx="1220">
                  <c:v>6.5</c:v>
                </c:pt>
                <c:pt idx="1221">
                  <c:v>7.2</c:v>
                </c:pt>
                <c:pt idx="1222">
                  <c:v>5.0999999999999996</c:v>
                </c:pt>
                <c:pt idx="1223">
                  <c:v>4.7</c:v>
                </c:pt>
                <c:pt idx="1224">
                  <c:v>5.9</c:v>
                </c:pt>
                <c:pt idx="1225">
                  <c:v>5.8</c:v>
                </c:pt>
                <c:pt idx="1226">
                  <c:v>7.2</c:v>
                </c:pt>
                <c:pt idx="1227">
                  <c:v>6.2</c:v>
                </c:pt>
                <c:pt idx="1228">
                  <c:v>5.7</c:v>
                </c:pt>
                <c:pt idx="1229">
                  <c:v>6.1</c:v>
                </c:pt>
                <c:pt idx="1230">
                  <c:v>6</c:v>
                </c:pt>
                <c:pt idx="1231">
                  <c:v>6.9</c:v>
                </c:pt>
                <c:pt idx="1232">
                  <c:v>6.5</c:v>
                </c:pt>
                <c:pt idx="1233">
                  <c:v>5</c:v>
                </c:pt>
                <c:pt idx="1234">
                  <c:v>5.7</c:v>
                </c:pt>
                <c:pt idx="1235">
                  <c:v>7</c:v>
                </c:pt>
                <c:pt idx="1236">
                  <c:v>5.0999999999999996</c:v>
                </c:pt>
                <c:pt idx="1237">
                  <c:v>5.3</c:v>
                </c:pt>
                <c:pt idx="1238">
                  <c:v>4.4000000000000004</c:v>
                </c:pt>
                <c:pt idx="1239">
                  <c:v>4.7</c:v>
                </c:pt>
                <c:pt idx="1240">
                  <c:v>6.7</c:v>
                </c:pt>
                <c:pt idx="1241">
                  <c:v>6.7</c:v>
                </c:pt>
                <c:pt idx="1242">
                  <c:v>5.7</c:v>
                </c:pt>
                <c:pt idx="1243">
                  <c:v>7.4</c:v>
                </c:pt>
                <c:pt idx="1244">
                  <c:v>6.1</c:v>
                </c:pt>
                <c:pt idx="1245">
                  <c:v>6.4</c:v>
                </c:pt>
                <c:pt idx="1246">
                  <c:v>6.2</c:v>
                </c:pt>
                <c:pt idx="1247">
                  <c:v>6.2</c:v>
                </c:pt>
                <c:pt idx="1248">
                  <c:v>5.9</c:v>
                </c:pt>
                <c:pt idx="1249">
                  <c:v>4</c:v>
                </c:pt>
                <c:pt idx="1250">
                  <c:v>6.2</c:v>
                </c:pt>
                <c:pt idx="1251">
                  <c:v>4.5999999999999996</c:v>
                </c:pt>
                <c:pt idx="1252">
                  <c:v>6.4</c:v>
                </c:pt>
                <c:pt idx="1253">
                  <c:v>5.9</c:v>
                </c:pt>
                <c:pt idx="1254">
                  <c:v>5.0999999999999996</c:v>
                </c:pt>
                <c:pt idx="1255">
                  <c:v>7.6</c:v>
                </c:pt>
                <c:pt idx="1256">
                  <c:v>4.2</c:v>
                </c:pt>
                <c:pt idx="1257">
                  <c:v>7.8</c:v>
                </c:pt>
                <c:pt idx="1258">
                  <c:v>5.8</c:v>
                </c:pt>
                <c:pt idx="1259">
                  <c:v>5.9</c:v>
                </c:pt>
                <c:pt idx="1260">
                  <c:v>8.4</c:v>
                </c:pt>
                <c:pt idx="1261">
                  <c:v>4.8</c:v>
                </c:pt>
                <c:pt idx="1262">
                  <c:v>6.2</c:v>
                </c:pt>
                <c:pt idx="1263">
                  <c:v>6.5</c:v>
                </c:pt>
                <c:pt idx="1264">
                  <c:v>6.3</c:v>
                </c:pt>
                <c:pt idx="1265">
                  <c:v>3.3</c:v>
                </c:pt>
                <c:pt idx="1266">
                  <c:v>5.9</c:v>
                </c:pt>
                <c:pt idx="1267">
                  <c:v>5.8</c:v>
                </c:pt>
                <c:pt idx="1268">
                  <c:v>6.5</c:v>
                </c:pt>
                <c:pt idx="1269">
                  <c:v>4.7</c:v>
                </c:pt>
                <c:pt idx="1270">
                  <c:v>4.0999999999999996</c:v>
                </c:pt>
                <c:pt idx="1271">
                  <c:v>6.8</c:v>
                </c:pt>
                <c:pt idx="1272">
                  <c:v>6.2</c:v>
                </c:pt>
                <c:pt idx="1273">
                  <c:v>4.5</c:v>
                </c:pt>
                <c:pt idx="1274">
                  <c:v>5.8</c:v>
                </c:pt>
                <c:pt idx="1275">
                  <c:v>7.3</c:v>
                </c:pt>
                <c:pt idx="1276">
                  <c:v>5.9</c:v>
                </c:pt>
                <c:pt idx="1277">
                  <c:v>4.4000000000000004</c:v>
                </c:pt>
                <c:pt idx="1278">
                  <c:v>5.8</c:v>
                </c:pt>
                <c:pt idx="1279">
                  <c:v>5.0999999999999996</c:v>
                </c:pt>
                <c:pt idx="1280">
                  <c:v>6.9</c:v>
                </c:pt>
                <c:pt idx="1281">
                  <c:v>6.2</c:v>
                </c:pt>
                <c:pt idx="1282">
                  <c:v>6.9</c:v>
                </c:pt>
                <c:pt idx="1283">
                  <c:v>7.3</c:v>
                </c:pt>
                <c:pt idx="1284">
                  <c:v>7.1</c:v>
                </c:pt>
                <c:pt idx="1285">
                  <c:v>6</c:v>
                </c:pt>
                <c:pt idx="1286">
                  <c:v>7</c:v>
                </c:pt>
                <c:pt idx="1287">
                  <c:v>6.8</c:v>
                </c:pt>
                <c:pt idx="1288">
                  <c:v>5.7</c:v>
                </c:pt>
                <c:pt idx="1289">
                  <c:v>7.6</c:v>
                </c:pt>
                <c:pt idx="1290">
                  <c:v>8.4</c:v>
                </c:pt>
                <c:pt idx="1291">
                  <c:v>7.1</c:v>
                </c:pt>
                <c:pt idx="1292">
                  <c:v>5.6</c:v>
                </c:pt>
                <c:pt idx="1293">
                  <c:v>7</c:v>
                </c:pt>
                <c:pt idx="1294">
                  <c:v>8</c:v>
                </c:pt>
                <c:pt idx="1295">
                  <c:v>5.3</c:v>
                </c:pt>
                <c:pt idx="1296">
                  <c:v>4.9000000000000004</c:v>
                </c:pt>
                <c:pt idx="1297">
                  <c:v>6.4</c:v>
                </c:pt>
                <c:pt idx="1298">
                  <c:v>7.4</c:v>
                </c:pt>
                <c:pt idx="1299">
                  <c:v>6.1</c:v>
                </c:pt>
                <c:pt idx="1300">
                  <c:v>6.5</c:v>
                </c:pt>
                <c:pt idx="1301">
                  <c:v>5.7</c:v>
                </c:pt>
                <c:pt idx="1302">
                  <c:v>5.0999999999999996</c:v>
                </c:pt>
                <c:pt idx="1303">
                  <c:v>6.6</c:v>
                </c:pt>
                <c:pt idx="1304">
                  <c:v>6.5</c:v>
                </c:pt>
                <c:pt idx="1305">
                  <c:v>6.9</c:v>
                </c:pt>
                <c:pt idx="1306">
                  <c:v>6.4</c:v>
                </c:pt>
                <c:pt idx="1307">
                  <c:v>7.6</c:v>
                </c:pt>
                <c:pt idx="1308">
                  <c:v>5.6</c:v>
                </c:pt>
                <c:pt idx="1309">
                  <c:v>6.2</c:v>
                </c:pt>
                <c:pt idx="1310">
                  <c:v>4.4000000000000004</c:v>
                </c:pt>
                <c:pt idx="1311">
                  <c:v>5.6</c:v>
                </c:pt>
                <c:pt idx="1312">
                  <c:v>5.5</c:v>
                </c:pt>
                <c:pt idx="1313">
                  <c:v>6.7</c:v>
                </c:pt>
                <c:pt idx="1314">
                  <c:v>6.1</c:v>
                </c:pt>
                <c:pt idx="1315">
                  <c:v>6.2</c:v>
                </c:pt>
                <c:pt idx="1316">
                  <c:v>7.3</c:v>
                </c:pt>
                <c:pt idx="1317">
                  <c:v>6.6</c:v>
                </c:pt>
                <c:pt idx="1318">
                  <c:v>8.1999999999999993</c:v>
                </c:pt>
                <c:pt idx="1319">
                  <c:v>6.4</c:v>
                </c:pt>
                <c:pt idx="1320">
                  <c:v>6.4</c:v>
                </c:pt>
                <c:pt idx="1321">
                  <c:v>5.2</c:v>
                </c:pt>
                <c:pt idx="1322">
                  <c:v>6.5</c:v>
                </c:pt>
                <c:pt idx="1323">
                  <c:v>7.1</c:v>
                </c:pt>
                <c:pt idx="1324">
                  <c:v>4.8</c:v>
                </c:pt>
                <c:pt idx="1325">
                  <c:v>7.3</c:v>
                </c:pt>
                <c:pt idx="1326">
                  <c:v>5.2</c:v>
                </c:pt>
                <c:pt idx="1327">
                  <c:v>7.7</c:v>
                </c:pt>
                <c:pt idx="1328">
                  <c:v>7.6</c:v>
                </c:pt>
                <c:pt idx="1329">
                  <c:v>5.7</c:v>
                </c:pt>
                <c:pt idx="1330">
                  <c:v>7</c:v>
                </c:pt>
                <c:pt idx="1331">
                  <c:v>6</c:v>
                </c:pt>
                <c:pt idx="1332">
                  <c:v>8.1</c:v>
                </c:pt>
                <c:pt idx="1333">
                  <c:v>8</c:v>
                </c:pt>
                <c:pt idx="1334">
                  <c:v>5.6</c:v>
                </c:pt>
                <c:pt idx="1335">
                  <c:v>6.1</c:v>
                </c:pt>
                <c:pt idx="1336">
                  <c:v>6.9</c:v>
                </c:pt>
                <c:pt idx="1337">
                  <c:v>5.2</c:v>
                </c:pt>
                <c:pt idx="1338">
                  <c:v>7</c:v>
                </c:pt>
                <c:pt idx="1339">
                  <c:v>6.3</c:v>
                </c:pt>
                <c:pt idx="1340">
                  <c:v>7</c:v>
                </c:pt>
                <c:pt idx="1341">
                  <c:v>5.3</c:v>
                </c:pt>
                <c:pt idx="1342">
                  <c:v>6.9</c:v>
                </c:pt>
                <c:pt idx="1343">
                  <c:v>6.2</c:v>
                </c:pt>
                <c:pt idx="1344">
                  <c:v>6.4</c:v>
                </c:pt>
                <c:pt idx="1345">
                  <c:v>6.4</c:v>
                </c:pt>
                <c:pt idx="1346">
                  <c:v>5.7</c:v>
                </c:pt>
                <c:pt idx="1347">
                  <c:v>6.1</c:v>
                </c:pt>
                <c:pt idx="1348">
                  <c:v>5.4</c:v>
                </c:pt>
                <c:pt idx="1349">
                  <c:v>6.7</c:v>
                </c:pt>
                <c:pt idx="1350">
                  <c:v>6.8</c:v>
                </c:pt>
                <c:pt idx="1351">
                  <c:v>6</c:v>
                </c:pt>
                <c:pt idx="1352">
                  <c:v>7.8</c:v>
                </c:pt>
                <c:pt idx="1353">
                  <c:v>5.3</c:v>
                </c:pt>
                <c:pt idx="1354">
                  <c:v>4.5</c:v>
                </c:pt>
                <c:pt idx="1355">
                  <c:v>5.4</c:v>
                </c:pt>
                <c:pt idx="1356">
                  <c:v>7.8</c:v>
                </c:pt>
                <c:pt idx="1357">
                  <c:v>7.2</c:v>
                </c:pt>
                <c:pt idx="1358">
                  <c:v>6.6</c:v>
                </c:pt>
                <c:pt idx="1359">
                  <c:v>7.6</c:v>
                </c:pt>
                <c:pt idx="1360">
                  <c:v>5.9</c:v>
                </c:pt>
                <c:pt idx="1361">
                  <c:v>6.7</c:v>
                </c:pt>
                <c:pt idx="1362">
                  <c:v>7.7</c:v>
                </c:pt>
                <c:pt idx="1363">
                  <c:v>5.4</c:v>
                </c:pt>
                <c:pt idx="1364">
                  <c:v>6.9</c:v>
                </c:pt>
                <c:pt idx="1365">
                  <c:v>7.7</c:v>
                </c:pt>
                <c:pt idx="1366">
                  <c:v>6.8</c:v>
                </c:pt>
                <c:pt idx="1367">
                  <c:v>6.4</c:v>
                </c:pt>
                <c:pt idx="1368">
                  <c:v>5.7</c:v>
                </c:pt>
                <c:pt idx="1369">
                  <c:v>7.3</c:v>
                </c:pt>
                <c:pt idx="1370">
                  <c:v>6.8</c:v>
                </c:pt>
                <c:pt idx="1371">
                  <c:v>6.3</c:v>
                </c:pt>
                <c:pt idx="1372">
                  <c:v>5.9</c:v>
                </c:pt>
                <c:pt idx="1373">
                  <c:v>7.4</c:v>
                </c:pt>
                <c:pt idx="1374">
                  <c:v>8.3000000000000007</c:v>
                </c:pt>
                <c:pt idx="1375">
                  <c:v>6.2</c:v>
                </c:pt>
                <c:pt idx="1376">
                  <c:v>6.3</c:v>
                </c:pt>
                <c:pt idx="1377">
                  <c:v>5.8</c:v>
                </c:pt>
                <c:pt idx="1378">
                  <c:v>7.5</c:v>
                </c:pt>
                <c:pt idx="1379">
                  <c:v>6.3</c:v>
                </c:pt>
                <c:pt idx="1380">
                  <c:v>6.4</c:v>
                </c:pt>
                <c:pt idx="1381">
                  <c:v>7.2</c:v>
                </c:pt>
                <c:pt idx="1382">
                  <c:v>6.3</c:v>
                </c:pt>
                <c:pt idx="1383">
                  <c:v>6.9</c:v>
                </c:pt>
                <c:pt idx="1384">
                  <c:v>6.6</c:v>
                </c:pt>
                <c:pt idx="1385">
                  <c:v>6</c:v>
                </c:pt>
                <c:pt idx="1386">
                  <c:v>7.5</c:v>
                </c:pt>
                <c:pt idx="1387">
                  <c:v>7.7</c:v>
                </c:pt>
                <c:pt idx="1388">
                  <c:v>6.2</c:v>
                </c:pt>
                <c:pt idx="1389">
                  <c:v>5.4</c:v>
                </c:pt>
                <c:pt idx="1390">
                  <c:v>6.6</c:v>
                </c:pt>
                <c:pt idx="1391">
                  <c:v>5.3</c:v>
                </c:pt>
                <c:pt idx="1392">
                  <c:v>5.6</c:v>
                </c:pt>
                <c:pt idx="1393">
                  <c:v>5.9</c:v>
                </c:pt>
                <c:pt idx="1394">
                  <c:v>7.8</c:v>
                </c:pt>
                <c:pt idx="1395">
                  <c:v>6.7</c:v>
                </c:pt>
                <c:pt idx="1396">
                  <c:v>7.4</c:v>
                </c:pt>
                <c:pt idx="1397">
                  <c:v>6.2</c:v>
                </c:pt>
                <c:pt idx="1398">
                  <c:v>5.4</c:v>
                </c:pt>
                <c:pt idx="1399">
                  <c:v>6.7</c:v>
                </c:pt>
                <c:pt idx="1400">
                  <c:v>5.3</c:v>
                </c:pt>
                <c:pt idx="1401">
                  <c:v>5.9</c:v>
                </c:pt>
                <c:pt idx="1402">
                  <c:v>4.8</c:v>
                </c:pt>
                <c:pt idx="1403">
                  <c:v>7.3</c:v>
                </c:pt>
                <c:pt idx="1404">
                  <c:v>3.8</c:v>
                </c:pt>
                <c:pt idx="1405">
                  <c:v>8.5</c:v>
                </c:pt>
                <c:pt idx="1406">
                  <c:v>6.8</c:v>
                </c:pt>
                <c:pt idx="1407">
                  <c:v>5.3</c:v>
                </c:pt>
                <c:pt idx="1408">
                  <c:v>7.3</c:v>
                </c:pt>
                <c:pt idx="1409">
                  <c:v>6.6</c:v>
                </c:pt>
                <c:pt idx="1410">
                  <c:v>6.2</c:v>
                </c:pt>
                <c:pt idx="1411">
                  <c:v>5.2</c:v>
                </c:pt>
                <c:pt idx="1412">
                  <c:v>6.2</c:v>
                </c:pt>
                <c:pt idx="1413">
                  <c:v>6.2</c:v>
                </c:pt>
                <c:pt idx="1414">
                  <c:v>6.6</c:v>
                </c:pt>
                <c:pt idx="1415">
                  <c:v>6.4</c:v>
                </c:pt>
                <c:pt idx="1416">
                  <c:v>6.2</c:v>
                </c:pt>
                <c:pt idx="1417">
                  <c:v>5.0999999999999996</c:v>
                </c:pt>
                <c:pt idx="1418">
                  <c:v>6.6</c:v>
                </c:pt>
                <c:pt idx="1419">
                  <c:v>6.1</c:v>
                </c:pt>
                <c:pt idx="1420">
                  <c:v>6.1</c:v>
                </c:pt>
                <c:pt idx="1421">
                  <c:v>6.6</c:v>
                </c:pt>
                <c:pt idx="1422">
                  <c:v>5.9</c:v>
                </c:pt>
                <c:pt idx="1423">
                  <c:v>6.3</c:v>
                </c:pt>
                <c:pt idx="1424">
                  <c:v>7.1</c:v>
                </c:pt>
                <c:pt idx="1425">
                  <c:v>5</c:v>
                </c:pt>
                <c:pt idx="1426">
                  <c:v>5.6</c:v>
                </c:pt>
                <c:pt idx="1427">
                  <c:v>7.4</c:v>
                </c:pt>
                <c:pt idx="1428">
                  <c:v>4.5</c:v>
                </c:pt>
                <c:pt idx="1429">
                  <c:v>6.2</c:v>
                </c:pt>
                <c:pt idx="1430">
                  <c:v>5</c:v>
                </c:pt>
                <c:pt idx="1431">
                  <c:v>6.5</c:v>
                </c:pt>
                <c:pt idx="1432">
                  <c:v>5.0999999999999996</c:v>
                </c:pt>
                <c:pt idx="1433">
                  <c:v>6.5</c:v>
                </c:pt>
                <c:pt idx="1434">
                  <c:v>6.2</c:v>
                </c:pt>
                <c:pt idx="1435">
                  <c:v>6.3</c:v>
                </c:pt>
                <c:pt idx="1436">
                  <c:v>3.8</c:v>
                </c:pt>
                <c:pt idx="1437">
                  <c:v>5.2</c:v>
                </c:pt>
                <c:pt idx="1438">
                  <c:v>6</c:v>
                </c:pt>
                <c:pt idx="1439">
                  <c:v>6.2</c:v>
                </c:pt>
                <c:pt idx="1440">
                  <c:v>5.7</c:v>
                </c:pt>
                <c:pt idx="1441">
                  <c:v>6.7</c:v>
                </c:pt>
                <c:pt idx="1442">
                  <c:v>6.8</c:v>
                </c:pt>
                <c:pt idx="1443">
                  <c:v>6</c:v>
                </c:pt>
                <c:pt idx="1444">
                  <c:v>7.3</c:v>
                </c:pt>
                <c:pt idx="1445">
                  <c:v>5.5</c:v>
                </c:pt>
                <c:pt idx="1446">
                  <c:v>6.7</c:v>
                </c:pt>
                <c:pt idx="1447">
                  <c:v>4.8</c:v>
                </c:pt>
                <c:pt idx="1448">
                  <c:v>5.7</c:v>
                </c:pt>
                <c:pt idx="1449">
                  <c:v>5.0999999999999996</c:v>
                </c:pt>
                <c:pt idx="1450">
                  <c:v>6</c:v>
                </c:pt>
                <c:pt idx="1451">
                  <c:v>4.2</c:v>
                </c:pt>
                <c:pt idx="1452">
                  <c:v>7.4</c:v>
                </c:pt>
                <c:pt idx="1453">
                  <c:v>4.5999999999999996</c:v>
                </c:pt>
                <c:pt idx="1454">
                  <c:v>6.9</c:v>
                </c:pt>
                <c:pt idx="1455">
                  <c:v>6.9</c:v>
                </c:pt>
                <c:pt idx="1456">
                  <c:v>8</c:v>
                </c:pt>
                <c:pt idx="1457">
                  <c:v>6.4</c:v>
                </c:pt>
                <c:pt idx="1458">
                  <c:v>6.3</c:v>
                </c:pt>
                <c:pt idx="1459">
                  <c:v>8.4</c:v>
                </c:pt>
                <c:pt idx="1460">
                  <c:v>7.1</c:v>
                </c:pt>
                <c:pt idx="1461">
                  <c:v>6.8</c:v>
                </c:pt>
                <c:pt idx="1462">
                  <c:v>7.5</c:v>
                </c:pt>
                <c:pt idx="1463">
                  <c:v>5.7</c:v>
                </c:pt>
                <c:pt idx="1464">
                  <c:v>6.8</c:v>
                </c:pt>
                <c:pt idx="1465">
                  <c:v>5.4</c:v>
                </c:pt>
                <c:pt idx="1466">
                  <c:v>7.2</c:v>
                </c:pt>
                <c:pt idx="1467">
                  <c:v>7.3</c:v>
                </c:pt>
                <c:pt idx="1468">
                  <c:v>5.2</c:v>
                </c:pt>
                <c:pt idx="1469">
                  <c:v>5.5</c:v>
                </c:pt>
                <c:pt idx="1470">
                  <c:v>7.7</c:v>
                </c:pt>
                <c:pt idx="1471">
                  <c:v>7.1</c:v>
                </c:pt>
                <c:pt idx="1472">
                  <c:v>5.3</c:v>
                </c:pt>
                <c:pt idx="1473">
                  <c:v>5.6</c:v>
                </c:pt>
                <c:pt idx="1474">
                  <c:v>5.7</c:v>
                </c:pt>
                <c:pt idx="1475">
                  <c:v>7.1</c:v>
                </c:pt>
                <c:pt idx="1476">
                  <c:v>7.5</c:v>
                </c:pt>
                <c:pt idx="1477">
                  <c:v>7.6</c:v>
                </c:pt>
                <c:pt idx="1478">
                  <c:v>5.5</c:v>
                </c:pt>
                <c:pt idx="1479">
                  <c:v>5.0999999999999996</c:v>
                </c:pt>
                <c:pt idx="1480">
                  <c:v>6.3</c:v>
                </c:pt>
                <c:pt idx="1481">
                  <c:v>4.9000000000000004</c:v>
                </c:pt>
                <c:pt idx="1482">
                  <c:v>6.5</c:v>
                </c:pt>
                <c:pt idx="1483">
                  <c:v>5.6</c:v>
                </c:pt>
                <c:pt idx="1484">
                  <c:v>5.3</c:v>
                </c:pt>
                <c:pt idx="1485">
                  <c:v>6.5</c:v>
                </c:pt>
                <c:pt idx="1486">
                  <c:v>6.8</c:v>
                </c:pt>
                <c:pt idx="1487">
                  <c:v>6.5</c:v>
                </c:pt>
                <c:pt idx="1488">
                  <c:v>6</c:v>
                </c:pt>
                <c:pt idx="1489">
                  <c:v>8.4</c:v>
                </c:pt>
                <c:pt idx="1490">
                  <c:v>6</c:v>
                </c:pt>
                <c:pt idx="1491">
                  <c:v>7.6</c:v>
                </c:pt>
                <c:pt idx="1492">
                  <c:v>5.6</c:v>
                </c:pt>
                <c:pt idx="1493">
                  <c:v>6.9</c:v>
                </c:pt>
                <c:pt idx="1494">
                  <c:v>6.4</c:v>
                </c:pt>
                <c:pt idx="1495">
                  <c:v>5.0999999999999996</c:v>
                </c:pt>
                <c:pt idx="1496">
                  <c:v>7</c:v>
                </c:pt>
                <c:pt idx="1497">
                  <c:v>5.7</c:v>
                </c:pt>
                <c:pt idx="1498">
                  <c:v>6.8</c:v>
                </c:pt>
                <c:pt idx="1499">
                  <c:v>6.7</c:v>
                </c:pt>
                <c:pt idx="1500">
                  <c:v>6.2</c:v>
                </c:pt>
                <c:pt idx="1501">
                  <c:v>7.2</c:v>
                </c:pt>
                <c:pt idx="1502">
                  <c:v>6.2</c:v>
                </c:pt>
                <c:pt idx="1503">
                  <c:v>5.6</c:v>
                </c:pt>
                <c:pt idx="1504">
                  <c:v>4.4000000000000004</c:v>
                </c:pt>
                <c:pt idx="1505">
                  <c:v>7.5</c:v>
                </c:pt>
                <c:pt idx="1506">
                  <c:v>7.1</c:v>
                </c:pt>
                <c:pt idx="1507">
                  <c:v>6.4</c:v>
                </c:pt>
                <c:pt idx="1508">
                  <c:v>7.1</c:v>
                </c:pt>
                <c:pt idx="1509">
                  <c:v>5.9</c:v>
                </c:pt>
                <c:pt idx="1510">
                  <c:v>6.9</c:v>
                </c:pt>
                <c:pt idx="1511">
                  <c:v>7.5</c:v>
                </c:pt>
                <c:pt idx="1512">
                  <c:v>6.3</c:v>
                </c:pt>
                <c:pt idx="1513">
                  <c:v>6.4</c:v>
                </c:pt>
                <c:pt idx="1514">
                  <c:v>5.9</c:v>
                </c:pt>
                <c:pt idx="1515">
                  <c:v>6.8</c:v>
                </c:pt>
                <c:pt idx="1516">
                  <c:v>6.3</c:v>
                </c:pt>
                <c:pt idx="1517">
                  <c:v>3.6</c:v>
                </c:pt>
                <c:pt idx="1518">
                  <c:v>5.3</c:v>
                </c:pt>
                <c:pt idx="1519">
                  <c:v>5.9</c:v>
                </c:pt>
                <c:pt idx="1520">
                  <c:v>6.9</c:v>
                </c:pt>
                <c:pt idx="1521">
                  <c:v>6.9</c:v>
                </c:pt>
                <c:pt idx="1522">
                  <c:v>6.1</c:v>
                </c:pt>
                <c:pt idx="1523">
                  <c:v>5.7</c:v>
                </c:pt>
                <c:pt idx="1524">
                  <c:v>8.5</c:v>
                </c:pt>
                <c:pt idx="1525">
                  <c:v>6.3</c:v>
                </c:pt>
                <c:pt idx="1526">
                  <c:v>7.3</c:v>
                </c:pt>
                <c:pt idx="1527">
                  <c:v>6.3</c:v>
                </c:pt>
                <c:pt idx="1528">
                  <c:v>7.2</c:v>
                </c:pt>
                <c:pt idx="1529">
                  <c:v>7.3</c:v>
                </c:pt>
                <c:pt idx="1530">
                  <c:v>6.3</c:v>
                </c:pt>
                <c:pt idx="1531">
                  <c:v>8.1</c:v>
                </c:pt>
                <c:pt idx="1532">
                  <c:v>6.9</c:v>
                </c:pt>
                <c:pt idx="1533">
                  <c:v>6.3</c:v>
                </c:pt>
                <c:pt idx="1534">
                  <c:v>7.3</c:v>
                </c:pt>
                <c:pt idx="1535">
                  <c:v>6.1</c:v>
                </c:pt>
                <c:pt idx="1536">
                  <c:v>6.9</c:v>
                </c:pt>
                <c:pt idx="1537">
                  <c:v>7.2</c:v>
                </c:pt>
                <c:pt idx="1538">
                  <c:v>6.4</c:v>
                </c:pt>
                <c:pt idx="1539">
                  <c:v>6.4</c:v>
                </c:pt>
                <c:pt idx="1540">
                  <c:v>8.3000000000000007</c:v>
                </c:pt>
                <c:pt idx="1541">
                  <c:v>7.2</c:v>
                </c:pt>
                <c:pt idx="1542">
                  <c:v>6.8</c:v>
                </c:pt>
                <c:pt idx="1543">
                  <c:v>6.5</c:v>
                </c:pt>
                <c:pt idx="1544">
                  <c:v>7.8</c:v>
                </c:pt>
                <c:pt idx="1545">
                  <c:v>7.6</c:v>
                </c:pt>
                <c:pt idx="1546">
                  <c:v>7.2</c:v>
                </c:pt>
                <c:pt idx="1547">
                  <c:v>6.7</c:v>
                </c:pt>
                <c:pt idx="1548">
                  <c:v>6.8</c:v>
                </c:pt>
                <c:pt idx="1549">
                  <c:v>6.3</c:v>
                </c:pt>
                <c:pt idx="1550">
                  <c:v>6.2</c:v>
                </c:pt>
                <c:pt idx="1551">
                  <c:v>6.2</c:v>
                </c:pt>
                <c:pt idx="1552">
                  <c:v>8.6</c:v>
                </c:pt>
                <c:pt idx="1553">
                  <c:v>8</c:v>
                </c:pt>
                <c:pt idx="1554">
                  <c:v>7</c:v>
                </c:pt>
                <c:pt idx="1555">
                  <c:v>8</c:v>
                </c:pt>
                <c:pt idx="1556">
                  <c:v>8.1</c:v>
                </c:pt>
                <c:pt idx="1557">
                  <c:v>6.7</c:v>
                </c:pt>
                <c:pt idx="1558">
                  <c:v>7.9</c:v>
                </c:pt>
                <c:pt idx="1559">
                  <c:v>6.1</c:v>
                </c:pt>
                <c:pt idx="1560">
                  <c:v>4.2</c:v>
                </c:pt>
                <c:pt idx="1561">
                  <c:v>6.1</c:v>
                </c:pt>
                <c:pt idx="1562">
                  <c:v>6.6</c:v>
                </c:pt>
                <c:pt idx="1563">
                  <c:v>7.5</c:v>
                </c:pt>
                <c:pt idx="1564">
                  <c:v>7.4</c:v>
                </c:pt>
                <c:pt idx="1565">
                  <c:v>7.2</c:v>
                </c:pt>
                <c:pt idx="1566">
                  <c:v>6.9</c:v>
                </c:pt>
                <c:pt idx="1567">
                  <c:v>7.4</c:v>
                </c:pt>
                <c:pt idx="1568">
                  <c:v>5.4</c:v>
                </c:pt>
                <c:pt idx="1569">
                  <c:v>6.8</c:v>
                </c:pt>
                <c:pt idx="1570">
                  <c:v>6.3</c:v>
                </c:pt>
                <c:pt idx="1571">
                  <c:v>7.2</c:v>
                </c:pt>
                <c:pt idx="1572">
                  <c:v>6.9</c:v>
                </c:pt>
                <c:pt idx="1573">
                  <c:v>6</c:v>
                </c:pt>
                <c:pt idx="1574">
                  <c:v>5.9</c:v>
                </c:pt>
                <c:pt idx="1575">
                  <c:v>5.4</c:v>
                </c:pt>
                <c:pt idx="1576">
                  <c:v>5.9</c:v>
                </c:pt>
                <c:pt idx="1577">
                  <c:v>6.1</c:v>
                </c:pt>
                <c:pt idx="1578">
                  <c:v>7.7</c:v>
                </c:pt>
                <c:pt idx="1579">
                  <c:v>5.8</c:v>
                </c:pt>
                <c:pt idx="1580">
                  <c:v>7.6</c:v>
                </c:pt>
                <c:pt idx="1581">
                  <c:v>6.1</c:v>
                </c:pt>
                <c:pt idx="1582">
                  <c:v>5.4</c:v>
                </c:pt>
                <c:pt idx="1583">
                  <c:v>5.0999999999999996</c:v>
                </c:pt>
                <c:pt idx="1584">
                  <c:v>6.4</c:v>
                </c:pt>
                <c:pt idx="1585">
                  <c:v>6.3</c:v>
                </c:pt>
                <c:pt idx="1586">
                  <c:v>7.5</c:v>
                </c:pt>
                <c:pt idx="1587">
                  <c:v>7.1</c:v>
                </c:pt>
                <c:pt idx="1588">
                  <c:v>5.2</c:v>
                </c:pt>
                <c:pt idx="1589">
                  <c:v>7.8</c:v>
                </c:pt>
                <c:pt idx="1590">
                  <c:v>6.5</c:v>
                </c:pt>
                <c:pt idx="1591">
                  <c:v>6.6</c:v>
                </c:pt>
                <c:pt idx="1592">
                  <c:v>5.0999999999999996</c:v>
                </c:pt>
                <c:pt idx="1593">
                  <c:v>7.4</c:v>
                </c:pt>
                <c:pt idx="1594">
                  <c:v>7.2</c:v>
                </c:pt>
                <c:pt idx="1595">
                  <c:v>7.6</c:v>
                </c:pt>
                <c:pt idx="1596">
                  <c:v>7.5</c:v>
                </c:pt>
                <c:pt idx="1597">
                  <c:v>6.6</c:v>
                </c:pt>
                <c:pt idx="1598">
                  <c:v>7.2</c:v>
                </c:pt>
                <c:pt idx="1599">
                  <c:v>7.6</c:v>
                </c:pt>
                <c:pt idx="1600">
                  <c:v>6.2</c:v>
                </c:pt>
                <c:pt idx="1601">
                  <c:v>5.6</c:v>
                </c:pt>
                <c:pt idx="1602">
                  <c:v>7.6</c:v>
                </c:pt>
                <c:pt idx="1603">
                  <c:v>6.6</c:v>
                </c:pt>
                <c:pt idx="1604">
                  <c:v>7</c:v>
                </c:pt>
                <c:pt idx="1605">
                  <c:v>2.7</c:v>
                </c:pt>
                <c:pt idx="1606">
                  <c:v>7.6</c:v>
                </c:pt>
                <c:pt idx="1607">
                  <c:v>6.6</c:v>
                </c:pt>
                <c:pt idx="1608">
                  <c:v>6.9</c:v>
                </c:pt>
                <c:pt idx="1609">
                  <c:v>6.8</c:v>
                </c:pt>
                <c:pt idx="1610">
                  <c:v>3.7</c:v>
                </c:pt>
                <c:pt idx="1611">
                  <c:v>6.1</c:v>
                </c:pt>
                <c:pt idx="1612">
                  <c:v>5.9</c:v>
                </c:pt>
                <c:pt idx="1613">
                  <c:v>6.7</c:v>
                </c:pt>
                <c:pt idx="1614">
                  <c:v>6.9</c:v>
                </c:pt>
                <c:pt idx="1615">
                  <c:v>5.5</c:v>
                </c:pt>
                <c:pt idx="1616">
                  <c:v>7.1</c:v>
                </c:pt>
                <c:pt idx="1617">
                  <c:v>7.1</c:v>
                </c:pt>
                <c:pt idx="1618">
                  <c:v>5.9</c:v>
                </c:pt>
                <c:pt idx="1619">
                  <c:v>7.3</c:v>
                </c:pt>
                <c:pt idx="1620">
                  <c:v>3.4</c:v>
                </c:pt>
                <c:pt idx="1621">
                  <c:v>6.8</c:v>
                </c:pt>
                <c:pt idx="1622">
                  <c:v>6.9</c:v>
                </c:pt>
                <c:pt idx="1623">
                  <c:v>7</c:v>
                </c:pt>
                <c:pt idx="1624">
                  <c:v>5.5</c:v>
                </c:pt>
                <c:pt idx="1625">
                  <c:v>5.0999999999999996</c:v>
                </c:pt>
                <c:pt idx="1626">
                  <c:v>6.2</c:v>
                </c:pt>
                <c:pt idx="1627">
                  <c:v>5.9</c:v>
                </c:pt>
                <c:pt idx="1628">
                  <c:v>5.2</c:v>
                </c:pt>
                <c:pt idx="1629">
                  <c:v>6.2</c:v>
                </c:pt>
                <c:pt idx="1630">
                  <c:v>5.5</c:v>
                </c:pt>
                <c:pt idx="1631">
                  <c:v>7.4</c:v>
                </c:pt>
                <c:pt idx="1632">
                  <c:v>4.4000000000000004</c:v>
                </c:pt>
                <c:pt idx="1633">
                  <c:v>6.3</c:v>
                </c:pt>
                <c:pt idx="1634">
                  <c:v>6.1</c:v>
                </c:pt>
                <c:pt idx="1635">
                  <c:v>5.3</c:v>
                </c:pt>
                <c:pt idx="1636">
                  <c:v>5.4</c:v>
                </c:pt>
                <c:pt idx="1637">
                  <c:v>6.7</c:v>
                </c:pt>
                <c:pt idx="1638">
                  <c:v>5.9</c:v>
                </c:pt>
                <c:pt idx="1639">
                  <c:v>7.3</c:v>
                </c:pt>
                <c:pt idx="1640">
                  <c:v>5.5</c:v>
                </c:pt>
                <c:pt idx="1641">
                  <c:v>5.8</c:v>
                </c:pt>
                <c:pt idx="1642">
                  <c:v>4.5999999999999996</c:v>
                </c:pt>
                <c:pt idx="1643">
                  <c:v>6.7</c:v>
                </c:pt>
                <c:pt idx="1644">
                  <c:v>5.0999999999999996</c:v>
                </c:pt>
                <c:pt idx="1645">
                  <c:v>5.6</c:v>
                </c:pt>
                <c:pt idx="1646">
                  <c:v>7</c:v>
                </c:pt>
                <c:pt idx="1647">
                  <c:v>6.4</c:v>
                </c:pt>
                <c:pt idx="1648">
                  <c:v>6.7</c:v>
                </c:pt>
                <c:pt idx="1649">
                  <c:v>4.0999999999999996</c:v>
                </c:pt>
                <c:pt idx="1650">
                  <c:v>5.5</c:v>
                </c:pt>
                <c:pt idx="1651">
                  <c:v>2.7</c:v>
                </c:pt>
                <c:pt idx="1652">
                  <c:v>6.4</c:v>
                </c:pt>
                <c:pt idx="1653">
                  <c:v>4.8</c:v>
                </c:pt>
                <c:pt idx="1654">
                  <c:v>6.1</c:v>
                </c:pt>
                <c:pt idx="1655">
                  <c:v>4.8</c:v>
                </c:pt>
                <c:pt idx="1656">
                  <c:v>7</c:v>
                </c:pt>
                <c:pt idx="1657">
                  <c:v>6.8</c:v>
                </c:pt>
                <c:pt idx="1658">
                  <c:v>7.3</c:v>
                </c:pt>
                <c:pt idx="1659">
                  <c:v>5.6</c:v>
                </c:pt>
                <c:pt idx="1660">
                  <c:v>6.1</c:v>
                </c:pt>
                <c:pt idx="1661">
                  <c:v>7.9</c:v>
                </c:pt>
                <c:pt idx="1662">
                  <c:v>8.4</c:v>
                </c:pt>
                <c:pt idx="1663">
                  <c:v>6.5</c:v>
                </c:pt>
                <c:pt idx="1664">
                  <c:v>7.1</c:v>
                </c:pt>
                <c:pt idx="1665">
                  <c:v>6.6</c:v>
                </c:pt>
                <c:pt idx="1666">
                  <c:v>4</c:v>
                </c:pt>
                <c:pt idx="1667">
                  <c:v>7</c:v>
                </c:pt>
                <c:pt idx="1668">
                  <c:v>5.6</c:v>
                </c:pt>
                <c:pt idx="1669">
                  <c:v>4.8</c:v>
                </c:pt>
                <c:pt idx="1670">
                  <c:v>7.5</c:v>
                </c:pt>
                <c:pt idx="1671">
                  <c:v>6</c:v>
                </c:pt>
                <c:pt idx="1672">
                  <c:v>7.2</c:v>
                </c:pt>
                <c:pt idx="1673">
                  <c:v>5.6</c:v>
                </c:pt>
                <c:pt idx="1674">
                  <c:v>6.8</c:v>
                </c:pt>
                <c:pt idx="1675">
                  <c:v>4.9000000000000004</c:v>
                </c:pt>
                <c:pt idx="1676">
                  <c:v>7.1</c:v>
                </c:pt>
                <c:pt idx="1677">
                  <c:v>2</c:v>
                </c:pt>
                <c:pt idx="1678">
                  <c:v>5.7</c:v>
                </c:pt>
                <c:pt idx="1679">
                  <c:v>4.0999999999999996</c:v>
                </c:pt>
                <c:pt idx="1680">
                  <c:v>6.7</c:v>
                </c:pt>
                <c:pt idx="1681">
                  <c:v>7.5</c:v>
                </c:pt>
                <c:pt idx="1682">
                  <c:v>6.5</c:v>
                </c:pt>
                <c:pt idx="1683">
                  <c:v>7.9</c:v>
                </c:pt>
                <c:pt idx="1684">
                  <c:v>6.4</c:v>
                </c:pt>
                <c:pt idx="1685">
                  <c:v>5.8</c:v>
                </c:pt>
                <c:pt idx="1686">
                  <c:v>7.7</c:v>
                </c:pt>
                <c:pt idx="1687">
                  <c:v>7.1</c:v>
                </c:pt>
                <c:pt idx="1688">
                  <c:v>5.3</c:v>
                </c:pt>
                <c:pt idx="1689">
                  <c:v>5.3</c:v>
                </c:pt>
                <c:pt idx="1690">
                  <c:v>7.5</c:v>
                </c:pt>
                <c:pt idx="1691">
                  <c:v>6.9</c:v>
                </c:pt>
                <c:pt idx="1692">
                  <c:v>4.9000000000000004</c:v>
                </c:pt>
                <c:pt idx="1693">
                  <c:v>7.1</c:v>
                </c:pt>
                <c:pt idx="1694">
                  <c:v>8</c:v>
                </c:pt>
                <c:pt idx="1695">
                  <c:v>7.9</c:v>
                </c:pt>
                <c:pt idx="1696">
                  <c:v>7.6</c:v>
                </c:pt>
                <c:pt idx="1697">
                  <c:v>5.9</c:v>
                </c:pt>
                <c:pt idx="1698">
                  <c:v>6.3</c:v>
                </c:pt>
                <c:pt idx="1699">
                  <c:v>7.1</c:v>
                </c:pt>
                <c:pt idx="1700">
                  <c:v>6.4</c:v>
                </c:pt>
                <c:pt idx="1701">
                  <c:v>8.1999999999999993</c:v>
                </c:pt>
                <c:pt idx="1702">
                  <c:v>6.9</c:v>
                </c:pt>
                <c:pt idx="1703">
                  <c:v>7.8</c:v>
                </c:pt>
                <c:pt idx="1704">
                  <c:v>6.7</c:v>
                </c:pt>
                <c:pt idx="1705">
                  <c:v>7.5</c:v>
                </c:pt>
                <c:pt idx="1706">
                  <c:v>7.4</c:v>
                </c:pt>
                <c:pt idx="1707">
                  <c:v>5.2</c:v>
                </c:pt>
                <c:pt idx="1708">
                  <c:v>6.5</c:v>
                </c:pt>
                <c:pt idx="1709">
                  <c:v>7.6</c:v>
                </c:pt>
                <c:pt idx="1710">
                  <c:v>7.3</c:v>
                </c:pt>
                <c:pt idx="1711">
                  <c:v>6.6</c:v>
                </c:pt>
                <c:pt idx="1712">
                  <c:v>6.8</c:v>
                </c:pt>
                <c:pt idx="1713">
                  <c:v>6.9</c:v>
                </c:pt>
                <c:pt idx="1714">
                  <c:v>5.8</c:v>
                </c:pt>
                <c:pt idx="1715">
                  <c:v>6.6</c:v>
                </c:pt>
                <c:pt idx="1716">
                  <c:v>6.7</c:v>
                </c:pt>
                <c:pt idx="1717">
                  <c:v>6.7</c:v>
                </c:pt>
                <c:pt idx="1718">
                  <c:v>6.3</c:v>
                </c:pt>
                <c:pt idx="1719">
                  <c:v>7.7</c:v>
                </c:pt>
                <c:pt idx="1720">
                  <c:v>6.1</c:v>
                </c:pt>
                <c:pt idx="1721">
                  <c:v>4.9000000000000004</c:v>
                </c:pt>
                <c:pt idx="1722">
                  <c:v>6.2</c:v>
                </c:pt>
                <c:pt idx="1723">
                  <c:v>7.8</c:v>
                </c:pt>
                <c:pt idx="1724">
                  <c:v>8.1999999999999993</c:v>
                </c:pt>
                <c:pt idx="1725">
                  <c:v>6.9</c:v>
                </c:pt>
                <c:pt idx="1726">
                  <c:v>6.2</c:v>
                </c:pt>
                <c:pt idx="1727">
                  <c:v>6.9</c:v>
                </c:pt>
                <c:pt idx="1728">
                  <c:v>4.8</c:v>
                </c:pt>
                <c:pt idx="1729">
                  <c:v>8</c:v>
                </c:pt>
                <c:pt idx="1730">
                  <c:v>5.3</c:v>
                </c:pt>
                <c:pt idx="1731">
                  <c:v>6.7</c:v>
                </c:pt>
                <c:pt idx="1732">
                  <c:v>5.4</c:v>
                </c:pt>
                <c:pt idx="1733">
                  <c:v>5.4</c:v>
                </c:pt>
                <c:pt idx="1734">
                  <c:v>4.9000000000000004</c:v>
                </c:pt>
                <c:pt idx="1735">
                  <c:v>6.1</c:v>
                </c:pt>
                <c:pt idx="1736">
                  <c:v>5.8</c:v>
                </c:pt>
                <c:pt idx="1737">
                  <c:v>7</c:v>
                </c:pt>
                <c:pt idx="1738">
                  <c:v>6.5</c:v>
                </c:pt>
                <c:pt idx="1739">
                  <c:v>6.6</c:v>
                </c:pt>
                <c:pt idx="1740">
                  <c:v>6.1</c:v>
                </c:pt>
                <c:pt idx="1741">
                  <c:v>5.7</c:v>
                </c:pt>
                <c:pt idx="1742">
                  <c:v>6.6</c:v>
                </c:pt>
                <c:pt idx="1743">
                  <c:v>7</c:v>
                </c:pt>
                <c:pt idx="1744">
                  <c:v>7.4</c:v>
                </c:pt>
                <c:pt idx="1745">
                  <c:v>5.3</c:v>
                </c:pt>
                <c:pt idx="1746">
                  <c:v>7.4</c:v>
                </c:pt>
                <c:pt idx="1747">
                  <c:v>7.4</c:v>
                </c:pt>
                <c:pt idx="1748">
                  <c:v>6.8</c:v>
                </c:pt>
                <c:pt idx="1749">
                  <c:v>7.2</c:v>
                </c:pt>
                <c:pt idx="1750">
                  <c:v>6</c:v>
                </c:pt>
                <c:pt idx="1751">
                  <c:v>6.6</c:v>
                </c:pt>
                <c:pt idx="1752">
                  <c:v>7.9</c:v>
                </c:pt>
                <c:pt idx="1753">
                  <c:v>6.2</c:v>
                </c:pt>
                <c:pt idx="1754">
                  <c:v>5.7</c:v>
                </c:pt>
                <c:pt idx="1755">
                  <c:v>7.1</c:v>
                </c:pt>
                <c:pt idx="1756">
                  <c:v>5.6</c:v>
                </c:pt>
                <c:pt idx="1757">
                  <c:v>7.8</c:v>
                </c:pt>
                <c:pt idx="1758">
                  <c:v>7.9</c:v>
                </c:pt>
                <c:pt idx="1759">
                  <c:v>6.9</c:v>
                </c:pt>
                <c:pt idx="1760">
                  <c:v>7.4</c:v>
                </c:pt>
                <c:pt idx="1761">
                  <c:v>7.7</c:v>
                </c:pt>
                <c:pt idx="1762">
                  <c:v>6.9</c:v>
                </c:pt>
                <c:pt idx="1763">
                  <c:v>6.7</c:v>
                </c:pt>
                <c:pt idx="1764">
                  <c:v>6</c:v>
                </c:pt>
                <c:pt idx="1765">
                  <c:v>6.2</c:v>
                </c:pt>
                <c:pt idx="1766">
                  <c:v>5.9</c:v>
                </c:pt>
                <c:pt idx="1767">
                  <c:v>6.8</c:v>
                </c:pt>
                <c:pt idx="1768">
                  <c:v>3.6</c:v>
                </c:pt>
                <c:pt idx="1769">
                  <c:v>6.7</c:v>
                </c:pt>
                <c:pt idx="1770">
                  <c:v>6.3</c:v>
                </c:pt>
                <c:pt idx="1771">
                  <c:v>6.4</c:v>
                </c:pt>
                <c:pt idx="1772">
                  <c:v>6.4</c:v>
                </c:pt>
                <c:pt idx="1773">
                  <c:v>5.7</c:v>
                </c:pt>
                <c:pt idx="1774">
                  <c:v>6.2</c:v>
                </c:pt>
                <c:pt idx="1775">
                  <c:v>6.6</c:v>
                </c:pt>
                <c:pt idx="1776">
                  <c:v>5.2</c:v>
                </c:pt>
                <c:pt idx="1777">
                  <c:v>6.1</c:v>
                </c:pt>
                <c:pt idx="1778">
                  <c:v>7.1</c:v>
                </c:pt>
                <c:pt idx="1779">
                  <c:v>7.2</c:v>
                </c:pt>
                <c:pt idx="1780">
                  <c:v>6.5</c:v>
                </c:pt>
                <c:pt idx="1781">
                  <c:v>6</c:v>
                </c:pt>
                <c:pt idx="1782">
                  <c:v>7</c:v>
                </c:pt>
                <c:pt idx="1783">
                  <c:v>7</c:v>
                </c:pt>
                <c:pt idx="1784">
                  <c:v>7.5</c:v>
                </c:pt>
                <c:pt idx="1785">
                  <c:v>6.6</c:v>
                </c:pt>
                <c:pt idx="1786">
                  <c:v>7.4</c:v>
                </c:pt>
                <c:pt idx="1787">
                  <c:v>6.5</c:v>
                </c:pt>
                <c:pt idx="1788">
                  <c:v>6.2</c:v>
                </c:pt>
                <c:pt idx="1789">
                  <c:v>7.8</c:v>
                </c:pt>
                <c:pt idx="1790">
                  <c:v>5.2</c:v>
                </c:pt>
                <c:pt idx="1791">
                  <c:v>6.5</c:v>
                </c:pt>
                <c:pt idx="1792">
                  <c:v>6.5</c:v>
                </c:pt>
                <c:pt idx="1793">
                  <c:v>5.2</c:v>
                </c:pt>
                <c:pt idx="1794">
                  <c:v>7.2</c:v>
                </c:pt>
                <c:pt idx="1795">
                  <c:v>7.1</c:v>
                </c:pt>
                <c:pt idx="1796">
                  <c:v>4.5</c:v>
                </c:pt>
                <c:pt idx="1797">
                  <c:v>5.7</c:v>
                </c:pt>
                <c:pt idx="1798">
                  <c:v>6</c:v>
                </c:pt>
                <c:pt idx="1799">
                  <c:v>6.4</c:v>
                </c:pt>
                <c:pt idx="1800">
                  <c:v>5.2</c:v>
                </c:pt>
                <c:pt idx="1801">
                  <c:v>4.3</c:v>
                </c:pt>
                <c:pt idx="1802">
                  <c:v>6.1</c:v>
                </c:pt>
                <c:pt idx="1803">
                  <c:v>6.3</c:v>
                </c:pt>
                <c:pt idx="1804">
                  <c:v>6.8</c:v>
                </c:pt>
                <c:pt idx="1805">
                  <c:v>4</c:v>
                </c:pt>
                <c:pt idx="1806">
                  <c:v>5.2</c:v>
                </c:pt>
                <c:pt idx="1807">
                  <c:v>6.5</c:v>
                </c:pt>
                <c:pt idx="1808">
                  <c:v>7.5</c:v>
                </c:pt>
                <c:pt idx="1809">
                  <c:v>7.1</c:v>
                </c:pt>
                <c:pt idx="1810">
                  <c:v>6.9</c:v>
                </c:pt>
                <c:pt idx="1811">
                  <c:v>8</c:v>
                </c:pt>
                <c:pt idx="1812">
                  <c:v>8.1999999999999993</c:v>
                </c:pt>
                <c:pt idx="1813">
                  <c:v>6.4</c:v>
                </c:pt>
                <c:pt idx="1814">
                  <c:v>7.9</c:v>
                </c:pt>
                <c:pt idx="1815">
                  <c:v>6.7</c:v>
                </c:pt>
                <c:pt idx="1816">
                  <c:v>6.1</c:v>
                </c:pt>
                <c:pt idx="1817">
                  <c:v>8.9</c:v>
                </c:pt>
                <c:pt idx="1818">
                  <c:v>8.1</c:v>
                </c:pt>
                <c:pt idx="1819">
                  <c:v>6.2</c:v>
                </c:pt>
                <c:pt idx="1820">
                  <c:v>4.9000000000000004</c:v>
                </c:pt>
                <c:pt idx="1821">
                  <c:v>5.4</c:v>
                </c:pt>
                <c:pt idx="1822">
                  <c:v>5.8</c:v>
                </c:pt>
                <c:pt idx="1823">
                  <c:v>4.7</c:v>
                </c:pt>
                <c:pt idx="1824">
                  <c:v>6</c:v>
                </c:pt>
                <c:pt idx="1825">
                  <c:v>7</c:v>
                </c:pt>
                <c:pt idx="1826">
                  <c:v>6</c:v>
                </c:pt>
                <c:pt idx="1827">
                  <c:v>7.9</c:v>
                </c:pt>
                <c:pt idx="1828">
                  <c:v>8.1</c:v>
                </c:pt>
                <c:pt idx="1829">
                  <c:v>6.2</c:v>
                </c:pt>
                <c:pt idx="1830">
                  <c:v>6.7</c:v>
                </c:pt>
                <c:pt idx="1831">
                  <c:v>7.3</c:v>
                </c:pt>
                <c:pt idx="1832">
                  <c:v>4.5999999999999996</c:v>
                </c:pt>
                <c:pt idx="1833">
                  <c:v>6.1</c:v>
                </c:pt>
                <c:pt idx="1834">
                  <c:v>6.2</c:v>
                </c:pt>
                <c:pt idx="1835">
                  <c:v>7.8</c:v>
                </c:pt>
                <c:pt idx="1836">
                  <c:v>6.1</c:v>
                </c:pt>
                <c:pt idx="1837">
                  <c:v>7.6</c:v>
                </c:pt>
                <c:pt idx="1838">
                  <c:v>5.8</c:v>
                </c:pt>
                <c:pt idx="1839">
                  <c:v>6.5</c:v>
                </c:pt>
                <c:pt idx="1840">
                  <c:v>7.2</c:v>
                </c:pt>
                <c:pt idx="1841">
                  <c:v>7.8</c:v>
                </c:pt>
                <c:pt idx="1842">
                  <c:v>4.7</c:v>
                </c:pt>
                <c:pt idx="1843">
                  <c:v>6.8</c:v>
                </c:pt>
                <c:pt idx="1844">
                  <c:v>5.9</c:v>
                </c:pt>
                <c:pt idx="1845">
                  <c:v>7.2</c:v>
                </c:pt>
                <c:pt idx="1846">
                  <c:v>8.6999999999999993</c:v>
                </c:pt>
                <c:pt idx="1847">
                  <c:v>5</c:v>
                </c:pt>
                <c:pt idx="1848">
                  <c:v>6.6</c:v>
                </c:pt>
                <c:pt idx="1849">
                  <c:v>8.3000000000000007</c:v>
                </c:pt>
                <c:pt idx="1850">
                  <c:v>6.7</c:v>
                </c:pt>
                <c:pt idx="1851">
                  <c:v>7.8</c:v>
                </c:pt>
                <c:pt idx="1852">
                  <c:v>6.5</c:v>
                </c:pt>
                <c:pt idx="1853">
                  <c:v>6.1</c:v>
                </c:pt>
                <c:pt idx="1854">
                  <c:v>8.1</c:v>
                </c:pt>
                <c:pt idx="1855">
                  <c:v>5.2</c:v>
                </c:pt>
                <c:pt idx="1856">
                  <c:v>5.6</c:v>
                </c:pt>
                <c:pt idx="1857">
                  <c:v>5.8</c:v>
                </c:pt>
                <c:pt idx="1858">
                  <c:v>6.6</c:v>
                </c:pt>
                <c:pt idx="1859">
                  <c:v>6.6</c:v>
                </c:pt>
                <c:pt idx="1860">
                  <c:v>5.5</c:v>
                </c:pt>
                <c:pt idx="1861">
                  <c:v>5.5</c:v>
                </c:pt>
                <c:pt idx="1862">
                  <c:v>7</c:v>
                </c:pt>
                <c:pt idx="1863">
                  <c:v>6.5</c:v>
                </c:pt>
                <c:pt idx="1864">
                  <c:v>5.8</c:v>
                </c:pt>
                <c:pt idx="1865">
                  <c:v>5.6</c:v>
                </c:pt>
                <c:pt idx="1866">
                  <c:v>5.6</c:v>
                </c:pt>
                <c:pt idx="1867">
                  <c:v>5.8</c:v>
                </c:pt>
                <c:pt idx="1868">
                  <c:v>7.6</c:v>
                </c:pt>
                <c:pt idx="1869">
                  <c:v>6.4</c:v>
                </c:pt>
                <c:pt idx="1870">
                  <c:v>6.3</c:v>
                </c:pt>
                <c:pt idx="1871">
                  <c:v>4.5999999999999996</c:v>
                </c:pt>
                <c:pt idx="1872">
                  <c:v>6.5</c:v>
                </c:pt>
                <c:pt idx="1873">
                  <c:v>7.5</c:v>
                </c:pt>
                <c:pt idx="1874">
                  <c:v>7.5</c:v>
                </c:pt>
                <c:pt idx="1875">
                  <c:v>5.3</c:v>
                </c:pt>
                <c:pt idx="1876">
                  <c:v>7.5</c:v>
                </c:pt>
                <c:pt idx="1877">
                  <c:v>3.3</c:v>
                </c:pt>
                <c:pt idx="1878">
                  <c:v>5.7</c:v>
                </c:pt>
                <c:pt idx="1879">
                  <c:v>3.5</c:v>
                </c:pt>
                <c:pt idx="1880">
                  <c:v>9.3000000000000007</c:v>
                </c:pt>
                <c:pt idx="1881">
                  <c:v>4.8</c:v>
                </c:pt>
                <c:pt idx="1882">
                  <c:v>6.9</c:v>
                </c:pt>
                <c:pt idx="1883">
                  <c:v>6</c:v>
                </c:pt>
                <c:pt idx="1884">
                  <c:v>7.3</c:v>
                </c:pt>
                <c:pt idx="1885">
                  <c:v>6</c:v>
                </c:pt>
                <c:pt idx="1886">
                  <c:v>6.6</c:v>
                </c:pt>
                <c:pt idx="1887">
                  <c:v>7.5</c:v>
                </c:pt>
                <c:pt idx="1888">
                  <c:v>6.9</c:v>
                </c:pt>
                <c:pt idx="1889">
                  <c:v>6.8</c:v>
                </c:pt>
                <c:pt idx="1890">
                  <c:v>6.3</c:v>
                </c:pt>
                <c:pt idx="1891">
                  <c:v>6.4</c:v>
                </c:pt>
                <c:pt idx="1892">
                  <c:v>5.6</c:v>
                </c:pt>
                <c:pt idx="1893">
                  <c:v>6.3</c:v>
                </c:pt>
                <c:pt idx="1894">
                  <c:v>7.3</c:v>
                </c:pt>
                <c:pt idx="1895">
                  <c:v>6.6</c:v>
                </c:pt>
                <c:pt idx="1896">
                  <c:v>4.5999999999999996</c:v>
                </c:pt>
                <c:pt idx="1897">
                  <c:v>5.0999999999999996</c:v>
                </c:pt>
                <c:pt idx="1898">
                  <c:v>5.6</c:v>
                </c:pt>
                <c:pt idx="1899">
                  <c:v>5.3</c:v>
                </c:pt>
                <c:pt idx="1900">
                  <c:v>7.5</c:v>
                </c:pt>
                <c:pt idx="1901">
                  <c:v>5.6</c:v>
                </c:pt>
                <c:pt idx="1902">
                  <c:v>5.9</c:v>
                </c:pt>
                <c:pt idx="1903">
                  <c:v>4.7</c:v>
                </c:pt>
                <c:pt idx="1904">
                  <c:v>4.8</c:v>
                </c:pt>
                <c:pt idx="1905">
                  <c:v>6.8</c:v>
                </c:pt>
                <c:pt idx="1906">
                  <c:v>5.4</c:v>
                </c:pt>
                <c:pt idx="1907">
                  <c:v>5.0999999999999996</c:v>
                </c:pt>
                <c:pt idx="1908">
                  <c:v>7</c:v>
                </c:pt>
                <c:pt idx="1909">
                  <c:v>6.7</c:v>
                </c:pt>
                <c:pt idx="1910">
                  <c:v>4</c:v>
                </c:pt>
                <c:pt idx="1911">
                  <c:v>7.3</c:v>
                </c:pt>
                <c:pt idx="1912">
                  <c:v>6.8</c:v>
                </c:pt>
                <c:pt idx="1913">
                  <c:v>6.1</c:v>
                </c:pt>
                <c:pt idx="1914">
                  <c:v>7</c:v>
                </c:pt>
                <c:pt idx="1915">
                  <c:v>7.1</c:v>
                </c:pt>
                <c:pt idx="1916">
                  <c:v>6.9</c:v>
                </c:pt>
                <c:pt idx="1917">
                  <c:v>7.3</c:v>
                </c:pt>
                <c:pt idx="1918">
                  <c:v>6.3</c:v>
                </c:pt>
                <c:pt idx="1919">
                  <c:v>8.1999999999999993</c:v>
                </c:pt>
                <c:pt idx="1920">
                  <c:v>7.1</c:v>
                </c:pt>
                <c:pt idx="1921">
                  <c:v>7.7</c:v>
                </c:pt>
                <c:pt idx="1922">
                  <c:v>6.5</c:v>
                </c:pt>
                <c:pt idx="1923">
                  <c:v>4.9000000000000004</c:v>
                </c:pt>
                <c:pt idx="1924">
                  <c:v>6.4</c:v>
                </c:pt>
                <c:pt idx="1925">
                  <c:v>5.9</c:v>
                </c:pt>
                <c:pt idx="1926">
                  <c:v>6.2</c:v>
                </c:pt>
                <c:pt idx="1927">
                  <c:v>5.8</c:v>
                </c:pt>
                <c:pt idx="1928">
                  <c:v>6.7</c:v>
                </c:pt>
                <c:pt idx="1929">
                  <c:v>5.9</c:v>
                </c:pt>
                <c:pt idx="1930">
                  <c:v>7.3</c:v>
                </c:pt>
                <c:pt idx="1931">
                  <c:v>4.8</c:v>
                </c:pt>
                <c:pt idx="1932">
                  <c:v>4.0999999999999996</c:v>
                </c:pt>
                <c:pt idx="1933">
                  <c:v>4.9000000000000004</c:v>
                </c:pt>
                <c:pt idx="1934">
                  <c:v>7.9</c:v>
                </c:pt>
                <c:pt idx="1935">
                  <c:v>5.2</c:v>
                </c:pt>
                <c:pt idx="1936">
                  <c:v>4.0999999999999996</c:v>
                </c:pt>
                <c:pt idx="1937">
                  <c:v>6.6</c:v>
                </c:pt>
                <c:pt idx="1938">
                  <c:v>2.9</c:v>
                </c:pt>
                <c:pt idx="1939">
                  <c:v>7.2</c:v>
                </c:pt>
                <c:pt idx="1940">
                  <c:v>6.5</c:v>
                </c:pt>
                <c:pt idx="1941">
                  <c:v>6.8</c:v>
                </c:pt>
                <c:pt idx="1942">
                  <c:v>7.2</c:v>
                </c:pt>
                <c:pt idx="1943">
                  <c:v>6.8</c:v>
                </c:pt>
                <c:pt idx="1944">
                  <c:v>7.8</c:v>
                </c:pt>
                <c:pt idx="1945">
                  <c:v>6.7</c:v>
                </c:pt>
                <c:pt idx="1946">
                  <c:v>6.1</c:v>
                </c:pt>
                <c:pt idx="1947">
                  <c:v>7.1</c:v>
                </c:pt>
                <c:pt idx="1948">
                  <c:v>5.7</c:v>
                </c:pt>
                <c:pt idx="1949">
                  <c:v>2.9</c:v>
                </c:pt>
                <c:pt idx="1950">
                  <c:v>5.2</c:v>
                </c:pt>
                <c:pt idx="1951">
                  <c:v>5.3</c:v>
                </c:pt>
                <c:pt idx="1952">
                  <c:v>6.2</c:v>
                </c:pt>
                <c:pt idx="1953">
                  <c:v>7.3</c:v>
                </c:pt>
                <c:pt idx="1954">
                  <c:v>6.5</c:v>
                </c:pt>
                <c:pt idx="1955">
                  <c:v>4.0999999999999996</c:v>
                </c:pt>
                <c:pt idx="1956">
                  <c:v>7.7</c:v>
                </c:pt>
                <c:pt idx="1957">
                  <c:v>6.1</c:v>
                </c:pt>
                <c:pt idx="1958">
                  <c:v>7.3</c:v>
                </c:pt>
                <c:pt idx="1959">
                  <c:v>7.2</c:v>
                </c:pt>
                <c:pt idx="1960">
                  <c:v>6.1</c:v>
                </c:pt>
                <c:pt idx="1961">
                  <c:v>5.8</c:v>
                </c:pt>
                <c:pt idx="1962">
                  <c:v>5.7</c:v>
                </c:pt>
                <c:pt idx="1963">
                  <c:v>6.7</c:v>
                </c:pt>
                <c:pt idx="1964">
                  <c:v>6.5</c:v>
                </c:pt>
                <c:pt idx="1965">
                  <c:v>7.2</c:v>
                </c:pt>
                <c:pt idx="1966">
                  <c:v>7.6</c:v>
                </c:pt>
                <c:pt idx="1967">
                  <c:v>4.5999999999999996</c:v>
                </c:pt>
                <c:pt idx="1968">
                  <c:v>6.9</c:v>
                </c:pt>
                <c:pt idx="1969">
                  <c:v>6.6</c:v>
                </c:pt>
                <c:pt idx="1970">
                  <c:v>6.3</c:v>
                </c:pt>
                <c:pt idx="1971">
                  <c:v>6.2</c:v>
                </c:pt>
                <c:pt idx="1972">
                  <c:v>5.3</c:v>
                </c:pt>
                <c:pt idx="1973">
                  <c:v>7.3</c:v>
                </c:pt>
                <c:pt idx="1974">
                  <c:v>5.6</c:v>
                </c:pt>
                <c:pt idx="1975">
                  <c:v>6.2</c:v>
                </c:pt>
                <c:pt idx="1976">
                  <c:v>5.2</c:v>
                </c:pt>
                <c:pt idx="1977">
                  <c:v>5.3</c:v>
                </c:pt>
                <c:pt idx="1978">
                  <c:v>5.4</c:v>
                </c:pt>
                <c:pt idx="1979">
                  <c:v>4.9000000000000004</c:v>
                </c:pt>
                <c:pt idx="1980">
                  <c:v>5.5</c:v>
                </c:pt>
                <c:pt idx="1981">
                  <c:v>6.7</c:v>
                </c:pt>
                <c:pt idx="1982">
                  <c:v>3.9</c:v>
                </c:pt>
                <c:pt idx="1983">
                  <c:v>7.2</c:v>
                </c:pt>
                <c:pt idx="1984">
                  <c:v>5.0999999999999996</c:v>
                </c:pt>
                <c:pt idx="1985">
                  <c:v>6.5</c:v>
                </c:pt>
                <c:pt idx="1986">
                  <c:v>8.1999999999999993</c:v>
                </c:pt>
                <c:pt idx="1987">
                  <c:v>7.7</c:v>
                </c:pt>
                <c:pt idx="1988">
                  <c:v>6.1</c:v>
                </c:pt>
                <c:pt idx="1989">
                  <c:v>8.8000000000000007</c:v>
                </c:pt>
                <c:pt idx="1990">
                  <c:v>6.8</c:v>
                </c:pt>
                <c:pt idx="1991">
                  <c:v>6.8</c:v>
                </c:pt>
                <c:pt idx="1992">
                  <c:v>6.7</c:v>
                </c:pt>
                <c:pt idx="1993">
                  <c:v>7.1</c:v>
                </c:pt>
                <c:pt idx="1994">
                  <c:v>7.1</c:v>
                </c:pt>
                <c:pt idx="1995">
                  <c:v>6.1</c:v>
                </c:pt>
                <c:pt idx="1996">
                  <c:v>8</c:v>
                </c:pt>
                <c:pt idx="1997">
                  <c:v>6.6</c:v>
                </c:pt>
                <c:pt idx="1998">
                  <c:v>5.4</c:v>
                </c:pt>
                <c:pt idx="1999">
                  <c:v>6.1</c:v>
                </c:pt>
                <c:pt idx="2000">
                  <c:v>5.6</c:v>
                </c:pt>
                <c:pt idx="2001">
                  <c:v>5.8</c:v>
                </c:pt>
                <c:pt idx="2002">
                  <c:v>2.8</c:v>
                </c:pt>
                <c:pt idx="2003">
                  <c:v>6.7</c:v>
                </c:pt>
                <c:pt idx="2004">
                  <c:v>5.0999999999999996</c:v>
                </c:pt>
                <c:pt idx="2005">
                  <c:v>7.2</c:v>
                </c:pt>
                <c:pt idx="2006">
                  <c:v>6</c:v>
                </c:pt>
                <c:pt idx="2007">
                  <c:v>7.2</c:v>
                </c:pt>
                <c:pt idx="2008">
                  <c:v>6.7</c:v>
                </c:pt>
                <c:pt idx="2009">
                  <c:v>6.3</c:v>
                </c:pt>
                <c:pt idx="2010">
                  <c:v>6.2</c:v>
                </c:pt>
                <c:pt idx="2011">
                  <c:v>6.2</c:v>
                </c:pt>
                <c:pt idx="2012">
                  <c:v>6.9</c:v>
                </c:pt>
                <c:pt idx="2013">
                  <c:v>6.8</c:v>
                </c:pt>
                <c:pt idx="2014">
                  <c:v>7.1</c:v>
                </c:pt>
                <c:pt idx="2015">
                  <c:v>7.1</c:v>
                </c:pt>
                <c:pt idx="2016">
                  <c:v>7</c:v>
                </c:pt>
                <c:pt idx="2017">
                  <c:v>7.1</c:v>
                </c:pt>
                <c:pt idx="2018">
                  <c:v>6.4</c:v>
                </c:pt>
                <c:pt idx="2019">
                  <c:v>7</c:v>
                </c:pt>
                <c:pt idx="2020">
                  <c:v>6.2</c:v>
                </c:pt>
                <c:pt idx="2021">
                  <c:v>7.5</c:v>
                </c:pt>
                <c:pt idx="2022">
                  <c:v>4.8</c:v>
                </c:pt>
                <c:pt idx="2023">
                  <c:v>8.1</c:v>
                </c:pt>
                <c:pt idx="2024">
                  <c:v>7.3</c:v>
                </c:pt>
                <c:pt idx="2025">
                  <c:v>5.8</c:v>
                </c:pt>
                <c:pt idx="2026">
                  <c:v>7.6</c:v>
                </c:pt>
                <c:pt idx="2027">
                  <c:v>5.6</c:v>
                </c:pt>
                <c:pt idx="2028">
                  <c:v>7</c:v>
                </c:pt>
                <c:pt idx="2029">
                  <c:v>6.6</c:v>
                </c:pt>
                <c:pt idx="2030">
                  <c:v>6.5</c:v>
                </c:pt>
                <c:pt idx="2031">
                  <c:v>7.4</c:v>
                </c:pt>
                <c:pt idx="2032">
                  <c:v>4.5999999999999996</c:v>
                </c:pt>
                <c:pt idx="2033">
                  <c:v>6.4</c:v>
                </c:pt>
                <c:pt idx="2034">
                  <c:v>6.4</c:v>
                </c:pt>
                <c:pt idx="2035">
                  <c:v>5.9</c:v>
                </c:pt>
                <c:pt idx="2036">
                  <c:v>6.4</c:v>
                </c:pt>
                <c:pt idx="2037">
                  <c:v>6.6</c:v>
                </c:pt>
                <c:pt idx="2038">
                  <c:v>6.9</c:v>
                </c:pt>
                <c:pt idx="2039">
                  <c:v>5.8</c:v>
                </c:pt>
                <c:pt idx="2040">
                  <c:v>6.4</c:v>
                </c:pt>
                <c:pt idx="2041">
                  <c:v>5.3</c:v>
                </c:pt>
                <c:pt idx="2042">
                  <c:v>6.5</c:v>
                </c:pt>
                <c:pt idx="2043">
                  <c:v>5.7</c:v>
                </c:pt>
                <c:pt idx="2044">
                  <c:v>6.7</c:v>
                </c:pt>
                <c:pt idx="2045">
                  <c:v>3.9</c:v>
                </c:pt>
                <c:pt idx="2046">
                  <c:v>4.0999999999999996</c:v>
                </c:pt>
                <c:pt idx="2047">
                  <c:v>6.2</c:v>
                </c:pt>
                <c:pt idx="2048">
                  <c:v>3.8</c:v>
                </c:pt>
                <c:pt idx="2049">
                  <c:v>5.0999999999999996</c:v>
                </c:pt>
                <c:pt idx="2050">
                  <c:v>6.4</c:v>
                </c:pt>
                <c:pt idx="2051">
                  <c:v>7.8</c:v>
                </c:pt>
                <c:pt idx="2052">
                  <c:v>7.8</c:v>
                </c:pt>
                <c:pt idx="2053">
                  <c:v>6.1</c:v>
                </c:pt>
                <c:pt idx="2054">
                  <c:v>5.8</c:v>
                </c:pt>
                <c:pt idx="2055">
                  <c:v>6.3</c:v>
                </c:pt>
                <c:pt idx="2056">
                  <c:v>7.7</c:v>
                </c:pt>
                <c:pt idx="2057">
                  <c:v>5.4</c:v>
                </c:pt>
                <c:pt idx="2058">
                  <c:v>7.3</c:v>
                </c:pt>
                <c:pt idx="2059">
                  <c:v>6.8</c:v>
                </c:pt>
                <c:pt idx="2060">
                  <c:v>7.3</c:v>
                </c:pt>
                <c:pt idx="2061">
                  <c:v>6.5</c:v>
                </c:pt>
                <c:pt idx="2062">
                  <c:v>7.2</c:v>
                </c:pt>
                <c:pt idx="2063">
                  <c:v>6.7</c:v>
                </c:pt>
                <c:pt idx="2064">
                  <c:v>6.3</c:v>
                </c:pt>
                <c:pt idx="2065">
                  <c:v>5.9</c:v>
                </c:pt>
                <c:pt idx="2066">
                  <c:v>7.8</c:v>
                </c:pt>
                <c:pt idx="2067">
                  <c:v>7.4</c:v>
                </c:pt>
                <c:pt idx="2068">
                  <c:v>4.8</c:v>
                </c:pt>
                <c:pt idx="2069">
                  <c:v>6.3</c:v>
                </c:pt>
                <c:pt idx="2070">
                  <c:v>7.8</c:v>
                </c:pt>
                <c:pt idx="2071">
                  <c:v>7.5</c:v>
                </c:pt>
                <c:pt idx="2072">
                  <c:v>6</c:v>
                </c:pt>
                <c:pt idx="2073">
                  <c:v>6.8</c:v>
                </c:pt>
                <c:pt idx="2074">
                  <c:v>6.6</c:v>
                </c:pt>
                <c:pt idx="2075">
                  <c:v>4.5999999999999996</c:v>
                </c:pt>
                <c:pt idx="2076">
                  <c:v>7.1</c:v>
                </c:pt>
                <c:pt idx="2077">
                  <c:v>6.1</c:v>
                </c:pt>
                <c:pt idx="2078">
                  <c:v>6.7</c:v>
                </c:pt>
                <c:pt idx="2079">
                  <c:v>7.1</c:v>
                </c:pt>
                <c:pt idx="2080">
                  <c:v>5.8</c:v>
                </c:pt>
                <c:pt idx="2081">
                  <c:v>6.7</c:v>
                </c:pt>
                <c:pt idx="2082">
                  <c:v>5.8</c:v>
                </c:pt>
                <c:pt idx="2083">
                  <c:v>6.8</c:v>
                </c:pt>
                <c:pt idx="2084">
                  <c:v>8.5</c:v>
                </c:pt>
                <c:pt idx="2085">
                  <c:v>6.6</c:v>
                </c:pt>
                <c:pt idx="2086">
                  <c:v>7.7</c:v>
                </c:pt>
                <c:pt idx="2087">
                  <c:v>4.7</c:v>
                </c:pt>
                <c:pt idx="2088">
                  <c:v>6.4</c:v>
                </c:pt>
                <c:pt idx="2089">
                  <c:v>5.5</c:v>
                </c:pt>
                <c:pt idx="2090">
                  <c:v>8.6</c:v>
                </c:pt>
                <c:pt idx="2091">
                  <c:v>7</c:v>
                </c:pt>
                <c:pt idx="2092">
                  <c:v>7.1</c:v>
                </c:pt>
                <c:pt idx="2093">
                  <c:v>5.7</c:v>
                </c:pt>
                <c:pt idx="2094">
                  <c:v>3.7</c:v>
                </c:pt>
                <c:pt idx="2095">
                  <c:v>7.5</c:v>
                </c:pt>
                <c:pt idx="2096">
                  <c:v>4.5999999999999996</c:v>
                </c:pt>
                <c:pt idx="2097">
                  <c:v>4.9000000000000004</c:v>
                </c:pt>
                <c:pt idx="2098">
                  <c:v>7.1</c:v>
                </c:pt>
                <c:pt idx="2099">
                  <c:v>5.8</c:v>
                </c:pt>
                <c:pt idx="2100">
                  <c:v>5.4</c:v>
                </c:pt>
                <c:pt idx="2101">
                  <c:v>7.3</c:v>
                </c:pt>
                <c:pt idx="2102">
                  <c:v>7.1</c:v>
                </c:pt>
                <c:pt idx="2103">
                  <c:v>5.8</c:v>
                </c:pt>
                <c:pt idx="2104">
                  <c:v>8.1</c:v>
                </c:pt>
                <c:pt idx="2105">
                  <c:v>5.7</c:v>
                </c:pt>
                <c:pt idx="2106">
                  <c:v>4.4000000000000004</c:v>
                </c:pt>
                <c:pt idx="2107">
                  <c:v>7.9</c:v>
                </c:pt>
                <c:pt idx="2108">
                  <c:v>7.6</c:v>
                </c:pt>
                <c:pt idx="2109">
                  <c:v>4.8</c:v>
                </c:pt>
                <c:pt idx="2110">
                  <c:v>7.8</c:v>
                </c:pt>
                <c:pt idx="2111">
                  <c:v>6.7</c:v>
                </c:pt>
                <c:pt idx="2112">
                  <c:v>2.7</c:v>
                </c:pt>
                <c:pt idx="2113">
                  <c:v>5.8</c:v>
                </c:pt>
                <c:pt idx="2114">
                  <c:v>7.5</c:v>
                </c:pt>
                <c:pt idx="2115">
                  <c:v>5.4</c:v>
                </c:pt>
                <c:pt idx="2116">
                  <c:v>4.0999999999999996</c:v>
                </c:pt>
                <c:pt idx="2117">
                  <c:v>5.9</c:v>
                </c:pt>
                <c:pt idx="2118">
                  <c:v>6.3</c:v>
                </c:pt>
                <c:pt idx="2119">
                  <c:v>7</c:v>
                </c:pt>
                <c:pt idx="2120">
                  <c:v>6.8</c:v>
                </c:pt>
                <c:pt idx="2121">
                  <c:v>2.2999999999999998</c:v>
                </c:pt>
                <c:pt idx="2122">
                  <c:v>8.1</c:v>
                </c:pt>
                <c:pt idx="2123">
                  <c:v>6.1</c:v>
                </c:pt>
                <c:pt idx="2124">
                  <c:v>5</c:v>
                </c:pt>
                <c:pt idx="2125">
                  <c:v>5.5</c:v>
                </c:pt>
                <c:pt idx="2126">
                  <c:v>6.2</c:v>
                </c:pt>
                <c:pt idx="2127">
                  <c:v>6.2</c:v>
                </c:pt>
                <c:pt idx="2128">
                  <c:v>5.9</c:v>
                </c:pt>
                <c:pt idx="2129">
                  <c:v>6.3</c:v>
                </c:pt>
                <c:pt idx="2130">
                  <c:v>6.7</c:v>
                </c:pt>
                <c:pt idx="2131">
                  <c:v>3.5</c:v>
                </c:pt>
                <c:pt idx="2132">
                  <c:v>7.5</c:v>
                </c:pt>
                <c:pt idx="2133">
                  <c:v>6.6</c:v>
                </c:pt>
                <c:pt idx="2134">
                  <c:v>7.5</c:v>
                </c:pt>
                <c:pt idx="2135">
                  <c:v>7.2</c:v>
                </c:pt>
                <c:pt idx="2136">
                  <c:v>4.8</c:v>
                </c:pt>
                <c:pt idx="2137">
                  <c:v>6.6</c:v>
                </c:pt>
                <c:pt idx="2138">
                  <c:v>3.5</c:v>
                </c:pt>
                <c:pt idx="2139">
                  <c:v>6.7</c:v>
                </c:pt>
                <c:pt idx="2140">
                  <c:v>7.6</c:v>
                </c:pt>
                <c:pt idx="2141">
                  <c:v>6.3</c:v>
                </c:pt>
                <c:pt idx="2142">
                  <c:v>5.5</c:v>
                </c:pt>
                <c:pt idx="2143">
                  <c:v>6.3</c:v>
                </c:pt>
                <c:pt idx="2144">
                  <c:v>6.5</c:v>
                </c:pt>
                <c:pt idx="2145">
                  <c:v>5.6</c:v>
                </c:pt>
                <c:pt idx="2146">
                  <c:v>6.9</c:v>
                </c:pt>
                <c:pt idx="2147">
                  <c:v>7.6</c:v>
                </c:pt>
                <c:pt idx="2148">
                  <c:v>3.9</c:v>
                </c:pt>
                <c:pt idx="2149">
                  <c:v>6.1</c:v>
                </c:pt>
                <c:pt idx="2150">
                  <c:v>7.3</c:v>
                </c:pt>
                <c:pt idx="2151">
                  <c:v>8.3000000000000007</c:v>
                </c:pt>
                <c:pt idx="2152">
                  <c:v>5.8</c:v>
                </c:pt>
                <c:pt idx="2153">
                  <c:v>6.8</c:v>
                </c:pt>
                <c:pt idx="2154">
                  <c:v>7</c:v>
                </c:pt>
                <c:pt idx="2155">
                  <c:v>5.9</c:v>
                </c:pt>
                <c:pt idx="2156">
                  <c:v>6.5</c:v>
                </c:pt>
                <c:pt idx="2157">
                  <c:v>6.4</c:v>
                </c:pt>
                <c:pt idx="2158">
                  <c:v>5.8</c:v>
                </c:pt>
                <c:pt idx="2159">
                  <c:v>5.0999999999999996</c:v>
                </c:pt>
                <c:pt idx="2160">
                  <c:v>6.8</c:v>
                </c:pt>
                <c:pt idx="2161">
                  <c:v>5.3</c:v>
                </c:pt>
                <c:pt idx="2162">
                  <c:v>5.3</c:v>
                </c:pt>
                <c:pt idx="2163">
                  <c:v>6.4</c:v>
                </c:pt>
                <c:pt idx="2164">
                  <c:v>4.9000000000000004</c:v>
                </c:pt>
                <c:pt idx="2165">
                  <c:v>6.8</c:v>
                </c:pt>
                <c:pt idx="2166">
                  <c:v>7.1</c:v>
                </c:pt>
                <c:pt idx="2167">
                  <c:v>6.8</c:v>
                </c:pt>
                <c:pt idx="2168">
                  <c:v>6.1</c:v>
                </c:pt>
                <c:pt idx="2169">
                  <c:v>8.5</c:v>
                </c:pt>
                <c:pt idx="2170">
                  <c:v>5.9</c:v>
                </c:pt>
                <c:pt idx="2171">
                  <c:v>6.3</c:v>
                </c:pt>
                <c:pt idx="2172">
                  <c:v>5.9</c:v>
                </c:pt>
                <c:pt idx="2173">
                  <c:v>5.4</c:v>
                </c:pt>
                <c:pt idx="2174">
                  <c:v>7</c:v>
                </c:pt>
                <c:pt idx="2175">
                  <c:v>6.9</c:v>
                </c:pt>
                <c:pt idx="2176">
                  <c:v>7.5</c:v>
                </c:pt>
                <c:pt idx="2177">
                  <c:v>8.1999999999999993</c:v>
                </c:pt>
                <c:pt idx="2178">
                  <c:v>5.9</c:v>
                </c:pt>
                <c:pt idx="2179">
                  <c:v>5</c:v>
                </c:pt>
                <c:pt idx="2180">
                  <c:v>7.3</c:v>
                </c:pt>
                <c:pt idx="2181">
                  <c:v>6.4</c:v>
                </c:pt>
                <c:pt idx="2182">
                  <c:v>6.6</c:v>
                </c:pt>
                <c:pt idx="2183">
                  <c:v>7.8</c:v>
                </c:pt>
                <c:pt idx="2184">
                  <c:v>4</c:v>
                </c:pt>
                <c:pt idx="2185">
                  <c:v>7.6</c:v>
                </c:pt>
                <c:pt idx="2186">
                  <c:v>7.7</c:v>
                </c:pt>
                <c:pt idx="2187">
                  <c:v>5.8</c:v>
                </c:pt>
                <c:pt idx="2188">
                  <c:v>5.6</c:v>
                </c:pt>
                <c:pt idx="2189">
                  <c:v>5.3</c:v>
                </c:pt>
                <c:pt idx="2190">
                  <c:v>7.4</c:v>
                </c:pt>
                <c:pt idx="2191">
                  <c:v>6.6</c:v>
                </c:pt>
                <c:pt idx="2192">
                  <c:v>6.2</c:v>
                </c:pt>
                <c:pt idx="2193">
                  <c:v>1.9</c:v>
                </c:pt>
                <c:pt idx="2194">
                  <c:v>5.7</c:v>
                </c:pt>
                <c:pt idx="2195">
                  <c:v>6.6</c:v>
                </c:pt>
                <c:pt idx="2196">
                  <c:v>6</c:v>
                </c:pt>
                <c:pt idx="2197">
                  <c:v>6.1</c:v>
                </c:pt>
                <c:pt idx="2198">
                  <c:v>4.8</c:v>
                </c:pt>
                <c:pt idx="2199">
                  <c:v>6.2</c:v>
                </c:pt>
                <c:pt idx="2200">
                  <c:v>7.5</c:v>
                </c:pt>
                <c:pt idx="2201">
                  <c:v>6.3</c:v>
                </c:pt>
                <c:pt idx="2202">
                  <c:v>7.1</c:v>
                </c:pt>
                <c:pt idx="2203">
                  <c:v>6.6</c:v>
                </c:pt>
                <c:pt idx="2204">
                  <c:v>6.1</c:v>
                </c:pt>
                <c:pt idx="2205">
                  <c:v>6.7</c:v>
                </c:pt>
                <c:pt idx="2206">
                  <c:v>5.6</c:v>
                </c:pt>
                <c:pt idx="2207">
                  <c:v>7.2</c:v>
                </c:pt>
                <c:pt idx="2208">
                  <c:v>4.3</c:v>
                </c:pt>
                <c:pt idx="2209">
                  <c:v>6.4</c:v>
                </c:pt>
                <c:pt idx="2210">
                  <c:v>7.1</c:v>
                </c:pt>
                <c:pt idx="2211">
                  <c:v>6.3</c:v>
                </c:pt>
                <c:pt idx="2212">
                  <c:v>7.4</c:v>
                </c:pt>
                <c:pt idx="2213">
                  <c:v>6.1</c:v>
                </c:pt>
                <c:pt idx="2214">
                  <c:v>6.6</c:v>
                </c:pt>
                <c:pt idx="2215">
                  <c:v>6</c:v>
                </c:pt>
                <c:pt idx="2216">
                  <c:v>6.8</c:v>
                </c:pt>
                <c:pt idx="2217">
                  <c:v>6.8</c:v>
                </c:pt>
                <c:pt idx="2218">
                  <c:v>7.2</c:v>
                </c:pt>
                <c:pt idx="2219">
                  <c:v>1.9</c:v>
                </c:pt>
                <c:pt idx="2220">
                  <c:v>5.5</c:v>
                </c:pt>
                <c:pt idx="2221">
                  <c:v>4.5</c:v>
                </c:pt>
                <c:pt idx="2222">
                  <c:v>6.3</c:v>
                </c:pt>
                <c:pt idx="2223">
                  <c:v>7</c:v>
                </c:pt>
                <c:pt idx="2224">
                  <c:v>6.7</c:v>
                </c:pt>
                <c:pt idx="2225">
                  <c:v>2.8</c:v>
                </c:pt>
                <c:pt idx="2226">
                  <c:v>5</c:v>
                </c:pt>
                <c:pt idx="2227">
                  <c:v>4.3</c:v>
                </c:pt>
                <c:pt idx="2228">
                  <c:v>5.6</c:v>
                </c:pt>
                <c:pt idx="2229">
                  <c:v>6.2</c:v>
                </c:pt>
                <c:pt idx="2230">
                  <c:v>5.3</c:v>
                </c:pt>
                <c:pt idx="2231">
                  <c:v>7.4</c:v>
                </c:pt>
                <c:pt idx="2232">
                  <c:v>7.4</c:v>
                </c:pt>
                <c:pt idx="2233">
                  <c:v>6.5</c:v>
                </c:pt>
                <c:pt idx="2234">
                  <c:v>7.1</c:v>
                </c:pt>
                <c:pt idx="2235">
                  <c:v>7.2</c:v>
                </c:pt>
                <c:pt idx="2236">
                  <c:v>2.2999999999999998</c:v>
                </c:pt>
                <c:pt idx="2237">
                  <c:v>6.4</c:v>
                </c:pt>
                <c:pt idx="2238">
                  <c:v>6.1</c:v>
                </c:pt>
                <c:pt idx="2239">
                  <c:v>7</c:v>
                </c:pt>
                <c:pt idx="2240">
                  <c:v>6.5</c:v>
                </c:pt>
                <c:pt idx="2241">
                  <c:v>7</c:v>
                </c:pt>
                <c:pt idx="2242">
                  <c:v>7</c:v>
                </c:pt>
                <c:pt idx="2243">
                  <c:v>4.9000000000000004</c:v>
                </c:pt>
                <c:pt idx="2244">
                  <c:v>6.9</c:v>
                </c:pt>
                <c:pt idx="2245">
                  <c:v>7.5</c:v>
                </c:pt>
                <c:pt idx="2246">
                  <c:v>8.4</c:v>
                </c:pt>
                <c:pt idx="2247">
                  <c:v>6.9</c:v>
                </c:pt>
                <c:pt idx="2248">
                  <c:v>4.5</c:v>
                </c:pt>
                <c:pt idx="2249">
                  <c:v>7.4</c:v>
                </c:pt>
                <c:pt idx="2250">
                  <c:v>7</c:v>
                </c:pt>
                <c:pt idx="2251">
                  <c:v>2.8</c:v>
                </c:pt>
                <c:pt idx="2252">
                  <c:v>7.5</c:v>
                </c:pt>
                <c:pt idx="2253">
                  <c:v>7.1</c:v>
                </c:pt>
                <c:pt idx="2254">
                  <c:v>6.4</c:v>
                </c:pt>
                <c:pt idx="2255">
                  <c:v>6.7</c:v>
                </c:pt>
                <c:pt idx="2256">
                  <c:v>5.3</c:v>
                </c:pt>
                <c:pt idx="2257">
                  <c:v>6.9</c:v>
                </c:pt>
                <c:pt idx="2258">
                  <c:v>6.2</c:v>
                </c:pt>
                <c:pt idx="2259">
                  <c:v>6.3</c:v>
                </c:pt>
                <c:pt idx="2260">
                  <c:v>6.4</c:v>
                </c:pt>
                <c:pt idx="2261">
                  <c:v>6.5</c:v>
                </c:pt>
                <c:pt idx="2262">
                  <c:v>6</c:v>
                </c:pt>
                <c:pt idx="2263">
                  <c:v>5.0999999999999996</c:v>
                </c:pt>
                <c:pt idx="2264">
                  <c:v>5.5</c:v>
                </c:pt>
                <c:pt idx="2265">
                  <c:v>5.4</c:v>
                </c:pt>
                <c:pt idx="2266">
                  <c:v>5.7</c:v>
                </c:pt>
                <c:pt idx="2267">
                  <c:v>5.2</c:v>
                </c:pt>
                <c:pt idx="2268">
                  <c:v>6.2</c:v>
                </c:pt>
                <c:pt idx="2269">
                  <c:v>6.7</c:v>
                </c:pt>
                <c:pt idx="2270">
                  <c:v>5.8</c:v>
                </c:pt>
                <c:pt idx="2271">
                  <c:v>7</c:v>
                </c:pt>
                <c:pt idx="2272">
                  <c:v>4.8</c:v>
                </c:pt>
                <c:pt idx="2273">
                  <c:v>7.2</c:v>
                </c:pt>
                <c:pt idx="2274">
                  <c:v>5.6</c:v>
                </c:pt>
                <c:pt idx="2275">
                  <c:v>6.4</c:v>
                </c:pt>
                <c:pt idx="2276">
                  <c:v>7.5</c:v>
                </c:pt>
                <c:pt idx="2277">
                  <c:v>7.4</c:v>
                </c:pt>
                <c:pt idx="2278">
                  <c:v>8</c:v>
                </c:pt>
                <c:pt idx="2279">
                  <c:v>5.7</c:v>
                </c:pt>
                <c:pt idx="2280">
                  <c:v>6.8</c:v>
                </c:pt>
                <c:pt idx="2281">
                  <c:v>5.9</c:v>
                </c:pt>
                <c:pt idx="2282">
                  <c:v>7.2</c:v>
                </c:pt>
                <c:pt idx="2283">
                  <c:v>5.5</c:v>
                </c:pt>
                <c:pt idx="2284">
                  <c:v>8.4</c:v>
                </c:pt>
                <c:pt idx="2285">
                  <c:v>8.5</c:v>
                </c:pt>
                <c:pt idx="2286">
                  <c:v>5.6</c:v>
                </c:pt>
                <c:pt idx="2287">
                  <c:v>4.0999999999999996</c:v>
                </c:pt>
                <c:pt idx="2288">
                  <c:v>5</c:v>
                </c:pt>
                <c:pt idx="2289">
                  <c:v>6.1</c:v>
                </c:pt>
                <c:pt idx="2290">
                  <c:v>5.4</c:v>
                </c:pt>
                <c:pt idx="2291">
                  <c:v>7.1</c:v>
                </c:pt>
                <c:pt idx="2292">
                  <c:v>3.6</c:v>
                </c:pt>
                <c:pt idx="2293">
                  <c:v>6.5</c:v>
                </c:pt>
                <c:pt idx="2294">
                  <c:v>8.6</c:v>
                </c:pt>
                <c:pt idx="2295">
                  <c:v>6.2</c:v>
                </c:pt>
                <c:pt idx="2296">
                  <c:v>7</c:v>
                </c:pt>
                <c:pt idx="2297">
                  <c:v>7.6</c:v>
                </c:pt>
                <c:pt idx="2298">
                  <c:v>6.5</c:v>
                </c:pt>
                <c:pt idx="2299">
                  <c:v>6.4</c:v>
                </c:pt>
                <c:pt idx="2300">
                  <c:v>6.7</c:v>
                </c:pt>
                <c:pt idx="2301">
                  <c:v>6.3</c:v>
                </c:pt>
                <c:pt idx="2302">
                  <c:v>6.4</c:v>
                </c:pt>
                <c:pt idx="2303">
                  <c:v>5.7</c:v>
                </c:pt>
                <c:pt idx="2304">
                  <c:v>6.3</c:v>
                </c:pt>
                <c:pt idx="2305">
                  <c:v>7.8</c:v>
                </c:pt>
                <c:pt idx="2306">
                  <c:v>6</c:v>
                </c:pt>
                <c:pt idx="2307">
                  <c:v>7.7</c:v>
                </c:pt>
                <c:pt idx="2308">
                  <c:v>6.2</c:v>
                </c:pt>
                <c:pt idx="2309">
                  <c:v>5.7</c:v>
                </c:pt>
                <c:pt idx="2310">
                  <c:v>7.7</c:v>
                </c:pt>
                <c:pt idx="2311">
                  <c:v>6.4</c:v>
                </c:pt>
                <c:pt idx="2312">
                  <c:v>6.4</c:v>
                </c:pt>
                <c:pt idx="2313">
                  <c:v>6.9</c:v>
                </c:pt>
                <c:pt idx="2314">
                  <c:v>7.3</c:v>
                </c:pt>
                <c:pt idx="2315">
                  <c:v>7.3</c:v>
                </c:pt>
                <c:pt idx="2316">
                  <c:v>6.2</c:v>
                </c:pt>
                <c:pt idx="2317">
                  <c:v>6.6</c:v>
                </c:pt>
                <c:pt idx="2318">
                  <c:v>6.7</c:v>
                </c:pt>
                <c:pt idx="2319">
                  <c:v>5.7</c:v>
                </c:pt>
                <c:pt idx="2320">
                  <c:v>3.1</c:v>
                </c:pt>
                <c:pt idx="2321">
                  <c:v>6.3</c:v>
                </c:pt>
                <c:pt idx="2322">
                  <c:v>5.7</c:v>
                </c:pt>
                <c:pt idx="2323">
                  <c:v>7.1</c:v>
                </c:pt>
                <c:pt idx="2324">
                  <c:v>7</c:v>
                </c:pt>
                <c:pt idx="2325">
                  <c:v>6.1</c:v>
                </c:pt>
                <c:pt idx="2326">
                  <c:v>6.6</c:v>
                </c:pt>
                <c:pt idx="2327">
                  <c:v>7.8</c:v>
                </c:pt>
                <c:pt idx="2328">
                  <c:v>8.3000000000000007</c:v>
                </c:pt>
                <c:pt idx="2329">
                  <c:v>3.9</c:v>
                </c:pt>
                <c:pt idx="2330">
                  <c:v>7</c:v>
                </c:pt>
                <c:pt idx="2331">
                  <c:v>6.7</c:v>
                </c:pt>
                <c:pt idx="2332">
                  <c:v>7.3</c:v>
                </c:pt>
                <c:pt idx="2333">
                  <c:v>6.3</c:v>
                </c:pt>
                <c:pt idx="2334">
                  <c:v>7.8</c:v>
                </c:pt>
                <c:pt idx="2335">
                  <c:v>7.3</c:v>
                </c:pt>
                <c:pt idx="2336">
                  <c:v>7.6</c:v>
                </c:pt>
                <c:pt idx="2337">
                  <c:v>5.3</c:v>
                </c:pt>
                <c:pt idx="2338">
                  <c:v>5.3</c:v>
                </c:pt>
                <c:pt idx="2339">
                  <c:v>6.8</c:v>
                </c:pt>
                <c:pt idx="2340">
                  <c:v>7.1</c:v>
                </c:pt>
                <c:pt idx="2341">
                  <c:v>7.2</c:v>
                </c:pt>
                <c:pt idx="2342">
                  <c:v>5.8</c:v>
                </c:pt>
                <c:pt idx="2343">
                  <c:v>5.8</c:v>
                </c:pt>
                <c:pt idx="2344">
                  <c:v>8.3000000000000007</c:v>
                </c:pt>
                <c:pt idx="2345">
                  <c:v>5.6</c:v>
                </c:pt>
                <c:pt idx="2346">
                  <c:v>6.8</c:v>
                </c:pt>
                <c:pt idx="2347">
                  <c:v>5</c:v>
                </c:pt>
                <c:pt idx="2348">
                  <c:v>7.6</c:v>
                </c:pt>
                <c:pt idx="2349">
                  <c:v>6.7</c:v>
                </c:pt>
                <c:pt idx="2350">
                  <c:v>6.7</c:v>
                </c:pt>
                <c:pt idx="2351">
                  <c:v>5.7</c:v>
                </c:pt>
                <c:pt idx="2352">
                  <c:v>5.2</c:v>
                </c:pt>
                <c:pt idx="2353">
                  <c:v>7.5</c:v>
                </c:pt>
                <c:pt idx="2354">
                  <c:v>7.2</c:v>
                </c:pt>
                <c:pt idx="2355">
                  <c:v>5.3</c:v>
                </c:pt>
                <c:pt idx="2356">
                  <c:v>6.5</c:v>
                </c:pt>
                <c:pt idx="2357">
                  <c:v>5</c:v>
                </c:pt>
                <c:pt idx="2358">
                  <c:v>6.1</c:v>
                </c:pt>
                <c:pt idx="2359">
                  <c:v>7.4</c:v>
                </c:pt>
                <c:pt idx="2360">
                  <c:v>4.4000000000000004</c:v>
                </c:pt>
                <c:pt idx="2361">
                  <c:v>7.5</c:v>
                </c:pt>
                <c:pt idx="2362">
                  <c:v>5.7</c:v>
                </c:pt>
                <c:pt idx="2363">
                  <c:v>5.5</c:v>
                </c:pt>
                <c:pt idx="2364">
                  <c:v>7.1</c:v>
                </c:pt>
                <c:pt idx="2365">
                  <c:v>5.9</c:v>
                </c:pt>
                <c:pt idx="2366">
                  <c:v>6.7</c:v>
                </c:pt>
                <c:pt idx="2367">
                  <c:v>7</c:v>
                </c:pt>
                <c:pt idx="2368">
                  <c:v>7.9</c:v>
                </c:pt>
                <c:pt idx="2369">
                  <c:v>6.9</c:v>
                </c:pt>
                <c:pt idx="2370">
                  <c:v>7.3</c:v>
                </c:pt>
                <c:pt idx="2371">
                  <c:v>7.3</c:v>
                </c:pt>
                <c:pt idx="2372">
                  <c:v>3.5</c:v>
                </c:pt>
                <c:pt idx="2373">
                  <c:v>7.8</c:v>
                </c:pt>
                <c:pt idx="2374">
                  <c:v>7.4</c:v>
                </c:pt>
                <c:pt idx="2375">
                  <c:v>6.7</c:v>
                </c:pt>
                <c:pt idx="2376">
                  <c:v>6.4</c:v>
                </c:pt>
                <c:pt idx="2377">
                  <c:v>7.1</c:v>
                </c:pt>
                <c:pt idx="2378">
                  <c:v>7.8</c:v>
                </c:pt>
                <c:pt idx="2379">
                  <c:v>4</c:v>
                </c:pt>
                <c:pt idx="2380">
                  <c:v>5.9</c:v>
                </c:pt>
                <c:pt idx="2381">
                  <c:v>7.2</c:v>
                </c:pt>
                <c:pt idx="2382">
                  <c:v>7.2</c:v>
                </c:pt>
                <c:pt idx="2383">
                  <c:v>5.0999999999999996</c:v>
                </c:pt>
                <c:pt idx="2384">
                  <c:v>5.5</c:v>
                </c:pt>
                <c:pt idx="2385">
                  <c:v>6.2</c:v>
                </c:pt>
                <c:pt idx="2386">
                  <c:v>7.2</c:v>
                </c:pt>
                <c:pt idx="2387">
                  <c:v>5.2</c:v>
                </c:pt>
                <c:pt idx="2388">
                  <c:v>6.7</c:v>
                </c:pt>
                <c:pt idx="2389">
                  <c:v>5</c:v>
                </c:pt>
                <c:pt idx="2390">
                  <c:v>6.2</c:v>
                </c:pt>
                <c:pt idx="2391">
                  <c:v>7.6</c:v>
                </c:pt>
                <c:pt idx="2392">
                  <c:v>4.0999999999999996</c:v>
                </c:pt>
                <c:pt idx="2393">
                  <c:v>5.3</c:v>
                </c:pt>
                <c:pt idx="2394">
                  <c:v>6.2</c:v>
                </c:pt>
                <c:pt idx="2395">
                  <c:v>6.5</c:v>
                </c:pt>
                <c:pt idx="2396">
                  <c:v>8.1</c:v>
                </c:pt>
                <c:pt idx="2397">
                  <c:v>6.3</c:v>
                </c:pt>
                <c:pt idx="2398">
                  <c:v>4.4000000000000004</c:v>
                </c:pt>
                <c:pt idx="2399">
                  <c:v>4.5999999999999996</c:v>
                </c:pt>
                <c:pt idx="2400">
                  <c:v>6</c:v>
                </c:pt>
                <c:pt idx="2401">
                  <c:v>7.6</c:v>
                </c:pt>
                <c:pt idx="2402">
                  <c:v>8.4</c:v>
                </c:pt>
                <c:pt idx="2403">
                  <c:v>7.9</c:v>
                </c:pt>
                <c:pt idx="2404">
                  <c:v>5.6</c:v>
                </c:pt>
                <c:pt idx="2405">
                  <c:v>6.5</c:v>
                </c:pt>
                <c:pt idx="2406">
                  <c:v>7.5</c:v>
                </c:pt>
                <c:pt idx="2407">
                  <c:v>6.3</c:v>
                </c:pt>
                <c:pt idx="2408">
                  <c:v>7.9</c:v>
                </c:pt>
                <c:pt idx="2409">
                  <c:v>5.0999999999999996</c:v>
                </c:pt>
                <c:pt idx="2410">
                  <c:v>6.7</c:v>
                </c:pt>
                <c:pt idx="2411">
                  <c:v>6.7</c:v>
                </c:pt>
                <c:pt idx="2412">
                  <c:v>5.6</c:v>
                </c:pt>
                <c:pt idx="2413">
                  <c:v>5.6</c:v>
                </c:pt>
                <c:pt idx="2414">
                  <c:v>6.2</c:v>
                </c:pt>
                <c:pt idx="2415">
                  <c:v>5.6</c:v>
                </c:pt>
                <c:pt idx="2416">
                  <c:v>6.4</c:v>
                </c:pt>
                <c:pt idx="2417">
                  <c:v>5.6</c:v>
                </c:pt>
                <c:pt idx="2418">
                  <c:v>7.4</c:v>
                </c:pt>
                <c:pt idx="2419">
                  <c:v>4.9000000000000004</c:v>
                </c:pt>
                <c:pt idx="2420">
                  <c:v>6</c:v>
                </c:pt>
                <c:pt idx="2421">
                  <c:v>7.2</c:v>
                </c:pt>
                <c:pt idx="2422">
                  <c:v>4.9000000000000004</c:v>
                </c:pt>
                <c:pt idx="2423">
                  <c:v>7.5</c:v>
                </c:pt>
                <c:pt idx="2424">
                  <c:v>4.8</c:v>
                </c:pt>
                <c:pt idx="2425">
                  <c:v>3.1</c:v>
                </c:pt>
                <c:pt idx="2426">
                  <c:v>5.8</c:v>
                </c:pt>
                <c:pt idx="2427">
                  <c:v>6.7</c:v>
                </c:pt>
                <c:pt idx="2428">
                  <c:v>6.8</c:v>
                </c:pt>
                <c:pt idx="2429">
                  <c:v>6.5</c:v>
                </c:pt>
                <c:pt idx="2430">
                  <c:v>5.9</c:v>
                </c:pt>
                <c:pt idx="2431">
                  <c:v>5.5</c:v>
                </c:pt>
                <c:pt idx="2432">
                  <c:v>3.6</c:v>
                </c:pt>
                <c:pt idx="2433">
                  <c:v>3.3</c:v>
                </c:pt>
                <c:pt idx="2434">
                  <c:v>7.4</c:v>
                </c:pt>
                <c:pt idx="2435">
                  <c:v>6.7</c:v>
                </c:pt>
                <c:pt idx="2436">
                  <c:v>3</c:v>
                </c:pt>
                <c:pt idx="2437">
                  <c:v>7.6</c:v>
                </c:pt>
                <c:pt idx="2438">
                  <c:v>6.4</c:v>
                </c:pt>
                <c:pt idx="2439">
                  <c:v>6.9</c:v>
                </c:pt>
                <c:pt idx="2440">
                  <c:v>6.6</c:v>
                </c:pt>
                <c:pt idx="2441">
                  <c:v>5.5</c:v>
                </c:pt>
                <c:pt idx="2442">
                  <c:v>6.6</c:v>
                </c:pt>
                <c:pt idx="2443">
                  <c:v>5.2</c:v>
                </c:pt>
                <c:pt idx="2444">
                  <c:v>4.0999999999999996</c:v>
                </c:pt>
                <c:pt idx="2445">
                  <c:v>6.8</c:v>
                </c:pt>
                <c:pt idx="2446">
                  <c:v>6.5</c:v>
                </c:pt>
                <c:pt idx="2447">
                  <c:v>7.4</c:v>
                </c:pt>
                <c:pt idx="2448">
                  <c:v>7.7</c:v>
                </c:pt>
                <c:pt idx="2449">
                  <c:v>7.1</c:v>
                </c:pt>
                <c:pt idx="2450">
                  <c:v>6.3</c:v>
                </c:pt>
                <c:pt idx="2451">
                  <c:v>7.6</c:v>
                </c:pt>
                <c:pt idx="2452">
                  <c:v>8</c:v>
                </c:pt>
                <c:pt idx="2453">
                  <c:v>7.3</c:v>
                </c:pt>
                <c:pt idx="2454">
                  <c:v>7.6</c:v>
                </c:pt>
                <c:pt idx="2455">
                  <c:v>7.8</c:v>
                </c:pt>
                <c:pt idx="2456">
                  <c:v>6.5</c:v>
                </c:pt>
                <c:pt idx="2457">
                  <c:v>6.4</c:v>
                </c:pt>
                <c:pt idx="2458">
                  <c:v>8</c:v>
                </c:pt>
                <c:pt idx="2459">
                  <c:v>4.8</c:v>
                </c:pt>
                <c:pt idx="2460">
                  <c:v>7.8</c:v>
                </c:pt>
                <c:pt idx="2461">
                  <c:v>5.9</c:v>
                </c:pt>
                <c:pt idx="2462">
                  <c:v>5.4</c:v>
                </c:pt>
                <c:pt idx="2463">
                  <c:v>3.3</c:v>
                </c:pt>
                <c:pt idx="2464">
                  <c:v>8.1999999999999993</c:v>
                </c:pt>
                <c:pt idx="2465">
                  <c:v>5.4</c:v>
                </c:pt>
                <c:pt idx="2466">
                  <c:v>6.4</c:v>
                </c:pt>
                <c:pt idx="2467">
                  <c:v>4.8</c:v>
                </c:pt>
                <c:pt idx="2468">
                  <c:v>5.9</c:v>
                </c:pt>
                <c:pt idx="2469">
                  <c:v>5.5</c:v>
                </c:pt>
                <c:pt idx="2470">
                  <c:v>7.9</c:v>
                </c:pt>
                <c:pt idx="2471">
                  <c:v>4.9000000000000004</c:v>
                </c:pt>
                <c:pt idx="2472">
                  <c:v>7.2</c:v>
                </c:pt>
                <c:pt idx="2473">
                  <c:v>6.6</c:v>
                </c:pt>
                <c:pt idx="2474">
                  <c:v>5.3</c:v>
                </c:pt>
                <c:pt idx="2475">
                  <c:v>7.2</c:v>
                </c:pt>
                <c:pt idx="2476">
                  <c:v>5.0999999999999996</c:v>
                </c:pt>
                <c:pt idx="2477">
                  <c:v>5.6</c:v>
                </c:pt>
                <c:pt idx="2478">
                  <c:v>7.6</c:v>
                </c:pt>
                <c:pt idx="2479">
                  <c:v>7.2</c:v>
                </c:pt>
                <c:pt idx="2480">
                  <c:v>5.7</c:v>
                </c:pt>
                <c:pt idx="2481">
                  <c:v>5.2</c:v>
                </c:pt>
                <c:pt idx="2482">
                  <c:v>7.7</c:v>
                </c:pt>
                <c:pt idx="2483">
                  <c:v>7</c:v>
                </c:pt>
                <c:pt idx="2484">
                  <c:v>3.6</c:v>
                </c:pt>
                <c:pt idx="2485">
                  <c:v>4.9000000000000004</c:v>
                </c:pt>
                <c:pt idx="2486">
                  <c:v>6</c:v>
                </c:pt>
                <c:pt idx="2487">
                  <c:v>6.6</c:v>
                </c:pt>
                <c:pt idx="2488">
                  <c:v>6.8</c:v>
                </c:pt>
                <c:pt idx="2489">
                  <c:v>7.2</c:v>
                </c:pt>
                <c:pt idx="2490">
                  <c:v>7.2</c:v>
                </c:pt>
                <c:pt idx="2491">
                  <c:v>2.8</c:v>
                </c:pt>
                <c:pt idx="2492">
                  <c:v>6.6</c:v>
                </c:pt>
                <c:pt idx="2493">
                  <c:v>6.7</c:v>
                </c:pt>
                <c:pt idx="2494">
                  <c:v>7</c:v>
                </c:pt>
                <c:pt idx="2495">
                  <c:v>4.4000000000000004</c:v>
                </c:pt>
                <c:pt idx="2496">
                  <c:v>7.1</c:v>
                </c:pt>
                <c:pt idx="2497">
                  <c:v>6.2</c:v>
                </c:pt>
                <c:pt idx="2498">
                  <c:v>7.3</c:v>
                </c:pt>
                <c:pt idx="2499">
                  <c:v>5.0999999999999996</c:v>
                </c:pt>
                <c:pt idx="2500">
                  <c:v>8.1</c:v>
                </c:pt>
                <c:pt idx="2501">
                  <c:v>6.7</c:v>
                </c:pt>
                <c:pt idx="2502">
                  <c:v>6.6</c:v>
                </c:pt>
                <c:pt idx="2503">
                  <c:v>4.5</c:v>
                </c:pt>
                <c:pt idx="2504">
                  <c:v>6.6</c:v>
                </c:pt>
                <c:pt idx="2505">
                  <c:v>6.5</c:v>
                </c:pt>
                <c:pt idx="2506">
                  <c:v>5.9</c:v>
                </c:pt>
                <c:pt idx="2507">
                  <c:v>6.6</c:v>
                </c:pt>
                <c:pt idx="2508">
                  <c:v>6.5</c:v>
                </c:pt>
                <c:pt idx="2509">
                  <c:v>7.3</c:v>
                </c:pt>
                <c:pt idx="2510">
                  <c:v>7.5</c:v>
                </c:pt>
                <c:pt idx="2511">
                  <c:v>5.9</c:v>
                </c:pt>
                <c:pt idx="2512">
                  <c:v>7.4</c:v>
                </c:pt>
                <c:pt idx="2513">
                  <c:v>6.9</c:v>
                </c:pt>
                <c:pt idx="2514">
                  <c:v>7.9</c:v>
                </c:pt>
                <c:pt idx="2515">
                  <c:v>8.4</c:v>
                </c:pt>
                <c:pt idx="2516">
                  <c:v>8</c:v>
                </c:pt>
                <c:pt idx="2517">
                  <c:v>6</c:v>
                </c:pt>
                <c:pt idx="2518">
                  <c:v>6.8</c:v>
                </c:pt>
                <c:pt idx="2519">
                  <c:v>7.8</c:v>
                </c:pt>
                <c:pt idx="2520">
                  <c:v>5.7</c:v>
                </c:pt>
                <c:pt idx="2521">
                  <c:v>8.1</c:v>
                </c:pt>
                <c:pt idx="2522">
                  <c:v>6.1</c:v>
                </c:pt>
                <c:pt idx="2523">
                  <c:v>7.5</c:v>
                </c:pt>
                <c:pt idx="2524">
                  <c:v>6.2</c:v>
                </c:pt>
                <c:pt idx="2525">
                  <c:v>6.2</c:v>
                </c:pt>
                <c:pt idx="2526">
                  <c:v>7.4</c:v>
                </c:pt>
                <c:pt idx="2527">
                  <c:v>6.6</c:v>
                </c:pt>
                <c:pt idx="2528">
                  <c:v>7.3</c:v>
                </c:pt>
                <c:pt idx="2529">
                  <c:v>7.5</c:v>
                </c:pt>
                <c:pt idx="2530">
                  <c:v>5.6</c:v>
                </c:pt>
                <c:pt idx="2531">
                  <c:v>7.3</c:v>
                </c:pt>
                <c:pt idx="2532">
                  <c:v>6.4</c:v>
                </c:pt>
                <c:pt idx="2533">
                  <c:v>5</c:v>
                </c:pt>
                <c:pt idx="2534">
                  <c:v>5.4</c:v>
                </c:pt>
                <c:pt idx="2535">
                  <c:v>8.1999999999999993</c:v>
                </c:pt>
                <c:pt idx="2536">
                  <c:v>7.1</c:v>
                </c:pt>
                <c:pt idx="2537">
                  <c:v>5.3</c:v>
                </c:pt>
                <c:pt idx="2538">
                  <c:v>6.5</c:v>
                </c:pt>
                <c:pt idx="2539">
                  <c:v>6.2</c:v>
                </c:pt>
                <c:pt idx="2540">
                  <c:v>6.4</c:v>
                </c:pt>
                <c:pt idx="2541">
                  <c:v>7.2</c:v>
                </c:pt>
                <c:pt idx="2542">
                  <c:v>6.9</c:v>
                </c:pt>
                <c:pt idx="2543">
                  <c:v>5.7</c:v>
                </c:pt>
                <c:pt idx="2544">
                  <c:v>7.7</c:v>
                </c:pt>
                <c:pt idx="2545">
                  <c:v>5.6</c:v>
                </c:pt>
                <c:pt idx="2546">
                  <c:v>7.7</c:v>
                </c:pt>
                <c:pt idx="2547">
                  <c:v>5.0999999999999996</c:v>
                </c:pt>
                <c:pt idx="2548">
                  <c:v>6.8</c:v>
                </c:pt>
                <c:pt idx="2549">
                  <c:v>8.4</c:v>
                </c:pt>
                <c:pt idx="2550">
                  <c:v>4.9000000000000004</c:v>
                </c:pt>
                <c:pt idx="2551">
                  <c:v>7.1</c:v>
                </c:pt>
                <c:pt idx="2552">
                  <c:v>6.6</c:v>
                </c:pt>
                <c:pt idx="2553">
                  <c:v>6.1</c:v>
                </c:pt>
                <c:pt idx="2554">
                  <c:v>4.0999999999999996</c:v>
                </c:pt>
                <c:pt idx="2555">
                  <c:v>8.1</c:v>
                </c:pt>
                <c:pt idx="2556">
                  <c:v>7.6</c:v>
                </c:pt>
                <c:pt idx="2557">
                  <c:v>7.8</c:v>
                </c:pt>
                <c:pt idx="2558">
                  <c:v>4.5999999999999996</c:v>
                </c:pt>
                <c:pt idx="2559">
                  <c:v>6</c:v>
                </c:pt>
                <c:pt idx="2560">
                  <c:v>7</c:v>
                </c:pt>
                <c:pt idx="2561">
                  <c:v>6.7</c:v>
                </c:pt>
                <c:pt idx="2562">
                  <c:v>6.4</c:v>
                </c:pt>
                <c:pt idx="2563">
                  <c:v>7.2</c:v>
                </c:pt>
                <c:pt idx="2564">
                  <c:v>7.4</c:v>
                </c:pt>
                <c:pt idx="2565">
                  <c:v>4.8</c:v>
                </c:pt>
                <c:pt idx="2566">
                  <c:v>4</c:v>
                </c:pt>
                <c:pt idx="2567">
                  <c:v>6.2</c:v>
                </c:pt>
                <c:pt idx="2568">
                  <c:v>7.7</c:v>
                </c:pt>
                <c:pt idx="2569">
                  <c:v>6.7</c:v>
                </c:pt>
                <c:pt idx="2570">
                  <c:v>7.9</c:v>
                </c:pt>
                <c:pt idx="2571">
                  <c:v>7.9</c:v>
                </c:pt>
                <c:pt idx="2572">
                  <c:v>5.5</c:v>
                </c:pt>
                <c:pt idx="2573">
                  <c:v>6.2</c:v>
                </c:pt>
                <c:pt idx="2574">
                  <c:v>5.0999999999999996</c:v>
                </c:pt>
                <c:pt idx="2575">
                  <c:v>4.0999999999999996</c:v>
                </c:pt>
                <c:pt idx="2576">
                  <c:v>6.7</c:v>
                </c:pt>
                <c:pt idx="2577">
                  <c:v>4.7</c:v>
                </c:pt>
                <c:pt idx="2578">
                  <c:v>6.4</c:v>
                </c:pt>
                <c:pt idx="2579">
                  <c:v>6.3</c:v>
                </c:pt>
                <c:pt idx="2580">
                  <c:v>5.5</c:v>
                </c:pt>
                <c:pt idx="2581">
                  <c:v>7.3</c:v>
                </c:pt>
                <c:pt idx="2582">
                  <c:v>6.3</c:v>
                </c:pt>
                <c:pt idx="2583">
                  <c:v>4.9000000000000004</c:v>
                </c:pt>
                <c:pt idx="2584">
                  <c:v>7.6</c:v>
                </c:pt>
                <c:pt idx="2585">
                  <c:v>6</c:v>
                </c:pt>
                <c:pt idx="2586">
                  <c:v>6.2</c:v>
                </c:pt>
                <c:pt idx="2587">
                  <c:v>6.8</c:v>
                </c:pt>
                <c:pt idx="2588">
                  <c:v>4.5</c:v>
                </c:pt>
                <c:pt idx="2589">
                  <c:v>5.7</c:v>
                </c:pt>
                <c:pt idx="2590">
                  <c:v>8.4</c:v>
                </c:pt>
                <c:pt idx="2591">
                  <c:v>4.5999999999999996</c:v>
                </c:pt>
                <c:pt idx="2592">
                  <c:v>6.2</c:v>
                </c:pt>
                <c:pt idx="2593">
                  <c:v>7</c:v>
                </c:pt>
                <c:pt idx="2594">
                  <c:v>6.9</c:v>
                </c:pt>
                <c:pt idx="2595">
                  <c:v>6.1</c:v>
                </c:pt>
                <c:pt idx="2596">
                  <c:v>6.7</c:v>
                </c:pt>
                <c:pt idx="2597">
                  <c:v>5.6</c:v>
                </c:pt>
                <c:pt idx="2598">
                  <c:v>6.6</c:v>
                </c:pt>
                <c:pt idx="2599">
                  <c:v>6.4</c:v>
                </c:pt>
                <c:pt idx="2600">
                  <c:v>2.8</c:v>
                </c:pt>
                <c:pt idx="2601">
                  <c:v>5.4</c:v>
                </c:pt>
                <c:pt idx="2602">
                  <c:v>5</c:v>
                </c:pt>
                <c:pt idx="2603">
                  <c:v>5.0999999999999996</c:v>
                </c:pt>
                <c:pt idx="2604">
                  <c:v>8</c:v>
                </c:pt>
                <c:pt idx="2605">
                  <c:v>5.9</c:v>
                </c:pt>
                <c:pt idx="2606">
                  <c:v>8.1999999999999993</c:v>
                </c:pt>
                <c:pt idx="2607">
                  <c:v>7</c:v>
                </c:pt>
                <c:pt idx="2608">
                  <c:v>6.6</c:v>
                </c:pt>
                <c:pt idx="2609">
                  <c:v>6.7</c:v>
                </c:pt>
                <c:pt idx="2610">
                  <c:v>5.5</c:v>
                </c:pt>
                <c:pt idx="2611">
                  <c:v>4.9000000000000004</c:v>
                </c:pt>
                <c:pt idx="2612">
                  <c:v>6.9</c:v>
                </c:pt>
                <c:pt idx="2613">
                  <c:v>7.4</c:v>
                </c:pt>
                <c:pt idx="2614">
                  <c:v>5.6</c:v>
                </c:pt>
                <c:pt idx="2615">
                  <c:v>8</c:v>
                </c:pt>
                <c:pt idx="2616">
                  <c:v>5.3</c:v>
                </c:pt>
                <c:pt idx="2617">
                  <c:v>6.2</c:v>
                </c:pt>
                <c:pt idx="2618">
                  <c:v>5.3</c:v>
                </c:pt>
                <c:pt idx="2619">
                  <c:v>6.6</c:v>
                </c:pt>
                <c:pt idx="2620">
                  <c:v>7.2</c:v>
                </c:pt>
                <c:pt idx="2621">
                  <c:v>4.5999999999999996</c:v>
                </c:pt>
                <c:pt idx="2622">
                  <c:v>7.5</c:v>
                </c:pt>
                <c:pt idx="2623">
                  <c:v>6.5</c:v>
                </c:pt>
                <c:pt idx="2624">
                  <c:v>7.6</c:v>
                </c:pt>
                <c:pt idx="2625">
                  <c:v>6.2</c:v>
                </c:pt>
                <c:pt idx="2626">
                  <c:v>8</c:v>
                </c:pt>
                <c:pt idx="2627">
                  <c:v>5.5</c:v>
                </c:pt>
                <c:pt idx="2628">
                  <c:v>6.3</c:v>
                </c:pt>
                <c:pt idx="2629">
                  <c:v>7.2</c:v>
                </c:pt>
                <c:pt idx="2630">
                  <c:v>6.7</c:v>
                </c:pt>
                <c:pt idx="2631">
                  <c:v>5.3</c:v>
                </c:pt>
                <c:pt idx="2632">
                  <c:v>6.3</c:v>
                </c:pt>
                <c:pt idx="2633">
                  <c:v>6.5</c:v>
                </c:pt>
                <c:pt idx="2634">
                  <c:v>5.6</c:v>
                </c:pt>
                <c:pt idx="2635">
                  <c:v>7</c:v>
                </c:pt>
                <c:pt idx="2636">
                  <c:v>8.3000000000000007</c:v>
                </c:pt>
                <c:pt idx="2637">
                  <c:v>7.2</c:v>
                </c:pt>
                <c:pt idx="2638">
                  <c:v>6.8</c:v>
                </c:pt>
                <c:pt idx="2639">
                  <c:v>6.4</c:v>
                </c:pt>
                <c:pt idx="2640">
                  <c:v>6.9</c:v>
                </c:pt>
                <c:pt idx="2641">
                  <c:v>8</c:v>
                </c:pt>
                <c:pt idx="2642">
                  <c:v>6.2</c:v>
                </c:pt>
                <c:pt idx="2643">
                  <c:v>6.4</c:v>
                </c:pt>
                <c:pt idx="2644">
                  <c:v>5.6</c:v>
                </c:pt>
                <c:pt idx="2645">
                  <c:v>6.1</c:v>
                </c:pt>
                <c:pt idx="2646">
                  <c:v>6</c:v>
                </c:pt>
                <c:pt idx="2647">
                  <c:v>5.0999999999999996</c:v>
                </c:pt>
                <c:pt idx="2648">
                  <c:v>4.5</c:v>
                </c:pt>
                <c:pt idx="2649">
                  <c:v>5.9</c:v>
                </c:pt>
                <c:pt idx="2650">
                  <c:v>6</c:v>
                </c:pt>
                <c:pt idx="2651">
                  <c:v>5.8</c:v>
                </c:pt>
                <c:pt idx="2652">
                  <c:v>6.1</c:v>
                </c:pt>
                <c:pt idx="2653">
                  <c:v>4.9000000000000004</c:v>
                </c:pt>
                <c:pt idx="2654">
                  <c:v>5.7</c:v>
                </c:pt>
                <c:pt idx="2655">
                  <c:v>7.1</c:v>
                </c:pt>
                <c:pt idx="2656">
                  <c:v>6.6</c:v>
                </c:pt>
                <c:pt idx="2657">
                  <c:v>8.1</c:v>
                </c:pt>
                <c:pt idx="2658">
                  <c:v>5.7</c:v>
                </c:pt>
                <c:pt idx="2659">
                  <c:v>6.8</c:v>
                </c:pt>
                <c:pt idx="2660">
                  <c:v>7.5</c:v>
                </c:pt>
                <c:pt idx="2661">
                  <c:v>6.2</c:v>
                </c:pt>
                <c:pt idx="2662">
                  <c:v>8.3000000000000007</c:v>
                </c:pt>
                <c:pt idx="2663">
                  <c:v>7.4</c:v>
                </c:pt>
                <c:pt idx="2664">
                  <c:v>8</c:v>
                </c:pt>
                <c:pt idx="2665">
                  <c:v>6.9</c:v>
                </c:pt>
                <c:pt idx="2666">
                  <c:v>6.9</c:v>
                </c:pt>
                <c:pt idx="2667">
                  <c:v>9.5</c:v>
                </c:pt>
                <c:pt idx="2668">
                  <c:v>5.5</c:v>
                </c:pt>
                <c:pt idx="2669">
                  <c:v>5.7</c:v>
                </c:pt>
                <c:pt idx="2670">
                  <c:v>7.2</c:v>
                </c:pt>
                <c:pt idx="2671">
                  <c:v>6.9</c:v>
                </c:pt>
                <c:pt idx="2672">
                  <c:v>5.5</c:v>
                </c:pt>
                <c:pt idx="2673">
                  <c:v>5.2</c:v>
                </c:pt>
                <c:pt idx="2674">
                  <c:v>7.1</c:v>
                </c:pt>
                <c:pt idx="2675">
                  <c:v>5.5</c:v>
                </c:pt>
                <c:pt idx="2676">
                  <c:v>5.4</c:v>
                </c:pt>
                <c:pt idx="2677">
                  <c:v>6.7</c:v>
                </c:pt>
                <c:pt idx="2678">
                  <c:v>5</c:v>
                </c:pt>
                <c:pt idx="2679">
                  <c:v>6.4</c:v>
                </c:pt>
                <c:pt idx="2680">
                  <c:v>6.6</c:v>
                </c:pt>
                <c:pt idx="2681">
                  <c:v>5.9</c:v>
                </c:pt>
                <c:pt idx="2682">
                  <c:v>5.7</c:v>
                </c:pt>
                <c:pt idx="2683">
                  <c:v>4.5</c:v>
                </c:pt>
                <c:pt idx="2684">
                  <c:v>3.7</c:v>
                </c:pt>
                <c:pt idx="2685">
                  <c:v>5</c:v>
                </c:pt>
                <c:pt idx="2686">
                  <c:v>4.5999999999999996</c:v>
                </c:pt>
                <c:pt idx="2687">
                  <c:v>6.5</c:v>
                </c:pt>
                <c:pt idx="2688">
                  <c:v>4.9000000000000004</c:v>
                </c:pt>
                <c:pt idx="2689">
                  <c:v>6</c:v>
                </c:pt>
                <c:pt idx="2690">
                  <c:v>6.9</c:v>
                </c:pt>
                <c:pt idx="2691">
                  <c:v>5.7</c:v>
                </c:pt>
                <c:pt idx="2692">
                  <c:v>6.7</c:v>
                </c:pt>
                <c:pt idx="2693">
                  <c:v>6.9</c:v>
                </c:pt>
                <c:pt idx="2694">
                  <c:v>5.5</c:v>
                </c:pt>
                <c:pt idx="2695">
                  <c:v>4.4000000000000004</c:v>
                </c:pt>
                <c:pt idx="2696">
                  <c:v>7</c:v>
                </c:pt>
                <c:pt idx="2697">
                  <c:v>5.4</c:v>
                </c:pt>
                <c:pt idx="2698">
                  <c:v>5.4</c:v>
                </c:pt>
                <c:pt idx="2699">
                  <c:v>8</c:v>
                </c:pt>
                <c:pt idx="2700">
                  <c:v>7.6</c:v>
                </c:pt>
                <c:pt idx="2701">
                  <c:v>5.9</c:v>
                </c:pt>
                <c:pt idx="2702">
                  <c:v>6.6</c:v>
                </c:pt>
                <c:pt idx="2703">
                  <c:v>6.7</c:v>
                </c:pt>
                <c:pt idx="2704">
                  <c:v>3.9</c:v>
                </c:pt>
                <c:pt idx="2705">
                  <c:v>5.7</c:v>
                </c:pt>
                <c:pt idx="2706">
                  <c:v>6.7</c:v>
                </c:pt>
                <c:pt idx="2707">
                  <c:v>6.5</c:v>
                </c:pt>
                <c:pt idx="2708">
                  <c:v>6.8</c:v>
                </c:pt>
                <c:pt idx="2709">
                  <c:v>6.3</c:v>
                </c:pt>
                <c:pt idx="2710">
                  <c:v>7.3</c:v>
                </c:pt>
                <c:pt idx="2711">
                  <c:v>6.9</c:v>
                </c:pt>
                <c:pt idx="2712">
                  <c:v>7</c:v>
                </c:pt>
                <c:pt idx="2713">
                  <c:v>6.5</c:v>
                </c:pt>
                <c:pt idx="2714">
                  <c:v>3.6</c:v>
                </c:pt>
                <c:pt idx="2715">
                  <c:v>7.7</c:v>
                </c:pt>
                <c:pt idx="2716">
                  <c:v>7.7</c:v>
                </c:pt>
                <c:pt idx="2717">
                  <c:v>6.8</c:v>
                </c:pt>
                <c:pt idx="2718">
                  <c:v>7.4</c:v>
                </c:pt>
                <c:pt idx="2719">
                  <c:v>5.0999999999999996</c:v>
                </c:pt>
                <c:pt idx="2720">
                  <c:v>7.4</c:v>
                </c:pt>
                <c:pt idx="2721">
                  <c:v>7.2</c:v>
                </c:pt>
                <c:pt idx="2722">
                  <c:v>6</c:v>
                </c:pt>
                <c:pt idx="2723">
                  <c:v>8.3000000000000007</c:v>
                </c:pt>
                <c:pt idx="2724">
                  <c:v>8.1</c:v>
                </c:pt>
                <c:pt idx="2725">
                  <c:v>6.3</c:v>
                </c:pt>
                <c:pt idx="2726">
                  <c:v>7.3</c:v>
                </c:pt>
                <c:pt idx="2727">
                  <c:v>3.6</c:v>
                </c:pt>
                <c:pt idx="2728">
                  <c:v>1.6</c:v>
                </c:pt>
                <c:pt idx="2729">
                  <c:v>8</c:v>
                </c:pt>
                <c:pt idx="2730">
                  <c:v>9</c:v>
                </c:pt>
                <c:pt idx="2731">
                  <c:v>6.1</c:v>
                </c:pt>
                <c:pt idx="2732">
                  <c:v>5.7</c:v>
                </c:pt>
                <c:pt idx="2733">
                  <c:v>6.8</c:v>
                </c:pt>
                <c:pt idx="2734">
                  <c:v>5.5</c:v>
                </c:pt>
                <c:pt idx="2735">
                  <c:v>6.8</c:v>
                </c:pt>
                <c:pt idx="2736">
                  <c:v>7.3</c:v>
                </c:pt>
                <c:pt idx="2737">
                  <c:v>6.1</c:v>
                </c:pt>
                <c:pt idx="2738">
                  <c:v>7.2</c:v>
                </c:pt>
                <c:pt idx="2739">
                  <c:v>5.9</c:v>
                </c:pt>
                <c:pt idx="2740">
                  <c:v>6.1</c:v>
                </c:pt>
                <c:pt idx="2741">
                  <c:v>6.8</c:v>
                </c:pt>
                <c:pt idx="2742">
                  <c:v>7.7</c:v>
                </c:pt>
                <c:pt idx="2743">
                  <c:v>4.9000000000000004</c:v>
                </c:pt>
                <c:pt idx="2744">
                  <c:v>6.1</c:v>
                </c:pt>
                <c:pt idx="2745">
                  <c:v>2.5</c:v>
                </c:pt>
                <c:pt idx="2746">
                  <c:v>6.1</c:v>
                </c:pt>
                <c:pt idx="2747">
                  <c:v>5.9</c:v>
                </c:pt>
                <c:pt idx="2748">
                  <c:v>5.7</c:v>
                </c:pt>
                <c:pt idx="2749">
                  <c:v>5.6</c:v>
                </c:pt>
                <c:pt idx="2750">
                  <c:v>7.2</c:v>
                </c:pt>
                <c:pt idx="2751">
                  <c:v>7.7</c:v>
                </c:pt>
                <c:pt idx="2752">
                  <c:v>7.8</c:v>
                </c:pt>
                <c:pt idx="2753">
                  <c:v>6.1</c:v>
                </c:pt>
                <c:pt idx="2754">
                  <c:v>5.8</c:v>
                </c:pt>
                <c:pt idx="2755">
                  <c:v>6.5</c:v>
                </c:pt>
                <c:pt idx="2756">
                  <c:v>7.9</c:v>
                </c:pt>
                <c:pt idx="2757">
                  <c:v>6.3</c:v>
                </c:pt>
                <c:pt idx="2758">
                  <c:v>3.8</c:v>
                </c:pt>
                <c:pt idx="2759">
                  <c:v>8.3000000000000007</c:v>
                </c:pt>
                <c:pt idx="2760">
                  <c:v>6.4</c:v>
                </c:pt>
                <c:pt idx="2761">
                  <c:v>6.7</c:v>
                </c:pt>
                <c:pt idx="2762">
                  <c:v>6.1</c:v>
                </c:pt>
                <c:pt idx="2763">
                  <c:v>8.1</c:v>
                </c:pt>
                <c:pt idx="2764">
                  <c:v>6</c:v>
                </c:pt>
                <c:pt idx="2765">
                  <c:v>5.8</c:v>
                </c:pt>
                <c:pt idx="2766">
                  <c:v>5.6</c:v>
                </c:pt>
                <c:pt idx="2767">
                  <c:v>6.1</c:v>
                </c:pt>
                <c:pt idx="2768">
                  <c:v>5.9</c:v>
                </c:pt>
                <c:pt idx="2769">
                  <c:v>7.3</c:v>
                </c:pt>
                <c:pt idx="2770">
                  <c:v>6.8</c:v>
                </c:pt>
                <c:pt idx="2771">
                  <c:v>5.7</c:v>
                </c:pt>
                <c:pt idx="2772">
                  <c:v>7.3</c:v>
                </c:pt>
                <c:pt idx="2773">
                  <c:v>6.3</c:v>
                </c:pt>
                <c:pt idx="2774">
                  <c:v>5.9</c:v>
                </c:pt>
                <c:pt idx="2775">
                  <c:v>7.1</c:v>
                </c:pt>
                <c:pt idx="2776">
                  <c:v>8</c:v>
                </c:pt>
                <c:pt idx="2777">
                  <c:v>5.0999999999999996</c:v>
                </c:pt>
                <c:pt idx="2778">
                  <c:v>7.1</c:v>
                </c:pt>
                <c:pt idx="2779">
                  <c:v>6.5</c:v>
                </c:pt>
                <c:pt idx="2780">
                  <c:v>4.5</c:v>
                </c:pt>
                <c:pt idx="2781">
                  <c:v>6.6</c:v>
                </c:pt>
                <c:pt idx="2782">
                  <c:v>4.3</c:v>
                </c:pt>
                <c:pt idx="2783">
                  <c:v>6.7</c:v>
                </c:pt>
                <c:pt idx="2784">
                  <c:v>6.8</c:v>
                </c:pt>
                <c:pt idx="2785">
                  <c:v>5.4</c:v>
                </c:pt>
                <c:pt idx="2786">
                  <c:v>6.6</c:v>
                </c:pt>
                <c:pt idx="2787">
                  <c:v>7.3</c:v>
                </c:pt>
                <c:pt idx="2788">
                  <c:v>6.9</c:v>
                </c:pt>
                <c:pt idx="2789">
                  <c:v>8</c:v>
                </c:pt>
                <c:pt idx="2790">
                  <c:v>6.4</c:v>
                </c:pt>
                <c:pt idx="2791">
                  <c:v>7.8</c:v>
                </c:pt>
                <c:pt idx="2792">
                  <c:v>6.1</c:v>
                </c:pt>
                <c:pt idx="2793">
                  <c:v>6.1</c:v>
                </c:pt>
                <c:pt idx="2794">
                  <c:v>5.0999999999999996</c:v>
                </c:pt>
                <c:pt idx="2795">
                  <c:v>7.8</c:v>
                </c:pt>
                <c:pt idx="2796">
                  <c:v>7.4</c:v>
                </c:pt>
                <c:pt idx="2797">
                  <c:v>7.8</c:v>
                </c:pt>
                <c:pt idx="2798">
                  <c:v>8</c:v>
                </c:pt>
                <c:pt idx="2799">
                  <c:v>6.7</c:v>
                </c:pt>
                <c:pt idx="2800">
                  <c:v>6.6</c:v>
                </c:pt>
                <c:pt idx="2801">
                  <c:v>6.4</c:v>
                </c:pt>
                <c:pt idx="2802">
                  <c:v>6.7</c:v>
                </c:pt>
                <c:pt idx="2803">
                  <c:v>6.2</c:v>
                </c:pt>
                <c:pt idx="2804">
                  <c:v>7.3</c:v>
                </c:pt>
                <c:pt idx="2805">
                  <c:v>8.1</c:v>
                </c:pt>
                <c:pt idx="2806">
                  <c:v>7</c:v>
                </c:pt>
                <c:pt idx="2807">
                  <c:v>8</c:v>
                </c:pt>
                <c:pt idx="2808">
                  <c:v>8</c:v>
                </c:pt>
                <c:pt idx="2809">
                  <c:v>7</c:v>
                </c:pt>
                <c:pt idx="2810">
                  <c:v>7.9</c:v>
                </c:pt>
                <c:pt idx="2811">
                  <c:v>5.9</c:v>
                </c:pt>
                <c:pt idx="2812">
                  <c:v>6.6</c:v>
                </c:pt>
                <c:pt idx="2813">
                  <c:v>6.3</c:v>
                </c:pt>
                <c:pt idx="2814">
                  <c:v>7.7</c:v>
                </c:pt>
                <c:pt idx="2815">
                  <c:v>6.9</c:v>
                </c:pt>
                <c:pt idx="2816">
                  <c:v>7.1</c:v>
                </c:pt>
                <c:pt idx="2817">
                  <c:v>7.4</c:v>
                </c:pt>
                <c:pt idx="2818">
                  <c:v>6.5</c:v>
                </c:pt>
                <c:pt idx="2819">
                  <c:v>6.5</c:v>
                </c:pt>
                <c:pt idx="2820">
                  <c:v>6.8</c:v>
                </c:pt>
                <c:pt idx="2821">
                  <c:v>7.5</c:v>
                </c:pt>
                <c:pt idx="2822">
                  <c:v>6.6</c:v>
                </c:pt>
                <c:pt idx="2823">
                  <c:v>7.1</c:v>
                </c:pt>
                <c:pt idx="2824">
                  <c:v>6.6</c:v>
                </c:pt>
                <c:pt idx="2825">
                  <c:v>7</c:v>
                </c:pt>
                <c:pt idx="2826">
                  <c:v>3.3</c:v>
                </c:pt>
                <c:pt idx="2827">
                  <c:v>6.7</c:v>
                </c:pt>
                <c:pt idx="2828">
                  <c:v>8</c:v>
                </c:pt>
                <c:pt idx="2829">
                  <c:v>6.8</c:v>
                </c:pt>
                <c:pt idx="2830">
                  <c:v>6</c:v>
                </c:pt>
                <c:pt idx="2831">
                  <c:v>5.4</c:v>
                </c:pt>
                <c:pt idx="2832">
                  <c:v>4.3</c:v>
                </c:pt>
                <c:pt idx="2833">
                  <c:v>6.2</c:v>
                </c:pt>
                <c:pt idx="2834">
                  <c:v>7.7</c:v>
                </c:pt>
                <c:pt idx="2835">
                  <c:v>7.4</c:v>
                </c:pt>
                <c:pt idx="2836">
                  <c:v>5.9</c:v>
                </c:pt>
                <c:pt idx="2837">
                  <c:v>7.8</c:v>
                </c:pt>
                <c:pt idx="2838">
                  <c:v>7.4</c:v>
                </c:pt>
                <c:pt idx="2839">
                  <c:v>6.5</c:v>
                </c:pt>
                <c:pt idx="2840">
                  <c:v>5.4</c:v>
                </c:pt>
                <c:pt idx="2841">
                  <c:v>7</c:v>
                </c:pt>
                <c:pt idx="2842">
                  <c:v>7.6</c:v>
                </c:pt>
                <c:pt idx="2843">
                  <c:v>6.9</c:v>
                </c:pt>
                <c:pt idx="2844">
                  <c:v>7</c:v>
                </c:pt>
                <c:pt idx="2845">
                  <c:v>5.3</c:v>
                </c:pt>
                <c:pt idx="2846">
                  <c:v>6.4</c:v>
                </c:pt>
                <c:pt idx="2847">
                  <c:v>4.5</c:v>
                </c:pt>
                <c:pt idx="2848">
                  <c:v>7.8</c:v>
                </c:pt>
                <c:pt idx="2849">
                  <c:v>6.7</c:v>
                </c:pt>
                <c:pt idx="2850">
                  <c:v>5.3</c:v>
                </c:pt>
                <c:pt idx="2851">
                  <c:v>6.3</c:v>
                </c:pt>
                <c:pt idx="2852">
                  <c:v>7</c:v>
                </c:pt>
                <c:pt idx="2853">
                  <c:v>5.3</c:v>
                </c:pt>
                <c:pt idx="2854">
                  <c:v>6.6</c:v>
                </c:pt>
                <c:pt idx="2855">
                  <c:v>5.8</c:v>
                </c:pt>
                <c:pt idx="2856">
                  <c:v>6.7</c:v>
                </c:pt>
                <c:pt idx="2857">
                  <c:v>6.6</c:v>
                </c:pt>
                <c:pt idx="2858">
                  <c:v>7</c:v>
                </c:pt>
                <c:pt idx="2859">
                  <c:v>8.4</c:v>
                </c:pt>
                <c:pt idx="2860">
                  <c:v>5.4</c:v>
                </c:pt>
                <c:pt idx="2861">
                  <c:v>7.8</c:v>
                </c:pt>
                <c:pt idx="2862">
                  <c:v>7.6</c:v>
                </c:pt>
                <c:pt idx="2863">
                  <c:v>6.6</c:v>
                </c:pt>
                <c:pt idx="2864">
                  <c:v>6.4</c:v>
                </c:pt>
                <c:pt idx="2865">
                  <c:v>7</c:v>
                </c:pt>
                <c:pt idx="2866">
                  <c:v>5.7</c:v>
                </c:pt>
                <c:pt idx="2867">
                  <c:v>5.9</c:v>
                </c:pt>
                <c:pt idx="2868">
                  <c:v>6.3</c:v>
                </c:pt>
                <c:pt idx="2869">
                  <c:v>6.3</c:v>
                </c:pt>
                <c:pt idx="2870">
                  <c:v>6.2</c:v>
                </c:pt>
                <c:pt idx="2871">
                  <c:v>2.1</c:v>
                </c:pt>
                <c:pt idx="2872">
                  <c:v>5</c:v>
                </c:pt>
                <c:pt idx="2873">
                  <c:v>5.3</c:v>
                </c:pt>
                <c:pt idx="2874">
                  <c:v>7.1</c:v>
                </c:pt>
                <c:pt idx="2875">
                  <c:v>7</c:v>
                </c:pt>
                <c:pt idx="2876">
                  <c:v>5.7</c:v>
                </c:pt>
                <c:pt idx="2877">
                  <c:v>7.1</c:v>
                </c:pt>
                <c:pt idx="2878">
                  <c:v>7</c:v>
                </c:pt>
                <c:pt idx="2879">
                  <c:v>7.7</c:v>
                </c:pt>
                <c:pt idx="2880">
                  <c:v>7.1</c:v>
                </c:pt>
                <c:pt idx="2881">
                  <c:v>6.8</c:v>
                </c:pt>
                <c:pt idx="2882">
                  <c:v>7.5</c:v>
                </c:pt>
                <c:pt idx="2883">
                  <c:v>6.3</c:v>
                </c:pt>
                <c:pt idx="2884">
                  <c:v>7.3</c:v>
                </c:pt>
                <c:pt idx="2885">
                  <c:v>6.8</c:v>
                </c:pt>
                <c:pt idx="2886">
                  <c:v>7.2</c:v>
                </c:pt>
                <c:pt idx="2887">
                  <c:v>6.4</c:v>
                </c:pt>
                <c:pt idx="2888">
                  <c:v>6</c:v>
                </c:pt>
                <c:pt idx="2889">
                  <c:v>6.4</c:v>
                </c:pt>
                <c:pt idx="2890">
                  <c:v>5.0999999999999996</c:v>
                </c:pt>
                <c:pt idx="2891">
                  <c:v>7.5</c:v>
                </c:pt>
                <c:pt idx="2892">
                  <c:v>7.1</c:v>
                </c:pt>
                <c:pt idx="2893">
                  <c:v>4.5999999999999996</c:v>
                </c:pt>
                <c:pt idx="2894">
                  <c:v>5.7</c:v>
                </c:pt>
                <c:pt idx="2895">
                  <c:v>6.8</c:v>
                </c:pt>
                <c:pt idx="2896">
                  <c:v>7.7</c:v>
                </c:pt>
                <c:pt idx="2897">
                  <c:v>3.2</c:v>
                </c:pt>
                <c:pt idx="2898">
                  <c:v>6.1</c:v>
                </c:pt>
                <c:pt idx="2899">
                  <c:v>5.6</c:v>
                </c:pt>
                <c:pt idx="2900">
                  <c:v>6.9</c:v>
                </c:pt>
                <c:pt idx="2901">
                  <c:v>7.5</c:v>
                </c:pt>
                <c:pt idx="2902">
                  <c:v>5.8</c:v>
                </c:pt>
                <c:pt idx="2903">
                  <c:v>8.3000000000000007</c:v>
                </c:pt>
                <c:pt idx="2904">
                  <c:v>2.8</c:v>
                </c:pt>
                <c:pt idx="2905">
                  <c:v>6.6</c:v>
                </c:pt>
                <c:pt idx="2906">
                  <c:v>7.5</c:v>
                </c:pt>
                <c:pt idx="2907">
                  <c:v>6</c:v>
                </c:pt>
                <c:pt idx="2908">
                  <c:v>6.2</c:v>
                </c:pt>
                <c:pt idx="2909">
                  <c:v>7.2</c:v>
                </c:pt>
                <c:pt idx="2910">
                  <c:v>8.6999999999999993</c:v>
                </c:pt>
                <c:pt idx="2911">
                  <c:v>6</c:v>
                </c:pt>
                <c:pt idx="2912">
                  <c:v>8</c:v>
                </c:pt>
                <c:pt idx="2913">
                  <c:v>7.2</c:v>
                </c:pt>
                <c:pt idx="2914">
                  <c:v>4.5</c:v>
                </c:pt>
                <c:pt idx="2915">
                  <c:v>7.9</c:v>
                </c:pt>
                <c:pt idx="2916">
                  <c:v>7.1</c:v>
                </c:pt>
                <c:pt idx="2917">
                  <c:v>7.5</c:v>
                </c:pt>
                <c:pt idx="2918">
                  <c:v>6.8</c:v>
                </c:pt>
                <c:pt idx="2919">
                  <c:v>4.3</c:v>
                </c:pt>
                <c:pt idx="2920">
                  <c:v>7.2</c:v>
                </c:pt>
                <c:pt idx="2921">
                  <c:v>5.8</c:v>
                </c:pt>
                <c:pt idx="2922">
                  <c:v>7.1</c:v>
                </c:pt>
                <c:pt idx="2923">
                  <c:v>7.4</c:v>
                </c:pt>
                <c:pt idx="2924">
                  <c:v>7.6</c:v>
                </c:pt>
                <c:pt idx="2925">
                  <c:v>6.9</c:v>
                </c:pt>
                <c:pt idx="2926">
                  <c:v>6</c:v>
                </c:pt>
                <c:pt idx="2927">
                  <c:v>6.9</c:v>
                </c:pt>
                <c:pt idx="2928">
                  <c:v>7.3</c:v>
                </c:pt>
                <c:pt idx="2929">
                  <c:v>4.5999999999999996</c:v>
                </c:pt>
                <c:pt idx="2930">
                  <c:v>6</c:v>
                </c:pt>
                <c:pt idx="2931">
                  <c:v>6.4</c:v>
                </c:pt>
                <c:pt idx="2932">
                  <c:v>5.5</c:v>
                </c:pt>
                <c:pt idx="2933">
                  <c:v>7.5</c:v>
                </c:pt>
                <c:pt idx="2934">
                  <c:v>8.1</c:v>
                </c:pt>
                <c:pt idx="2935">
                  <c:v>6.3</c:v>
                </c:pt>
                <c:pt idx="2936">
                  <c:v>5.0999999999999996</c:v>
                </c:pt>
                <c:pt idx="2937">
                  <c:v>6.8</c:v>
                </c:pt>
                <c:pt idx="2938">
                  <c:v>5.3</c:v>
                </c:pt>
                <c:pt idx="2939">
                  <c:v>7.3</c:v>
                </c:pt>
                <c:pt idx="2940">
                  <c:v>7.3</c:v>
                </c:pt>
                <c:pt idx="2941">
                  <c:v>7.1</c:v>
                </c:pt>
                <c:pt idx="2942">
                  <c:v>7.6</c:v>
                </c:pt>
                <c:pt idx="2943">
                  <c:v>5.3</c:v>
                </c:pt>
                <c:pt idx="2944">
                  <c:v>7.8</c:v>
                </c:pt>
                <c:pt idx="2945">
                  <c:v>7.7</c:v>
                </c:pt>
                <c:pt idx="2946">
                  <c:v>7.7</c:v>
                </c:pt>
                <c:pt idx="2947">
                  <c:v>5.4</c:v>
                </c:pt>
                <c:pt idx="2948">
                  <c:v>6.2</c:v>
                </c:pt>
                <c:pt idx="2949">
                  <c:v>7.4</c:v>
                </c:pt>
                <c:pt idx="2950">
                  <c:v>6.2</c:v>
                </c:pt>
                <c:pt idx="2951">
                  <c:v>5.0999999999999996</c:v>
                </c:pt>
                <c:pt idx="2952">
                  <c:v>6.9</c:v>
                </c:pt>
                <c:pt idx="2953">
                  <c:v>6.3</c:v>
                </c:pt>
                <c:pt idx="2954">
                  <c:v>6.8</c:v>
                </c:pt>
                <c:pt idx="2955">
                  <c:v>5.7</c:v>
                </c:pt>
                <c:pt idx="2956">
                  <c:v>5.8</c:v>
                </c:pt>
                <c:pt idx="2957">
                  <c:v>6.2</c:v>
                </c:pt>
                <c:pt idx="2958">
                  <c:v>4.3</c:v>
                </c:pt>
                <c:pt idx="2959">
                  <c:v>6.4</c:v>
                </c:pt>
                <c:pt idx="2960">
                  <c:v>6</c:v>
                </c:pt>
                <c:pt idx="2961">
                  <c:v>6.9</c:v>
                </c:pt>
                <c:pt idx="2962">
                  <c:v>5.5</c:v>
                </c:pt>
                <c:pt idx="2963">
                  <c:v>5.4</c:v>
                </c:pt>
                <c:pt idx="2964">
                  <c:v>8.3000000000000007</c:v>
                </c:pt>
                <c:pt idx="2965">
                  <c:v>7.9</c:v>
                </c:pt>
                <c:pt idx="2966">
                  <c:v>6.5</c:v>
                </c:pt>
                <c:pt idx="2967">
                  <c:v>6.3</c:v>
                </c:pt>
                <c:pt idx="2968">
                  <c:v>6.4</c:v>
                </c:pt>
                <c:pt idx="2969">
                  <c:v>5.3</c:v>
                </c:pt>
                <c:pt idx="2970">
                  <c:v>6.6</c:v>
                </c:pt>
                <c:pt idx="2971">
                  <c:v>7.4</c:v>
                </c:pt>
                <c:pt idx="2972">
                  <c:v>8.3000000000000007</c:v>
                </c:pt>
                <c:pt idx="2973">
                  <c:v>5.3</c:v>
                </c:pt>
                <c:pt idx="2974">
                  <c:v>6.2</c:v>
                </c:pt>
                <c:pt idx="2975">
                  <c:v>6.9</c:v>
                </c:pt>
                <c:pt idx="2976">
                  <c:v>5.9</c:v>
                </c:pt>
                <c:pt idx="2977">
                  <c:v>6.1</c:v>
                </c:pt>
                <c:pt idx="2978">
                  <c:v>5.8</c:v>
                </c:pt>
                <c:pt idx="2979">
                  <c:v>5.9</c:v>
                </c:pt>
                <c:pt idx="2980">
                  <c:v>5.5</c:v>
                </c:pt>
                <c:pt idx="2981">
                  <c:v>5</c:v>
                </c:pt>
                <c:pt idx="2982">
                  <c:v>7</c:v>
                </c:pt>
                <c:pt idx="2983">
                  <c:v>7.8</c:v>
                </c:pt>
                <c:pt idx="2984">
                  <c:v>6.4</c:v>
                </c:pt>
                <c:pt idx="2985">
                  <c:v>5.9</c:v>
                </c:pt>
                <c:pt idx="2986">
                  <c:v>7</c:v>
                </c:pt>
                <c:pt idx="2987">
                  <c:v>6.1</c:v>
                </c:pt>
                <c:pt idx="2988">
                  <c:v>6.9</c:v>
                </c:pt>
                <c:pt idx="2989">
                  <c:v>7.5</c:v>
                </c:pt>
                <c:pt idx="2990">
                  <c:v>7.3</c:v>
                </c:pt>
                <c:pt idx="2991">
                  <c:v>6.5</c:v>
                </c:pt>
                <c:pt idx="2992">
                  <c:v>6.2</c:v>
                </c:pt>
                <c:pt idx="2993">
                  <c:v>6.7</c:v>
                </c:pt>
                <c:pt idx="2994">
                  <c:v>6</c:v>
                </c:pt>
                <c:pt idx="2995">
                  <c:v>6.3</c:v>
                </c:pt>
                <c:pt idx="2996">
                  <c:v>5.8</c:v>
                </c:pt>
                <c:pt idx="2997">
                  <c:v>6.1</c:v>
                </c:pt>
                <c:pt idx="2998">
                  <c:v>6.9</c:v>
                </c:pt>
                <c:pt idx="2999">
                  <c:v>5.4</c:v>
                </c:pt>
                <c:pt idx="3000">
                  <c:v>6.7</c:v>
                </c:pt>
                <c:pt idx="3001">
                  <c:v>7.4</c:v>
                </c:pt>
                <c:pt idx="3002">
                  <c:v>5.6</c:v>
                </c:pt>
                <c:pt idx="3003">
                  <c:v>6.5</c:v>
                </c:pt>
                <c:pt idx="3004">
                  <c:v>6.5</c:v>
                </c:pt>
                <c:pt idx="3005">
                  <c:v>5.8</c:v>
                </c:pt>
                <c:pt idx="3006">
                  <c:v>5</c:v>
                </c:pt>
                <c:pt idx="3007">
                  <c:v>5.5</c:v>
                </c:pt>
                <c:pt idx="3008">
                  <c:v>6.5</c:v>
                </c:pt>
                <c:pt idx="3009">
                  <c:v>7.2</c:v>
                </c:pt>
                <c:pt idx="3010">
                  <c:v>7.3</c:v>
                </c:pt>
                <c:pt idx="3011">
                  <c:v>7.2</c:v>
                </c:pt>
                <c:pt idx="3012">
                  <c:v>5.2</c:v>
                </c:pt>
                <c:pt idx="3013">
                  <c:v>5.7</c:v>
                </c:pt>
                <c:pt idx="3014">
                  <c:v>4.7</c:v>
                </c:pt>
                <c:pt idx="3015">
                  <c:v>5.9</c:v>
                </c:pt>
                <c:pt idx="3016">
                  <c:v>6.8</c:v>
                </c:pt>
                <c:pt idx="3017">
                  <c:v>5.9</c:v>
                </c:pt>
                <c:pt idx="3018">
                  <c:v>5.3</c:v>
                </c:pt>
                <c:pt idx="3019">
                  <c:v>6</c:v>
                </c:pt>
                <c:pt idx="3020">
                  <c:v>7.7</c:v>
                </c:pt>
                <c:pt idx="3021">
                  <c:v>4.4000000000000004</c:v>
                </c:pt>
                <c:pt idx="3022">
                  <c:v>6.6</c:v>
                </c:pt>
                <c:pt idx="3023">
                  <c:v>6.7</c:v>
                </c:pt>
                <c:pt idx="3024">
                  <c:v>5.5</c:v>
                </c:pt>
                <c:pt idx="3025">
                  <c:v>6.5</c:v>
                </c:pt>
                <c:pt idx="3026">
                  <c:v>6.2</c:v>
                </c:pt>
                <c:pt idx="3027">
                  <c:v>7.1</c:v>
                </c:pt>
                <c:pt idx="3028">
                  <c:v>6.1</c:v>
                </c:pt>
                <c:pt idx="3029">
                  <c:v>7.1</c:v>
                </c:pt>
                <c:pt idx="3030">
                  <c:v>6</c:v>
                </c:pt>
                <c:pt idx="3031">
                  <c:v>7.4</c:v>
                </c:pt>
                <c:pt idx="3032">
                  <c:v>5.9</c:v>
                </c:pt>
                <c:pt idx="3033">
                  <c:v>4.0999999999999996</c:v>
                </c:pt>
                <c:pt idx="3034">
                  <c:v>5.8</c:v>
                </c:pt>
                <c:pt idx="3035">
                  <c:v>5.9</c:v>
                </c:pt>
                <c:pt idx="3036">
                  <c:v>7</c:v>
                </c:pt>
                <c:pt idx="3037">
                  <c:v>6.8</c:v>
                </c:pt>
                <c:pt idx="3038">
                  <c:v>7.4</c:v>
                </c:pt>
                <c:pt idx="3039">
                  <c:v>7.1</c:v>
                </c:pt>
                <c:pt idx="3040">
                  <c:v>7</c:v>
                </c:pt>
                <c:pt idx="3041">
                  <c:v>5.8</c:v>
                </c:pt>
                <c:pt idx="3042">
                  <c:v>7.8</c:v>
                </c:pt>
                <c:pt idx="3043">
                  <c:v>6.5</c:v>
                </c:pt>
                <c:pt idx="3044">
                  <c:v>7</c:v>
                </c:pt>
                <c:pt idx="3045">
                  <c:v>6.3</c:v>
                </c:pt>
                <c:pt idx="3046">
                  <c:v>5.3</c:v>
                </c:pt>
                <c:pt idx="3047">
                  <c:v>6.8</c:v>
                </c:pt>
                <c:pt idx="3048">
                  <c:v>5.5</c:v>
                </c:pt>
                <c:pt idx="3049">
                  <c:v>7.4</c:v>
                </c:pt>
                <c:pt idx="3050">
                  <c:v>4.3</c:v>
                </c:pt>
                <c:pt idx="3051">
                  <c:v>5.2</c:v>
                </c:pt>
                <c:pt idx="3052">
                  <c:v>6.7</c:v>
                </c:pt>
                <c:pt idx="3053">
                  <c:v>6.3</c:v>
                </c:pt>
                <c:pt idx="3054">
                  <c:v>8.6</c:v>
                </c:pt>
                <c:pt idx="3055">
                  <c:v>6.1</c:v>
                </c:pt>
                <c:pt idx="3056">
                  <c:v>5.8</c:v>
                </c:pt>
                <c:pt idx="3057">
                  <c:v>7.7</c:v>
                </c:pt>
                <c:pt idx="3058">
                  <c:v>8</c:v>
                </c:pt>
                <c:pt idx="3059">
                  <c:v>5.6</c:v>
                </c:pt>
                <c:pt idx="3060">
                  <c:v>6.7</c:v>
                </c:pt>
                <c:pt idx="3061">
                  <c:v>6.6</c:v>
                </c:pt>
                <c:pt idx="3062">
                  <c:v>4.2</c:v>
                </c:pt>
                <c:pt idx="3063">
                  <c:v>6.6</c:v>
                </c:pt>
                <c:pt idx="3064">
                  <c:v>4.0999999999999996</c:v>
                </c:pt>
                <c:pt idx="3065">
                  <c:v>7.3</c:v>
                </c:pt>
                <c:pt idx="3066">
                  <c:v>7.1</c:v>
                </c:pt>
                <c:pt idx="3067">
                  <c:v>6.5</c:v>
                </c:pt>
                <c:pt idx="3068">
                  <c:v>7</c:v>
                </c:pt>
                <c:pt idx="3069">
                  <c:v>5.5</c:v>
                </c:pt>
                <c:pt idx="3070">
                  <c:v>6.6</c:v>
                </c:pt>
                <c:pt idx="3071">
                  <c:v>7.1</c:v>
                </c:pt>
                <c:pt idx="3072">
                  <c:v>7.9</c:v>
                </c:pt>
                <c:pt idx="3073">
                  <c:v>7.1</c:v>
                </c:pt>
                <c:pt idx="3074">
                  <c:v>5.6</c:v>
                </c:pt>
                <c:pt idx="3075">
                  <c:v>7.3</c:v>
                </c:pt>
                <c:pt idx="3076">
                  <c:v>3.3</c:v>
                </c:pt>
                <c:pt idx="3077">
                  <c:v>6.5</c:v>
                </c:pt>
                <c:pt idx="3078">
                  <c:v>4.8</c:v>
                </c:pt>
                <c:pt idx="3079">
                  <c:v>5.2</c:v>
                </c:pt>
                <c:pt idx="3080">
                  <c:v>6.3</c:v>
                </c:pt>
                <c:pt idx="3081">
                  <c:v>7.2</c:v>
                </c:pt>
                <c:pt idx="3082">
                  <c:v>6.8</c:v>
                </c:pt>
                <c:pt idx="3083">
                  <c:v>5.7</c:v>
                </c:pt>
                <c:pt idx="3084">
                  <c:v>7.2</c:v>
                </c:pt>
                <c:pt idx="3085">
                  <c:v>6.9</c:v>
                </c:pt>
                <c:pt idx="3086">
                  <c:v>6.3</c:v>
                </c:pt>
                <c:pt idx="3087">
                  <c:v>6.2</c:v>
                </c:pt>
                <c:pt idx="3088">
                  <c:v>6.7</c:v>
                </c:pt>
                <c:pt idx="3089">
                  <c:v>6.5</c:v>
                </c:pt>
                <c:pt idx="3090">
                  <c:v>7.2</c:v>
                </c:pt>
                <c:pt idx="3091">
                  <c:v>5.3</c:v>
                </c:pt>
                <c:pt idx="3092">
                  <c:v>6.7</c:v>
                </c:pt>
                <c:pt idx="3093">
                  <c:v>6.2</c:v>
                </c:pt>
                <c:pt idx="3094">
                  <c:v>3.6</c:v>
                </c:pt>
                <c:pt idx="3095">
                  <c:v>5.7</c:v>
                </c:pt>
                <c:pt idx="3096">
                  <c:v>7.3</c:v>
                </c:pt>
                <c:pt idx="3097">
                  <c:v>5</c:v>
                </c:pt>
                <c:pt idx="3098">
                  <c:v>6.6</c:v>
                </c:pt>
                <c:pt idx="3099">
                  <c:v>6.6</c:v>
                </c:pt>
                <c:pt idx="3100">
                  <c:v>6.8</c:v>
                </c:pt>
                <c:pt idx="3101">
                  <c:v>6.2</c:v>
                </c:pt>
                <c:pt idx="3102">
                  <c:v>7.3</c:v>
                </c:pt>
                <c:pt idx="3103">
                  <c:v>6.2</c:v>
                </c:pt>
                <c:pt idx="3104">
                  <c:v>6.9</c:v>
                </c:pt>
                <c:pt idx="3105">
                  <c:v>6.6</c:v>
                </c:pt>
                <c:pt idx="3106">
                  <c:v>6.3</c:v>
                </c:pt>
                <c:pt idx="3107">
                  <c:v>7</c:v>
                </c:pt>
                <c:pt idx="3108">
                  <c:v>3.3</c:v>
                </c:pt>
                <c:pt idx="3109">
                  <c:v>6.7</c:v>
                </c:pt>
                <c:pt idx="3110">
                  <c:v>6.2</c:v>
                </c:pt>
                <c:pt idx="3111">
                  <c:v>6.5</c:v>
                </c:pt>
                <c:pt idx="3112">
                  <c:v>3.5</c:v>
                </c:pt>
                <c:pt idx="3113">
                  <c:v>5.5</c:v>
                </c:pt>
                <c:pt idx="3114">
                  <c:v>5.9</c:v>
                </c:pt>
                <c:pt idx="3115">
                  <c:v>4.7</c:v>
                </c:pt>
                <c:pt idx="3116">
                  <c:v>4.2</c:v>
                </c:pt>
                <c:pt idx="3117">
                  <c:v>5.2</c:v>
                </c:pt>
                <c:pt idx="3118">
                  <c:v>5.2</c:v>
                </c:pt>
                <c:pt idx="3119">
                  <c:v>3.9</c:v>
                </c:pt>
                <c:pt idx="3120">
                  <c:v>6.1</c:v>
                </c:pt>
                <c:pt idx="3121">
                  <c:v>5.8</c:v>
                </c:pt>
                <c:pt idx="3122">
                  <c:v>6.7</c:v>
                </c:pt>
                <c:pt idx="3123">
                  <c:v>5.7</c:v>
                </c:pt>
                <c:pt idx="3124">
                  <c:v>4.5</c:v>
                </c:pt>
                <c:pt idx="3125">
                  <c:v>6.9</c:v>
                </c:pt>
                <c:pt idx="3126">
                  <c:v>4.8</c:v>
                </c:pt>
                <c:pt idx="3127">
                  <c:v>6.3</c:v>
                </c:pt>
                <c:pt idx="3128">
                  <c:v>6.9</c:v>
                </c:pt>
                <c:pt idx="3129">
                  <c:v>5.4</c:v>
                </c:pt>
                <c:pt idx="3130">
                  <c:v>3.8</c:v>
                </c:pt>
                <c:pt idx="3131">
                  <c:v>7</c:v>
                </c:pt>
                <c:pt idx="3132">
                  <c:v>5.2</c:v>
                </c:pt>
                <c:pt idx="3133">
                  <c:v>7.3</c:v>
                </c:pt>
                <c:pt idx="3134">
                  <c:v>4.5999999999999996</c:v>
                </c:pt>
                <c:pt idx="3135">
                  <c:v>6.5</c:v>
                </c:pt>
                <c:pt idx="3136">
                  <c:v>6.8</c:v>
                </c:pt>
                <c:pt idx="3137">
                  <c:v>6.7</c:v>
                </c:pt>
                <c:pt idx="3138">
                  <c:v>6.1</c:v>
                </c:pt>
                <c:pt idx="3139">
                  <c:v>5.2</c:v>
                </c:pt>
                <c:pt idx="3140">
                  <c:v>6.9</c:v>
                </c:pt>
                <c:pt idx="3141">
                  <c:v>6</c:v>
                </c:pt>
                <c:pt idx="3142">
                  <c:v>7.9</c:v>
                </c:pt>
                <c:pt idx="3143">
                  <c:v>4.5</c:v>
                </c:pt>
                <c:pt idx="3144">
                  <c:v>5.0999999999999996</c:v>
                </c:pt>
                <c:pt idx="3145">
                  <c:v>7.6</c:v>
                </c:pt>
                <c:pt idx="3146">
                  <c:v>7.6</c:v>
                </c:pt>
                <c:pt idx="3147">
                  <c:v>6.7</c:v>
                </c:pt>
                <c:pt idx="3148">
                  <c:v>6.1</c:v>
                </c:pt>
                <c:pt idx="3149">
                  <c:v>7.5</c:v>
                </c:pt>
                <c:pt idx="3150">
                  <c:v>5.3</c:v>
                </c:pt>
                <c:pt idx="3151">
                  <c:v>6</c:v>
                </c:pt>
                <c:pt idx="3152">
                  <c:v>7.1</c:v>
                </c:pt>
                <c:pt idx="3153">
                  <c:v>7.5</c:v>
                </c:pt>
                <c:pt idx="3154">
                  <c:v>6.9</c:v>
                </c:pt>
                <c:pt idx="3155">
                  <c:v>8.5</c:v>
                </c:pt>
                <c:pt idx="3156">
                  <c:v>7.5</c:v>
                </c:pt>
                <c:pt idx="3157">
                  <c:v>6.6</c:v>
                </c:pt>
                <c:pt idx="3158">
                  <c:v>8</c:v>
                </c:pt>
                <c:pt idx="3159">
                  <c:v>7</c:v>
                </c:pt>
                <c:pt idx="3160">
                  <c:v>5.8</c:v>
                </c:pt>
                <c:pt idx="3161">
                  <c:v>7.3</c:v>
                </c:pt>
                <c:pt idx="3162">
                  <c:v>6.8</c:v>
                </c:pt>
                <c:pt idx="3163">
                  <c:v>6.7</c:v>
                </c:pt>
                <c:pt idx="3164">
                  <c:v>6.5</c:v>
                </c:pt>
                <c:pt idx="3165">
                  <c:v>8</c:v>
                </c:pt>
                <c:pt idx="3166">
                  <c:v>6.5</c:v>
                </c:pt>
                <c:pt idx="3167">
                  <c:v>4.9000000000000004</c:v>
                </c:pt>
                <c:pt idx="3168">
                  <c:v>7.1</c:v>
                </c:pt>
                <c:pt idx="3169">
                  <c:v>7</c:v>
                </c:pt>
                <c:pt idx="3170">
                  <c:v>7</c:v>
                </c:pt>
                <c:pt idx="3171">
                  <c:v>7.5</c:v>
                </c:pt>
                <c:pt idx="3172">
                  <c:v>4.5</c:v>
                </c:pt>
                <c:pt idx="3173">
                  <c:v>5.5</c:v>
                </c:pt>
                <c:pt idx="3174">
                  <c:v>7.7</c:v>
                </c:pt>
                <c:pt idx="3175">
                  <c:v>7.2</c:v>
                </c:pt>
                <c:pt idx="3176">
                  <c:v>4.8</c:v>
                </c:pt>
                <c:pt idx="3177">
                  <c:v>6.7</c:v>
                </c:pt>
                <c:pt idx="3178">
                  <c:v>7</c:v>
                </c:pt>
                <c:pt idx="3179">
                  <c:v>6.5</c:v>
                </c:pt>
                <c:pt idx="3180">
                  <c:v>7.4</c:v>
                </c:pt>
                <c:pt idx="3181">
                  <c:v>5.7</c:v>
                </c:pt>
                <c:pt idx="3182">
                  <c:v>6.2</c:v>
                </c:pt>
                <c:pt idx="3183">
                  <c:v>5.7</c:v>
                </c:pt>
                <c:pt idx="3184">
                  <c:v>6.4</c:v>
                </c:pt>
                <c:pt idx="3185">
                  <c:v>7</c:v>
                </c:pt>
                <c:pt idx="3186">
                  <c:v>7.7</c:v>
                </c:pt>
                <c:pt idx="3187">
                  <c:v>5.4</c:v>
                </c:pt>
                <c:pt idx="3188">
                  <c:v>6.6</c:v>
                </c:pt>
                <c:pt idx="3189">
                  <c:v>6.1</c:v>
                </c:pt>
                <c:pt idx="3190">
                  <c:v>6.1</c:v>
                </c:pt>
                <c:pt idx="3191">
                  <c:v>7.6</c:v>
                </c:pt>
                <c:pt idx="3192">
                  <c:v>6.2</c:v>
                </c:pt>
                <c:pt idx="3193">
                  <c:v>6.6</c:v>
                </c:pt>
                <c:pt idx="3194">
                  <c:v>7.3</c:v>
                </c:pt>
                <c:pt idx="3195">
                  <c:v>4.2</c:v>
                </c:pt>
                <c:pt idx="3196">
                  <c:v>7.1</c:v>
                </c:pt>
                <c:pt idx="3197">
                  <c:v>6</c:v>
                </c:pt>
                <c:pt idx="3198">
                  <c:v>6.5</c:v>
                </c:pt>
                <c:pt idx="3199">
                  <c:v>6.5</c:v>
                </c:pt>
                <c:pt idx="3200">
                  <c:v>5.7</c:v>
                </c:pt>
                <c:pt idx="3201">
                  <c:v>6.1</c:v>
                </c:pt>
                <c:pt idx="3202">
                  <c:v>7.1</c:v>
                </c:pt>
                <c:pt idx="3203">
                  <c:v>7.3</c:v>
                </c:pt>
                <c:pt idx="3204">
                  <c:v>6.5</c:v>
                </c:pt>
                <c:pt idx="3205">
                  <c:v>5.7</c:v>
                </c:pt>
                <c:pt idx="3206">
                  <c:v>7.2</c:v>
                </c:pt>
                <c:pt idx="3207">
                  <c:v>7.3</c:v>
                </c:pt>
                <c:pt idx="3208">
                  <c:v>6.9</c:v>
                </c:pt>
                <c:pt idx="3209">
                  <c:v>5</c:v>
                </c:pt>
                <c:pt idx="3210">
                  <c:v>5.9</c:v>
                </c:pt>
                <c:pt idx="3211">
                  <c:v>6.7</c:v>
                </c:pt>
                <c:pt idx="3212">
                  <c:v>7.3</c:v>
                </c:pt>
                <c:pt idx="3213">
                  <c:v>7.6</c:v>
                </c:pt>
                <c:pt idx="3214">
                  <c:v>6.5</c:v>
                </c:pt>
                <c:pt idx="3215">
                  <c:v>2.1</c:v>
                </c:pt>
                <c:pt idx="3216">
                  <c:v>5.3</c:v>
                </c:pt>
                <c:pt idx="3217">
                  <c:v>7.2</c:v>
                </c:pt>
                <c:pt idx="3218">
                  <c:v>7</c:v>
                </c:pt>
                <c:pt idx="3219">
                  <c:v>8</c:v>
                </c:pt>
                <c:pt idx="3220">
                  <c:v>6.9</c:v>
                </c:pt>
                <c:pt idx="3221">
                  <c:v>7.1</c:v>
                </c:pt>
                <c:pt idx="3222">
                  <c:v>7.3</c:v>
                </c:pt>
                <c:pt idx="3223">
                  <c:v>7.5</c:v>
                </c:pt>
                <c:pt idx="3224">
                  <c:v>6.9</c:v>
                </c:pt>
                <c:pt idx="3225">
                  <c:v>7.2</c:v>
                </c:pt>
                <c:pt idx="3226">
                  <c:v>6.7</c:v>
                </c:pt>
                <c:pt idx="3227">
                  <c:v>6</c:v>
                </c:pt>
                <c:pt idx="3228">
                  <c:v>8.9</c:v>
                </c:pt>
                <c:pt idx="3229">
                  <c:v>7.7</c:v>
                </c:pt>
                <c:pt idx="3230">
                  <c:v>7.9</c:v>
                </c:pt>
                <c:pt idx="3231">
                  <c:v>5.6</c:v>
                </c:pt>
                <c:pt idx="3232">
                  <c:v>8</c:v>
                </c:pt>
                <c:pt idx="3233">
                  <c:v>6.2</c:v>
                </c:pt>
                <c:pt idx="3234">
                  <c:v>7.9</c:v>
                </c:pt>
                <c:pt idx="3235">
                  <c:v>8.1</c:v>
                </c:pt>
                <c:pt idx="3236">
                  <c:v>7.6</c:v>
                </c:pt>
                <c:pt idx="3237">
                  <c:v>3.5</c:v>
                </c:pt>
                <c:pt idx="3238">
                  <c:v>7.6</c:v>
                </c:pt>
                <c:pt idx="3239">
                  <c:v>6.5</c:v>
                </c:pt>
                <c:pt idx="3240">
                  <c:v>5.6</c:v>
                </c:pt>
                <c:pt idx="3241">
                  <c:v>7.7</c:v>
                </c:pt>
                <c:pt idx="3242">
                  <c:v>5.2</c:v>
                </c:pt>
                <c:pt idx="3243">
                  <c:v>6.1</c:v>
                </c:pt>
                <c:pt idx="3244">
                  <c:v>5</c:v>
                </c:pt>
                <c:pt idx="3245">
                  <c:v>7.8</c:v>
                </c:pt>
                <c:pt idx="3246">
                  <c:v>7.4</c:v>
                </c:pt>
                <c:pt idx="3247">
                  <c:v>6.8</c:v>
                </c:pt>
                <c:pt idx="3248">
                  <c:v>6.4</c:v>
                </c:pt>
                <c:pt idx="3249">
                  <c:v>5.7</c:v>
                </c:pt>
                <c:pt idx="3250">
                  <c:v>7.5</c:v>
                </c:pt>
                <c:pt idx="3251">
                  <c:v>6.7</c:v>
                </c:pt>
                <c:pt idx="3252">
                  <c:v>5.6</c:v>
                </c:pt>
                <c:pt idx="3253">
                  <c:v>7.6</c:v>
                </c:pt>
                <c:pt idx="3254">
                  <c:v>6.5</c:v>
                </c:pt>
                <c:pt idx="3255">
                  <c:v>7</c:v>
                </c:pt>
                <c:pt idx="3256">
                  <c:v>6.3</c:v>
                </c:pt>
                <c:pt idx="3257">
                  <c:v>6.4</c:v>
                </c:pt>
                <c:pt idx="3258">
                  <c:v>7.1</c:v>
                </c:pt>
                <c:pt idx="3259">
                  <c:v>7.1</c:v>
                </c:pt>
                <c:pt idx="3260">
                  <c:v>6.5</c:v>
                </c:pt>
                <c:pt idx="3261">
                  <c:v>6.9</c:v>
                </c:pt>
                <c:pt idx="3262">
                  <c:v>5.4</c:v>
                </c:pt>
                <c:pt idx="3263">
                  <c:v>4.9000000000000004</c:v>
                </c:pt>
                <c:pt idx="3264">
                  <c:v>5.0999999999999996</c:v>
                </c:pt>
                <c:pt idx="3265">
                  <c:v>5.3</c:v>
                </c:pt>
                <c:pt idx="3266">
                  <c:v>7.5</c:v>
                </c:pt>
                <c:pt idx="3267">
                  <c:v>7.3</c:v>
                </c:pt>
                <c:pt idx="3268">
                  <c:v>7.3</c:v>
                </c:pt>
                <c:pt idx="3269">
                  <c:v>7.1</c:v>
                </c:pt>
                <c:pt idx="3270">
                  <c:v>6</c:v>
                </c:pt>
                <c:pt idx="3271">
                  <c:v>6.6</c:v>
                </c:pt>
                <c:pt idx="3272">
                  <c:v>7.2</c:v>
                </c:pt>
                <c:pt idx="3273">
                  <c:v>7.2</c:v>
                </c:pt>
                <c:pt idx="3274">
                  <c:v>6.9</c:v>
                </c:pt>
                <c:pt idx="3275">
                  <c:v>6.8</c:v>
                </c:pt>
                <c:pt idx="3276">
                  <c:v>4</c:v>
                </c:pt>
                <c:pt idx="3277">
                  <c:v>7.7</c:v>
                </c:pt>
                <c:pt idx="3278">
                  <c:v>7.4</c:v>
                </c:pt>
                <c:pt idx="3279">
                  <c:v>6.5</c:v>
                </c:pt>
                <c:pt idx="3280">
                  <c:v>6.4</c:v>
                </c:pt>
                <c:pt idx="3281">
                  <c:v>7.2</c:v>
                </c:pt>
                <c:pt idx="3282">
                  <c:v>5.6</c:v>
                </c:pt>
                <c:pt idx="3283">
                  <c:v>6.3</c:v>
                </c:pt>
                <c:pt idx="3284">
                  <c:v>6.8</c:v>
                </c:pt>
                <c:pt idx="3285">
                  <c:v>5.5</c:v>
                </c:pt>
                <c:pt idx="3286">
                  <c:v>6.9</c:v>
                </c:pt>
                <c:pt idx="3287">
                  <c:v>6</c:v>
                </c:pt>
                <c:pt idx="3288">
                  <c:v>6.4</c:v>
                </c:pt>
                <c:pt idx="3289">
                  <c:v>6.6</c:v>
                </c:pt>
                <c:pt idx="3290">
                  <c:v>5.3</c:v>
                </c:pt>
                <c:pt idx="3291">
                  <c:v>8.1</c:v>
                </c:pt>
                <c:pt idx="3292">
                  <c:v>5.9</c:v>
                </c:pt>
                <c:pt idx="3293">
                  <c:v>7.7</c:v>
                </c:pt>
                <c:pt idx="3294">
                  <c:v>4.5999999999999996</c:v>
                </c:pt>
                <c:pt idx="3295">
                  <c:v>5.0999999999999996</c:v>
                </c:pt>
                <c:pt idx="3296">
                  <c:v>6.9</c:v>
                </c:pt>
                <c:pt idx="3297">
                  <c:v>8</c:v>
                </c:pt>
                <c:pt idx="3298">
                  <c:v>6.8</c:v>
                </c:pt>
                <c:pt idx="3299">
                  <c:v>5.4</c:v>
                </c:pt>
                <c:pt idx="3300">
                  <c:v>6.5</c:v>
                </c:pt>
                <c:pt idx="3301">
                  <c:v>4.2</c:v>
                </c:pt>
                <c:pt idx="3302">
                  <c:v>7.4</c:v>
                </c:pt>
                <c:pt idx="3303">
                  <c:v>6.9</c:v>
                </c:pt>
                <c:pt idx="3304">
                  <c:v>6.7</c:v>
                </c:pt>
                <c:pt idx="3305">
                  <c:v>7.3</c:v>
                </c:pt>
                <c:pt idx="3306">
                  <c:v>7.6</c:v>
                </c:pt>
                <c:pt idx="3307">
                  <c:v>5.4</c:v>
                </c:pt>
                <c:pt idx="3308">
                  <c:v>7.3</c:v>
                </c:pt>
                <c:pt idx="3309">
                  <c:v>6.4</c:v>
                </c:pt>
                <c:pt idx="3310">
                  <c:v>6</c:v>
                </c:pt>
                <c:pt idx="3311">
                  <c:v>7.2</c:v>
                </c:pt>
                <c:pt idx="3312">
                  <c:v>6</c:v>
                </c:pt>
                <c:pt idx="3313">
                  <c:v>3.1</c:v>
                </c:pt>
                <c:pt idx="3314">
                  <c:v>6.9</c:v>
                </c:pt>
                <c:pt idx="3315">
                  <c:v>6.2</c:v>
                </c:pt>
                <c:pt idx="3316">
                  <c:v>5.5</c:v>
                </c:pt>
                <c:pt idx="3317">
                  <c:v>6.9</c:v>
                </c:pt>
                <c:pt idx="3318">
                  <c:v>6.3</c:v>
                </c:pt>
                <c:pt idx="3319">
                  <c:v>4.8</c:v>
                </c:pt>
                <c:pt idx="3320">
                  <c:v>6.7</c:v>
                </c:pt>
                <c:pt idx="3321">
                  <c:v>5.6</c:v>
                </c:pt>
                <c:pt idx="3322">
                  <c:v>5.4</c:v>
                </c:pt>
                <c:pt idx="3323">
                  <c:v>8</c:v>
                </c:pt>
                <c:pt idx="3324">
                  <c:v>5.7</c:v>
                </c:pt>
                <c:pt idx="3325">
                  <c:v>7.6</c:v>
                </c:pt>
                <c:pt idx="3326">
                  <c:v>7</c:v>
                </c:pt>
                <c:pt idx="3327">
                  <c:v>7.2</c:v>
                </c:pt>
                <c:pt idx="3328">
                  <c:v>3.5</c:v>
                </c:pt>
                <c:pt idx="3329">
                  <c:v>7.5</c:v>
                </c:pt>
                <c:pt idx="3330">
                  <c:v>5.0999999999999996</c:v>
                </c:pt>
                <c:pt idx="3331">
                  <c:v>6.7</c:v>
                </c:pt>
                <c:pt idx="3332">
                  <c:v>9.1999999999999993</c:v>
                </c:pt>
                <c:pt idx="3333">
                  <c:v>6.1</c:v>
                </c:pt>
                <c:pt idx="3334">
                  <c:v>7.7</c:v>
                </c:pt>
                <c:pt idx="3335">
                  <c:v>7.6</c:v>
                </c:pt>
                <c:pt idx="3336">
                  <c:v>6.1</c:v>
                </c:pt>
                <c:pt idx="3337">
                  <c:v>4.9000000000000004</c:v>
                </c:pt>
                <c:pt idx="3338">
                  <c:v>6.8</c:v>
                </c:pt>
                <c:pt idx="3339">
                  <c:v>7</c:v>
                </c:pt>
                <c:pt idx="3340">
                  <c:v>7.2</c:v>
                </c:pt>
                <c:pt idx="3341">
                  <c:v>5.7</c:v>
                </c:pt>
                <c:pt idx="3342">
                  <c:v>7.5</c:v>
                </c:pt>
                <c:pt idx="3343">
                  <c:v>7.4</c:v>
                </c:pt>
                <c:pt idx="3344">
                  <c:v>7.2</c:v>
                </c:pt>
                <c:pt idx="3345">
                  <c:v>6.8</c:v>
                </c:pt>
                <c:pt idx="3346">
                  <c:v>6.8</c:v>
                </c:pt>
                <c:pt idx="3347">
                  <c:v>5.2</c:v>
                </c:pt>
                <c:pt idx="3348">
                  <c:v>7.2</c:v>
                </c:pt>
                <c:pt idx="3349">
                  <c:v>7.5</c:v>
                </c:pt>
                <c:pt idx="3350">
                  <c:v>4</c:v>
                </c:pt>
                <c:pt idx="3351">
                  <c:v>6.8</c:v>
                </c:pt>
                <c:pt idx="3352">
                  <c:v>6.9</c:v>
                </c:pt>
                <c:pt idx="3353">
                  <c:v>7.3</c:v>
                </c:pt>
                <c:pt idx="3354">
                  <c:v>6.1</c:v>
                </c:pt>
                <c:pt idx="3355">
                  <c:v>6</c:v>
                </c:pt>
                <c:pt idx="3356">
                  <c:v>4.0999999999999996</c:v>
                </c:pt>
                <c:pt idx="3357">
                  <c:v>7</c:v>
                </c:pt>
                <c:pt idx="3358">
                  <c:v>7.1</c:v>
                </c:pt>
                <c:pt idx="3359">
                  <c:v>6.2</c:v>
                </c:pt>
                <c:pt idx="3360">
                  <c:v>6.9</c:v>
                </c:pt>
                <c:pt idx="3361">
                  <c:v>7.6</c:v>
                </c:pt>
                <c:pt idx="3362">
                  <c:v>7.6</c:v>
                </c:pt>
                <c:pt idx="3363">
                  <c:v>6.4</c:v>
                </c:pt>
                <c:pt idx="3364">
                  <c:v>6.2</c:v>
                </c:pt>
                <c:pt idx="3365">
                  <c:v>7.5</c:v>
                </c:pt>
                <c:pt idx="3366">
                  <c:v>2</c:v>
                </c:pt>
                <c:pt idx="3367">
                  <c:v>6.2</c:v>
                </c:pt>
                <c:pt idx="3368">
                  <c:v>6.5</c:v>
                </c:pt>
                <c:pt idx="3369">
                  <c:v>7.9</c:v>
                </c:pt>
                <c:pt idx="3370">
                  <c:v>6.8</c:v>
                </c:pt>
                <c:pt idx="3371">
                  <c:v>6.3</c:v>
                </c:pt>
                <c:pt idx="3372">
                  <c:v>6.3</c:v>
                </c:pt>
                <c:pt idx="3373">
                  <c:v>6.6</c:v>
                </c:pt>
                <c:pt idx="3374">
                  <c:v>6.4</c:v>
                </c:pt>
                <c:pt idx="3375">
                  <c:v>7.5</c:v>
                </c:pt>
                <c:pt idx="3376">
                  <c:v>5.8</c:v>
                </c:pt>
                <c:pt idx="3377">
                  <c:v>6.5</c:v>
                </c:pt>
                <c:pt idx="3378">
                  <c:v>4.8</c:v>
                </c:pt>
                <c:pt idx="3379">
                  <c:v>7.2</c:v>
                </c:pt>
                <c:pt idx="3380">
                  <c:v>6.3</c:v>
                </c:pt>
                <c:pt idx="3381">
                  <c:v>7</c:v>
                </c:pt>
                <c:pt idx="3382">
                  <c:v>6.3</c:v>
                </c:pt>
                <c:pt idx="3383">
                  <c:v>5.3</c:v>
                </c:pt>
                <c:pt idx="3384">
                  <c:v>2.2999999999999998</c:v>
                </c:pt>
                <c:pt idx="3385">
                  <c:v>7.1</c:v>
                </c:pt>
                <c:pt idx="3386">
                  <c:v>6.2</c:v>
                </c:pt>
                <c:pt idx="3387">
                  <c:v>6.2</c:v>
                </c:pt>
                <c:pt idx="3388">
                  <c:v>6.7</c:v>
                </c:pt>
                <c:pt idx="3389">
                  <c:v>6.5</c:v>
                </c:pt>
                <c:pt idx="3390">
                  <c:v>5.9</c:v>
                </c:pt>
                <c:pt idx="3391">
                  <c:v>6.7</c:v>
                </c:pt>
                <c:pt idx="3392">
                  <c:v>6</c:v>
                </c:pt>
                <c:pt idx="3393">
                  <c:v>6.9</c:v>
                </c:pt>
                <c:pt idx="3394">
                  <c:v>7.9</c:v>
                </c:pt>
                <c:pt idx="3395">
                  <c:v>5.3</c:v>
                </c:pt>
                <c:pt idx="3396">
                  <c:v>4.8</c:v>
                </c:pt>
                <c:pt idx="3397">
                  <c:v>5.3</c:v>
                </c:pt>
                <c:pt idx="3398">
                  <c:v>7.3</c:v>
                </c:pt>
                <c:pt idx="3399">
                  <c:v>7.4</c:v>
                </c:pt>
                <c:pt idx="3400">
                  <c:v>7.7</c:v>
                </c:pt>
                <c:pt idx="3401">
                  <c:v>4.8</c:v>
                </c:pt>
                <c:pt idx="3402">
                  <c:v>7.2</c:v>
                </c:pt>
                <c:pt idx="3403">
                  <c:v>5.8</c:v>
                </c:pt>
                <c:pt idx="3404">
                  <c:v>7.3</c:v>
                </c:pt>
                <c:pt idx="3405">
                  <c:v>7</c:v>
                </c:pt>
                <c:pt idx="3406">
                  <c:v>6.4</c:v>
                </c:pt>
                <c:pt idx="3407">
                  <c:v>5.6</c:v>
                </c:pt>
                <c:pt idx="3408">
                  <c:v>8.1999999999999993</c:v>
                </c:pt>
                <c:pt idx="3409">
                  <c:v>6.5</c:v>
                </c:pt>
                <c:pt idx="3410">
                  <c:v>6.4</c:v>
                </c:pt>
                <c:pt idx="3411">
                  <c:v>8.1</c:v>
                </c:pt>
                <c:pt idx="3412">
                  <c:v>5.4</c:v>
                </c:pt>
                <c:pt idx="3413">
                  <c:v>6.3</c:v>
                </c:pt>
                <c:pt idx="3414">
                  <c:v>7.8</c:v>
                </c:pt>
                <c:pt idx="3415">
                  <c:v>6.8</c:v>
                </c:pt>
                <c:pt idx="3416">
                  <c:v>7.2</c:v>
                </c:pt>
                <c:pt idx="3417">
                  <c:v>7.1</c:v>
                </c:pt>
                <c:pt idx="3418">
                  <c:v>6.2</c:v>
                </c:pt>
                <c:pt idx="3419">
                  <c:v>7.3</c:v>
                </c:pt>
                <c:pt idx="3420">
                  <c:v>5.9</c:v>
                </c:pt>
                <c:pt idx="3421">
                  <c:v>7.2</c:v>
                </c:pt>
                <c:pt idx="3422">
                  <c:v>3.6</c:v>
                </c:pt>
                <c:pt idx="3423">
                  <c:v>7.7</c:v>
                </c:pt>
                <c:pt idx="3424">
                  <c:v>7.3</c:v>
                </c:pt>
                <c:pt idx="3425">
                  <c:v>7.4</c:v>
                </c:pt>
                <c:pt idx="3426">
                  <c:v>6.6</c:v>
                </c:pt>
                <c:pt idx="3427">
                  <c:v>6.9</c:v>
                </c:pt>
                <c:pt idx="3428">
                  <c:v>6.8</c:v>
                </c:pt>
                <c:pt idx="3429">
                  <c:v>7.3</c:v>
                </c:pt>
                <c:pt idx="3430">
                  <c:v>7.2</c:v>
                </c:pt>
                <c:pt idx="3431">
                  <c:v>6.5</c:v>
                </c:pt>
                <c:pt idx="3432">
                  <c:v>7.7</c:v>
                </c:pt>
                <c:pt idx="3433">
                  <c:v>8.1</c:v>
                </c:pt>
                <c:pt idx="3434">
                  <c:v>7.7</c:v>
                </c:pt>
                <c:pt idx="3435">
                  <c:v>7.6</c:v>
                </c:pt>
                <c:pt idx="3436">
                  <c:v>7.3</c:v>
                </c:pt>
                <c:pt idx="3437">
                  <c:v>7.2</c:v>
                </c:pt>
                <c:pt idx="3438">
                  <c:v>7.2</c:v>
                </c:pt>
                <c:pt idx="3439">
                  <c:v>8.1</c:v>
                </c:pt>
                <c:pt idx="3440">
                  <c:v>7.5</c:v>
                </c:pt>
                <c:pt idx="3441">
                  <c:v>8.1</c:v>
                </c:pt>
                <c:pt idx="3442">
                  <c:v>7.8</c:v>
                </c:pt>
                <c:pt idx="3443">
                  <c:v>7.8</c:v>
                </c:pt>
                <c:pt idx="3444">
                  <c:v>7.6</c:v>
                </c:pt>
                <c:pt idx="3445">
                  <c:v>7.4</c:v>
                </c:pt>
                <c:pt idx="3446">
                  <c:v>6.3</c:v>
                </c:pt>
                <c:pt idx="3447">
                  <c:v>6.9</c:v>
                </c:pt>
                <c:pt idx="3448">
                  <c:v>8.6</c:v>
                </c:pt>
                <c:pt idx="3449">
                  <c:v>5.0999999999999996</c:v>
                </c:pt>
                <c:pt idx="3450">
                  <c:v>6.4</c:v>
                </c:pt>
                <c:pt idx="3451">
                  <c:v>7.9</c:v>
                </c:pt>
                <c:pt idx="3452">
                  <c:v>6.9</c:v>
                </c:pt>
                <c:pt idx="3453">
                  <c:v>7.5</c:v>
                </c:pt>
                <c:pt idx="3454">
                  <c:v>7.2</c:v>
                </c:pt>
                <c:pt idx="3455">
                  <c:v>5.8</c:v>
                </c:pt>
                <c:pt idx="3456">
                  <c:v>2.9</c:v>
                </c:pt>
                <c:pt idx="3457">
                  <c:v>6.2</c:v>
                </c:pt>
                <c:pt idx="3458">
                  <c:v>7.3</c:v>
                </c:pt>
                <c:pt idx="3459">
                  <c:v>6.2</c:v>
                </c:pt>
                <c:pt idx="3460">
                  <c:v>6.8</c:v>
                </c:pt>
                <c:pt idx="3461">
                  <c:v>6.1</c:v>
                </c:pt>
                <c:pt idx="3462">
                  <c:v>7.7</c:v>
                </c:pt>
                <c:pt idx="3463">
                  <c:v>5.2</c:v>
                </c:pt>
                <c:pt idx="3464">
                  <c:v>6.8</c:v>
                </c:pt>
                <c:pt idx="3465">
                  <c:v>6.5</c:v>
                </c:pt>
                <c:pt idx="3466">
                  <c:v>7</c:v>
                </c:pt>
                <c:pt idx="3467">
                  <c:v>5.9</c:v>
                </c:pt>
                <c:pt idx="3468">
                  <c:v>7.1</c:v>
                </c:pt>
                <c:pt idx="3469">
                  <c:v>5.5</c:v>
                </c:pt>
                <c:pt idx="3470">
                  <c:v>7.4</c:v>
                </c:pt>
                <c:pt idx="3471">
                  <c:v>7.3</c:v>
                </c:pt>
                <c:pt idx="3472">
                  <c:v>4.5999999999999996</c:v>
                </c:pt>
                <c:pt idx="3473">
                  <c:v>7.2</c:v>
                </c:pt>
                <c:pt idx="3474">
                  <c:v>7</c:v>
                </c:pt>
                <c:pt idx="3475">
                  <c:v>5.0999999999999996</c:v>
                </c:pt>
                <c:pt idx="3476">
                  <c:v>6.7</c:v>
                </c:pt>
                <c:pt idx="3477">
                  <c:v>5.3</c:v>
                </c:pt>
                <c:pt idx="3478">
                  <c:v>7.8</c:v>
                </c:pt>
                <c:pt idx="3479">
                  <c:v>6.7</c:v>
                </c:pt>
                <c:pt idx="3480">
                  <c:v>5.4</c:v>
                </c:pt>
                <c:pt idx="3481">
                  <c:v>7.2</c:v>
                </c:pt>
                <c:pt idx="3482">
                  <c:v>5.8</c:v>
                </c:pt>
                <c:pt idx="3483">
                  <c:v>6.4</c:v>
                </c:pt>
                <c:pt idx="3484">
                  <c:v>8</c:v>
                </c:pt>
                <c:pt idx="3485">
                  <c:v>7</c:v>
                </c:pt>
                <c:pt idx="3486">
                  <c:v>7</c:v>
                </c:pt>
                <c:pt idx="3487">
                  <c:v>6.7</c:v>
                </c:pt>
                <c:pt idx="3488">
                  <c:v>3.8</c:v>
                </c:pt>
                <c:pt idx="3489">
                  <c:v>5.7</c:v>
                </c:pt>
                <c:pt idx="3490">
                  <c:v>6.6</c:v>
                </c:pt>
                <c:pt idx="3491">
                  <c:v>6.7</c:v>
                </c:pt>
                <c:pt idx="3492">
                  <c:v>6.1</c:v>
                </c:pt>
                <c:pt idx="3493">
                  <c:v>6.2</c:v>
                </c:pt>
                <c:pt idx="3494">
                  <c:v>6.2</c:v>
                </c:pt>
                <c:pt idx="3495">
                  <c:v>7.4</c:v>
                </c:pt>
                <c:pt idx="3496">
                  <c:v>4.7</c:v>
                </c:pt>
                <c:pt idx="3497">
                  <c:v>8.3000000000000007</c:v>
                </c:pt>
                <c:pt idx="3498">
                  <c:v>7.2</c:v>
                </c:pt>
                <c:pt idx="3499">
                  <c:v>5.8</c:v>
                </c:pt>
                <c:pt idx="3500">
                  <c:v>5.9</c:v>
                </c:pt>
                <c:pt idx="3501">
                  <c:v>6.3</c:v>
                </c:pt>
                <c:pt idx="3502">
                  <c:v>7.2</c:v>
                </c:pt>
                <c:pt idx="3503">
                  <c:v>5.4</c:v>
                </c:pt>
                <c:pt idx="3504">
                  <c:v>7.3</c:v>
                </c:pt>
                <c:pt idx="3505">
                  <c:v>7.3</c:v>
                </c:pt>
                <c:pt idx="3506">
                  <c:v>5.8</c:v>
                </c:pt>
                <c:pt idx="3507">
                  <c:v>7.1</c:v>
                </c:pt>
                <c:pt idx="3508">
                  <c:v>6.5</c:v>
                </c:pt>
                <c:pt idx="3509">
                  <c:v>7.9</c:v>
                </c:pt>
                <c:pt idx="3510">
                  <c:v>5.4</c:v>
                </c:pt>
                <c:pt idx="3511">
                  <c:v>7.1</c:v>
                </c:pt>
                <c:pt idx="3512">
                  <c:v>6.4</c:v>
                </c:pt>
                <c:pt idx="3513">
                  <c:v>6.7</c:v>
                </c:pt>
                <c:pt idx="3514">
                  <c:v>6.9</c:v>
                </c:pt>
                <c:pt idx="3515">
                  <c:v>2.1</c:v>
                </c:pt>
                <c:pt idx="3516">
                  <c:v>4.3</c:v>
                </c:pt>
                <c:pt idx="3517">
                  <c:v>6.6</c:v>
                </c:pt>
                <c:pt idx="3518">
                  <c:v>3.4</c:v>
                </c:pt>
                <c:pt idx="3519">
                  <c:v>8.3000000000000007</c:v>
                </c:pt>
                <c:pt idx="3520">
                  <c:v>7.2</c:v>
                </c:pt>
                <c:pt idx="3521">
                  <c:v>5.6</c:v>
                </c:pt>
                <c:pt idx="3522">
                  <c:v>7.7</c:v>
                </c:pt>
                <c:pt idx="3523">
                  <c:v>6.6</c:v>
                </c:pt>
                <c:pt idx="3524">
                  <c:v>7.6</c:v>
                </c:pt>
                <c:pt idx="3525">
                  <c:v>7.4</c:v>
                </c:pt>
                <c:pt idx="3526">
                  <c:v>7.1</c:v>
                </c:pt>
                <c:pt idx="3527">
                  <c:v>3.4</c:v>
                </c:pt>
                <c:pt idx="3528">
                  <c:v>7.9</c:v>
                </c:pt>
                <c:pt idx="3529">
                  <c:v>6.7</c:v>
                </c:pt>
                <c:pt idx="3530">
                  <c:v>6.6</c:v>
                </c:pt>
                <c:pt idx="3531">
                  <c:v>7.9</c:v>
                </c:pt>
                <c:pt idx="3532">
                  <c:v>4.9000000000000004</c:v>
                </c:pt>
                <c:pt idx="3533">
                  <c:v>7.2</c:v>
                </c:pt>
                <c:pt idx="3534">
                  <c:v>7.4</c:v>
                </c:pt>
                <c:pt idx="3535">
                  <c:v>6.1</c:v>
                </c:pt>
                <c:pt idx="3536">
                  <c:v>8.4</c:v>
                </c:pt>
                <c:pt idx="3537">
                  <c:v>6.2</c:v>
                </c:pt>
                <c:pt idx="3538">
                  <c:v>5.3</c:v>
                </c:pt>
                <c:pt idx="3539">
                  <c:v>5</c:v>
                </c:pt>
                <c:pt idx="3540">
                  <c:v>7.7</c:v>
                </c:pt>
                <c:pt idx="3541">
                  <c:v>7.6</c:v>
                </c:pt>
                <c:pt idx="3542">
                  <c:v>6.3</c:v>
                </c:pt>
                <c:pt idx="3543">
                  <c:v>7.6</c:v>
                </c:pt>
                <c:pt idx="3544">
                  <c:v>5.6</c:v>
                </c:pt>
                <c:pt idx="3545">
                  <c:v>7.3</c:v>
                </c:pt>
                <c:pt idx="3546">
                  <c:v>6.2</c:v>
                </c:pt>
                <c:pt idx="3547">
                  <c:v>6.6</c:v>
                </c:pt>
                <c:pt idx="3548">
                  <c:v>6.6</c:v>
                </c:pt>
                <c:pt idx="3549">
                  <c:v>7.3</c:v>
                </c:pt>
                <c:pt idx="3550">
                  <c:v>6.6</c:v>
                </c:pt>
                <c:pt idx="3551">
                  <c:v>6.9</c:v>
                </c:pt>
                <c:pt idx="3552">
                  <c:v>5.8</c:v>
                </c:pt>
                <c:pt idx="3553">
                  <c:v>4.4000000000000004</c:v>
                </c:pt>
                <c:pt idx="3554">
                  <c:v>6.6</c:v>
                </c:pt>
                <c:pt idx="3555">
                  <c:v>7.6</c:v>
                </c:pt>
                <c:pt idx="3556">
                  <c:v>4.5999999999999996</c:v>
                </c:pt>
                <c:pt idx="3557">
                  <c:v>6.8</c:v>
                </c:pt>
                <c:pt idx="3558">
                  <c:v>7.1</c:v>
                </c:pt>
                <c:pt idx="3559">
                  <c:v>4.9000000000000004</c:v>
                </c:pt>
                <c:pt idx="3560">
                  <c:v>7.3</c:v>
                </c:pt>
                <c:pt idx="3561">
                  <c:v>7.2</c:v>
                </c:pt>
                <c:pt idx="3562">
                  <c:v>5</c:v>
                </c:pt>
                <c:pt idx="3563">
                  <c:v>8.1999999999999993</c:v>
                </c:pt>
                <c:pt idx="3564">
                  <c:v>8</c:v>
                </c:pt>
                <c:pt idx="3565">
                  <c:v>5.2</c:v>
                </c:pt>
                <c:pt idx="3566">
                  <c:v>8.5</c:v>
                </c:pt>
                <c:pt idx="3567">
                  <c:v>6.5</c:v>
                </c:pt>
                <c:pt idx="3568">
                  <c:v>7.4</c:v>
                </c:pt>
                <c:pt idx="3569">
                  <c:v>7.7</c:v>
                </c:pt>
                <c:pt idx="3570">
                  <c:v>7.4</c:v>
                </c:pt>
                <c:pt idx="3571">
                  <c:v>5.0999999999999996</c:v>
                </c:pt>
                <c:pt idx="3572">
                  <c:v>7.3</c:v>
                </c:pt>
                <c:pt idx="3573">
                  <c:v>5</c:v>
                </c:pt>
                <c:pt idx="3574">
                  <c:v>7.2</c:v>
                </c:pt>
                <c:pt idx="3575">
                  <c:v>6.7</c:v>
                </c:pt>
                <c:pt idx="3576">
                  <c:v>6.4</c:v>
                </c:pt>
                <c:pt idx="3577">
                  <c:v>7.1</c:v>
                </c:pt>
                <c:pt idx="3578">
                  <c:v>5.6</c:v>
                </c:pt>
                <c:pt idx="3579">
                  <c:v>6.1</c:v>
                </c:pt>
                <c:pt idx="3580">
                  <c:v>5.2</c:v>
                </c:pt>
                <c:pt idx="3581">
                  <c:v>7.3</c:v>
                </c:pt>
                <c:pt idx="3582">
                  <c:v>7.5</c:v>
                </c:pt>
                <c:pt idx="3583">
                  <c:v>6.6</c:v>
                </c:pt>
                <c:pt idx="3584">
                  <c:v>6.4</c:v>
                </c:pt>
                <c:pt idx="3585">
                  <c:v>4.5</c:v>
                </c:pt>
                <c:pt idx="3586">
                  <c:v>6.6</c:v>
                </c:pt>
                <c:pt idx="3587">
                  <c:v>5.3</c:v>
                </c:pt>
                <c:pt idx="3588">
                  <c:v>4.9000000000000004</c:v>
                </c:pt>
                <c:pt idx="3589">
                  <c:v>7.7</c:v>
                </c:pt>
                <c:pt idx="3590">
                  <c:v>8</c:v>
                </c:pt>
                <c:pt idx="3591">
                  <c:v>3.8</c:v>
                </c:pt>
                <c:pt idx="3592">
                  <c:v>7.6</c:v>
                </c:pt>
                <c:pt idx="3593">
                  <c:v>5.9</c:v>
                </c:pt>
                <c:pt idx="3594">
                  <c:v>6.2</c:v>
                </c:pt>
                <c:pt idx="3595">
                  <c:v>7.2</c:v>
                </c:pt>
                <c:pt idx="3596">
                  <c:v>6.3</c:v>
                </c:pt>
                <c:pt idx="3597">
                  <c:v>5.2</c:v>
                </c:pt>
                <c:pt idx="3598">
                  <c:v>6.9</c:v>
                </c:pt>
                <c:pt idx="3599">
                  <c:v>6.8</c:v>
                </c:pt>
                <c:pt idx="3600">
                  <c:v>6.2</c:v>
                </c:pt>
                <c:pt idx="3601">
                  <c:v>6.2</c:v>
                </c:pt>
                <c:pt idx="3602">
                  <c:v>3.5</c:v>
                </c:pt>
                <c:pt idx="3603">
                  <c:v>6.1</c:v>
                </c:pt>
                <c:pt idx="3604">
                  <c:v>6.6</c:v>
                </c:pt>
                <c:pt idx="3605">
                  <c:v>4.5</c:v>
                </c:pt>
                <c:pt idx="3606">
                  <c:v>5.9</c:v>
                </c:pt>
                <c:pt idx="3607">
                  <c:v>6.9</c:v>
                </c:pt>
                <c:pt idx="3608">
                  <c:v>7.7</c:v>
                </c:pt>
                <c:pt idx="3609">
                  <c:v>6.6</c:v>
                </c:pt>
                <c:pt idx="3610">
                  <c:v>5.3</c:v>
                </c:pt>
                <c:pt idx="3611">
                  <c:v>6.3</c:v>
                </c:pt>
                <c:pt idx="3612">
                  <c:v>7</c:v>
                </c:pt>
                <c:pt idx="3613">
                  <c:v>7</c:v>
                </c:pt>
                <c:pt idx="3614">
                  <c:v>6.6</c:v>
                </c:pt>
                <c:pt idx="3615">
                  <c:v>8.6</c:v>
                </c:pt>
                <c:pt idx="3616">
                  <c:v>6.4</c:v>
                </c:pt>
                <c:pt idx="3617">
                  <c:v>7.9</c:v>
                </c:pt>
                <c:pt idx="3618">
                  <c:v>5.4</c:v>
                </c:pt>
                <c:pt idx="3619">
                  <c:v>6.9</c:v>
                </c:pt>
                <c:pt idx="3620">
                  <c:v>7.7</c:v>
                </c:pt>
                <c:pt idx="3621">
                  <c:v>7.2</c:v>
                </c:pt>
                <c:pt idx="3622">
                  <c:v>6.8</c:v>
                </c:pt>
                <c:pt idx="3623">
                  <c:v>6.2</c:v>
                </c:pt>
                <c:pt idx="3624">
                  <c:v>7.4</c:v>
                </c:pt>
                <c:pt idx="3625">
                  <c:v>4.5999999999999996</c:v>
                </c:pt>
                <c:pt idx="3626">
                  <c:v>6.4</c:v>
                </c:pt>
                <c:pt idx="3627">
                  <c:v>7</c:v>
                </c:pt>
                <c:pt idx="3628">
                  <c:v>7.7</c:v>
                </c:pt>
                <c:pt idx="3629">
                  <c:v>6.8</c:v>
                </c:pt>
                <c:pt idx="3630">
                  <c:v>7</c:v>
                </c:pt>
                <c:pt idx="3631">
                  <c:v>7</c:v>
                </c:pt>
                <c:pt idx="3632">
                  <c:v>6.3</c:v>
                </c:pt>
                <c:pt idx="3633">
                  <c:v>7.1</c:v>
                </c:pt>
                <c:pt idx="3634">
                  <c:v>5.6</c:v>
                </c:pt>
                <c:pt idx="3635">
                  <c:v>4.4000000000000004</c:v>
                </c:pt>
                <c:pt idx="3636">
                  <c:v>7.1</c:v>
                </c:pt>
                <c:pt idx="3637">
                  <c:v>6.1</c:v>
                </c:pt>
                <c:pt idx="3638">
                  <c:v>7.4</c:v>
                </c:pt>
                <c:pt idx="3639">
                  <c:v>7.5</c:v>
                </c:pt>
                <c:pt idx="3640">
                  <c:v>7.2</c:v>
                </c:pt>
                <c:pt idx="3641">
                  <c:v>7.6</c:v>
                </c:pt>
                <c:pt idx="3642">
                  <c:v>7.3</c:v>
                </c:pt>
                <c:pt idx="3643">
                  <c:v>6.2</c:v>
                </c:pt>
                <c:pt idx="3644">
                  <c:v>6.2</c:v>
                </c:pt>
                <c:pt idx="3645">
                  <c:v>4.5999999999999996</c:v>
                </c:pt>
                <c:pt idx="3646">
                  <c:v>6.2</c:v>
                </c:pt>
                <c:pt idx="3647">
                  <c:v>6.2</c:v>
                </c:pt>
                <c:pt idx="3648">
                  <c:v>3.3</c:v>
                </c:pt>
                <c:pt idx="3649">
                  <c:v>4.2</c:v>
                </c:pt>
                <c:pt idx="3650">
                  <c:v>7.2</c:v>
                </c:pt>
                <c:pt idx="3651">
                  <c:v>6.2</c:v>
                </c:pt>
                <c:pt idx="3652">
                  <c:v>6.1</c:v>
                </c:pt>
                <c:pt idx="3653">
                  <c:v>4.2</c:v>
                </c:pt>
                <c:pt idx="3654">
                  <c:v>4.5</c:v>
                </c:pt>
                <c:pt idx="3655">
                  <c:v>7.5</c:v>
                </c:pt>
                <c:pt idx="3656">
                  <c:v>6.7</c:v>
                </c:pt>
                <c:pt idx="3657">
                  <c:v>5.0999999999999996</c:v>
                </c:pt>
                <c:pt idx="3658">
                  <c:v>5.5</c:v>
                </c:pt>
                <c:pt idx="3659">
                  <c:v>4.4000000000000004</c:v>
                </c:pt>
                <c:pt idx="3660">
                  <c:v>4.4000000000000004</c:v>
                </c:pt>
                <c:pt idx="3661">
                  <c:v>6.8</c:v>
                </c:pt>
                <c:pt idx="3662">
                  <c:v>8.6</c:v>
                </c:pt>
                <c:pt idx="3663">
                  <c:v>4.8</c:v>
                </c:pt>
                <c:pt idx="3664">
                  <c:v>3.4</c:v>
                </c:pt>
                <c:pt idx="3665">
                  <c:v>7.4</c:v>
                </c:pt>
                <c:pt idx="3666">
                  <c:v>7.3</c:v>
                </c:pt>
                <c:pt idx="3667">
                  <c:v>8</c:v>
                </c:pt>
                <c:pt idx="3668">
                  <c:v>6.5</c:v>
                </c:pt>
                <c:pt idx="3669">
                  <c:v>5.9</c:v>
                </c:pt>
                <c:pt idx="3670">
                  <c:v>6.8</c:v>
                </c:pt>
                <c:pt idx="3671">
                  <c:v>7.4</c:v>
                </c:pt>
                <c:pt idx="3672">
                  <c:v>6.7</c:v>
                </c:pt>
                <c:pt idx="3673">
                  <c:v>6.8</c:v>
                </c:pt>
                <c:pt idx="3674">
                  <c:v>5.4</c:v>
                </c:pt>
                <c:pt idx="3675">
                  <c:v>5.5</c:v>
                </c:pt>
                <c:pt idx="3676">
                  <c:v>7.4</c:v>
                </c:pt>
                <c:pt idx="3677">
                  <c:v>5.7</c:v>
                </c:pt>
                <c:pt idx="3678">
                  <c:v>5.4</c:v>
                </c:pt>
                <c:pt idx="3679">
                  <c:v>3.2</c:v>
                </c:pt>
                <c:pt idx="3680">
                  <c:v>7.8</c:v>
                </c:pt>
                <c:pt idx="3681">
                  <c:v>5.3</c:v>
                </c:pt>
                <c:pt idx="3682">
                  <c:v>7.2</c:v>
                </c:pt>
                <c:pt idx="3683">
                  <c:v>6.2</c:v>
                </c:pt>
                <c:pt idx="3684">
                  <c:v>5.9</c:v>
                </c:pt>
                <c:pt idx="3685">
                  <c:v>6.7</c:v>
                </c:pt>
                <c:pt idx="3686">
                  <c:v>5.7</c:v>
                </c:pt>
                <c:pt idx="3687">
                  <c:v>7.1</c:v>
                </c:pt>
                <c:pt idx="3688">
                  <c:v>7.2</c:v>
                </c:pt>
                <c:pt idx="3689">
                  <c:v>7.4</c:v>
                </c:pt>
                <c:pt idx="3690">
                  <c:v>7.7</c:v>
                </c:pt>
                <c:pt idx="3691">
                  <c:v>7.4</c:v>
                </c:pt>
                <c:pt idx="3692">
                  <c:v>8.4</c:v>
                </c:pt>
                <c:pt idx="3693">
                  <c:v>7.1</c:v>
                </c:pt>
                <c:pt idx="3694">
                  <c:v>7.2</c:v>
                </c:pt>
                <c:pt idx="3695">
                  <c:v>7.5</c:v>
                </c:pt>
                <c:pt idx="3696">
                  <c:v>5.4</c:v>
                </c:pt>
                <c:pt idx="3697">
                  <c:v>8.1</c:v>
                </c:pt>
                <c:pt idx="3698">
                  <c:v>6</c:v>
                </c:pt>
                <c:pt idx="3699">
                  <c:v>7.8</c:v>
                </c:pt>
                <c:pt idx="3700">
                  <c:v>6.8</c:v>
                </c:pt>
                <c:pt idx="3701">
                  <c:v>6.5</c:v>
                </c:pt>
                <c:pt idx="3702">
                  <c:v>7.7</c:v>
                </c:pt>
                <c:pt idx="3703">
                  <c:v>6.4</c:v>
                </c:pt>
                <c:pt idx="3704">
                  <c:v>6.5</c:v>
                </c:pt>
                <c:pt idx="3705">
                  <c:v>7.3</c:v>
                </c:pt>
                <c:pt idx="3706">
                  <c:v>6.6</c:v>
                </c:pt>
                <c:pt idx="3707">
                  <c:v>7.9</c:v>
                </c:pt>
                <c:pt idx="3708">
                  <c:v>5.9</c:v>
                </c:pt>
                <c:pt idx="3709">
                  <c:v>4.7</c:v>
                </c:pt>
                <c:pt idx="3710">
                  <c:v>8.6999999999999993</c:v>
                </c:pt>
                <c:pt idx="3711">
                  <c:v>5.9</c:v>
                </c:pt>
                <c:pt idx="3712">
                  <c:v>8.5</c:v>
                </c:pt>
                <c:pt idx="3713">
                  <c:v>5.8</c:v>
                </c:pt>
                <c:pt idx="3714">
                  <c:v>6.1</c:v>
                </c:pt>
                <c:pt idx="3715">
                  <c:v>7.3</c:v>
                </c:pt>
                <c:pt idx="3716">
                  <c:v>6.7</c:v>
                </c:pt>
                <c:pt idx="3717">
                  <c:v>7.6</c:v>
                </c:pt>
                <c:pt idx="3718">
                  <c:v>7.2</c:v>
                </c:pt>
                <c:pt idx="3719">
                  <c:v>6.2</c:v>
                </c:pt>
                <c:pt idx="3720">
                  <c:v>5.2</c:v>
                </c:pt>
                <c:pt idx="3721">
                  <c:v>7.1</c:v>
                </c:pt>
                <c:pt idx="3722">
                  <c:v>6.5</c:v>
                </c:pt>
                <c:pt idx="3723">
                  <c:v>7.3</c:v>
                </c:pt>
                <c:pt idx="3724">
                  <c:v>6.2</c:v>
                </c:pt>
                <c:pt idx="3725">
                  <c:v>5</c:v>
                </c:pt>
                <c:pt idx="3726">
                  <c:v>8</c:v>
                </c:pt>
                <c:pt idx="3727">
                  <c:v>7.8</c:v>
                </c:pt>
                <c:pt idx="3728">
                  <c:v>8.1</c:v>
                </c:pt>
                <c:pt idx="3729">
                  <c:v>6.7</c:v>
                </c:pt>
                <c:pt idx="3730">
                  <c:v>7.1</c:v>
                </c:pt>
                <c:pt idx="3731">
                  <c:v>5.6</c:v>
                </c:pt>
                <c:pt idx="3732">
                  <c:v>7.6</c:v>
                </c:pt>
                <c:pt idx="3733">
                  <c:v>4.3</c:v>
                </c:pt>
                <c:pt idx="3734">
                  <c:v>7.3</c:v>
                </c:pt>
                <c:pt idx="3735">
                  <c:v>4.5999999999999996</c:v>
                </c:pt>
                <c:pt idx="3736">
                  <c:v>6.8</c:v>
                </c:pt>
                <c:pt idx="3737">
                  <c:v>7.1</c:v>
                </c:pt>
                <c:pt idx="3738">
                  <c:v>7.3</c:v>
                </c:pt>
                <c:pt idx="3739">
                  <c:v>8.3000000000000007</c:v>
                </c:pt>
                <c:pt idx="3740">
                  <c:v>5.4</c:v>
                </c:pt>
                <c:pt idx="3741">
                  <c:v>4</c:v>
                </c:pt>
                <c:pt idx="3742">
                  <c:v>8</c:v>
                </c:pt>
                <c:pt idx="3743">
                  <c:v>6.7</c:v>
                </c:pt>
                <c:pt idx="3744">
                  <c:v>4.5999999999999996</c:v>
                </c:pt>
                <c:pt idx="3745">
                  <c:v>4</c:v>
                </c:pt>
                <c:pt idx="3746">
                  <c:v>7</c:v>
                </c:pt>
                <c:pt idx="3747">
                  <c:v>7.4</c:v>
                </c:pt>
                <c:pt idx="3748">
                  <c:v>5.9</c:v>
                </c:pt>
                <c:pt idx="3749">
                  <c:v>4.5999999999999996</c:v>
                </c:pt>
                <c:pt idx="3750">
                  <c:v>7.5</c:v>
                </c:pt>
                <c:pt idx="3751">
                  <c:v>4.7</c:v>
                </c:pt>
                <c:pt idx="3752">
                  <c:v>6.7</c:v>
                </c:pt>
                <c:pt idx="3753">
                  <c:v>6.3</c:v>
                </c:pt>
                <c:pt idx="3754">
                  <c:v>6</c:v>
                </c:pt>
                <c:pt idx="3755">
                  <c:v>6.7</c:v>
                </c:pt>
                <c:pt idx="3756">
                  <c:v>7.1</c:v>
                </c:pt>
                <c:pt idx="3757">
                  <c:v>2.7</c:v>
                </c:pt>
                <c:pt idx="3758">
                  <c:v>7.3</c:v>
                </c:pt>
                <c:pt idx="3759">
                  <c:v>7.6</c:v>
                </c:pt>
                <c:pt idx="3760">
                  <c:v>5.8</c:v>
                </c:pt>
                <c:pt idx="3761">
                  <c:v>6.5</c:v>
                </c:pt>
                <c:pt idx="3762">
                  <c:v>6.6</c:v>
                </c:pt>
                <c:pt idx="3763">
                  <c:v>6.2</c:v>
                </c:pt>
                <c:pt idx="3764">
                  <c:v>6.9</c:v>
                </c:pt>
                <c:pt idx="3765">
                  <c:v>4.8</c:v>
                </c:pt>
                <c:pt idx="3766">
                  <c:v>6.6</c:v>
                </c:pt>
                <c:pt idx="3767">
                  <c:v>5.7</c:v>
                </c:pt>
                <c:pt idx="3768">
                  <c:v>7</c:v>
                </c:pt>
                <c:pt idx="3769">
                  <c:v>5.4</c:v>
                </c:pt>
                <c:pt idx="3770">
                  <c:v>7.1</c:v>
                </c:pt>
                <c:pt idx="3771">
                  <c:v>6.9</c:v>
                </c:pt>
                <c:pt idx="3772">
                  <c:v>6.6</c:v>
                </c:pt>
                <c:pt idx="3773">
                  <c:v>5.9</c:v>
                </c:pt>
                <c:pt idx="3774">
                  <c:v>6.3</c:v>
                </c:pt>
                <c:pt idx="3775">
                  <c:v>6.3</c:v>
                </c:pt>
                <c:pt idx="3776">
                  <c:v>7.7</c:v>
                </c:pt>
                <c:pt idx="3777">
                  <c:v>7</c:v>
                </c:pt>
                <c:pt idx="3778">
                  <c:v>6.3</c:v>
                </c:pt>
                <c:pt idx="3779">
                  <c:v>5.9</c:v>
                </c:pt>
                <c:pt idx="3780">
                  <c:v>6.2</c:v>
                </c:pt>
                <c:pt idx="3781">
                  <c:v>5</c:v>
                </c:pt>
                <c:pt idx="3782">
                  <c:v>7.7</c:v>
                </c:pt>
                <c:pt idx="3783">
                  <c:v>6.5</c:v>
                </c:pt>
                <c:pt idx="3784">
                  <c:v>5.8</c:v>
                </c:pt>
                <c:pt idx="3785">
                  <c:v>6.1</c:v>
                </c:pt>
                <c:pt idx="3786">
                  <c:v>6</c:v>
                </c:pt>
                <c:pt idx="3787">
                  <c:v>6.3</c:v>
                </c:pt>
                <c:pt idx="3788">
                  <c:v>6.3</c:v>
                </c:pt>
                <c:pt idx="3789">
                  <c:v>7.5</c:v>
                </c:pt>
                <c:pt idx="3790">
                  <c:v>7.6</c:v>
                </c:pt>
                <c:pt idx="3791">
                  <c:v>5.2</c:v>
                </c:pt>
                <c:pt idx="3792">
                  <c:v>7.8</c:v>
                </c:pt>
                <c:pt idx="3793">
                  <c:v>6.6</c:v>
                </c:pt>
                <c:pt idx="3794">
                  <c:v>4.7</c:v>
                </c:pt>
                <c:pt idx="3795">
                  <c:v>6.7</c:v>
                </c:pt>
                <c:pt idx="3796">
                  <c:v>4.2</c:v>
                </c:pt>
                <c:pt idx="3797">
                  <c:v>6.3</c:v>
                </c:pt>
                <c:pt idx="3798">
                  <c:v>4.7</c:v>
                </c:pt>
                <c:pt idx="3799">
                  <c:v>7.9</c:v>
                </c:pt>
                <c:pt idx="3800">
                  <c:v>8.1</c:v>
                </c:pt>
                <c:pt idx="3801">
                  <c:v>8.1999999999999993</c:v>
                </c:pt>
                <c:pt idx="3802">
                  <c:v>6</c:v>
                </c:pt>
                <c:pt idx="3803">
                  <c:v>6.8</c:v>
                </c:pt>
                <c:pt idx="3804">
                  <c:v>7.3</c:v>
                </c:pt>
                <c:pt idx="3805">
                  <c:v>7</c:v>
                </c:pt>
                <c:pt idx="3806">
                  <c:v>7.3</c:v>
                </c:pt>
                <c:pt idx="3807">
                  <c:v>7.5</c:v>
                </c:pt>
                <c:pt idx="3808">
                  <c:v>6.8</c:v>
                </c:pt>
                <c:pt idx="3809">
                  <c:v>7.1</c:v>
                </c:pt>
                <c:pt idx="3810">
                  <c:v>6.9</c:v>
                </c:pt>
                <c:pt idx="3811">
                  <c:v>6.9</c:v>
                </c:pt>
                <c:pt idx="3812">
                  <c:v>7.9</c:v>
                </c:pt>
                <c:pt idx="3813">
                  <c:v>7.2</c:v>
                </c:pt>
                <c:pt idx="3814">
                  <c:v>7.8</c:v>
                </c:pt>
                <c:pt idx="3815">
                  <c:v>3.5</c:v>
                </c:pt>
                <c:pt idx="3816">
                  <c:v>7.3</c:v>
                </c:pt>
                <c:pt idx="3817">
                  <c:v>7.5</c:v>
                </c:pt>
                <c:pt idx="3818">
                  <c:v>6</c:v>
                </c:pt>
                <c:pt idx="3819">
                  <c:v>7.3</c:v>
                </c:pt>
                <c:pt idx="3820">
                  <c:v>8</c:v>
                </c:pt>
                <c:pt idx="3821">
                  <c:v>7.6</c:v>
                </c:pt>
                <c:pt idx="3822">
                  <c:v>7</c:v>
                </c:pt>
                <c:pt idx="3823">
                  <c:v>7.5</c:v>
                </c:pt>
                <c:pt idx="3824">
                  <c:v>6.8</c:v>
                </c:pt>
                <c:pt idx="3825">
                  <c:v>3.9</c:v>
                </c:pt>
                <c:pt idx="3826">
                  <c:v>6.1</c:v>
                </c:pt>
                <c:pt idx="3827">
                  <c:v>7.5</c:v>
                </c:pt>
                <c:pt idx="3828">
                  <c:v>8.1999999999999993</c:v>
                </c:pt>
                <c:pt idx="3829">
                  <c:v>4.8</c:v>
                </c:pt>
                <c:pt idx="3830">
                  <c:v>7.8</c:v>
                </c:pt>
                <c:pt idx="3831">
                  <c:v>5.2</c:v>
                </c:pt>
                <c:pt idx="3832">
                  <c:v>3.3</c:v>
                </c:pt>
                <c:pt idx="3833">
                  <c:v>6.8</c:v>
                </c:pt>
                <c:pt idx="3834">
                  <c:v>7</c:v>
                </c:pt>
                <c:pt idx="3835">
                  <c:v>6.5</c:v>
                </c:pt>
                <c:pt idx="3836">
                  <c:v>6.4</c:v>
                </c:pt>
                <c:pt idx="3837">
                  <c:v>5.3</c:v>
                </c:pt>
                <c:pt idx="3838">
                  <c:v>4.7</c:v>
                </c:pt>
                <c:pt idx="3839">
                  <c:v>6.1</c:v>
                </c:pt>
                <c:pt idx="3840">
                  <c:v>5.5</c:v>
                </c:pt>
                <c:pt idx="3841">
                  <c:v>4.8</c:v>
                </c:pt>
                <c:pt idx="3842">
                  <c:v>8.4</c:v>
                </c:pt>
                <c:pt idx="3843">
                  <c:v>7</c:v>
                </c:pt>
                <c:pt idx="3844">
                  <c:v>3.3</c:v>
                </c:pt>
                <c:pt idx="3845">
                  <c:v>5.4</c:v>
                </c:pt>
                <c:pt idx="3846">
                  <c:v>4.8</c:v>
                </c:pt>
                <c:pt idx="3847">
                  <c:v>3.1</c:v>
                </c:pt>
                <c:pt idx="3848">
                  <c:v>6.7</c:v>
                </c:pt>
                <c:pt idx="3849">
                  <c:v>7.6</c:v>
                </c:pt>
                <c:pt idx="3850">
                  <c:v>7.1</c:v>
                </c:pt>
                <c:pt idx="3851">
                  <c:v>6.1</c:v>
                </c:pt>
                <c:pt idx="3852">
                  <c:v>6.5</c:v>
                </c:pt>
                <c:pt idx="3853">
                  <c:v>8.5</c:v>
                </c:pt>
                <c:pt idx="3854">
                  <c:v>8.6999999999999993</c:v>
                </c:pt>
                <c:pt idx="3855">
                  <c:v>7.1</c:v>
                </c:pt>
                <c:pt idx="3856">
                  <c:v>6.6</c:v>
                </c:pt>
                <c:pt idx="3857">
                  <c:v>6.7</c:v>
                </c:pt>
                <c:pt idx="3858">
                  <c:v>8.3000000000000007</c:v>
                </c:pt>
                <c:pt idx="3859">
                  <c:v>8.1</c:v>
                </c:pt>
                <c:pt idx="3860">
                  <c:v>7.4</c:v>
                </c:pt>
                <c:pt idx="3861">
                  <c:v>6.6</c:v>
                </c:pt>
                <c:pt idx="3862">
                  <c:v>4.5</c:v>
                </c:pt>
                <c:pt idx="3863">
                  <c:v>6.4</c:v>
                </c:pt>
                <c:pt idx="3864">
                  <c:v>7.5</c:v>
                </c:pt>
                <c:pt idx="3865">
                  <c:v>8</c:v>
                </c:pt>
                <c:pt idx="3866">
                  <c:v>8.1</c:v>
                </c:pt>
                <c:pt idx="3867">
                  <c:v>7.2</c:v>
                </c:pt>
                <c:pt idx="3868">
                  <c:v>7.5</c:v>
                </c:pt>
                <c:pt idx="3869">
                  <c:v>7.2</c:v>
                </c:pt>
                <c:pt idx="3870">
                  <c:v>6.4</c:v>
                </c:pt>
                <c:pt idx="3871">
                  <c:v>7.6</c:v>
                </c:pt>
                <c:pt idx="3872">
                  <c:v>7.8</c:v>
                </c:pt>
                <c:pt idx="3873">
                  <c:v>5.7</c:v>
                </c:pt>
                <c:pt idx="3874">
                  <c:v>8.6</c:v>
                </c:pt>
                <c:pt idx="3875">
                  <c:v>8.1999999999999993</c:v>
                </c:pt>
                <c:pt idx="3876">
                  <c:v>6.6</c:v>
                </c:pt>
                <c:pt idx="3877">
                  <c:v>5.7</c:v>
                </c:pt>
                <c:pt idx="3878">
                  <c:v>7.4</c:v>
                </c:pt>
                <c:pt idx="3879">
                  <c:v>8</c:v>
                </c:pt>
                <c:pt idx="3880">
                  <c:v>7.3</c:v>
                </c:pt>
                <c:pt idx="3881">
                  <c:v>5.4</c:v>
                </c:pt>
                <c:pt idx="3882">
                  <c:v>7.4</c:v>
                </c:pt>
                <c:pt idx="3883">
                  <c:v>5.7</c:v>
                </c:pt>
                <c:pt idx="3884">
                  <c:v>6.8</c:v>
                </c:pt>
                <c:pt idx="3885">
                  <c:v>5.4</c:v>
                </c:pt>
                <c:pt idx="3886">
                  <c:v>8.1</c:v>
                </c:pt>
                <c:pt idx="3887">
                  <c:v>6.1</c:v>
                </c:pt>
                <c:pt idx="3888">
                  <c:v>5.0999999999999996</c:v>
                </c:pt>
                <c:pt idx="3889">
                  <c:v>5.6</c:v>
                </c:pt>
                <c:pt idx="3890">
                  <c:v>5.9</c:v>
                </c:pt>
                <c:pt idx="3891">
                  <c:v>8.1999999999999993</c:v>
                </c:pt>
                <c:pt idx="3892">
                  <c:v>5.3</c:v>
                </c:pt>
                <c:pt idx="3893">
                  <c:v>6.8</c:v>
                </c:pt>
                <c:pt idx="3894">
                  <c:v>8.3000000000000007</c:v>
                </c:pt>
                <c:pt idx="3895">
                  <c:v>4.3</c:v>
                </c:pt>
                <c:pt idx="3896">
                  <c:v>6.7</c:v>
                </c:pt>
                <c:pt idx="3897">
                  <c:v>7.2</c:v>
                </c:pt>
                <c:pt idx="3898">
                  <c:v>6.9</c:v>
                </c:pt>
                <c:pt idx="3899">
                  <c:v>6.6</c:v>
                </c:pt>
                <c:pt idx="3900">
                  <c:v>5.9</c:v>
                </c:pt>
                <c:pt idx="3901">
                  <c:v>7.9</c:v>
                </c:pt>
                <c:pt idx="3902">
                  <c:v>8.3000000000000007</c:v>
                </c:pt>
                <c:pt idx="3903">
                  <c:v>5.2</c:v>
                </c:pt>
                <c:pt idx="3904">
                  <c:v>7.8</c:v>
                </c:pt>
                <c:pt idx="3905">
                  <c:v>3</c:v>
                </c:pt>
                <c:pt idx="3906">
                  <c:v>7.9</c:v>
                </c:pt>
                <c:pt idx="3907">
                  <c:v>3.2</c:v>
                </c:pt>
                <c:pt idx="3908">
                  <c:v>6.5</c:v>
                </c:pt>
                <c:pt idx="3909">
                  <c:v>6.9</c:v>
                </c:pt>
                <c:pt idx="3910">
                  <c:v>7</c:v>
                </c:pt>
                <c:pt idx="3911">
                  <c:v>7.8</c:v>
                </c:pt>
                <c:pt idx="3912">
                  <c:v>6.9</c:v>
                </c:pt>
                <c:pt idx="3913">
                  <c:v>4.4000000000000004</c:v>
                </c:pt>
                <c:pt idx="3914">
                  <c:v>6</c:v>
                </c:pt>
                <c:pt idx="3915">
                  <c:v>6.6</c:v>
                </c:pt>
                <c:pt idx="3916">
                  <c:v>7.8</c:v>
                </c:pt>
                <c:pt idx="3917">
                  <c:v>5.3</c:v>
                </c:pt>
                <c:pt idx="3918">
                  <c:v>5.3</c:v>
                </c:pt>
                <c:pt idx="3919">
                  <c:v>8</c:v>
                </c:pt>
                <c:pt idx="3920">
                  <c:v>7.1</c:v>
                </c:pt>
                <c:pt idx="3921">
                  <c:v>5.4</c:v>
                </c:pt>
                <c:pt idx="3922">
                  <c:v>6.9</c:v>
                </c:pt>
                <c:pt idx="3923">
                  <c:v>7.4</c:v>
                </c:pt>
                <c:pt idx="3924">
                  <c:v>7.3</c:v>
                </c:pt>
                <c:pt idx="3925">
                  <c:v>7.8</c:v>
                </c:pt>
                <c:pt idx="3926">
                  <c:v>6.6</c:v>
                </c:pt>
                <c:pt idx="3927">
                  <c:v>5.4</c:v>
                </c:pt>
                <c:pt idx="3928">
                  <c:v>8.4</c:v>
                </c:pt>
                <c:pt idx="3929">
                  <c:v>6.3</c:v>
                </c:pt>
                <c:pt idx="3930">
                  <c:v>6.1</c:v>
                </c:pt>
                <c:pt idx="3931">
                  <c:v>5</c:v>
                </c:pt>
                <c:pt idx="3932">
                  <c:v>6.9</c:v>
                </c:pt>
                <c:pt idx="3933">
                  <c:v>7.3</c:v>
                </c:pt>
                <c:pt idx="3934">
                  <c:v>5.7</c:v>
                </c:pt>
                <c:pt idx="3935">
                  <c:v>5.3</c:v>
                </c:pt>
                <c:pt idx="3936">
                  <c:v>5</c:v>
                </c:pt>
                <c:pt idx="3937">
                  <c:v>5.3</c:v>
                </c:pt>
                <c:pt idx="3938">
                  <c:v>7.4</c:v>
                </c:pt>
                <c:pt idx="3939">
                  <c:v>5.9</c:v>
                </c:pt>
                <c:pt idx="3940">
                  <c:v>4.0999999999999996</c:v>
                </c:pt>
                <c:pt idx="3941">
                  <c:v>6.7</c:v>
                </c:pt>
                <c:pt idx="3942">
                  <c:v>5.8</c:v>
                </c:pt>
                <c:pt idx="3943">
                  <c:v>6.2</c:v>
                </c:pt>
                <c:pt idx="3944">
                  <c:v>5.3</c:v>
                </c:pt>
                <c:pt idx="3945">
                  <c:v>3.3</c:v>
                </c:pt>
                <c:pt idx="3946">
                  <c:v>6.2</c:v>
                </c:pt>
                <c:pt idx="3947">
                  <c:v>5.9</c:v>
                </c:pt>
                <c:pt idx="3948">
                  <c:v>5.5</c:v>
                </c:pt>
                <c:pt idx="3949">
                  <c:v>5.5</c:v>
                </c:pt>
                <c:pt idx="3950">
                  <c:v>2.6</c:v>
                </c:pt>
                <c:pt idx="3951">
                  <c:v>5.8</c:v>
                </c:pt>
                <c:pt idx="3952">
                  <c:v>7.4</c:v>
                </c:pt>
                <c:pt idx="3953">
                  <c:v>5.0999999999999996</c:v>
                </c:pt>
                <c:pt idx="3954">
                  <c:v>5.2</c:v>
                </c:pt>
                <c:pt idx="3955">
                  <c:v>4.8</c:v>
                </c:pt>
                <c:pt idx="3956">
                  <c:v>3.9</c:v>
                </c:pt>
                <c:pt idx="3957">
                  <c:v>6.2</c:v>
                </c:pt>
                <c:pt idx="3958">
                  <c:v>6.2</c:v>
                </c:pt>
                <c:pt idx="3959">
                  <c:v>5.9</c:v>
                </c:pt>
                <c:pt idx="3960">
                  <c:v>8</c:v>
                </c:pt>
                <c:pt idx="3961">
                  <c:v>7.3</c:v>
                </c:pt>
                <c:pt idx="3962">
                  <c:v>4.9000000000000004</c:v>
                </c:pt>
                <c:pt idx="3963">
                  <c:v>6.5</c:v>
                </c:pt>
                <c:pt idx="3964">
                  <c:v>4.3</c:v>
                </c:pt>
                <c:pt idx="3965">
                  <c:v>6.4</c:v>
                </c:pt>
                <c:pt idx="3966">
                  <c:v>6.8</c:v>
                </c:pt>
                <c:pt idx="3967">
                  <c:v>6.1</c:v>
                </c:pt>
                <c:pt idx="3968">
                  <c:v>4</c:v>
                </c:pt>
                <c:pt idx="3969">
                  <c:v>7.4</c:v>
                </c:pt>
                <c:pt idx="3970">
                  <c:v>8.3000000000000007</c:v>
                </c:pt>
                <c:pt idx="3971">
                  <c:v>5.3</c:v>
                </c:pt>
                <c:pt idx="3972">
                  <c:v>8.1</c:v>
                </c:pt>
                <c:pt idx="3973">
                  <c:v>8</c:v>
                </c:pt>
                <c:pt idx="3974">
                  <c:v>5.7</c:v>
                </c:pt>
                <c:pt idx="3975">
                  <c:v>8.1999999999999993</c:v>
                </c:pt>
                <c:pt idx="3976">
                  <c:v>7.1</c:v>
                </c:pt>
                <c:pt idx="3977">
                  <c:v>7.4</c:v>
                </c:pt>
                <c:pt idx="3978">
                  <c:v>6.6</c:v>
                </c:pt>
                <c:pt idx="3979">
                  <c:v>5.7</c:v>
                </c:pt>
                <c:pt idx="3980">
                  <c:v>6.9</c:v>
                </c:pt>
                <c:pt idx="3981">
                  <c:v>7</c:v>
                </c:pt>
                <c:pt idx="3982">
                  <c:v>7</c:v>
                </c:pt>
                <c:pt idx="3983">
                  <c:v>7.8</c:v>
                </c:pt>
                <c:pt idx="3984">
                  <c:v>5.9</c:v>
                </c:pt>
                <c:pt idx="3985">
                  <c:v>7.4</c:v>
                </c:pt>
                <c:pt idx="3986">
                  <c:v>7.8</c:v>
                </c:pt>
                <c:pt idx="3987">
                  <c:v>6</c:v>
                </c:pt>
                <c:pt idx="3988">
                  <c:v>7.9</c:v>
                </c:pt>
                <c:pt idx="3989">
                  <c:v>7.2</c:v>
                </c:pt>
                <c:pt idx="3990">
                  <c:v>7.4</c:v>
                </c:pt>
                <c:pt idx="3991">
                  <c:v>5.3</c:v>
                </c:pt>
                <c:pt idx="3992">
                  <c:v>8.3000000000000007</c:v>
                </c:pt>
                <c:pt idx="3993">
                  <c:v>7.6</c:v>
                </c:pt>
                <c:pt idx="3994">
                  <c:v>5.0999999999999996</c:v>
                </c:pt>
                <c:pt idx="3995">
                  <c:v>5.0999999999999996</c:v>
                </c:pt>
                <c:pt idx="3996">
                  <c:v>6.9</c:v>
                </c:pt>
                <c:pt idx="3997">
                  <c:v>4.5999999999999996</c:v>
                </c:pt>
                <c:pt idx="3998">
                  <c:v>6.3</c:v>
                </c:pt>
                <c:pt idx="3999">
                  <c:v>7.9</c:v>
                </c:pt>
                <c:pt idx="4000">
                  <c:v>6.7</c:v>
                </c:pt>
                <c:pt idx="4001">
                  <c:v>7.1</c:v>
                </c:pt>
                <c:pt idx="4002">
                  <c:v>7.6</c:v>
                </c:pt>
                <c:pt idx="4003">
                  <c:v>8.1</c:v>
                </c:pt>
                <c:pt idx="4004">
                  <c:v>6.6</c:v>
                </c:pt>
                <c:pt idx="4005">
                  <c:v>7</c:v>
                </c:pt>
                <c:pt idx="4006">
                  <c:v>7.6</c:v>
                </c:pt>
                <c:pt idx="4007">
                  <c:v>6.7</c:v>
                </c:pt>
                <c:pt idx="4008">
                  <c:v>7.1</c:v>
                </c:pt>
                <c:pt idx="4009">
                  <c:v>7.6</c:v>
                </c:pt>
                <c:pt idx="4010">
                  <c:v>7.1</c:v>
                </c:pt>
                <c:pt idx="4011">
                  <c:v>7.1</c:v>
                </c:pt>
                <c:pt idx="4012">
                  <c:v>7.7</c:v>
                </c:pt>
                <c:pt idx="4013">
                  <c:v>7.6</c:v>
                </c:pt>
                <c:pt idx="4014">
                  <c:v>6.6</c:v>
                </c:pt>
                <c:pt idx="4015">
                  <c:v>5.7</c:v>
                </c:pt>
                <c:pt idx="4016">
                  <c:v>7.1</c:v>
                </c:pt>
                <c:pt idx="4017">
                  <c:v>6.2</c:v>
                </c:pt>
                <c:pt idx="4018">
                  <c:v>6.1</c:v>
                </c:pt>
                <c:pt idx="4019">
                  <c:v>5.9</c:v>
                </c:pt>
                <c:pt idx="4020">
                  <c:v>6.8</c:v>
                </c:pt>
                <c:pt idx="4021">
                  <c:v>5.8</c:v>
                </c:pt>
                <c:pt idx="4022">
                  <c:v>5</c:v>
                </c:pt>
                <c:pt idx="4023">
                  <c:v>6.3</c:v>
                </c:pt>
                <c:pt idx="4024">
                  <c:v>6.8</c:v>
                </c:pt>
                <c:pt idx="4025">
                  <c:v>5.0999999999999996</c:v>
                </c:pt>
                <c:pt idx="4026">
                  <c:v>6.6</c:v>
                </c:pt>
                <c:pt idx="4027">
                  <c:v>5</c:v>
                </c:pt>
                <c:pt idx="4028">
                  <c:v>7.7</c:v>
                </c:pt>
                <c:pt idx="4029">
                  <c:v>3.1</c:v>
                </c:pt>
                <c:pt idx="4030">
                  <c:v>6.5</c:v>
                </c:pt>
                <c:pt idx="4031">
                  <c:v>3.9</c:v>
                </c:pt>
                <c:pt idx="4032">
                  <c:v>6.8</c:v>
                </c:pt>
                <c:pt idx="4033">
                  <c:v>7</c:v>
                </c:pt>
                <c:pt idx="4034">
                  <c:v>5.9</c:v>
                </c:pt>
                <c:pt idx="4035">
                  <c:v>5.8</c:v>
                </c:pt>
                <c:pt idx="4036">
                  <c:v>7.3</c:v>
                </c:pt>
                <c:pt idx="4037">
                  <c:v>7.8</c:v>
                </c:pt>
                <c:pt idx="4038">
                  <c:v>6.9</c:v>
                </c:pt>
                <c:pt idx="4039">
                  <c:v>5.7</c:v>
                </c:pt>
                <c:pt idx="4040">
                  <c:v>4.7</c:v>
                </c:pt>
                <c:pt idx="4041">
                  <c:v>5.9</c:v>
                </c:pt>
                <c:pt idx="4042">
                  <c:v>5.9</c:v>
                </c:pt>
                <c:pt idx="4043">
                  <c:v>4.3</c:v>
                </c:pt>
                <c:pt idx="4044">
                  <c:v>7.5</c:v>
                </c:pt>
                <c:pt idx="4045">
                  <c:v>4.8</c:v>
                </c:pt>
                <c:pt idx="4046">
                  <c:v>5.8</c:v>
                </c:pt>
                <c:pt idx="4047">
                  <c:v>5.3</c:v>
                </c:pt>
                <c:pt idx="4048">
                  <c:v>6</c:v>
                </c:pt>
                <c:pt idx="4049">
                  <c:v>8.1</c:v>
                </c:pt>
                <c:pt idx="4050">
                  <c:v>7</c:v>
                </c:pt>
                <c:pt idx="4051">
                  <c:v>7.6</c:v>
                </c:pt>
                <c:pt idx="4052">
                  <c:v>7.2</c:v>
                </c:pt>
                <c:pt idx="4053">
                  <c:v>7.5</c:v>
                </c:pt>
                <c:pt idx="4054">
                  <c:v>6.3</c:v>
                </c:pt>
                <c:pt idx="4055">
                  <c:v>6.7</c:v>
                </c:pt>
                <c:pt idx="4056">
                  <c:v>4.8</c:v>
                </c:pt>
                <c:pt idx="4057">
                  <c:v>5.5</c:v>
                </c:pt>
                <c:pt idx="4058">
                  <c:v>7.5</c:v>
                </c:pt>
                <c:pt idx="4059">
                  <c:v>5.0999999999999996</c:v>
                </c:pt>
                <c:pt idx="4060">
                  <c:v>7.3</c:v>
                </c:pt>
                <c:pt idx="4061">
                  <c:v>6.9</c:v>
                </c:pt>
                <c:pt idx="4062">
                  <c:v>6.8</c:v>
                </c:pt>
                <c:pt idx="4063">
                  <c:v>8.4</c:v>
                </c:pt>
                <c:pt idx="4064">
                  <c:v>7.6</c:v>
                </c:pt>
                <c:pt idx="4065">
                  <c:v>7.6</c:v>
                </c:pt>
                <c:pt idx="4066">
                  <c:v>7.6</c:v>
                </c:pt>
                <c:pt idx="4067">
                  <c:v>5.3</c:v>
                </c:pt>
                <c:pt idx="4068">
                  <c:v>8.5</c:v>
                </c:pt>
                <c:pt idx="4069">
                  <c:v>7</c:v>
                </c:pt>
                <c:pt idx="4070">
                  <c:v>8</c:v>
                </c:pt>
                <c:pt idx="4071">
                  <c:v>7.1</c:v>
                </c:pt>
                <c:pt idx="4072">
                  <c:v>7.8</c:v>
                </c:pt>
                <c:pt idx="4073">
                  <c:v>7.2</c:v>
                </c:pt>
                <c:pt idx="4074">
                  <c:v>7.5</c:v>
                </c:pt>
                <c:pt idx="4075">
                  <c:v>8</c:v>
                </c:pt>
                <c:pt idx="4076">
                  <c:v>8.1</c:v>
                </c:pt>
                <c:pt idx="4077">
                  <c:v>6.8</c:v>
                </c:pt>
                <c:pt idx="4078">
                  <c:v>7.4</c:v>
                </c:pt>
                <c:pt idx="4079">
                  <c:v>7.2</c:v>
                </c:pt>
                <c:pt idx="4080">
                  <c:v>8.1</c:v>
                </c:pt>
                <c:pt idx="4081">
                  <c:v>7</c:v>
                </c:pt>
                <c:pt idx="4082">
                  <c:v>7.4</c:v>
                </c:pt>
                <c:pt idx="4083">
                  <c:v>8.3000000000000007</c:v>
                </c:pt>
                <c:pt idx="4084">
                  <c:v>6.1</c:v>
                </c:pt>
                <c:pt idx="4085">
                  <c:v>7.5</c:v>
                </c:pt>
                <c:pt idx="4086">
                  <c:v>7</c:v>
                </c:pt>
                <c:pt idx="4087">
                  <c:v>5.3</c:v>
                </c:pt>
                <c:pt idx="4088">
                  <c:v>4.7</c:v>
                </c:pt>
                <c:pt idx="4089">
                  <c:v>5.7</c:v>
                </c:pt>
                <c:pt idx="4090">
                  <c:v>6.5</c:v>
                </c:pt>
                <c:pt idx="4091">
                  <c:v>8</c:v>
                </c:pt>
                <c:pt idx="4092">
                  <c:v>3.3</c:v>
                </c:pt>
                <c:pt idx="4093">
                  <c:v>8.3000000000000007</c:v>
                </c:pt>
                <c:pt idx="4094">
                  <c:v>6.9</c:v>
                </c:pt>
                <c:pt idx="4095">
                  <c:v>8.1</c:v>
                </c:pt>
                <c:pt idx="4096">
                  <c:v>6.5</c:v>
                </c:pt>
                <c:pt idx="4097">
                  <c:v>6.8</c:v>
                </c:pt>
                <c:pt idx="4098">
                  <c:v>7.3</c:v>
                </c:pt>
                <c:pt idx="4099">
                  <c:v>6.4</c:v>
                </c:pt>
                <c:pt idx="4100">
                  <c:v>4.5999999999999996</c:v>
                </c:pt>
                <c:pt idx="4101">
                  <c:v>6.5</c:v>
                </c:pt>
                <c:pt idx="4102">
                  <c:v>7</c:v>
                </c:pt>
                <c:pt idx="4103">
                  <c:v>5.4</c:v>
                </c:pt>
                <c:pt idx="4104">
                  <c:v>6.7</c:v>
                </c:pt>
                <c:pt idx="4105">
                  <c:v>7.4</c:v>
                </c:pt>
                <c:pt idx="4106">
                  <c:v>5.8</c:v>
                </c:pt>
                <c:pt idx="4107">
                  <c:v>7.1</c:v>
                </c:pt>
                <c:pt idx="4108">
                  <c:v>4.5</c:v>
                </c:pt>
                <c:pt idx="4109">
                  <c:v>5.3</c:v>
                </c:pt>
                <c:pt idx="4110">
                  <c:v>5.4</c:v>
                </c:pt>
                <c:pt idx="4111">
                  <c:v>4.8</c:v>
                </c:pt>
                <c:pt idx="4112">
                  <c:v>5.9</c:v>
                </c:pt>
                <c:pt idx="4113">
                  <c:v>6.2</c:v>
                </c:pt>
                <c:pt idx="4114">
                  <c:v>5.9</c:v>
                </c:pt>
                <c:pt idx="4115">
                  <c:v>6.6</c:v>
                </c:pt>
                <c:pt idx="4116">
                  <c:v>6.6</c:v>
                </c:pt>
                <c:pt idx="4117">
                  <c:v>6</c:v>
                </c:pt>
                <c:pt idx="4118">
                  <c:v>6.8</c:v>
                </c:pt>
                <c:pt idx="4119">
                  <c:v>5.4</c:v>
                </c:pt>
                <c:pt idx="4120">
                  <c:v>5.2</c:v>
                </c:pt>
                <c:pt idx="4121">
                  <c:v>7.8</c:v>
                </c:pt>
                <c:pt idx="4122">
                  <c:v>6.4</c:v>
                </c:pt>
                <c:pt idx="4123">
                  <c:v>6.1</c:v>
                </c:pt>
                <c:pt idx="4124">
                  <c:v>5.7</c:v>
                </c:pt>
                <c:pt idx="4125">
                  <c:v>5.5</c:v>
                </c:pt>
                <c:pt idx="4126">
                  <c:v>7.4</c:v>
                </c:pt>
                <c:pt idx="4127">
                  <c:v>7.1</c:v>
                </c:pt>
                <c:pt idx="4128">
                  <c:v>3.9</c:v>
                </c:pt>
                <c:pt idx="4129">
                  <c:v>4.5999999999999996</c:v>
                </c:pt>
                <c:pt idx="4130">
                  <c:v>7.7</c:v>
                </c:pt>
                <c:pt idx="4131">
                  <c:v>4.9000000000000004</c:v>
                </c:pt>
                <c:pt idx="4132">
                  <c:v>6.3</c:v>
                </c:pt>
                <c:pt idx="4133">
                  <c:v>6.1</c:v>
                </c:pt>
                <c:pt idx="4134">
                  <c:v>6.6</c:v>
                </c:pt>
                <c:pt idx="4135">
                  <c:v>5.7</c:v>
                </c:pt>
                <c:pt idx="4136">
                  <c:v>5.6</c:v>
                </c:pt>
                <c:pt idx="4137">
                  <c:v>6</c:v>
                </c:pt>
                <c:pt idx="4138">
                  <c:v>5.7</c:v>
                </c:pt>
                <c:pt idx="4139">
                  <c:v>7</c:v>
                </c:pt>
                <c:pt idx="4140">
                  <c:v>5.3</c:v>
                </c:pt>
                <c:pt idx="4141">
                  <c:v>4.4000000000000004</c:v>
                </c:pt>
                <c:pt idx="4142">
                  <c:v>3.4</c:v>
                </c:pt>
                <c:pt idx="4143">
                  <c:v>4.5</c:v>
                </c:pt>
                <c:pt idx="4144">
                  <c:v>3.4</c:v>
                </c:pt>
                <c:pt idx="4145">
                  <c:v>7.1</c:v>
                </c:pt>
                <c:pt idx="4146">
                  <c:v>6.4</c:v>
                </c:pt>
                <c:pt idx="4147">
                  <c:v>5.2</c:v>
                </c:pt>
                <c:pt idx="4148">
                  <c:v>7</c:v>
                </c:pt>
                <c:pt idx="4149">
                  <c:v>7.3</c:v>
                </c:pt>
                <c:pt idx="4150">
                  <c:v>8.1</c:v>
                </c:pt>
                <c:pt idx="4151">
                  <c:v>5.8</c:v>
                </c:pt>
                <c:pt idx="4152">
                  <c:v>6.4</c:v>
                </c:pt>
                <c:pt idx="4153">
                  <c:v>7.8</c:v>
                </c:pt>
                <c:pt idx="4154">
                  <c:v>6.3</c:v>
                </c:pt>
                <c:pt idx="4155">
                  <c:v>7.2</c:v>
                </c:pt>
                <c:pt idx="4156">
                  <c:v>5.6</c:v>
                </c:pt>
                <c:pt idx="4157">
                  <c:v>7.2</c:v>
                </c:pt>
                <c:pt idx="4158">
                  <c:v>8</c:v>
                </c:pt>
                <c:pt idx="4159">
                  <c:v>8.5</c:v>
                </c:pt>
                <c:pt idx="4160">
                  <c:v>6.8</c:v>
                </c:pt>
                <c:pt idx="4161">
                  <c:v>7.3</c:v>
                </c:pt>
                <c:pt idx="4162">
                  <c:v>5.5</c:v>
                </c:pt>
                <c:pt idx="4163">
                  <c:v>7.3</c:v>
                </c:pt>
                <c:pt idx="4164">
                  <c:v>6.3</c:v>
                </c:pt>
                <c:pt idx="4165">
                  <c:v>5.0999999999999996</c:v>
                </c:pt>
                <c:pt idx="4166">
                  <c:v>6.6</c:v>
                </c:pt>
                <c:pt idx="4167">
                  <c:v>6.1</c:v>
                </c:pt>
                <c:pt idx="4168">
                  <c:v>7.5</c:v>
                </c:pt>
                <c:pt idx="4169">
                  <c:v>7</c:v>
                </c:pt>
                <c:pt idx="4170">
                  <c:v>7.2</c:v>
                </c:pt>
                <c:pt idx="4171">
                  <c:v>5.3</c:v>
                </c:pt>
                <c:pt idx="4172">
                  <c:v>8.6999999999999993</c:v>
                </c:pt>
                <c:pt idx="4173">
                  <c:v>3.4</c:v>
                </c:pt>
                <c:pt idx="4174">
                  <c:v>5.4</c:v>
                </c:pt>
                <c:pt idx="4175">
                  <c:v>7.8</c:v>
                </c:pt>
                <c:pt idx="4176">
                  <c:v>6.7</c:v>
                </c:pt>
                <c:pt idx="4177">
                  <c:v>4.7</c:v>
                </c:pt>
                <c:pt idx="4178">
                  <c:v>6.3</c:v>
                </c:pt>
                <c:pt idx="4179">
                  <c:v>7.4</c:v>
                </c:pt>
                <c:pt idx="4180">
                  <c:v>6.1</c:v>
                </c:pt>
                <c:pt idx="4181">
                  <c:v>7.5</c:v>
                </c:pt>
                <c:pt idx="4182">
                  <c:v>6.3</c:v>
                </c:pt>
                <c:pt idx="4183">
                  <c:v>6.3</c:v>
                </c:pt>
                <c:pt idx="4184">
                  <c:v>6.8</c:v>
                </c:pt>
                <c:pt idx="4185">
                  <c:v>7.8</c:v>
                </c:pt>
                <c:pt idx="4186">
                  <c:v>6.9</c:v>
                </c:pt>
                <c:pt idx="4187">
                  <c:v>8</c:v>
                </c:pt>
                <c:pt idx="4188">
                  <c:v>7.8</c:v>
                </c:pt>
                <c:pt idx="4189">
                  <c:v>7.4</c:v>
                </c:pt>
                <c:pt idx="4190">
                  <c:v>6.1</c:v>
                </c:pt>
                <c:pt idx="4191">
                  <c:v>4.3</c:v>
                </c:pt>
                <c:pt idx="4192">
                  <c:v>7.2</c:v>
                </c:pt>
                <c:pt idx="4193">
                  <c:v>4.7</c:v>
                </c:pt>
                <c:pt idx="4194">
                  <c:v>7.3</c:v>
                </c:pt>
                <c:pt idx="4195">
                  <c:v>7.9</c:v>
                </c:pt>
                <c:pt idx="4196">
                  <c:v>7.2</c:v>
                </c:pt>
                <c:pt idx="4197">
                  <c:v>5.4</c:v>
                </c:pt>
                <c:pt idx="4198">
                  <c:v>3.7</c:v>
                </c:pt>
                <c:pt idx="4199">
                  <c:v>7.1</c:v>
                </c:pt>
                <c:pt idx="4200">
                  <c:v>6.8</c:v>
                </c:pt>
                <c:pt idx="4201">
                  <c:v>8.1999999999999993</c:v>
                </c:pt>
                <c:pt idx="4202">
                  <c:v>7</c:v>
                </c:pt>
                <c:pt idx="4203">
                  <c:v>7.4</c:v>
                </c:pt>
                <c:pt idx="4204">
                  <c:v>6.7</c:v>
                </c:pt>
                <c:pt idx="4205">
                  <c:v>7.6</c:v>
                </c:pt>
                <c:pt idx="4206">
                  <c:v>7.2</c:v>
                </c:pt>
                <c:pt idx="4207">
                  <c:v>7.5</c:v>
                </c:pt>
                <c:pt idx="4208">
                  <c:v>6.8</c:v>
                </c:pt>
                <c:pt idx="4209">
                  <c:v>6.9</c:v>
                </c:pt>
                <c:pt idx="4210">
                  <c:v>7.9</c:v>
                </c:pt>
                <c:pt idx="4211">
                  <c:v>7.6</c:v>
                </c:pt>
                <c:pt idx="4212">
                  <c:v>6.7</c:v>
                </c:pt>
                <c:pt idx="4213">
                  <c:v>5.8</c:v>
                </c:pt>
                <c:pt idx="4214">
                  <c:v>6.5</c:v>
                </c:pt>
                <c:pt idx="4215">
                  <c:v>7.2</c:v>
                </c:pt>
                <c:pt idx="4216">
                  <c:v>6.9</c:v>
                </c:pt>
                <c:pt idx="4217">
                  <c:v>5.5</c:v>
                </c:pt>
                <c:pt idx="4218">
                  <c:v>6.5</c:v>
                </c:pt>
                <c:pt idx="4219">
                  <c:v>6.2</c:v>
                </c:pt>
                <c:pt idx="4220">
                  <c:v>6.7</c:v>
                </c:pt>
                <c:pt idx="4221">
                  <c:v>5.7</c:v>
                </c:pt>
                <c:pt idx="4222">
                  <c:v>8.6</c:v>
                </c:pt>
                <c:pt idx="4223">
                  <c:v>6.5</c:v>
                </c:pt>
                <c:pt idx="4224">
                  <c:v>6.3</c:v>
                </c:pt>
                <c:pt idx="4225">
                  <c:v>4.3</c:v>
                </c:pt>
                <c:pt idx="4226">
                  <c:v>6.1</c:v>
                </c:pt>
                <c:pt idx="4227">
                  <c:v>6</c:v>
                </c:pt>
                <c:pt idx="4228">
                  <c:v>5.8</c:v>
                </c:pt>
                <c:pt idx="4229">
                  <c:v>6.7</c:v>
                </c:pt>
                <c:pt idx="4230">
                  <c:v>6.7</c:v>
                </c:pt>
                <c:pt idx="4231">
                  <c:v>7.6</c:v>
                </c:pt>
                <c:pt idx="4232">
                  <c:v>5.0999999999999996</c:v>
                </c:pt>
                <c:pt idx="4233">
                  <c:v>6.8</c:v>
                </c:pt>
                <c:pt idx="4234">
                  <c:v>6.8</c:v>
                </c:pt>
                <c:pt idx="4235">
                  <c:v>6.8</c:v>
                </c:pt>
                <c:pt idx="4236">
                  <c:v>6.3</c:v>
                </c:pt>
                <c:pt idx="4237">
                  <c:v>7.1</c:v>
                </c:pt>
                <c:pt idx="4238">
                  <c:v>2.8</c:v>
                </c:pt>
                <c:pt idx="4239">
                  <c:v>8.1999999999999993</c:v>
                </c:pt>
                <c:pt idx="4240">
                  <c:v>3.1</c:v>
                </c:pt>
                <c:pt idx="4241">
                  <c:v>3.3</c:v>
                </c:pt>
                <c:pt idx="4242">
                  <c:v>3.6</c:v>
                </c:pt>
                <c:pt idx="4243">
                  <c:v>7.7</c:v>
                </c:pt>
                <c:pt idx="4244">
                  <c:v>6.7</c:v>
                </c:pt>
                <c:pt idx="4245">
                  <c:v>5.5</c:v>
                </c:pt>
                <c:pt idx="4246">
                  <c:v>6.6</c:v>
                </c:pt>
                <c:pt idx="4247">
                  <c:v>4.8</c:v>
                </c:pt>
                <c:pt idx="4248">
                  <c:v>5.5</c:v>
                </c:pt>
                <c:pt idx="4249">
                  <c:v>6.3</c:v>
                </c:pt>
                <c:pt idx="4250">
                  <c:v>6.9</c:v>
                </c:pt>
                <c:pt idx="4251">
                  <c:v>6.5</c:v>
                </c:pt>
                <c:pt idx="4252">
                  <c:v>8.1999999999999993</c:v>
                </c:pt>
                <c:pt idx="4253">
                  <c:v>7.1</c:v>
                </c:pt>
                <c:pt idx="4254">
                  <c:v>8.1</c:v>
                </c:pt>
                <c:pt idx="4255">
                  <c:v>7.2</c:v>
                </c:pt>
                <c:pt idx="4256">
                  <c:v>7.4</c:v>
                </c:pt>
                <c:pt idx="4257">
                  <c:v>6.5</c:v>
                </c:pt>
                <c:pt idx="4258">
                  <c:v>5.7</c:v>
                </c:pt>
                <c:pt idx="4259">
                  <c:v>8.6999999999999993</c:v>
                </c:pt>
                <c:pt idx="4260">
                  <c:v>4.3</c:v>
                </c:pt>
                <c:pt idx="4261">
                  <c:v>6.2</c:v>
                </c:pt>
                <c:pt idx="4262">
                  <c:v>3.3</c:v>
                </c:pt>
                <c:pt idx="4263">
                  <c:v>2.7</c:v>
                </c:pt>
                <c:pt idx="4264">
                  <c:v>5.2</c:v>
                </c:pt>
                <c:pt idx="4265">
                  <c:v>8.1999999999999993</c:v>
                </c:pt>
                <c:pt idx="4266">
                  <c:v>6.1</c:v>
                </c:pt>
                <c:pt idx="4267">
                  <c:v>8</c:v>
                </c:pt>
                <c:pt idx="4268">
                  <c:v>5.5</c:v>
                </c:pt>
                <c:pt idx="4269">
                  <c:v>5.7</c:v>
                </c:pt>
                <c:pt idx="4270">
                  <c:v>3.7</c:v>
                </c:pt>
                <c:pt idx="4271">
                  <c:v>7.1</c:v>
                </c:pt>
                <c:pt idx="4272">
                  <c:v>7.8</c:v>
                </c:pt>
                <c:pt idx="4273">
                  <c:v>4.0999999999999996</c:v>
                </c:pt>
                <c:pt idx="4274">
                  <c:v>7.2</c:v>
                </c:pt>
                <c:pt idx="4275">
                  <c:v>7.7</c:v>
                </c:pt>
                <c:pt idx="4276">
                  <c:v>7.1</c:v>
                </c:pt>
                <c:pt idx="4277">
                  <c:v>7.6</c:v>
                </c:pt>
                <c:pt idx="4278">
                  <c:v>7</c:v>
                </c:pt>
                <c:pt idx="4279">
                  <c:v>7.4</c:v>
                </c:pt>
                <c:pt idx="4280">
                  <c:v>7.7</c:v>
                </c:pt>
                <c:pt idx="4281">
                  <c:v>7.2</c:v>
                </c:pt>
                <c:pt idx="4282">
                  <c:v>6.6</c:v>
                </c:pt>
                <c:pt idx="4283">
                  <c:v>6</c:v>
                </c:pt>
                <c:pt idx="4284">
                  <c:v>8.4</c:v>
                </c:pt>
                <c:pt idx="4285">
                  <c:v>6.5</c:v>
                </c:pt>
                <c:pt idx="4286">
                  <c:v>8.9</c:v>
                </c:pt>
                <c:pt idx="4287">
                  <c:v>7.9</c:v>
                </c:pt>
                <c:pt idx="4288">
                  <c:v>6</c:v>
                </c:pt>
                <c:pt idx="4289">
                  <c:v>6.1</c:v>
                </c:pt>
                <c:pt idx="4290">
                  <c:v>7.4</c:v>
                </c:pt>
                <c:pt idx="4291">
                  <c:v>6.2</c:v>
                </c:pt>
                <c:pt idx="4292">
                  <c:v>5.6</c:v>
                </c:pt>
                <c:pt idx="4293">
                  <c:v>7.2</c:v>
                </c:pt>
                <c:pt idx="4294">
                  <c:v>6.1</c:v>
                </c:pt>
                <c:pt idx="4295">
                  <c:v>3.8</c:v>
                </c:pt>
                <c:pt idx="4296">
                  <c:v>7.1</c:v>
                </c:pt>
                <c:pt idx="4297">
                  <c:v>4.5</c:v>
                </c:pt>
                <c:pt idx="4298">
                  <c:v>3.8</c:v>
                </c:pt>
                <c:pt idx="4299">
                  <c:v>6.2</c:v>
                </c:pt>
                <c:pt idx="4300">
                  <c:v>6.6</c:v>
                </c:pt>
                <c:pt idx="4301">
                  <c:v>4.5999999999999996</c:v>
                </c:pt>
                <c:pt idx="4302">
                  <c:v>4.2</c:v>
                </c:pt>
                <c:pt idx="4303">
                  <c:v>6.8</c:v>
                </c:pt>
                <c:pt idx="4304">
                  <c:v>7.7</c:v>
                </c:pt>
                <c:pt idx="4305">
                  <c:v>5.9</c:v>
                </c:pt>
                <c:pt idx="4306">
                  <c:v>4.7</c:v>
                </c:pt>
                <c:pt idx="4307">
                  <c:v>7</c:v>
                </c:pt>
                <c:pt idx="4308">
                  <c:v>6.9</c:v>
                </c:pt>
                <c:pt idx="4309">
                  <c:v>6.1</c:v>
                </c:pt>
                <c:pt idx="4310">
                  <c:v>7.6</c:v>
                </c:pt>
                <c:pt idx="4311">
                  <c:v>3</c:v>
                </c:pt>
                <c:pt idx="4312">
                  <c:v>2.6</c:v>
                </c:pt>
                <c:pt idx="4313">
                  <c:v>8.6</c:v>
                </c:pt>
                <c:pt idx="4314">
                  <c:v>6.1</c:v>
                </c:pt>
                <c:pt idx="4315">
                  <c:v>7.5</c:v>
                </c:pt>
                <c:pt idx="4316">
                  <c:v>6.7</c:v>
                </c:pt>
                <c:pt idx="4317">
                  <c:v>8.1</c:v>
                </c:pt>
                <c:pt idx="4318">
                  <c:v>4.9000000000000004</c:v>
                </c:pt>
                <c:pt idx="4319">
                  <c:v>6.8</c:v>
                </c:pt>
                <c:pt idx="4320">
                  <c:v>5.7</c:v>
                </c:pt>
                <c:pt idx="4321">
                  <c:v>8.3000000000000007</c:v>
                </c:pt>
                <c:pt idx="4322">
                  <c:v>6.6</c:v>
                </c:pt>
                <c:pt idx="4323">
                  <c:v>7.3</c:v>
                </c:pt>
                <c:pt idx="4324">
                  <c:v>5</c:v>
                </c:pt>
                <c:pt idx="4325">
                  <c:v>7</c:v>
                </c:pt>
                <c:pt idx="4326">
                  <c:v>3.4</c:v>
                </c:pt>
                <c:pt idx="4327">
                  <c:v>5.9</c:v>
                </c:pt>
                <c:pt idx="4328">
                  <c:v>6</c:v>
                </c:pt>
                <c:pt idx="4329">
                  <c:v>7.4</c:v>
                </c:pt>
                <c:pt idx="4330">
                  <c:v>7.4</c:v>
                </c:pt>
                <c:pt idx="4331">
                  <c:v>4.2</c:v>
                </c:pt>
                <c:pt idx="4332">
                  <c:v>6.2</c:v>
                </c:pt>
                <c:pt idx="4333">
                  <c:v>6.2</c:v>
                </c:pt>
                <c:pt idx="4334">
                  <c:v>7.5</c:v>
                </c:pt>
                <c:pt idx="4335">
                  <c:v>7.2</c:v>
                </c:pt>
                <c:pt idx="4336">
                  <c:v>7.2</c:v>
                </c:pt>
                <c:pt idx="4337">
                  <c:v>5.4</c:v>
                </c:pt>
                <c:pt idx="4338">
                  <c:v>7</c:v>
                </c:pt>
                <c:pt idx="4339">
                  <c:v>7.2</c:v>
                </c:pt>
                <c:pt idx="4340">
                  <c:v>7.9</c:v>
                </c:pt>
                <c:pt idx="4341">
                  <c:v>6.8</c:v>
                </c:pt>
                <c:pt idx="4342">
                  <c:v>6.7</c:v>
                </c:pt>
                <c:pt idx="4343">
                  <c:v>6.8</c:v>
                </c:pt>
                <c:pt idx="4344">
                  <c:v>6.9</c:v>
                </c:pt>
                <c:pt idx="4345">
                  <c:v>6.8</c:v>
                </c:pt>
                <c:pt idx="4346">
                  <c:v>7.2</c:v>
                </c:pt>
                <c:pt idx="4347">
                  <c:v>7.4</c:v>
                </c:pt>
                <c:pt idx="4348">
                  <c:v>5.6</c:v>
                </c:pt>
                <c:pt idx="4349">
                  <c:v>6.8</c:v>
                </c:pt>
                <c:pt idx="4350">
                  <c:v>7.7</c:v>
                </c:pt>
                <c:pt idx="4351">
                  <c:v>7</c:v>
                </c:pt>
                <c:pt idx="4352">
                  <c:v>7.2</c:v>
                </c:pt>
                <c:pt idx="4353">
                  <c:v>7.2</c:v>
                </c:pt>
                <c:pt idx="4354">
                  <c:v>7.2</c:v>
                </c:pt>
                <c:pt idx="4355">
                  <c:v>6.2</c:v>
                </c:pt>
                <c:pt idx="4356">
                  <c:v>6.2</c:v>
                </c:pt>
                <c:pt idx="4357">
                  <c:v>6.9</c:v>
                </c:pt>
                <c:pt idx="4358">
                  <c:v>7</c:v>
                </c:pt>
                <c:pt idx="4359">
                  <c:v>6.7</c:v>
                </c:pt>
                <c:pt idx="4360">
                  <c:v>3.6</c:v>
                </c:pt>
                <c:pt idx="4361">
                  <c:v>6.3</c:v>
                </c:pt>
                <c:pt idx="4362">
                  <c:v>7.4</c:v>
                </c:pt>
                <c:pt idx="4363">
                  <c:v>7.4</c:v>
                </c:pt>
                <c:pt idx="4364">
                  <c:v>7.3</c:v>
                </c:pt>
                <c:pt idx="4365">
                  <c:v>6.1</c:v>
                </c:pt>
                <c:pt idx="4366">
                  <c:v>8.1999999999999993</c:v>
                </c:pt>
                <c:pt idx="4367">
                  <c:v>7.7</c:v>
                </c:pt>
                <c:pt idx="4368">
                  <c:v>7.3</c:v>
                </c:pt>
                <c:pt idx="4369">
                  <c:v>7.4</c:v>
                </c:pt>
                <c:pt idx="4370">
                  <c:v>5.7</c:v>
                </c:pt>
                <c:pt idx="4371">
                  <c:v>7.6</c:v>
                </c:pt>
                <c:pt idx="4372">
                  <c:v>6.8</c:v>
                </c:pt>
                <c:pt idx="4373">
                  <c:v>5.6</c:v>
                </c:pt>
                <c:pt idx="4374">
                  <c:v>4.8</c:v>
                </c:pt>
                <c:pt idx="4375">
                  <c:v>6.4</c:v>
                </c:pt>
                <c:pt idx="4376">
                  <c:v>6.8</c:v>
                </c:pt>
                <c:pt idx="4377">
                  <c:v>6.1</c:v>
                </c:pt>
                <c:pt idx="4378">
                  <c:v>5.2</c:v>
                </c:pt>
                <c:pt idx="4379">
                  <c:v>6.9</c:v>
                </c:pt>
                <c:pt idx="4380">
                  <c:v>6</c:v>
                </c:pt>
                <c:pt idx="4381">
                  <c:v>6.3</c:v>
                </c:pt>
                <c:pt idx="4382">
                  <c:v>6.1</c:v>
                </c:pt>
                <c:pt idx="4383">
                  <c:v>5.5</c:v>
                </c:pt>
                <c:pt idx="4384">
                  <c:v>6.9</c:v>
                </c:pt>
                <c:pt idx="4385">
                  <c:v>5.6</c:v>
                </c:pt>
                <c:pt idx="4386">
                  <c:v>1.9</c:v>
                </c:pt>
                <c:pt idx="4387">
                  <c:v>4.0999999999999996</c:v>
                </c:pt>
                <c:pt idx="4388">
                  <c:v>5.4</c:v>
                </c:pt>
                <c:pt idx="4389">
                  <c:v>6.8</c:v>
                </c:pt>
                <c:pt idx="4390">
                  <c:v>6.7</c:v>
                </c:pt>
                <c:pt idx="4391">
                  <c:v>5.8</c:v>
                </c:pt>
                <c:pt idx="4392">
                  <c:v>6.2</c:v>
                </c:pt>
                <c:pt idx="4393">
                  <c:v>2.8</c:v>
                </c:pt>
                <c:pt idx="4394">
                  <c:v>7.3</c:v>
                </c:pt>
                <c:pt idx="4395">
                  <c:v>5.8</c:v>
                </c:pt>
                <c:pt idx="4396">
                  <c:v>6.5</c:v>
                </c:pt>
                <c:pt idx="4397">
                  <c:v>6.1</c:v>
                </c:pt>
                <c:pt idx="4398">
                  <c:v>5.0999999999999996</c:v>
                </c:pt>
                <c:pt idx="4399">
                  <c:v>2.2000000000000002</c:v>
                </c:pt>
                <c:pt idx="4400">
                  <c:v>7.2</c:v>
                </c:pt>
                <c:pt idx="4401">
                  <c:v>5.7</c:v>
                </c:pt>
                <c:pt idx="4402">
                  <c:v>3.4</c:v>
                </c:pt>
                <c:pt idx="4403">
                  <c:v>3.8</c:v>
                </c:pt>
                <c:pt idx="4404">
                  <c:v>4.7</c:v>
                </c:pt>
                <c:pt idx="4405">
                  <c:v>5.6</c:v>
                </c:pt>
                <c:pt idx="4406">
                  <c:v>3.9</c:v>
                </c:pt>
                <c:pt idx="4407">
                  <c:v>5.4</c:v>
                </c:pt>
                <c:pt idx="4408">
                  <c:v>5.2</c:v>
                </c:pt>
                <c:pt idx="4409">
                  <c:v>3.5</c:v>
                </c:pt>
                <c:pt idx="4410">
                  <c:v>7.1</c:v>
                </c:pt>
                <c:pt idx="4411">
                  <c:v>5.5</c:v>
                </c:pt>
                <c:pt idx="4412">
                  <c:v>6</c:v>
                </c:pt>
                <c:pt idx="4413">
                  <c:v>4.8</c:v>
                </c:pt>
                <c:pt idx="4414">
                  <c:v>7.1</c:v>
                </c:pt>
                <c:pt idx="4415">
                  <c:v>8.1999999999999993</c:v>
                </c:pt>
                <c:pt idx="4416">
                  <c:v>5.7</c:v>
                </c:pt>
                <c:pt idx="4417">
                  <c:v>7.9</c:v>
                </c:pt>
                <c:pt idx="4418">
                  <c:v>7.3</c:v>
                </c:pt>
                <c:pt idx="4419">
                  <c:v>7.1</c:v>
                </c:pt>
                <c:pt idx="4420">
                  <c:v>6.4</c:v>
                </c:pt>
                <c:pt idx="4421">
                  <c:v>5.9</c:v>
                </c:pt>
                <c:pt idx="4422">
                  <c:v>7.5</c:v>
                </c:pt>
                <c:pt idx="4423">
                  <c:v>6.4</c:v>
                </c:pt>
                <c:pt idx="4424">
                  <c:v>7.4</c:v>
                </c:pt>
                <c:pt idx="4425">
                  <c:v>7.3</c:v>
                </c:pt>
                <c:pt idx="4426">
                  <c:v>7.2</c:v>
                </c:pt>
                <c:pt idx="4427">
                  <c:v>6.7</c:v>
                </c:pt>
                <c:pt idx="4428">
                  <c:v>7.1</c:v>
                </c:pt>
                <c:pt idx="4429">
                  <c:v>6</c:v>
                </c:pt>
                <c:pt idx="4430">
                  <c:v>6.7</c:v>
                </c:pt>
                <c:pt idx="4431">
                  <c:v>5.6</c:v>
                </c:pt>
                <c:pt idx="4432">
                  <c:v>7</c:v>
                </c:pt>
                <c:pt idx="4433">
                  <c:v>4.9000000000000004</c:v>
                </c:pt>
                <c:pt idx="4434">
                  <c:v>3.2</c:v>
                </c:pt>
                <c:pt idx="4435">
                  <c:v>8.4</c:v>
                </c:pt>
                <c:pt idx="4436">
                  <c:v>6.9</c:v>
                </c:pt>
                <c:pt idx="4437">
                  <c:v>7.5</c:v>
                </c:pt>
                <c:pt idx="4438">
                  <c:v>7.2</c:v>
                </c:pt>
                <c:pt idx="4439">
                  <c:v>7.2</c:v>
                </c:pt>
                <c:pt idx="4440">
                  <c:v>8</c:v>
                </c:pt>
                <c:pt idx="4441">
                  <c:v>7.4</c:v>
                </c:pt>
                <c:pt idx="4442">
                  <c:v>7.2</c:v>
                </c:pt>
                <c:pt idx="4443">
                  <c:v>6.5</c:v>
                </c:pt>
                <c:pt idx="4444">
                  <c:v>7.2</c:v>
                </c:pt>
                <c:pt idx="4445">
                  <c:v>4.2</c:v>
                </c:pt>
                <c:pt idx="4446">
                  <c:v>5.0999999999999996</c:v>
                </c:pt>
                <c:pt idx="4447">
                  <c:v>6.4</c:v>
                </c:pt>
                <c:pt idx="4448">
                  <c:v>6.8</c:v>
                </c:pt>
                <c:pt idx="4449">
                  <c:v>6.2</c:v>
                </c:pt>
                <c:pt idx="4450">
                  <c:v>7.5</c:v>
                </c:pt>
                <c:pt idx="4451">
                  <c:v>7.7</c:v>
                </c:pt>
                <c:pt idx="4452">
                  <c:v>6.9</c:v>
                </c:pt>
                <c:pt idx="4453">
                  <c:v>7</c:v>
                </c:pt>
                <c:pt idx="4454">
                  <c:v>7.5</c:v>
                </c:pt>
                <c:pt idx="4455">
                  <c:v>6.3</c:v>
                </c:pt>
                <c:pt idx="4456">
                  <c:v>5.5</c:v>
                </c:pt>
                <c:pt idx="4457">
                  <c:v>8.1</c:v>
                </c:pt>
                <c:pt idx="4458">
                  <c:v>6.6</c:v>
                </c:pt>
                <c:pt idx="4459">
                  <c:v>5.2</c:v>
                </c:pt>
                <c:pt idx="4460">
                  <c:v>5.6</c:v>
                </c:pt>
                <c:pt idx="4461">
                  <c:v>3.1</c:v>
                </c:pt>
                <c:pt idx="4462">
                  <c:v>8.1</c:v>
                </c:pt>
                <c:pt idx="4463">
                  <c:v>8.3000000000000007</c:v>
                </c:pt>
                <c:pt idx="4464">
                  <c:v>7.1</c:v>
                </c:pt>
                <c:pt idx="4465">
                  <c:v>7.2</c:v>
                </c:pt>
                <c:pt idx="4466">
                  <c:v>6.3</c:v>
                </c:pt>
                <c:pt idx="4467">
                  <c:v>4</c:v>
                </c:pt>
                <c:pt idx="4468">
                  <c:v>7.2</c:v>
                </c:pt>
                <c:pt idx="4469">
                  <c:v>6.5</c:v>
                </c:pt>
                <c:pt idx="4470">
                  <c:v>6.5</c:v>
                </c:pt>
                <c:pt idx="4471">
                  <c:v>4.9000000000000004</c:v>
                </c:pt>
                <c:pt idx="4472">
                  <c:v>5.2</c:v>
                </c:pt>
                <c:pt idx="4473">
                  <c:v>7.4</c:v>
                </c:pt>
                <c:pt idx="4474">
                  <c:v>7.4</c:v>
                </c:pt>
                <c:pt idx="4475">
                  <c:v>5.4</c:v>
                </c:pt>
                <c:pt idx="4476">
                  <c:v>3.9</c:v>
                </c:pt>
                <c:pt idx="4477">
                  <c:v>5.3</c:v>
                </c:pt>
                <c:pt idx="4478">
                  <c:v>7.8</c:v>
                </c:pt>
                <c:pt idx="4479">
                  <c:v>6.4</c:v>
                </c:pt>
                <c:pt idx="4480">
                  <c:v>8.1</c:v>
                </c:pt>
                <c:pt idx="4481">
                  <c:v>6.5</c:v>
                </c:pt>
                <c:pt idx="4482">
                  <c:v>5.6</c:v>
                </c:pt>
                <c:pt idx="4483">
                  <c:v>5.6</c:v>
                </c:pt>
                <c:pt idx="4484">
                  <c:v>6.6</c:v>
                </c:pt>
                <c:pt idx="4485">
                  <c:v>6.3</c:v>
                </c:pt>
                <c:pt idx="4486">
                  <c:v>7.7</c:v>
                </c:pt>
                <c:pt idx="4487">
                  <c:v>7</c:v>
                </c:pt>
                <c:pt idx="4488">
                  <c:v>8</c:v>
                </c:pt>
                <c:pt idx="4489">
                  <c:v>7.2</c:v>
                </c:pt>
                <c:pt idx="4490">
                  <c:v>4.5</c:v>
                </c:pt>
                <c:pt idx="4491">
                  <c:v>7.7</c:v>
                </c:pt>
                <c:pt idx="4492">
                  <c:v>7.2</c:v>
                </c:pt>
                <c:pt idx="4493">
                  <c:v>6.1</c:v>
                </c:pt>
                <c:pt idx="4494">
                  <c:v>6.4</c:v>
                </c:pt>
                <c:pt idx="4495">
                  <c:v>6.5</c:v>
                </c:pt>
                <c:pt idx="4496">
                  <c:v>7</c:v>
                </c:pt>
                <c:pt idx="4497">
                  <c:v>6.1</c:v>
                </c:pt>
                <c:pt idx="4498">
                  <c:v>5.7</c:v>
                </c:pt>
                <c:pt idx="4499">
                  <c:v>5.4</c:v>
                </c:pt>
                <c:pt idx="4500">
                  <c:v>5.9</c:v>
                </c:pt>
                <c:pt idx="4501">
                  <c:v>7.5</c:v>
                </c:pt>
                <c:pt idx="4502">
                  <c:v>7.7</c:v>
                </c:pt>
                <c:pt idx="4503">
                  <c:v>7.1</c:v>
                </c:pt>
                <c:pt idx="4504">
                  <c:v>7.4</c:v>
                </c:pt>
                <c:pt idx="4505">
                  <c:v>7.6</c:v>
                </c:pt>
                <c:pt idx="4506">
                  <c:v>6.4</c:v>
                </c:pt>
                <c:pt idx="4507">
                  <c:v>7.4</c:v>
                </c:pt>
                <c:pt idx="4508">
                  <c:v>6.8</c:v>
                </c:pt>
                <c:pt idx="4509">
                  <c:v>6.5</c:v>
                </c:pt>
                <c:pt idx="4510">
                  <c:v>6</c:v>
                </c:pt>
                <c:pt idx="4511">
                  <c:v>7.3</c:v>
                </c:pt>
                <c:pt idx="4512">
                  <c:v>7.3</c:v>
                </c:pt>
                <c:pt idx="4513">
                  <c:v>6.5</c:v>
                </c:pt>
                <c:pt idx="4514">
                  <c:v>6</c:v>
                </c:pt>
                <c:pt idx="4515">
                  <c:v>5.3</c:v>
                </c:pt>
                <c:pt idx="4516">
                  <c:v>6.6</c:v>
                </c:pt>
                <c:pt idx="4517">
                  <c:v>6.1</c:v>
                </c:pt>
                <c:pt idx="4518">
                  <c:v>7.1</c:v>
                </c:pt>
                <c:pt idx="4519">
                  <c:v>8.6999999999999993</c:v>
                </c:pt>
                <c:pt idx="4520">
                  <c:v>8.4</c:v>
                </c:pt>
                <c:pt idx="4521">
                  <c:v>5.8</c:v>
                </c:pt>
                <c:pt idx="4522">
                  <c:v>6.2</c:v>
                </c:pt>
                <c:pt idx="4523">
                  <c:v>5.8</c:v>
                </c:pt>
                <c:pt idx="4524">
                  <c:v>5.7</c:v>
                </c:pt>
                <c:pt idx="4525">
                  <c:v>6.1</c:v>
                </c:pt>
                <c:pt idx="4526">
                  <c:v>6.4</c:v>
                </c:pt>
                <c:pt idx="4527">
                  <c:v>5</c:v>
                </c:pt>
                <c:pt idx="4528">
                  <c:v>6.5</c:v>
                </c:pt>
                <c:pt idx="4529">
                  <c:v>4.5999999999999996</c:v>
                </c:pt>
                <c:pt idx="4530">
                  <c:v>7.7</c:v>
                </c:pt>
                <c:pt idx="4531">
                  <c:v>7.3</c:v>
                </c:pt>
                <c:pt idx="4532">
                  <c:v>6.6</c:v>
                </c:pt>
                <c:pt idx="4533">
                  <c:v>6.4</c:v>
                </c:pt>
                <c:pt idx="4534">
                  <c:v>5.8</c:v>
                </c:pt>
                <c:pt idx="4535">
                  <c:v>7.2</c:v>
                </c:pt>
                <c:pt idx="4536">
                  <c:v>7.2</c:v>
                </c:pt>
                <c:pt idx="4537">
                  <c:v>3.5</c:v>
                </c:pt>
                <c:pt idx="4538">
                  <c:v>7.5</c:v>
                </c:pt>
                <c:pt idx="4539">
                  <c:v>2.2000000000000002</c:v>
                </c:pt>
                <c:pt idx="4540">
                  <c:v>6.6</c:v>
                </c:pt>
                <c:pt idx="4541">
                  <c:v>6.9</c:v>
                </c:pt>
                <c:pt idx="4542">
                  <c:v>4</c:v>
                </c:pt>
                <c:pt idx="4543">
                  <c:v>7.4</c:v>
                </c:pt>
                <c:pt idx="4544">
                  <c:v>8.3000000000000007</c:v>
                </c:pt>
                <c:pt idx="4545">
                  <c:v>5.7</c:v>
                </c:pt>
                <c:pt idx="4546">
                  <c:v>6.8</c:v>
                </c:pt>
                <c:pt idx="4547">
                  <c:v>5.2</c:v>
                </c:pt>
                <c:pt idx="4548">
                  <c:v>6.2</c:v>
                </c:pt>
                <c:pt idx="4549">
                  <c:v>5.9</c:v>
                </c:pt>
                <c:pt idx="4550">
                  <c:v>7.7</c:v>
                </c:pt>
                <c:pt idx="4551">
                  <c:v>4.3</c:v>
                </c:pt>
                <c:pt idx="4552">
                  <c:v>7.1</c:v>
                </c:pt>
                <c:pt idx="4553">
                  <c:v>6.2</c:v>
                </c:pt>
                <c:pt idx="4554">
                  <c:v>6.8</c:v>
                </c:pt>
                <c:pt idx="4555">
                  <c:v>7.7</c:v>
                </c:pt>
                <c:pt idx="4556">
                  <c:v>8.1999999999999993</c:v>
                </c:pt>
                <c:pt idx="4557">
                  <c:v>7.5</c:v>
                </c:pt>
                <c:pt idx="4558">
                  <c:v>7.6</c:v>
                </c:pt>
                <c:pt idx="4559">
                  <c:v>4.0999999999999996</c:v>
                </c:pt>
                <c:pt idx="4560">
                  <c:v>6.9</c:v>
                </c:pt>
                <c:pt idx="4561">
                  <c:v>7.1</c:v>
                </c:pt>
                <c:pt idx="4562">
                  <c:v>6.3</c:v>
                </c:pt>
                <c:pt idx="4563">
                  <c:v>7.7</c:v>
                </c:pt>
                <c:pt idx="4564">
                  <c:v>8.3000000000000007</c:v>
                </c:pt>
                <c:pt idx="4565">
                  <c:v>7.1</c:v>
                </c:pt>
                <c:pt idx="4566">
                  <c:v>4.7</c:v>
                </c:pt>
                <c:pt idx="4567">
                  <c:v>7.2</c:v>
                </c:pt>
                <c:pt idx="4568">
                  <c:v>5.0999999999999996</c:v>
                </c:pt>
                <c:pt idx="4569">
                  <c:v>5.4</c:v>
                </c:pt>
                <c:pt idx="4570">
                  <c:v>6.9</c:v>
                </c:pt>
                <c:pt idx="4571">
                  <c:v>6.1</c:v>
                </c:pt>
                <c:pt idx="4572">
                  <c:v>6.1</c:v>
                </c:pt>
                <c:pt idx="4573">
                  <c:v>6.9</c:v>
                </c:pt>
                <c:pt idx="4574">
                  <c:v>5.8</c:v>
                </c:pt>
                <c:pt idx="4575">
                  <c:v>6</c:v>
                </c:pt>
                <c:pt idx="4576">
                  <c:v>8.1999999999999993</c:v>
                </c:pt>
                <c:pt idx="4577">
                  <c:v>7</c:v>
                </c:pt>
                <c:pt idx="4578">
                  <c:v>6.3</c:v>
                </c:pt>
                <c:pt idx="4579">
                  <c:v>7.6</c:v>
                </c:pt>
                <c:pt idx="4580">
                  <c:v>6.1</c:v>
                </c:pt>
                <c:pt idx="4581">
                  <c:v>7.2</c:v>
                </c:pt>
                <c:pt idx="4582">
                  <c:v>7.8</c:v>
                </c:pt>
                <c:pt idx="4583">
                  <c:v>4.7</c:v>
                </c:pt>
                <c:pt idx="4584">
                  <c:v>7.5</c:v>
                </c:pt>
                <c:pt idx="4585">
                  <c:v>3.4</c:v>
                </c:pt>
                <c:pt idx="4586">
                  <c:v>8.9</c:v>
                </c:pt>
                <c:pt idx="4587">
                  <c:v>6.9</c:v>
                </c:pt>
                <c:pt idx="4588">
                  <c:v>8.1999999999999993</c:v>
                </c:pt>
                <c:pt idx="4589">
                  <c:v>7.3</c:v>
                </c:pt>
                <c:pt idx="4590">
                  <c:v>8</c:v>
                </c:pt>
                <c:pt idx="4591">
                  <c:v>6.7</c:v>
                </c:pt>
                <c:pt idx="4592">
                  <c:v>6.6</c:v>
                </c:pt>
                <c:pt idx="4593">
                  <c:v>6.9</c:v>
                </c:pt>
                <c:pt idx="4594">
                  <c:v>7.1</c:v>
                </c:pt>
                <c:pt idx="4595">
                  <c:v>5.6</c:v>
                </c:pt>
                <c:pt idx="4596">
                  <c:v>6.7</c:v>
                </c:pt>
                <c:pt idx="4597">
                  <c:v>7.1</c:v>
                </c:pt>
                <c:pt idx="4598">
                  <c:v>5.2</c:v>
                </c:pt>
                <c:pt idx="4599">
                  <c:v>7.7</c:v>
                </c:pt>
                <c:pt idx="4600">
                  <c:v>7.5</c:v>
                </c:pt>
                <c:pt idx="4601">
                  <c:v>7.6</c:v>
                </c:pt>
                <c:pt idx="4602">
                  <c:v>8.1</c:v>
                </c:pt>
                <c:pt idx="4603">
                  <c:v>5.5</c:v>
                </c:pt>
                <c:pt idx="4604">
                  <c:v>6.6</c:v>
                </c:pt>
                <c:pt idx="4605">
                  <c:v>3.2</c:v>
                </c:pt>
                <c:pt idx="4606">
                  <c:v>6.6</c:v>
                </c:pt>
                <c:pt idx="4607">
                  <c:v>6.2</c:v>
                </c:pt>
                <c:pt idx="4608">
                  <c:v>4.8</c:v>
                </c:pt>
                <c:pt idx="4609">
                  <c:v>4.5</c:v>
                </c:pt>
                <c:pt idx="4610">
                  <c:v>7.2</c:v>
                </c:pt>
                <c:pt idx="4611">
                  <c:v>4.3</c:v>
                </c:pt>
                <c:pt idx="4612">
                  <c:v>4.5</c:v>
                </c:pt>
                <c:pt idx="4613">
                  <c:v>6.4</c:v>
                </c:pt>
                <c:pt idx="4614">
                  <c:v>6.4</c:v>
                </c:pt>
                <c:pt idx="4615">
                  <c:v>7.3</c:v>
                </c:pt>
                <c:pt idx="4616">
                  <c:v>6.9</c:v>
                </c:pt>
                <c:pt idx="4617">
                  <c:v>4.3</c:v>
                </c:pt>
                <c:pt idx="4618">
                  <c:v>7.2</c:v>
                </c:pt>
                <c:pt idx="4619">
                  <c:v>6.5</c:v>
                </c:pt>
                <c:pt idx="4620">
                  <c:v>6.6</c:v>
                </c:pt>
                <c:pt idx="4621">
                  <c:v>6.7</c:v>
                </c:pt>
                <c:pt idx="4622">
                  <c:v>4.3</c:v>
                </c:pt>
                <c:pt idx="4623">
                  <c:v>7.3</c:v>
                </c:pt>
                <c:pt idx="4624">
                  <c:v>6.4</c:v>
                </c:pt>
                <c:pt idx="4625">
                  <c:v>7</c:v>
                </c:pt>
                <c:pt idx="4626">
                  <c:v>5.5</c:v>
                </c:pt>
                <c:pt idx="4627">
                  <c:v>6.7</c:v>
                </c:pt>
                <c:pt idx="4628">
                  <c:v>4.3</c:v>
                </c:pt>
                <c:pt idx="4629">
                  <c:v>6.1</c:v>
                </c:pt>
                <c:pt idx="4630">
                  <c:v>6.8</c:v>
                </c:pt>
                <c:pt idx="4631">
                  <c:v>3.9</c:v>
                </c:pt>
                <c:pt idx="4632">
                  <c:v>6.9</c:v>
                </c:pt>
                <c:pt idx="4633">
                  <c:v>7.3</c:v>
                </c:pt>
                <c:pt idx="4634">
                  <c:v>6.9</c:v>
                </c:pt>
                <c:pt idx="4635">
                  <c:v>6.3</c:v>
                </c:pt>
                <c:pt idx="4636">
                  <c:v>2.5</c:v>
                </c:pt>
                <c:pt idx="4637">
                  <c:v>5.7</c:v>
                </c:pt>
                <c:pt idx="4638">
                  <c:v>7</c:v>
                </c:pt>
                <c:pt idx="4639">
                  <c:v>6.2</c:v>
                </c:pt>
                <c:pt idx="4640">
                  <c:v>6.9</c:v>
                </c:pt>
                <c:pt idx="4641">
                  <c:v>4.5</c:v>
                </c:pt>
                <c:pt idx="4642">
                  <c:v>7.8</c:v>
                </c:pt>
                <c:pt idx="4643">
                  <c:v>4.4000000000000004</c:v>
                </c:pt>
                <c:pt idx="4644">
                  <c:v>6.6</c:v>
                </c:pt>
                <c:pt idx="4645">
                  <c:v>8</c:v>
                </c:pt>
                <c:pt idx="4646">
                  <c:v>6.5</c:v>
                </c:pt>
                <c:pt idx="4647">
                  <c:v>7.1</c:v>
                </c:pt>
                <c:pt idx="4648">
                  <c:v>7.1</c:v>
                </c:pt>
                <c:pt idx="4649">
                  <c:v>4</c:v>
                </c:pt>
                <c:pt idx="4650">
                  <c:v>7.5</c:v>
                </c:pt>
                <c:pt idx="4651">
                  <c:v>7</c:v>
                </c:pt>
                <c:pt idx="4652">
                  <c:v>4</c:v>
                </c:pt>
                <c:pt idx="4653">
                  <c:v>6.7</c:v>
                </c:pt>
                <c:pt idx="4654">
                  <c:v>7</c:v>
                </c:pt>
                <c:pt idx="4655">
                  <c:v>7.4</c:v>
                </c:pt>
                <c:pt idx="4656">
                  <c:v>8</c:v>
                </c:pt>
                <c:pt idx="4657">
                  <c:v>6.5</c:v>
                </c:pt>
                <c:pt idx="4658">
                  <c:v>7.2</c:v>
                </c:pt>
                <c:pt idx="4659">
                  <c:v>6.4</c:v>
                </c:pt>
                <c:pt idx="4660">
                  <c:v>6.5</c:v>
                </c:pt>
                <c:pt idx="4661">
                  <c:v>6.8</c:v>
                </c:pt>
                <c:pt idx="4662">
                  <c:v>6.9</c:v>
                </c:pt>
                <c:pt idx="4663">
                  <c:v>7.5</c:v>
                </c:pt>
                <c:pt idx="4664">
                  <c:v>5.0999999999999996</c:v>
                </c:pt>
                <c:pt idx="4665">
                  <c:v>6.2</c:v>
                </c:pt>
                <c:pt idx="4666">
                  <c:v>3.9</c:v>
                </c:pt>
                <c:pt idx="4667">
                  <c:v>6</c:v>
                </c:pt>
                <c:pt idx="4668">
                  <c:v>6.8</c:v>
                </c:pt>
                <c:pt idx="4669">
                  <c:v>7.4</c:v>
                </c:pt>
                <c:pt idx="4670">
                  <c:v>8.1</c:v>
                </c:pt>
                <c:pt idx="4671">
                  <c:v>6.5</c:v>
                </c:pt>
                <c:pt idx="4672">
                  <c:v>8</c:v>
                </c:pt>
                <c:pt idx="4673">
                  <c:v>7.7</c:v>
                </c:pt>
                <c:pt idx="4674">
                  <c:v>7.2</c:v>
                </c:pt>
                <c:pt idx="4675">
                  <c:v>5.4</c:v>
                </c:pt>
                <c:pt idx="4676">
                  <c:v>6.7</c:v>
                </c:pt>
                <c:pt idx="4677">
                  <c:v>6.3</c:v>
                </c:pt>
                <c:pt idx="4678">
                  <c:v>8.1</c:v>
                </c:pt>
                <c:pt idx="4679">
                  <c:v>8.5</c:v>
                </c:pt>
                <c:pt idx="4680">
                  <c:v>7.7</c:v>
                </c:pt>
                <c:pt idx="4681">
                  <c:v>6.5</c:v>
                </c:pt>
                <c:pt idx="4682">
                  <c:v>8.6999999999999993</c:v>
                </c:pt>
                <c:pt idx="4683">
                  <c:v>6.5</c:v>
                </c:pt>
                <c:pt idx="4684">
                  <c:v>7</c:v>
                </c:pt>
                <c:pt idx="4685">
                  <c:v>5.5</c:v>
                </c:pt>
                <c:pt idx="4686">
                  <c:v>7</c:v>
                </c:pt>
                <c:pt idx="4687">
                  <c:v>6.3</c:v>
                </c:pt>
                <c:pt idx="4688">
                  <c:v>7.9</c:v>
                </c:pt>
                <c:pt idx="4689">
                  <c:v>7.3</c:v>
                </c:pt>
                <c:pt idx="4690">
                  <c:v>7.4</c:v>
                </c:pt>
                <c:pt idx="4691">
                  <c:v>5.4</c:v>
                </c:pt>
                <c:pt idx="4692">
                  <c:v>7.1</c:v>
                </c:pt>
                <c:pt idx="4693">
                  <c:v>8.4</c:v>
                </c:pt>
                <c:pt idx="4694">
                  <c:v>7</c:v>
                </c:pt>
                <c:pt idx="4695">
                  <c:v>5.3</c:v>
                </c:pt>
                <c:pt idx="4696">
                  <c:v>7.1</c:v>
                </c:pt>
                <c:pt idx="4697">
                  <c:v>7.5</c:v>
                </c:pt>
                <c:pt idx="4698">
                  <c:v>7.2</c:v>
                </c:pt>
                <c:pt idx="4699">
                  <c:v>6.7</c:v>
                </c:pt>
                <c:pt idx="4700">
                  <c:v>8.1999999999999993</c:v>
                </c:pt>
                <c:pt idx="4701">
                  <c:v>6.6</c:v>
                </c:pt>
                <c:pt idx="4702">
                  <c:v>6.7</c:v>
                </c:pt>
                <c:pt idx="4703">
                  <c:v>7</c:v>
                </c:pt>
                <c:pt idx="4704">
                  <c:v>7.4</c:v>
                </c:pt>
                <c:pt idx="4705">
                  <c:v>5.4</c:v>
                </c:pt>
                <c:pt idx="4706">
                  <c:v>5.7</c:v>
                </c:pt>
                <c:pt idx="4707">
                  <c:v>6.7</c:v>
                </c:pt>
                <c:pt idx="4708">
                  <c:v>4.2</c:v>
                </c:pt>
                <c:pt idx="4709">
                  <c:v>7.4</c:v>
                </c:pt>
                <c:pt idx="4710">
                  <c:v>7</c:v>
                </c:pt>
                <c:pt idx="4711">
                  <c:v>7.3</c:v>
                </c:pt>
                <c:pt idx="4712">
                  <c:v>5.8</c:v>
                </c:pt>
                <c:pt idx="4713">
                  <c:v>7</c:v>
                </c:pt>
                <c:pt idx="4714">
                  <c:v>3.2</c:v>
                </c:pt>
                <c:pt idx="4715">
                  <c:v>6.8</c:v>
                </c:pt>
                <c:pt idx="4716">
                  <c:v>7.7</c:v>
                </c:pt>
                <c:pt idx="4717">
                  <c:v>5.6</c:v>
                </c:pt>
                <c:pt idx="4718">
                  <c:v>7.1</c:v>
                </c:pt>
                <c:pt idx="4719">
                  <c:v>3.6</c:v>
                </c:pt>
                <c:pt idx="4720">
                  <c:v>6.8</c:v>
                </c:pt>
                <c:pt idx="4721">
                  <c:v>7.6</c:v>
                </c:pt>
                <c:pt idx="4722">
                  <c:v>8.3000000000000007</c:v>
                </c:pt>
                <c:pt idx="4723">
                  <c:v>7.5</c:v>
                </c:pt>
                <c:pt idx="4724">
                  <c:v>5.4</c:v>
                </c:pt>
                <c:pt idx="4725">
                  <c:v>5.3</c:v>
                </c:pt>
                <c:pt idx="4726">
                  <c:v>4.5</c:v>
                </c:pt>
                <c:pt idx="4727">
                  <c:v>7.3</c:v>
                </c:pt>
                <c:pt idx="4728">
                  <c:v>5.6</c:v>
                </c:pt>
                <c:pt idx="4729">
                  <c:v>5.6</c:v>
                </c:pt>
                <c:pt idx="4730">
                  <c:v>4.0999999999999996</c:v>
                </c:pt>
                <c:pt idx="4731">
                  <c:v>6.8</c:v>
                </c:pt>
                <c:pt idx="4732">
                  <c:v>6.3</c:v>
                </c:pt>
                <c:pt idx="4733">
                  <c:v>5.8</c:v>
                </c:pt>
                <c:pt idx="4734">
                  <c:v>6.6</c:v>
                </c:pt>
                <c:pt idx="4735">
                  <c:v>6.7</c:v>
                </c:pt>
                <c:pt idx="4736">
                  <c:v>6.4</c:v>
                </c:pt>
                <c:pt idx="4737">
                  <c:v>6.3</c:v>
                </c:pt>
                <c:pt idx="4738">
                  <c:v>3.4</c:v>
                </c:pt>
                <c:pt idx="4739">
                  <c:v>6</c:v>
                </c:pt>
                <c:pt idx="4740">
                  <c:v>7.3</c:v>
                </c:pt>
                <c:pt idx="4741">
                  <c:v>7.9</c:v>
                </c:pt>
                <c:pt idx="4742">
                  <c:v>6.1</c:v>
                </c:pt>
                <c:pt idx="4743">
                  <c:v>7.4</c:v>
                </c:pt>
                <c:pt idx="4744">
                  <c:v>6.6</c:v>
                </c:pt>
                <c:pt idx="4745">
                  <c:v>5.5</c:v>
                </c:pt>
                <c:pt idx="4746">
                  <c:v>7.5</c:v>
                </c:pt>
                <c:pt idx="4747">
                  <c:v>7.6</c:v>
                </c:pt>
                <c:pt idx="4748">
                  <c:v>5</c:v>
                </c:pt>
                <c:pt idx="4749">
                  <c:v>3.2</c:v>
                </c:pt>
                <c:pt idx="4750">
                  <c:v>8.1999999999999993</c:v>
                </c:pt>
                <c:pt idx="4751">
                  <c:v>3.7</c:v>
                </c:pt>
                <c:pt idx="4752">
                  <c:v>6.3</c:v>
                </c:pt>
                <c:pt idx="4753">
                  <c:v>4.0999999999999996</c:v>
                </c:pt>
                <c:pt idx="4754">
                  <c:v>6.9</c:v>
                </c:pt>
                <c:pt idx="4755">
                  <c:v>5.4</c:v>
                </c:pt>
                <c:pt idx="4756">
                  <c:v>6.5</c:v>
                </c:pt>
                <c:pt idx="4757">
                  <c:v>7.8</c:v>
                </c:pt>
                <c:pt idx="4758">
                  <c:v>6.7</c:v>
                </c:pt>
                <c:pt idx="4759">
                  <c:v>6.4</c:v>
                </c:pt>
                <c:pt idx="4760">
                  <c:v>7.3</c:v>
                </c:pt>
                <c:pt idx="4761">
                  <c:v>7</c:v>
                </c:pt>
                <c:pt idx="4762">
                  <c:v>6.3</c:v>
                </c:pt>
                <c:pt idx="4763">
                  <c:v>7.1</c:v>
                </c:pt>
                <c:pt idx="4764">
                  <c:v>4.8</c:v>
                </c:pt>
                <c:pt idx="4765">
                  <c:v>3.3</c:v>
                </c:pt>
                <c:pt idx="4766">
                  <c:v>6.9</c:v>
                </c:pt>
                <c:pt idx="4767">
                  <c:v>4.5999999999999996</c:v>
                </c:pt>
                <c:pt idx="4768">
                  <c:v>3</c:v>
                </c:pt>
                <c:pt idx="4769">
                  <c:v>6.6</c:v>
                </c:pt>
                <c:pt idx="4770">
                  <c:v>7.4</c:v>
                </c:pt>
                <c:pt idx="4771">
                  <c:v>6.2</c:v>
                </c:pt>
                <c:pt idx="4772">
                  <c:v>4</c:v>
                </c:pt>
                <c:pt idx="4773">
                  <c:v>6.1</c:v>
                </c:pt>
                <c:pt idx="4774">
                  <c:v>6.9</c:v>
                </c:pt>
                <c:pt idx="4775">
                  <c:v>7.5</c:v>
                </c:pt>
                <c:pt idx="4776">
                  <c:v>6.7</c:v>
                </c:pt>
                <c:pt idx="4777">
                  <c:v>7.4</c:v>
                </c:pt>
                <c:pt idx="4778">
                  <c:v>6.1</c:v>
                </c:pt>
                <c:pt idx="4779">
                  <c:v>5.4</c:v>
                </c:pt>
                <c:pt idx="4780">
                  <c:v>6.4</c:v>
                </c:pt>
                <c:pt idx="4781">
                  <c:v>7</c:v>
                </c:pt>
                <c:pt idx="4782">
                  <c:v>6.3</c:v>
                </c:pt>
                <c:pt idx="4783">
                  <c:v>6.9</c:v>
                </c:pt>
                <c:pt idx="4784">
                  <c:v>7.8</c:v>
                </c:pt>
                <c:pt idx="4785">
                  <c:v>6.4</c:v>
                </c:pt>
                <c:pt idx="4786">
                  <c:v>7.7</c:v>
                </c:pt>
                <c:pt idx="4787">
                  <c:v>6.3</c:v>
                </c:pt>
                <c:pt idx="4788">
                  <c:v>6.3</c:v>
                </c:pt>
                <c:pt idx="4789">
                  <c:v>6.6</c:v>
                </c:pt>
              </c:numCache>
            </c:numRef>
          </c:yVal>
          <c:smooth val="0"/>
          <c:extLst>
            <c:ext xmlns:c16="http://schemas.microsoft.com/office/drawing/2014/chart" uri="{C3380CC4-5D6E-409C-BE32-E72D297353CC}">
              <c16:uniqueId val="{00000000-8CFE-0D43-A611-AB45EA2E85C2}"/>
            </c:ext>
          </c:extLst>
        </c:ser>
        <c:dLbls>
          <c:showLegendKey val="0"/>
          <c:showVal val="0"/>
          <c:showCatName val="0"/>
          <c:showSerName val="0"/>
          <c:showPercent val="0"/>
          <c:showBubbleSize val="0"/>
        </c:dLbls>
        <c:axId val="2027094463"/>
        <c:axId val="2027108351"/>
      </c:scatterChart>
      <c:valAx>
        <c:axId val="2027094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Avenir Medium" panose="02000503020000020003" pitchFamily="2" charset="0"/>
                    <a:ea typeface="+mn-ea"/>
                    <a:cs typeface="+mn-cs"/>
                  </a:defRPr>
                </a:pPr>
                <a:r>
                  <a:rPr lang="en-US" b="1" i="0">
                    <a:latin typeface="Avenir Medium" panose="02000503020000020003" pitchFamily="2" charset="0"/>
                  </a:rPr>
                  <a:t>Duration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Avenir Medium" panose="02000503020000020003"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027108351"/>
        <c:crosses val="autoZero"/>
        <c:crossBetween val="midCat"/>
      </c:valAx>
      <c:valAx>
        <c:axId val="2027108351"/>
        <c:scaling>
          <c:orientation val="minMax"/>
          <c:max val="10"/>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Avenir Medium" panose="02000503020000020003" pitchFamily="2" charset="0"/>
                    <a:ea typeface="+mn-ea"/>
                    <a:cs typeface="+mn-cs"/>
                  </a:defRPr>
                </a:pPr>
                <a:r>
                  <a:rPr lang="en-US" b="1" i="0">
                    <a:latin typeface="Avenir Medium" panose="02000503020000020003" pitchFamily="2" charset="0"/>
                  </a:rPr>
                  <a:t>IMDB SCORE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Avenir Medium" panose="02000503020000020003"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09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Ayuthaya" pitchFamily="2" charset="-34"/>
                <a:ea typeface="Ayuthaya" pitchFamily="2" charset="-34"/>
                <a:cs typeface="Ayuthaya" pitchFamily="2" charset="-34"/>
              </a:defRPr>
            </a:pPr>
            <a:r>
              <a:rPr lang="en-US">
                <a:latin typeface="Ayuthaya" pitchFamily="2" charset="-34"/>
                <a:ea typeface="Ayuthaya" pitchFamily="2" charset="-34"/>
                <a:cs typeface="Ayuthaya" pitchFamily="2" charset="-34"/>
              </a:rPr>
              <a:t>TOP 5 DIRECTORS BASED ON AVG</a:t>
            </a:r>
            <a:r>
              <a:rPr lang="en-US" baseline="0">
                <a:latin typeface="Ayuthaya" pitchFamily="2" charset="-34"/>
                <a:ea typeface="Ayuthaya" pitchFamily="2" charset="-34"/>
                <a:cs typeface="Ayuthaya" pitchFamily="2" charset="-34"/>
              </a:rPr>
              <a:t> </a:t>
            </a:r>
            <a:r>
              <a:rPr lang="en-US">
                <a:latin typeface="Ayuthaya" pitchFamily="2" charset="-34"/>
                <a:ea typeface="Ayuthaya" pitchFamily="2" charset="-34"/>
                <a:cs typeface="Ayuthaya" pitchFamily="2" charset="-34"/>
              </a:rPr>
              <a:t>IMDB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yuthaya" pitchFamily="2" charset="-34"/>
              <a:ea typeface="Ayuthaya" pitchFamily="2" charset="-34"/>
              <a:cs typeface="Ayuthaya" pitchFamily="2" charset="-34"/>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Avenir Medium" panose="02000503020000020003" pitchFamily="2" charset="0"/>
                    <a:ea typeface="Verdana" panose="020B0604030504040204" pitchFamily="34" charset="0"/>
                    <a:cs typeface="Verdana" panose="020B060403050404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 Analysis'!$E$4:$E$8</c:f>
              <c:strCache>
                <c:ptCount val="5"/>
                <c:pt idx="0">
                  <c:v>John Blanchard</c:v>
                </c:pt>
                <c:pt idx="1">
                  <c:v>Cary Bell</c:v>
                </c:pt>
                <c:pt idx="2">
                  <c:v>Mitchell Altieri</c:v>
                </c:pt>
                <c:pt idx="3">
                  <c:v>Sadyk Sher-Niyaz</c:v>
                </c:pt>
                <c:pt idx="4">
                  <c:v>Charles Chaplin</c:v>
                </c:pt>
              </c:strCache>
            </c:strRef>
          </c:cat>
          <c:val>
            <c:numRef>
              <c:f>'Director Analysis'!$F$4:$F$8</c:f>
              <c:numCache>
                <c:formatCode>0.0</c:formatCode>
                <c:ptCount val="5"/>
                <c:pt idx="0">
                  <c:v>9.5</c:v>
                </c:pt>
                <c:pt idx="1">
                  <c:v>8.6999999999999993</c:v>
                </c:pt>
                <c:pt idx="2">
                  <c:v>8.6999999999999993</c:v>
                </c:pt>
                <c:pt idx="3">
                  <c:v>8.6999999999999993</c:v>
                </c:pt>
                <c:pt idx="4">
                  <c:v>8.6</c:v>
                </c:pt>
              </c:numCache>
            </c:numRef>
          </c:val>
          <c:extLst>
            <c:ext xmlns:c16="http://schemas.microsoft.com/office/drawing/2014/chart" uri="{C3380CC4-5D6E-409C-BE32-E72D297353CC}">
              <c16:uniqueId val="{00000000-AD6F-FF48-9DF8-D629B66848EC}"/>
            </c:ext>
          </c:extLst>
        </c:ser>
        <c:dLbls>
          <c:dLblPos val="inEnd"/>
          <c:showLegendKey val="0"/>
          <c:showVal val="1"/>
          <c:showCatName val="0"/>
          <c:showSerName val="0"/>
          <c:showPercent val="0"/>
          <c:showBubbleSize val="0"/>
        </c:dLbls>
        <c:gapWidth val="100"/>
        <c:overlap val="-24"/>
        <c:axId val="1356847231"/>
        <c:axId val="1356849023"/>
      </c:barChart>
      <c:catAx>
        <c:axId val="1356847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yuthaya" pitchFamily="2" charset="-34"/>
                <a:ea typeface="Ayuthaya" pitchFamily="2" charset="-34"/>
                <a:cs typeface="Ayuthaya" pitchFamily="2" charset="-34"/>
              </a:defRPr>
            </a:pPr>
            <a:endParaRPr lang="en-US"/>
          </a:p>
        </c:txPr>
        <c:crossAx val="1356849023"/>
        <c:crosses val="autoZero"/>
        <c:auto val="1"/>
        <c:lblAlgn val="ctr"/>
        <c:lblOffset val="100"/>
        <c:noMultiLvlLbl val="0"/>
      </c:catAx>
      <c:valAx>
        <c:axId val="1356849023"/>
        <c:scaling>
          <c:orientation val="minMax"/>
          <c:max val="9.5"/>
        </c:scaling>
        <c:delete val="1"/>
        <c:axPos val="l"/>
        <c:numFmt formatCode="0.0" sourceLinked="1"/>
        <c:majorTickMark val="none"/>
        <c:minorTickMark val="none"/>
        <c:tickLblPos val="nextTo"/>
        <c:crossAx val="135684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1015563</xdr:colOff>
      <xdr:row>3</xdr:row>
      <xdr:rowOff>253562</xdr:rowOff>
    </xdr:from>
    <xdr:to>
      <xdr:col>11</xdr:col>
      <xdr:colOff>151087</xdr:colOff>
      <xdr:row>15</xdr:row>
      <xdr:rowOff>219075</xdr:rowOff>
    </xdr:to>
    <mc:AlternateContent xmlns:mc="http://schemas.openxmlformats.org/markup-compatibility/2006">
      <mc:Choice xmlns:sle15="http://schemas.microsoft.com/office/drawing/2012/slicer" Requires="sle15">
        <xdr:graphicFrame macro="">
          <xdr:nvGraphicFramePr>
            <xdr:cNvPr id="3" name="Language">
              <a:extLst>
                <a:ext uri="{FF2B5EF4-FFF2-40B4-BE49-F238E27FC236}">
                  <a16:creationId xmlns:a16="http://schemas.microsoft.com/office/drawing/2014/main" id="{6F9F65C1-0695-9DBF-CB39-2C00825EFFDC}"/>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17700735" y="1107528"/>
              <a:ext cx="1828800" cy="3381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32253</xdr:colOff>
      <xdr:row>1</xdr:row>
      <xdr:rowOff>262064</xdr:rowOff>
    </xdr:from>
    <xdr:to>
      <xdr:col>18</xdr:col>
      <xdr:colOff>1048253</xdr:colOff>
      <xdr:row>21</xdr:row>
      <xdr:rowOff>40316</xdr:rowOff>
    </xdr:to>
    <xdr:graphicFrame macro="">
      <xdr:nvGraphicFramePr>
        <xdr:cNvPr id="3" name="Chart 2">
          <a:extLst>
            <a:ext uri="{FF2B5EF4-FFF2-40B4-BE49-F238E27FC236}">
              <a16:creationId xmlns:a16="http://schemas.microsoft.com/office/drawing/2014/main" id="{924C87B2-27C7-761D-0328-BE745C36C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740833</xdr:colOff>
      <xdr:row>4898</xdr:row>
      <xdr:rowOff>16933</xdr:rowOff>
    </xdr:from>
    <xdr:to>
      <xdr:col>9</xdr:col>
      <xdr:colOff>994833</xdr:colOff>
      <xdr:row>4907</xdr:row>
      <xdr:rowOff>245533</xdr:rowOff>
    </xdr:to>
    <xdr:graphicFrame macro="">
      <xdr:nvGraphicFramePr>
        <xdr:cNvPr id="2" name="Chart 1">
          <a:extLst>
            <a:ext uri="{FF2B5EF4-FFF2-40B4-BE49-F238E27FC236}">
              <a16:creationId xmlns:a16="http://schemas.microsoft.com/office/drawing/2014/main" id="{D1C4B735-F300-8EA4-2B9E-0E8116B8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1031521</xdr:colOff>
      <xdr:row>2</xdr:row>
      <xdr:rowOff>706</xdr:rowOff>
    </xdr:from>
    <xdr:to>
      <xdr:col>8</xdr:col>
      <xdr:colOff>84666</xdr:colOff>
      <xdr:row>14</xdr:row>
      <xdr:rowOff>276578</xdr:rowOff>
    </xdr:to>
    <xdr:graphicFrame macro="">
      <xdr:nvGraphicFramePr>
        <xdr:cNvPr id="3" name="Chart 2">
          <a:extLst>
            <a:ext uri="{FF2B5EF4-FFF2-40B4-BE49-F238E27FC236}">
              <a16:creationId xmlns:a16="http://schemas.microsoft.com/office/drawing/2014/main" id="{81DA7807-CAA2-C8FF-329B-822BB51B0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18562</xdr:colOff>
      <xdr:row>5</xdr:row>
      <xdr:rowOff>39076</xdr:rowOff>
    </xdr:from>
    <xdr:to>
      <xdr:col>14</xdr:col>
      <xdr:colOff>5862</xdr:colOff>
      <xdr:row>21</xdr:row>
      <xdr:rowOff>57727</xdr:rowOff>
    </xdr:to>
    <xdr:graphicFrame macro="">
      <xdr:nvGraphicFramePr>
        <xdr:cNvPr id="2" name="Chart 1">
          <a:extLst>
            <a:ext uri="{FF2B5EF4-FFF2-40B4-BE49-F238E27FC236}">
              <a16:creationId xmlns:a16="http://schemas.microsoft.com/office/drawing/2014/main" id="{7A5DA24B-13D2-1AB3-A487-AD16AC7F2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UTOSH NAYAKWADI" refreshedDate="46136.84864837963" createdVersion="8" refreshedVersion="8" minRefreshableVersion="3" recordCount="4790" xr:uid="{A0FF9BCC-5403-A742-BB6C-E8A5355AC6FD}">
  <cacheSource type="worksheet">
    <worksheetSource ref="A1:H4791" sheet="IMDB_Movies"/>
  </cacheSource>
  <cacheFields count="8">
    <cacheField name="Movie Name" numFmtId="0">
      <sharedItems/>
    </cacheField>
    <cacheField name="Director" numFmtId="0">
      <sharedItems count="2381">
        <s v="James Cameron"/>
        <s v="Gore Verbinski"/>
        <s v="Sam Mendes"/>
        <s v="Christopher Nolan"/>
        <s v="Andrew Stanton"/>
        <s v="Sam Raimi"/>
        <s v="Nathan Greno"/>
        <s v="Joss Whedon"/>
        <s v="David Yates"/>
        <s v="Zack Snyder"/>
        <s v="Bryan Singer"/>
        <s v="Marc Forster"/>
        <s v="Andrew Adamson"/>
        <s v="Rob Marshall"/>
        <s v="Barry Sonnenfeld"/>
        <s v="Peter Jackson"/>
        <s v="Marc Webb"/>
        <s v="Ridley Scott"/>
        <s v="Chris Weitz"/>
        <s v="Anthony Russo"/>
        <s v="Peter Berg"/>
        <s v="Colin Trevorrow"/>
        <s v="Shane Black"/>
        <s v="Tim Burton"/>
        <s v="Brett Ratner"/>
        <s v="Dan Scanlon"/>
        <s v="Michael Bay"/>
        <s v="Joseph Kosinski"/>
        <s v="John Lasseter"/>
        <s v="Martin Campbell"/>
        <s v="Lee Unkrich"/>
        <s v="Mcg"/>
        <s v="James Wan"/>
        <s v="J.J. Abrams"/>
        <s v="Baz Luhrmann"/>
        <s v="Mike Newell"/>
        <s v="Guillermo Del Toro"/>
        <s v="Steven Spielberg"/>
        <s v="Peter Sohn"/>
        <s v="Mark Andrews"/>
        <s v="Justin Lin"/>
        <s v="Roland Emmerich"/>
        <s v="Robert Zemeckis"/>
        <s v="Lana Wachowski"/>
        <s v="Pete Docter"/>
        <s v="Rob Letterman"/>
        <s v="Jon Favreau"/>
        <s v="Martin Scorsese"/>
        <s v="Rob Cohen"/>
        <s v="David Ayer"/>
        <s v="Tom Shadyac"/>
        <s v="Doug Liman"/>
        <s v="Kevin Reynolds"/>
        <s v="Stephen Sommers"/>
        <s v="Rupert Sanders"/>
        <s v="Robert Stromberg"/>
        <s v="Matt Reeves"/>
        <s v="Roland Joffé"/>
        <s v="Carl Rinsch"/>
        <s v="Mike Mitchell"/>
        <s v="Brad Bird"/>
        <s v="Don Hall"/>
        <s v="Rich Moore"/>
        <s v="Dean Deblois"/>
        <s v="Jonathan Mostow"/>
        <s v="James Gunn"/>
        <s v="Hideaki Anno"/>
        <s v="David Fincher"/>
        <s v="Matthew Vaughn"/>
        <s v="Francis Lawrence"/>
        <s v="Jon Turteltaub"/>
        <s v="Wolfgang Petersen"/>
        <s v="James Bobin"/>
        <s v="Chris Miller"/>
        <s v="Duncan Jones"/>
        <s v="Alan Taylor"/>
        <s v="Michael Apted"/>
        <s v="Oliver Stone"/>
        <s v="Eric Darnell"/>
        <s v="Shawn Levy"/>
        <s v="Gavin Hood"/>
        <s v="Chris Buck"/>
        <s v="George Miller"/>
        <s v="Ron Howard"/>
        <s v="Kenneth Branagh"/>
        <s v="Byron Howard"/>
        <s v="Hoyt Yeatman"/>
        <s v="Jonathan Liebesman"/>
        <s v="Christopher Mcquarrie"/>
        <s v="Joe Johnston"/>
        <s v="Steve Hickner"/>
        <s v="Jennifer Yuh Nelson"/>
        <s v="M. Night Shyamalan"/>
        <s v="Simon Wells"/>
        <s v="David Bowers"/>
        <s v="Joe Wright"/>
        <s v="Rob Minkoff"/>
        <s v="Lee Tamahori"/>
        <s v="Paul Feig"/>
        <s v="Alessandro Carloni"/>
        <s v="Peter Ramsey"/>
        <s v="Dean Parisot"/>
        <s v="Edward Zwick"/>
        <s v="Alex Proyas"/>
        <s v="Richard Donner"/>
        <s v="Ang Lee"/>
        <s v="Jon M. Chu"/>
        <s v="Breck Eisner"/>
        <s v="Hironobu Sakaguchi"/>
        <s v="Peter Weir"/>
        <s v="Bill Condon"/>
        <s v="Louis Leterrier"/>
        <s v="Alejandro G. Iñárritu"/>
        <s v="David Soren"/>
        <s v="Paul Greengrass"/>
        <s v="Mark Osborne"/>
        <s v="Peyton Reed"/>
        <s v="Tim Johnson"/>
        <s v="Phillip Noyce"/>
        <s v="Darren Aronofsky"/>
        <s v="Alfonso Cuarón"/>
        <s v="Eric Leighton"/>
        <s v="Tom Mcgrath"/>
        <s v="Chris Columbus"/>
        <s v="Robert Schwentke"/>
        <s v="Carlos Saldanha"/>
        <s v="Guy Ritchie"/>
        <s v="Paul Verhoeven"/>
        <s v="John Mctiernan"/>
        <s v="Tony Gilroy"/>
        <s v="Joel Schumacher"/>
        <s v="John Woo"/>
        <s v="Tim Story"/>
        <s v="Mark Steven Johnson"/>
        <s v="Neill Blomkamp"/>
        <s v="David Twohy"/>
        <s v="José Padilha"/>
        <s v="James L. Brooks"/>
        <s v="James Mangold"/>
        <s v="George Lucas"/>
        <s v="Kirk De Micco"/>
        <s v="Frédéric Forestier"/>
        <s v="Cedric Nicolas-Troyan"/>
        <s v="Roger Donaldson"/>
        <s v="Dave Green"/>
        <s v="Josh Trank"/>
        <s v="Brad Peyton"/>
        <s v="Roger Spottiswoode"/>
        <s v="Steven Soderbergh"/>
        <s v="Michel Gondry"/>
        <s v="Noam Murro"/>
        <s v="Raja Gosnell"/>
        <s v="Will Finn"/>
        <s v="Jan De Bont"/>
        <s v="Len Wiseman"/>
        <s v="Frank Coraci"/>
        <s v="Michael Mann"/>
        <s v="Bo Welch"/>
        <s v="Ron Clements"/>
        <s v="Peter Chelsom"/>
        <s v="Dominic Sena"/>
        <s v="Tony Scott"/>
        <s v="Paul Weitz"/>
        <s v="Adam Mckay"/>
        <s v="Chuck Russell"/>
        <s v="Quentin Tarantino"/>
        <s v="Gary Trousdale"/>
        <s v="Mark Dindal"/>
        <s v="Simon West"/>
        <s v="Stefen Fangmeier"/>
        <s v="Spike Jonze"/>
        <s v="Chris Wedge"/>
        <s v="Florian Henckel Von Donnersmarck"/>
        <s v="Peter Hyams"/>
        <s v="Tom Tykwer"/>
        <s v="Pitof"/>
        <s v="Brad Silberling"/>
        <s v="Patrick Hughes"/>
        <s v="Ericson Core"/>
        <s v="Lawrence Guterman"/>
        <s v="Ron Underwood"/>
        <s v="Steve Martino"/>
        <s v="David Mamet"/>
        <s v="Yimou Zhang"/>
        <s v="Ash Brannon"/>
        <s v="Frank Oz"/>
        <s v="Jay Roach"/>
        <s v="Luc Besson"/>
        <s v="Michael Patrick King"/>
        <s v="Bibo Bergeron"/>
        <s v="Sergey Bodrov"/>
        <s v="Wally Pfister"/>
        <s v="Rupert Wyatt"/>
        <s v="Mark Waters"/>
        <s v="John Moore"/>
        <s v="John Lee Hancock"/>
        <s v="Renny Harlin"/>
        <s v="Phil Lord"/>
        <s v="Ben Stiller"/>
        <s v="Tony Bancroft"/>
        <s v="Timur Bekmambetov"/>
        <s v="Walt Becker"/>
        <s v="Dennis Dugan"/>
        <s v="Sydney Pollack"/>
        <s v="Thor Freudenthal"/>
        <s v="Brian De Palma"/>
        <s v="Mick Jackson"/>
        <s v="Alan J. Pakula"/>
        <s v="Kathryn Bigelow"/>
        <s v="John Milius"/>
        <s v="Andrey Konchalovskiy"/>
        <s v="Gary Ross"/>
        <s v="Paul W.S. Anderson"/>
        <s v="Genndy Tartakovsky"/>
        <s v="Kevin Lima"/>
        <s v="Daniel Espinosa"/>
        <s v="Nancy Meyers"/>
        <s v="Roger Allers"/>
        <s v="Neil Burger"/>
        <s v="Jean-Jacques Annaud"/>
        <s v="Sarah Smith"/>
        <s v="Martin Brest"/>
        <s v="Andrew Davis"/>
        <s v="Bob Fosse"/>
        <s v="Tarsem Singh"/>
        <s v="Edgar Wright"/>
        <s v="Jon Amiel"/>
        <s v="Peter Segal"/>
        <s v="Pete Travis"/>
        <s v="George A. Romero"/>
        <s v="Sylvester Stallone"/>
        <s v="Todd Phillips"/>
        <s v="Gary Winick"/>
        <s v="Mimi Leder"/>
        <s v="Seth Gordon"/>
        <s v="Adam Shankman"/>
        <s v="D.J. Caruso"/>
        <s v="Anthony Minghella"/>
        <s v="Albert Hughes"/>
        <s v="Les Mayfield"/>
        <s v="Joe Pytka"/>
        <s v="Scott Derrickson"/>
        <s v="Ivan Reitman"/>
        <s v="Eric Brevig"/>
        <s v="Kelly Asbury"/>
        <s v="Stephen Hopkins"/>
        <s v="Jonathan Demme"/>
        <s v="Henry Jaglom"/>
        <s v="James Algar"/>
        <s v="Vincent Ward"/>
        <s v="Steven Brill"/>
        <s v="Terry Gilliam"/>
        <s v="Lucile Hadzihalilovic"/>
        <s v="Barry Cook"/>
        <s v="Roger Christian"/>
        <s v="Joe Dante"/>
        <s v="Kevin Costner"/>
        <s v="Antony Hoffman"/>
        <s v="Jacques Perrin"/>
        <s v="Andrés Couturier"/>
        <s v="Cody Cameron"/>
        <s v="John Singleton"/>
        <s v="Oliver Hirschbiegel"/>
        <s v="Des Mcanuff"/>
        <s v="Yarrow Cheney"/>
        <s v="Stephen Norrington"/>
        <s v="Pierre Coffin"/>
        <s v="David Kellogg"/>
        <s v="Mike Nichols"/>
        <s v="F. Gary Gray"/>
        <s v="Antoine Fuqua"/>
        <s v="Robert Luketic"/>
        <s v="Gil Kenan"/>
        <s v="Barry Levinson"/>
        <s v="Jerry Zucker"/>
        <s v="Andy Tennant"/>
        <s v="Florent-Emilio Siri"/>
        <s v="Don Bluth"/>
        <s v="Ron Shelton"/>
        <s v="David Pastor"/>
        <s v="Henry Selick"/>
        <s v="Kyle Balda"/>
        <s v="Clay Kaytis"/>
        <s v="Judd Apatow"/>
        <s v="Steve Carr"/>
        <s v="Mel Gibson"/>
        <s v="David Silverman"/>
        <s v="Frank Darabont"/>
        <s v="Betty Thomas"/>
        <s v="Garry Marshall"/>
        <s v="Paul Tibbitt"/>
        <s v="Clark Johnson"/>
        <s v="Cameron Crowe"/>
        <s v="Randall Wallace"/>
        <s v="Jonathan Frakes"/>
        <s v="George Clooney"/>
        <s v="Gary Shore"/>
        <s v="Andrzej Bartkowiak"/>
        <s v="Måns Mårlind"/>
        <s v="Gregory Hoblit"/>
        <s v="Gary Mckendry"/>
        <s v="Wych Kaosayananda"/>
        <s v="Mikael Salomon"/>
        <s v="Bobby Farrelly"/>
        <s v="Kerry Conran"/>
        <s v="Michael Caton-Jones"/>
        <s v="Mikael Håfström"/>
        <s v="Phil Alden Robinson"/>
        <s v="David Slade"/>
        <s v="Joseph Ruben"/>
        <s v="Seth Macfarlane"/>
        <s v="Alejandro Amenábar"/>
        <s v="Kinka Usher"/>
        <s v="Craig Gillespie"/>
        <s v="Rob Bowman"/>
        <s v="Doug Lefler"/>
        <s v="Scott Waugh"/>
        <s v="Lawrence Kasdan"/>
        <s v="Michael Lembeck"/>
        <s v="Tom Hooper"/>
        <s v="Nora Ephron"/>
        <s v="Angelina Jolie Pitt"/>
        <s v="Clint Eastwood"/>
        <s v="Larry Charles"/>
        <s v="Stanley Kubrick"/>
        <s v="Will Gluck"/>
        <s v="Glenn Ficarra"/>
        <s v="David S. Goyer"/>
        <s v="Taylor Hackford"/>
        <s v="Michael Lehmann"/>
        <s v="Stuart Beattie"/>
        <s v="Roman Polanski"/>
        <s v="Frank Miller"/>
        <s v="Baltasar Kormákur"/>
        <s v="Daniel Lee"/>
        <s v="Keenen Ivory Wayans"/>
        <s v="Rob Reiner"/>
        <s v="Marco Schnabel"/>
        <s v="Demian Lichtenstein"/>
        <s v="Josh Gordon"/>
        <s v="Tim Hill"/>
        <s v="David Frankel"/>
        <s v="Brenda Chapman"/>
        <s v="Marc Lawrence"/>
        <s v="Peter Billingsley"/>
        <s v="Wes Ball"/>
        <s v="Ryan Murphy"/>
        <s v="Robert Redford"/>
        <s v="Jay Russell"/>
        <s v="Kenny Ortega"/>
        <s v="David Mcnally"/>
        <s v="Brian Robbins"/>
        <s v="Brian Levant"/>
        <s v="Steven Zaillian"/>
        <s v="Chris Butler"/>
        <s v="Jon Avnet"/>
        <s v="Sam Fell"/>
        <s v="Kevin Donovan"/>
        <s v="Geoff Murphy"/>
        <s v="David O. Russell"/>
        <s v="Babak Najafi"/>
        <s v="Jean-Pierre Jeunet"/>
        <s v="Graham Annable"/>
        <s v="Griffin Dunne"/>
        <s v="John Pasquin"/>
        <s v="Ruben Fleischer"/>
        <s v="Harold Ramis"/>
        <s v="Kevin Macdonald"/>
        <s v="Donald Petrie"/>
        <s v="Jorge Blanco"/>
        <s v="Stuart Baird"/>
        <s v="Joel Coen"/>
        <s v="Robert Lorenz"/>
        <s v="Harold Becker"/>
        <s v="Scott Stewart"/>
        <s v="Patrick Gilmore"/>
        <s v="Tony Bill"/>
        <s v="Rod Lurie"/>
        <s v="Walter Hill"/>
        <s v="Akiva Goldsman"/>
        <s v="Harald Zwart"/>
        <s v="Walter Salles"/>
        <s v="Iain Softley"/>
        <s v="David Koepp"/>
        <s v="Uwe Boll"/>
        <s v="Pou-Soi Cheang"/>
        <s v="John Dahl"/>
        <s v="Tim Miller"/>
        <s v="Stephen Herek"/>
        <s v="Peter Macdonald"/>
        <s v="Anthony Hemingway"/>
        <s v="Sean Anders"/>
        <s v="Mark Neveldine"/>
        <s v="John Madden"/>
        <s v="Kevin Bray"/>
        <s v="Mike Gabriel"/>
        <s v="Sam Weisman"/>
        <s v="Jesse Dylan"/>
        <s v="Wayne Wang"/>
        <s v="Gabriele Muccino"/>
        <s v="Tom Dey"/>
        <s v="Jimmy Hayward"/>
        <s v="Alan Parker"/>
        <s v="John Frankenheimer"/>
        <s v="Paul King"/>
        <s v="Akiva Schaffer"/>
        <s v="William Friedkin"/>
        <s v="Kent Alterman"/>
        <s v="Peter Lord"/>
        <s v="Shekhar Kapur"/>
        <s v="Karyn Kusama"/>
        <s v="Ron Maxwell"/>
        <s v="Robert Butler"/>
        <s v="Karey Kirkpatrick"/>
        <s v="Steve Antin"/>
        <s v="Jim Gillespie"/>
        <s v="Francis Ford Coppola"/>
        <s v="Richard Lester"/>
        <s v="Scott Cooper"/>
        <s v="Robert Rodriguez"/>
        <s v="Curtis Hanson"/>
        <s v="Phyllida Lloyd"/>
        <s v="Jay Chandrasekhar"/>
        <s v="Terrence Malick"/>
        <s v="David Dobkin"/>
        <s v="Milos Forman"/>
        <s v="Pierre Morel"/>
        <s v="Paul Hunter"/>
        <s v="Steve Oedekerk"/>
        <s v="John Whitesell"/>
        <s v="George Nolfi"/>
        <s v="Neil Jordan"/>
        <s v="Rawson Marshall Thurber"/>
        <s v="Spike Lee"/>
        <s v="Brian Helgeland"/>
        <s v="Frank Marshall"/>
        <s v="Hideo Nakata"/>
        <s v="Peter Hewitt"/>
        <s v="Joe Roth"/>
        <s v="Bennett Miller"/>
        <s v="Jaume Collet-Serra"/>
        <s v="Andy Fickman"/>
        <s v="James Mcteigue"/>
        <s v="Matthew O'Callaghan"/>
        <s v="Angela Robinson"/>
        <s v="Gary Fleder"/>
        <s v="Tommy Wirkola"/>
        <s v="Adrian Lyne"/>
        <s v="Stephen Gaghan"/>
        <s v="Jorge R. Gutiérrez"/>
        <s v="Richard Loncraine"/>
        <s v="Christophe Gans"/>
        <s v="Howard Deutch"/>
        <s v="Jon Hurwitz"/>
        <s v="Steven Quale"/>
        <s v="John Landis"/>
        <s v="Alexander Witt"/>
        <s v="Beeban Kidron"/>
        <s v="Carl Franklin"/>
        <s v="Steven Seagal"/>
        <s v="Danny Boyle"/>
        <s v="Andrew Bergman"/>
        <s v="Barbet Schroeder"/>
        <s v="Peter Webber"/>
        <s v="Andrew Niccol"/>
        <s v="John Carpenter"/>
        <s v="Wes Anderson"/>
        <s v="David Cronenberg"/>
        <s v="John Stockwell"/>
        <s v="David Gordon Green"/>
        <s v="Jim Sheridan"/>
        <s v="Costa-Gavras"/>
        <s v="Patrick Read Johnson"/>
        <s v="Richard Lagravenese"/>
        <s v="Danny Devito"/>
        <s v="George Armitage"/>
        <s v="Patrick Lussier"/>
        <s v="James Wong"/>
        <s v="Richard Curtis"/>
        <s v="Chuck Bowman"/>
        <s v="Olivier Megaton"/>
        <s v="Deepa Mehta"/>
        <s v="Warren Beatty"/>
        <s v="Penny Marshall"/>
        <s v="Ted Kotcheff"/>
        <s v="Andrei Tarkovsky"/>
        <s v="Paul Bolger"/>
        <s v="Stephen Frears"/>
        <s v="P.J. Hogan"/>
        <s v="Brad Furman"/>
        <s v="Terence Young"/>
        <s v="David Zucker"/>
        <s v="Denis Villeneuve"/>
        <s v="Thomas Carter"/>
        <s v="Roger Michell"/>
        <s v="Luis Llosa"/>
        <s v="Melville Shavelson"/>
        <s v="Garth Jennings"/>
        <s v="Joel Zwick"/>
        <s v="Russell Mulcahy"/>
        <s v="David R. Ellis"/>
        <s v="Peter Howitt"/>
        <s v="John A. Davis"/>
        <s v="David Lynch"/>
        <s v="Julie Taymor"/>
        <s v="Mathieu Kassovitz"/>
        <s v="John Gray"/>
        <s v="John Schultz"/>
        <s v="Sean Penn"/>
        <s v="Susan Stroman"/>
        <s v="Simon Wincer"/>
        <s v="Billy Bob Thornton"/>
        <s v="Danny Pang"/>
        <s v="George P. Cosmatos"/>
        <s v="Oliver Parker"/>
        <s v="Lawrence Kasanoff"/>
        <s v="Ben Affleck"/>
        <s v="Brian Gibson"/>
        <s v="Norman Ferguson"/>
        <s v="Michael Cimino"/>
        <s v="Paul Mcguigan"/>
        <s v="Gus Van Sant"/>
        <s v="Roger Kumble"/>
        <s v="Burr Steers"/>
        <s v="John Hamburg"/>
        <s v="Reginald Hudlin"/>
        <s v="Joseph L. Mankiewicz"/>
        <s v="Barbra Streisand"/>
        <s v="Mark Pellington"/>
        <s v="John Glen"/>
        <s v="Catherine Hardwicke"/>
        <s v="John Herzfeld"/>
        <s v="Annabel Jankel"/>
        <s v="Julie Anne Robinson"/>
        <s v="Evan Goldberg"/>
        <s v="Sngmoo Lee"/>
        <s v="Jamel Debbouze"/>
        <s v="Gordon Chan"/>
        <s v="Asger Leth"/>
        <s v="John G. Avildsen"/>
        <s v="Anne Fletcher"/>
        <s v="Bruce Beresford"/>
        <s v="Sam Taylor-Johnson"/>
        <s v="Ken Kwapis"/>
        <s v="Wes Craven"/>
        <s v="Etan Cohen"/>
        <s v="Nick Cassavetes"/>
        <s v="Nicholas Stoller"/>
        <s v="Mark A.Z. Dippé"/>
        <s v="Cal Brunker"/>
        <s v="Nimród Antal"/>
        <s v="Alejandro Agresti"/>
        <s v="Peter Hedges"/>
        <s v="Paul Weiland"/>
        <s v="Colin Strause"/>
        <s v="Joan Chen"/>
        <s v="Greg Mottola"/>
        <s v="Jake Kasdan"/>
        <s v="Diane Keaton"/>
        <s v="Kelly Makin"/>
        <s v="Stephen Daldry"/>
        <s v="Christian Duguay"/>
        <s v="Justin Chadwick"/>
        <s v="Pat O'Connor"/>
        <s v="Frederik Du Chau"/>
        <s v="Irwin Winkler"/>
        <s v="Joseph Kahn"/>
        <s v="Sofia Coppola"/>
        <s v="Stephen Kay"/>
        <s v="J.A. Bayona"/>
        <s v="Elaine May"/>
        <s v="Dennie Gordon"/>
        <s v="Charles Shyer"/>
        <s v="Ulu Grosbard"/>
        <s v="William Malone"/>
        <s v="Malcolm D. Lee"/>
        <s v="Jerry Jameson"/>
        <s v="Mic Rodgers"/>
        <s v="Christian Alvart"/>
        <s v="Jean-Marie Poiré"/>
        <s v="Marc F. Adler"/>
        <s v="Geoffrey Sax"/>
        <s v="Richard Shepard"/>
        <s v="Peter Ho-Sun Chan"/>
        <s v="Joon-Ho Bong"/>
        <s v="Jeff Nathanson"/>
        <s v="S.S. Rajamouli"/>
        <s v="Charles S. Dutton"/>
        <s v="Jonathan Lynn"/>
        <s v="David Carson"/>
        <s v="Kar-Wai Wong"/>
        <s v="Yuefeng Song"/>
        <s v="Norman Jewison"/>
        <s v="David Mirkin"/>
        <s v="Luis Mandoki"/>
        <s v="Lee Daniels"/>
        <s v="Jeb Stuart"/>
        <s v="Steve Miner"/>
        <s v="Paul Thomas Anderson"/>
        <s v="David Leland"/>
        <s v="J Blakeson"/>
        <s v="Ryan Coogler"/>
        <s v="Kirk Jones"/>
        <s v="Ethan Coen"/>
        <s v="Jennifer Flackett"/>
        <s v="Kevin Smith"/>
        <s v="Christian Ditter"/>
        <s v="Charles Martin Smith"/>
        <s v="Fedor Bondarchuk"/>
        <s v="Irvin Kershner"/>
        <s v="Steve Pink"/>
        <s v="Scott Hicks"/>
        <s v="Chris Rock"/>
        <s v="Wilson Yip"/>
        <s v="Robert Wise"/>
        <s v="Kevin Rodney Sullivan"/>
        <s v="Kevin Munroe"/>
        <s v="Michael Tollin"/>
        <s v="Patrick Tatopoulos"/>
        <s v="Gary David Goldberg"/>
        <s v="Tobe Hooper"/>
        <s v="Alan Poul"/>
        <s v="Luke Greenfield"/>
        <s v="Gil Junger"/>
        <s v="Michael Ritchie"/>
        <s v="Steven E. De Souza"/>
        <s v="Alexandre Aja"/>
        <s v="Michael Rymer"/>
        <s v="Hugh Wilson"/>
        <s v="Mike Hodges"/>
        <s v="Scott Mann"/>
        <s v="Susanna White"/>
        <s v="Chris Carter"/>
        <s v="Tommy O'Haver"/>
        <s v="Peter Landesman"/>
        <s v="Gary Chapman"/>
        <s v="Craig Mazin"/>
        <s v="Allen Hughes"/>
        <s v="Kimble Rendall"/>
        <s v="Peter Yates"/>
        <s v="Lasse Hallström"/>
        <s v="Jean-Marc Vallée"/>
        <s v="Hark Tsui"/>
        <s v="Lexi Alexander"/>
        <s v="Ronny Yu"/>
        <s v="Bille August"/>
        <s v="Moustapha Akkad"/>
        <s v="Jean-Paul Rappeneau"/>
        <s v="Joachim Rønning"/>
        <s v="Ken Scott"/>
        <s v="Hugh Johnson"/>
        <s v="Hayao Miyazaki"/>
        <s v="George Tillman Jr."/>
        <s v="Rand Ravich"/>
        <s v="Hugh Hudson"/>
        <s v="Jeremy Degruson"/>
        <s v="Chris Gorak"/>
        <s v="Scott Speer"/>
        <s v="Joe Charbanic"/>
        <s v="Jonathan Hensleigh"/>
        <s v="Danny Cannon"/>
        <s v="Boaz Yakin"/>
        <s v="Richard Marquand"/>
        <s v="Neil Marshall"/>
        <s v="David Wain"/>
        <s v="Jared Hess"/>
        <s v="Rupert Wainwright"/>
        <s v="John Luessenhop"/>
        <s v="Justin Zackham"/>
        <s v="John Gatins"/>
        <s v="Miguel Sapochnik"/>
        <s v="Hyung-Rae Shim"/>
        <s v="Don Scardino"/>
        <s v="Tim Robbins"/>
        <s v="Tom Reeve"/>
        <s v="Nanette Burstein"/>
        <s v="Ariel Vromen"/>
        <s v="Lewis Gilbert"/>
        <s v="John Francis Daley"/>
        <s v="J.B. Rogers"/>
        <s v="Michael Sucsy"/>
        <s v="Tom Vaughan"/>
        <s v="Stephen Hillenburg"/>
        <s v="Stig Bergqvist"/>
        <s v="Jason Reitman"/>
        <s v="Alexander Payne"/>
        <s v="Jonathan Levine"/>
        <s v="Rian Johnson"/>
        <s v="Chris Noonan"/>
        <s v="Michael Mccullers"/>
        <s v="Forest Whitaker"/>
        <s v="Woody Allen"/>
        <s v="Peter Lepeniotis"/>
        <s v="Ted Demme"/>
        <s v="William Shatner"/>
        <s v="Steve Box"/>
        <s v="James Gartner"/>
        <s v="Lee Toland Krieger"/>
        <s v="Tim Mccanlies"/>
        <s v="Drew Goddard"/>
        <s v="Jason Friedberg"/>
        <s v="Paul Michael Glaser"/>
        <s v="John R. Leonetti"/>
        <s v="Tom Hanks"/>
        <s v="Kimberly Peirce"/>
        <s v="Liz Friedlander"/>
        <s v="Phil Joanou"/>
        <s v="Shane Acker"/>
        <s v="Martha Coolidge"/>
        <s v="Stephen J. Anderson"/>
        <s v="Troy Miller"/>
        <s v="Tate Taylor"/>
        <s v="Brett Leonard"/>
        <s v="Alister Grierson"/>
        <s v="Nick Hurran"/>
        <s v="Charles Stone Iii"/>
        <s v="Paul Haggis"/>
        <s v="Kurt Wimmer"/>
        <s v="Jean-François Richet"/>
        <s v="Kevin Hooks"/>
        <s v="Ellory Elkayem"/>
        <s v="Niki Caro"/>
        <s v="Vincenzo Natali"/>
        <s v="Willard Huyck"/>
        <s v="Gavin O'Connor"/>
        <s v="Bruce Hunt"/>
        <s v="Chris Roberts"/>
        <s v="Jee-Woon Kim"/>
        <s v="Nick Hamm"/>
        <s v="Andy Cadiff"/>
        <s v="Mike Disa"/>
        <s v="Richard J. Lewis"/>
        <s v="Sergio Leone"/>
        <s v="Niels Arden Oplev"/>
        <s v="Michael Radford"/>
        <s v="Steve Boyum"/>
        <s v="Kaige Chen"/>
        <s v="Corey Yuen"/>
        <s v="Andrew Dominik"/>
        <s v="Li Zhang"/>
        <s v="Laurent Tirard"/>
        <s v="Reinhard Klooss"/>
        <s v="Frédéric Auburtin"/>
        <s v="Olivier Dahan"/>
        <s v="Maksim Fadeev"/>
        <s v="Liliana Cavani"/>
        <s v="Greg Tiernan"/>
        <s v="Elizabeth Banks"/>
        <s v="Edward Norton"/>
        <s v="Ben Falcone"/>
        <s v="Richard Attenborough"/>
        <s v="Don Mancini"/>
        <s v="John Maybury"/>
        <s v="Igor Kovalyov"/>
        <s v="Shinji Aramaki"/>
        <s v="Miguel Arteta"/>
        <s v="James Gray"/>
        <s v="Janusz Kaminski"/>
        <s v="Robert B. Weide"/>
        <s v="Jeff Wadlow"/>
        <s v="Agustín Díaz Yanes"/>
        <s v="Camille Delamarre"/>
        <s v="David Lean"/>
        <s v="Richard Eyre"/>
        <s v="Nicholas Meyer"/>
        <s v="Callie Khouri"/>
        <s v="Sanaa Hamri"/>
        <s v="Todd Graff"/>
        <s v="Philip Kaufman"/>
        <s v="Saul Dibb"/>
        <s v="Walter Murch"/>
        <s v="Richard Linklater"/>
        <s v="E. Elias Merhige"/>
        <s v="Menno Meyjes"/>
        <s v="Jodie Foster"/>
        <s v="Scott Frank"/>
        <s v="Kevin Allen"/>
        <s v="Michael Cristofer"/>
        <s v="Andrew Morahan"/>
        <s v="Bob Rafelson"/>
        <s v="Michael Cohn"/>
        <s v="Alan Shapiro"/>
        <s v="Fernando Meirelles"/>
        <s v="Michael Hoffman"/>
        <s v="Oleg Stepchenko"/>
        <s v="Michael Winterbottom"/>
        <s v="Michael Pressman"/>
        <s v="Sharon Maguire"/>
        <s v="Charles Herman-Wurmfeld"/>
        <s v="Gabor Csupo"/>
        <s v="Tyler Perry"/>
        <s v="Joe Carnahan"/>
        <s v="John Polson"/>
        <s v="Bernardo Bertolucci"/>
        <s v="Cathy Malkasian"/>
        <s v="John Eng"/>
        <s v="Chris Nahon"/>
        <s v="Fred Wolf"/>
        <s v="Bille Woodruff"/>
        <s v="Victor Salva"/>
        <s v="Mark Helfrich"/>
        <s v="Steve Bendelack"/>
        <s v="Dwight H. Little"/>
        <s v="Guillaume Canet"/>
        <s v="Kirsten Sheridan"/>
        <s v="Richard Fleischer"/>
        <s v="Bob Spiers"/>
        <s v="Damien Dante Wayans"/>
        <s v="John Wells"/>
        <s v="Tim Fywell"/>
        <s v="Nigel Cole"/>
        <s v="Dexter Fletcher"/>
        <s v="Jeremy Leven"/>
        <s v="Sylvain White"/>
        <s v="Troy Nixey"/>
        <s v="Philip G. Atwell"/>
        <s v="Jeff Schaffer"/>
        <s v="Don Michael Paul"/>
        <s v="James Bridges"/>
        <s v="Steve Barron"/>
        <s v="Bill Paxton"/>
        <s v="Richard Kelly"/>
        <s v="Carter Smith"/>
        <s v="John Schlesinger"/>
        <s v="Ringo Lam"/>
        <s v="Bruce Mcculloch"/>
        <s v="Patricia Riggen"/>
        <s v="Pascal Chaumeil"/>
        <s v="Jonathan Kaplan"/>
        <s v="Ole Bornedal"/>
        <s v="Richard Benjamin"/>
        <s v="Craig R. Baxley"/>
        <s v="John Hillcoat"/>
        <s v="John Guillermin"/>
        <s v="Marcos Siega"/>
        <s v="Rachel Talalay"/>
        <s v="Jeffrey W. Byrd"/>
        <s v="Atom Egoyan"/>
        <s v="Robert Towne"/>
        <s v="Giuseppe Tornatore"/>
        <s v="Werner Herzog"/>
        <s v="Ben Stassen"/>
        <s v="Jérôme Deschamps"/>
        <s v="Inna Evlannikova"/>
        <s v="Jonathan English"/>
        <s v="Sergey Bondarchuk"/>
        <s v="Teddy Chan"/>
        <s v="Mario Van Peebles"/>
        <s v="Leonard Nimoy"/>
        <s v="Herbert Ross"/>
        <s v="Bonnie Hunt"/>
        <s v="Neil Labute"/>
        <s v="Grant Heslov"/>
        <s v="George Gallo"/>
        <s v="Sidney Lumet"/>
        <s v="Douglas Mcgrath"/>
        <s v="Kevin Spacey"/>
        <s v="Richard Williams"/>
        <s v="Mary Mcguckian"/>
        <s v="Tony Goldwyn"/>
        <s v="Jonathan Newman"/>
        <s v="Michael Dinner"/>
        <s v="Joseph Sargent"/>
        <s v="Jerry Zaks"/>
        <s v="Fred Durst"/>
        <s v="Anne Fontaine"/>
        <s v="Jon Cassar"/>
        <s v="Mira Nair"/>
        <s v="Mel Brooks"/>
        <s v="Russell Crowe"/>
        <s v="Jessie Nelson"/>
        <s v="Christopher Spencer"/>
        <s v="Mike Bigelow"/>
        <s v="Daniel Sackheim"/>
        <s v="Harry Elfont"/>
        <s v="Uli Edel"/>
        <s v="Fred Dekker"/>
        <s v="Brian Trenchard-Smith"/>
        <s v="Blake Edwards"/>
        <s v="Laurence Dunmore"/>
        <s v="Christian Carion"/>
        <s v="David Palmer"/>
        <s v="Rowan Joffe"/>
        <s v="John Curran"/>
        <s v="Juan José Campanella"/>
        <s v="Trey Parker"/>
        <s v="Stuart Gillard"/>
        <s v="Katt Shea"/>
        <s v="Joshua Michael Stern"/>
        <s v="Tomas Alfredson"/>
        <s v="John Duigan"/>
        <s v="Colin Higgins"/>
        <s v="Jim Sonzero"/>
        <s v="Penelope Spheeris"/>
        <s v="Jeff Tremaine"/>
        <s v="Jeannot Szwarc"/>
        <s v="Steve Mcqueen"/>
        <s v="Thea Sharrock"/>
        <s v="Jon Lucas"/>
        <s v="Aaron Seltzer"/>
        <s v="Robin Budd"/>
        <s v="Ava Duvernay"/>
        <s v="Steve Trenbirth"/>
        <s v="Mennan Yapo"/>
        <s v="Jun Falkenstein"/>
        <s v="Tom Mccarthy"/>
        <s v="Takashi Shimizu"/>
        <s v="Gary Nelson"/>
        <s v="Anton Corbijn"/>
        <s v="Gregory Nava"/>
        <s v="John Patrick Shanley"/>
        <s v="Joshua Logan"/>
        <s v="Steve Beck"/>
        <s v="Todd Strauss-Schulson"/>
        <s v="John Mcnaughton"/>
        <s v="Nelson Mccormick"/>
        <s v="Eric Valette"/>
        <s v="Andrew Fleming"/>
        <s v="Michael Spierig"/>
        <s v="Jim Field Smith"/>
        <s v="Thomas Bezucha"/>
        <s v="William Brent Bell"/>
        <s v="Anthony Bell"/>
        <s v="Jessica Bendinger"/>
        <s v="Henry Joost"/>
        <s v="Ed Harris"/>
        <s v="Alfred Hitchcock"/>
        <s v="Shana Feste"/>
        <s v="Steve Rash"/>
        <s v="Mike Binder"/>
        <s v="Michael J. Bassett"/>
        <s v="Frank Nissen"/>
        <s v="Stephen Chow"/>
        <s v="Peter Hastings"/>
        <s v="Paul Abascal"/>
        <s v="Chris Koch"/>
        <s v="Amy Heckerling"/>
        <s v="Michael Moore"/>
        <s v="George Stevens"/>
        <s v="Billy Ray"/>
        <s v="Mark Mylod"/>
        <s v="James Mather"/>
        <s v="Michael O. Sajbel"/>
        <s v="Charles T. Kanganis"/>
        <s v="Damon Santostefano"/>
        <s v="Bob Clark"/>
        <s v="Dave Borthwick"/>
        <s v="Benson Lee"/>
        <s v="Glen Morgan"/>
        <s v="Mike Leigh"/>
        <s v="Alejandro Monteverde"/>
        <s v="Jonathan Glazer"/>
        <s v="J.C. Chandor"/>
        <s v="Paul Gross"/>
        <s v="Marc Abraham"/>
        <s v="Todd Haynes"/>
        <s v="Mabrouk El Mechri"/>
        <s v="Charlie Kaufman"/>
        <s v="Nancy Walker"/>
        <s v="Angelo Pizzo"/>
        <s v="Matthew Diamond"/>
        <s v="Katsuhiro Ôtomo"/>
        <s v="David Anspaugh"/>
        <s v="Andrew Jarecki"/>
        <s v="Daniel Algrant"/>
        <s v="Jane Clark"/>
        <s v="Mike Barker"/>
        <s v="Wayne Thornley"/>
        <s v="Gnana Rajasekaran"/>
        <s v="Tom Walsh"/>
        <s v="Jonathan Jakubowicz"/>
        <s v="Scott Walker"/>
        <s v="Mark Rosman"/>
        <s v="Rob Hawk"/>
        <s v="Britt Allcroft"/>
        <s v="Alan Yuen"/>
        <s v="Brian Percival"/>
        <s v="Anand Tucker"/>
        <s v="Anthony Mann"/>
        <s v="Michael Dowse"/>
        <s v="Daniel Barnz"/>
        <s v="Emile Ardolino"/>
        <s v="Robert Altman"/>
        <s v="James Schamus"/>
        <s v="Andrew Douglas"/>
        <s v="Ricky Gervais"/>
        <s v="Vic Armstrong"/>
        <s v="Terry Zwigoff"/>
        <s v="Audrey Wells"/>
        <s v="Rick Friedberg"/>
        <s v="Sean Mcnamara"/>
        <s v="Jody Hill"/>
        <s v="Brandon Camp"/>
        <s v="Kevin Tancharoen"/>
        <s v="Nicholas Hytner"/>
        <s v="Bart Freundlich"/>
        <s v="William A. Fraker"/>
        <s v="John Boorman"/>
        <s v="Courtney Solomon"/>
        <s v="Jeff Kanew"/>
        <s v="István Szabó"/>
        <s v="Matthew Robbins"/>
        <s v="Hal Needham"/>
        <s v="Jeff Nichols"/>
        <s v="Jonathan Teplitzky"/>
        <s v="Michael Haneke"/>
        <s v="Zack Ward"/>
        <s v="Mike Marvin"/>
        <s v="Gregor Jordan"/>
        <s v="Tran Anh Hung"/>
        <s v="Lance Hool"/>
        <s v="Christian Volckman"/>
        <s v="Rodrigo Cortés"/>
        <s v="David Hayter"/>
        <s v="Cory Edwards"/>
        <s v="Terry George"/>
        <s v="Xavier Gens"/>
        <s v="Kasi Lemmons"/>
        <s v="Brian A Miller"/>
        <s v="Matt Dillon"/>
        <s v="George Cukor"/>
        <s v="John Hoffman"/>
        <s v="Kevin Greutert"/>
        <s v="John Fortenberry"/>
        <s v="Erik White"/>
        <s v="Chris Robinson"/>
        <s v="Jason Moore"/>
        <s v="Robert Harmon"/>
        <s v="Trent Cooper"/>
        <s v="Gary Halvorson"/>
        <s v="Nicholas Ray"/>
        <s v="Fede Alvarez"/>
        <s v="Sidney J. Furie"/>
        <s v="Ian Iqbal Rashid"/>
        <s v="Wayne Kramer"/>
        <s v="Rowdy Herrington"/>
        <s v="Jim Goddard"/>
        <s v="Noel Marshall"/>
        <s v="Andrea Di Stefano"/>
        <s v="Guillaume Ivernel"/>
        <s v="Jack Smight"/>
        <s v="Todd Lincoln"/>
        <s v="Howard Zieff"/>
        <s v="Steven Shainberg"/>
        <s v="Julian Jarrold"/>
        <s v="Joe Nussbaum"/>
        <s v="Vadim Perelman"/>
        <s v="Peter Farrelly"/>
        <s v="Michel Hazanavicius"/>
        <s v="Cyrus Nowrasteh"/>
        <s v="Perry Andelin Blake"/>
        <s v="Christian E. Christiansen"/>
        <s v="Sheldon Lettich"/>
        <s v="Diane English"/>
        <s v="Peter Flinth"/>
        <s v="Robert Iscove"/>
        <s v="Peter Kosminsky"/>
        <s v="Nick Gomez"/>
        <s v="Allen Coulter"/>
        <s v="Clare Kilner"/>
        <s v="Josef Rusnak"/>
        <s v="Lance Rivera"/>
        <s v="Ronald Neame"/>
        <s v="Bruce Paltrow"/>
        <s v="Adam Rifkin"/>
        <s v="Susanne Bier"/>
        <s v="Kenneth Johnson"/>
        <s v="James Ivory"/>
        <s v="Jessy Terrero"/>
        <s v="Dany Boon"/>
        <s v="Vicente Amorim"/>
        <s v="Gaspar Noé"/>
        <s v="Jérôme Salle"/>
        <s v="Tommy Lee Jones"/>
        <s v="Jesse Vaughan"/>
        <s v="William Bindley"/>
        <s v="Wayne Beach"/>
        <s v="Gérard Krawczyk"/>
        <s v="Udayan Prasad"/>
        <s v="Jk Youn"/>
        <s v="Morten Tyldum"/>
        <s v="Andrés Muschietti"/>
        <s v="Gillian Armstrong"/>
        <s v="James Watkins"/>
        <s v="Jim Fall"/>
        <s v="Ric Roman Waugh"/>
        <s v="Michael Dougherty"/>
        <s v="Joel Gallen"/>
        <s v="James Marsh"/>
        <s v="Matt Williams"/>
        <s v="Rob Zombie"/>
        <s v="Dennis Iliadis"/>
        <s v="Rick Rosenthal"/>
        <s v="Denzel Washington"/>
        <s v="Nicolas Winding Refn"/>
        <s v="Sara Sugarman"/>
        <s v="Juan Carlos Fresnadillo"/>
        <s v="Gina Prince-Bythewood"/>
        <s v="Phil Traill"/>
        <s v="Joe Berlinger"/>
        <s v="Elizabeth Allen Rosenbaum"/>
        <s v="Michael Mayer"/>
        <s v="Martin Weisz"/>
        <s v="John Ottman"/>
        <s v="John Bonito"/>
        <s v="Peter Atencio"/>
        <s v="David Nutter"/>
        <s v="Derek Cianfrance"/>
        <s v="Stephan Elliott"/>
        <s v="Mark L. Lester"/>
        <s v="Tom Green"/>
        <s v="Mike Nawrocki"/>
        <s v="Catherine Owens"/>
        <s v="Douglas Aarniokoski"/>
        <s v="Bryan Barber"/>
        <s v="Lone Scherfig"/>
        <s v="Drew Barrymore"/>
        <s v="Brian Koppelman"/>
        <s v="James Foley"/>
        <s v="Albert Brooks"/>
        <s v="Steve Gomer"/>
        <s v="Rza"/>
        <s v="Mark Piznarski"/>
        <s v="Craig Brewer"/>
        <s v="David Raynr"/>
        <s v="Mort Nathan"/>
        <s v="Dan Curtis"/>
        <s v="Wil Shriner"/>
        <s v="Martin Mcdonagh"/>
        <s v="Tina Gordon Chism"/>
        <s v="Peter Cattaneo"/>
        <s v="Vicky Jenson"/>
        <s v="Mary Lambert"/>
        <s v="Peter Kassovitz"/>
        <s v="Rodman Flender"/>
        <s v="Katja Von Garnier"/>
        <s v="Mark Romanek"/>
        <s v="Brad Anderson"/>
        <s v="Michael Chapman"/>
        <s v="Antonio Banderas"/>
        <s v="Khalil Sullins"/>
        <s v="Fritz Lang"/>
        <s v="Hsiao-Hsien Hou"/>
        <s v="Andrey Zvyagintsev"/>
        <s v="Tony Jaa"/>
        <s v="Ryûhei Kitamura"/>
        <s v="Darrell Roodt"/>
        <s v="Dito Montiel"/>
        <s v="Stefan Ruzowitzky"/>
        <s v="Jake Paltrow"/>
        <s v="Juraj Jakubisko"/>
        <s v="Anthony Silverston"/>
        <s v="Gabe Ibáñez"/>
        <s v="Gerry Lively"/>
        <s v="Daniele Luchetti"/>
        <s v="Tung-Shing Yee"/>
        <s v="Julien Temple"/>
        <s v="Gregory Jacobs"/>
        <s v="Gilles Paquet-Brenner"/>
        <s v="Peter Cousens"/>
        <s v="Lars Von Trier"/>
        <s v="John Blanchard"/>
        <s v="John Cornell"/>
        <s v="Vidhu Vinod Chopra"/>
        <s v="Jamie Blanks"/>
        <s v="Randal Kleiser"/>
        <s v="Rick Famuyiwa"/>
        <s v="Alan Cohn"/>
        <s v="Franco Zeffirelli"/>
        <s v="Tom Holland"/>
        <s v="James Isaac"/>
        <s v="Emilio Estevez"/>
        <s v="Josh Schwartz"/>
        <s v="Julian Schnabel"/>
        <s v="Todd Field"/>
        <s v="Davis Guggenheim"/>
        <s v="Stephen Carpenter"/>
        <s v="James Fargo"/>
        <s v="Alain Resnais"/>
        <s v="Chao-Bin Su"/>
        <s v="Kenneth Lonergan"/>
        <s v="Bo Zenga"/>
        <s v="Danny Leiner"/>
        <s v="Christopher Cain"/>
        <s v="Theodore Melfi"/>
        <s v="Ed Decter"/>
        <s v="Gene Quintano"/>
        <s v="Eric Bress"/>
        <s v="Preston A. Whitmore Ii"/>
        <s v="Kirk Wong"/>
        <s v="Bronwen Hughes"/>
        <s v="John Lafia"/>
        <s v="Sam Miller"/>
        <s v="Alex Garland"/>
        <s v="Mark Brown"/>
        <s v="Michael Polish"/>
        <s v="Daisy Von Scherler Mayer"/>
        <s v="Lenny Abrahamson"/>
        <s v="Bob Saget"/>
        <s v="John Waters"/>
        <s v="Craig Bolotin"/>
        <s v="Mark Christopher"/>
        <s v="Blair Hayes"/>
        <s v="Jez Butterworth"/>
        <s v="Olivier Assayas"/>
        <s v="Patrice Leconte"/>
        <s v="Paul Mazursky"/>
        <s v="Stephen Chbosky"/>
        <s v="Jon Hess"/>
        <s v="Joe Cornish"/>
        <s v="John H. Lee"/>
        <s v="John Stainton"/>
        <s v="Benedek Fliegauf"/>
        <s v="Paul Schrader"/>
        <s v="Stewart Hendler"/>
        <s v="John Cromwell"/>
        <s v="Mark Herman"/>
        <s v="Abel Ferrara"/>
        <s v="Ethan Maniquis"/>
        <s v="George Hickenlooper"/>
        <s v="Je-Kyu Kang"/>
        <s v="William Dear"/>
        <s v="Stéphane Aubier"/>
        <s v="John Badham"/>
        <s v="Mike Mccoy"/>
        <s v="Mike Judge"/>
        <s v="Tamra Davis"/>
        <s v="Nima Nourizadeh"/>
        <s v="Franklin J. Schaffner"/>
        <s v="John Erick Dowdle"/>
        <s v="David Moreau"/>
        <s v="Christopher Erskin"/>
        <s v="Brian Henson"/>
        <s v="Dan Cutforth"/>
        <s v="Josh Boone"/>
        <s v="Jake Schreier"/>
        <s v="Cheryl Dunye"/>
        <s v="Ernest R. Dickerson"/>
        <s v="Lionel C. Martin"/>
        <s v="Wallace Wolodarsky"/>
        <s v="Nicholas Jarecki"/>
        <s v="Dean Israelite"/>
        <s v="Darnell Martin"/>
        <s v="Scott Alexander"/>
        <s v="Stuart Gordon"/>
        <s v="Christopher Guest"/>
        <s v="Jane Campion"/>
        <s v="Fred Schepisi"/>
        <s v="Antonia Bird"/>
        <s v="Jon Poll"/>
        <s v="Paolo Sorrentino"/>
        <s v="Peter Care"/>
        <s v="Chan-Wook Park"/>
        <s v="Ira Sachs"/>
        <s v="Carroll Ballard"/>
        <s v="Takeshi Kitano"/>
        <s v="Marco Kreuzpaintner"/>
        <s v="Lajos Koltai"/>
        <s v="Alan Rudolph"/>
        <s v="Chuan Lu"/>
        <s v="Lijun Sun"/>
        <s v="Takashi Yamazaki"/>
        <s v="Christopher Smith"/>
        <s v="Timothy Hines"/>
        <s v="David Winters"/>
        <s v="Akira Kurosawa"/>
        <s v="Jamie Thraves"/>
        <s v="Mabel Cheung"/>
        <s v="Dan Mazer"/>
        <s v="R.J. Cutler"/>
        <s v="David S. Ward"/>
        <s v="Rob Pritts"/>
        <s v="John Crowley"/>
        <s v="Brendan Malloy"/>
        <s v="Dustin Hoffman"/>
        <s v="Gregory Poirier"/>
        <s v="Simon Curtis"/>
        <s v="Dewey Nicks"/>
        <s v="Philip Saville"/>
        <s v="Tim Blake Nelson"/>
        <s v="William A. Graham"/>
        <s v="Martin Ritt"/>
        <s v="John Turturro"/>
        <s v="Agnieszka Holland"/>
        <s v="David Hackl"/>
        <s v="Giuliano Montaldo"/>
        <s v="Lisa Azuelos"/>
        <s v="Ray Lawrence"/>
        <s v="Karan Johar"/>
        <s v="Ruairi Robinson"/>
        <s v="Jaume Balagueró"/>
        <s v="Jon Kasdan"/>
        <s v="Léa Pool"/>
        <s v="Floyd Mutrux"/>
        <s v="Sajid Khan"/>
        <s v="Dean Wright"/>
        <s v="Eric Lartigau"/>
        <s v="Shintaro Shimosawa"/>
        <s v="Darren Lynn Bousman"/>
        <s v="James Demonaco"/>
        <s v="Ken Annakin"/>
        <s v="Carol Reed"/>
        <s v="Chuck Sheetz"/>
        <s v="Marcus Raboy"/>
        <s v="Leigh Whannell"/>
        <s v="Michael Schultz"/>
        <s v="Peter Sollett"/>
        <s v="Bob Dolman"/>
        <s v="Greg Coolidge"/>
        <s v="David Lowery"/>
        <s v="Ciarán Foy"/>
        <s v="Salim Akil"/>
        <s v="Olatunde Osunsanmi"/>
        <s v="Leon Ichaso"/>
        <s v="Joseph Zito"/>
        <s v="Patricia Rozema"/>
        <s v="Rob Schmidt"/>
        <s v="Robert Ben Garant"/>
        <s v="Morgan Spurlock"/>
        <s v="Neal Brennan"/>
        <s v="Tuck Tucker"/>
        <s v="Theodore Witcher"/>
        <s v="Joel Edgerton"/>
        <s v="Jim Hanon"/>
        <s v="Michael Patrick Jann"/>
        <s v="Jorma Taccone"/>
        <s v="Jeff Lowell"/>
        <s v="Lorene Scafaria"/>
        <s v="Tony Kaye"/>
        <s v="Marcus Dunstan"/>
        <s v="Timothy Björklund"/>
        <s v="François Girard"/>
        <s v="Scott Kalvert"/>
        <s v="Jason Bateman"/>
        <s v="David Schwimmer"/>
        <s v="Allan Arkush"/>
        <s v="Eric Bross"/>
        <s v="Dan Fogelman"/>
        <s v="Jay Duplass"/>
        <s v="Luca Guadagnino"/>
        <s v="John Putch"/>
        <s v="Peter Medak"/>
        <s v="Terence Davies"/>
        <s v="Harley Cokeliss"/>
        <s v="Tom Brady"/>
        <s v="Jason Zada"/>
        <s v="Noah Baumbach"/>
        <s v="Eric Blakeney"/>
        <s v="Rakesh Roshan"/>
        <s v="Derrick Borte"/>
        <s v="Richard Kwietniowski"/>
        <s v="Bob Odenkirk"/>
        <s v="Joshua Seftel"/>
        <s v="Vincent Gallo"/>
        <s v="Claude Chabrol"/>
        <s v="Jon Stewart"/>
        <s v="Bigas Luna"/>
        <s v="Ralph Fiennes"/>
        <s v="Dan Harris"/>
        <s v="Mel Smith"/>
        <s v="Bobcat Goldthwait"/>
        <s v="Jake Scott"/>
        <s v="Alan Metter"/>
        <s v="Rafa Lara"/>
        <s v="Arthur Hiller"/>
        <s v="Michael Meredith"/>
        <s v="Julio Depietro"/>
        <s v="Katherine Dieckmann"/>
        <s v="Kim Farrant"/>
        <s v="Scott Marshall"/>
        <s v="Álex De La Iglesia"/>
        <s v="Andrew Traucki"/>
        <s v="Michael Clancy"/>
        <s v="Robert Adetuyi"/>
        <s v="Kari Skogland"/>
        <s v="Taedong Park"/>
        <s v="Benedikt Erlingsson"/>
        <s v="Gurinder Chadha"/>
        <s v="Jason Connery"/>
        <s v="Vic Sarin"/>
        <s v="Jim Issa"/>
        <s v="William Phillips"/>
        <s v="Andy Garcia"/>
        <s v="Sarik Andreasyan"/>
        <s v="Julian Gilbey"/>
        <s v="Gary Sherman"/>
        <s v="Valeri Milev"/>
        <s v="Stanley Kramer"/>
        <s v="Pedro Almodóvar"/>
        <s v="Gerald Potterton"/>
        <s v="Anurag Basu"/>
        <s v="Kriv Stenders"/>
        <s v="Yash Chopra"/>
        <s v="Floria Sigismondi"/>
        <s v="Ferzan Ozpetek"/>
        <s v="Kris Isacsson"/>
        <s v="Ben Younger"/>
        <s v="Daniel Taplitz"/>
        <s v="Tamara Jenkins"/>
        <s v="Linda Mendoza"/>
        <s v="Hart Bochner"/>
        <s v="Stewart Raffill"/>
        <s v="Hong-Jin Na"/>
        <s v="Chatrichalerm Yukol"/>
        <s v="Dario Argento"/>
        <s v="Eric Lavaine"/>
        <s v="Marc Forby"/>
        <s v="Ole Christian Madsen"/>
        <s v="Meiert Avis"/>
        <s v="André Téchiné"/>
        <s v="Emily Young"/>
        <s v="Peter Faiman"/>
        <s v="Martyn Pick"/>
        <s v="Roland Suso Richter"/>
        <s v="Jeremy Sims"/>
        <s v="Maïwenn"/>
        <s v="Joby Harold"/>
        <s v="Ekachai Uekrongtham"/>
        <s v="Mark Rydell"/>
        <s v="David E. Talbert"/>
        <s v="Roger Vadim"/>
        <s v="Nils Gaup"/>
        <s v="Ari Sandel"/>
        <s v="Vondie Curtis-Hall"/>
        <s v="Tom Elkins"/>
        <s v="Woo-Suk Kang"/>
        <s v="John Sayles"/>
        <s v="Vipul Amrutlal Shah"/>
        <s v="Ken Loach"/>
        <s v="Ayan Mukerji"/>
        <s v="Mervyn Leroy"/>
        <s v="Serdar Akar"/>
        <s v="James Frawley"/>
        <s v="Dan Gilroy"/>
        <s v="Jonathan Dayton"/>
        <s v="Chris Stokes"/>
        <s v="Don Siegel"/>
        <s v="Martin Lawrence"/>
        <s v="Masayuki Ochiai"/>
        <s v="Tom Gormican"/>
        <s v="Ken Shapiro"/>
        <s v="Justin Tipping"/>
        <s v="Peter R. Hunt"/>
        <s v="Doug Atchison"/>
        <s v="Jonas Elmer"/>
        <s v="Mary Harron"/>
        <s v="Erik Canuel"/>
        <s v="Troy Duffy"/>
        <s v="Nicole Holofcener"/>
        <s v="Matty Rich"/>
        <s v="Fina Torres"/>
        <s v="Duke Johnson"/>
        <s v="François Ozon"/>
        <s v="Anna Boden"/>
        <s v="Steve James"/>
        <s v="Michael Winner"/>
        <s v="Tomm Moore"/>
        <s v="John Carney"/>
        <s v="David Jacobson"/>
        <s v="Michael Corrente"/>
        <s v="Edward Hall"/>
        <s v="Keith Gordon"/>
        <s v="Andrew Currie"/>
        <s v="Andrew Wilson"/>
        <s v="Marc Schölermann"/>
        <s v="Robert Moresco"/>
        <s v="Thomas Vinterberg"/>
        <s v="Claudia Llosa"/>
        <s v="Charles Binamé"/>
        <s v="Keith Parmer"/>
        <s v="Ol Parker"/>
        <s v="James Nunn"/>
        <s v="David Webb Peoples"/>
        <s v="Michael Winnick"/>
        <s v="Stanley Tong"/>
        <s v="David Oelhoffen"/>
        <s v="Eli Roth"/>
        <s v="Tony Richardson"/>
        <s v="Charles Robert Carner"/>
        <s v="Russell Holt"/>
        <s v="Claude Miller"/>
        <s v="Sacha Bennett"/>
        <s v="Rodrigo García"/>
        <s v="Jeta Amata"/>
        <s v="Siddharth Anand"/>
        <s v="Vincent Paronnaud"/>
        <s v="Dennis Gansel"/>
        <s v="Daniel Barber"/>
        <s v="Robert Marcarelli"/>
        <s v="Ernie Barbarash"/>
        <s v="Guy Hamilton"/>
        <s v="Adam Brooks"/>
        <s v="Michael Anderson"/>
        <s v="Don Kempf"/>
        <s v="Matt Bettinelli-Olpin"/>
        <s v="Sharron Miller"/>
        <s v="Aaron Schneider"/>
        <s v="Tom Ford"/>
        <s v="Tony Maylam"/>
        <s v="Mitch Davis"/>
        <s v="Kevin Brodie"/>
        <s v="Lynne Ramsay"/>
        <s v="John Stephenson"/>
        <s v="Tim Chambers"/>
        <s v="Dick Richards"/>
        <s v="Bob Gosse"/>
        <s v="Alex Zamm"/>
        <s v="Spencer Susser"/>
        <s v="Thaddeus O'Sullivan"/>
        <s v="Shari Springer Berman"/>
        <s v="Aleksey German"/>
        <s v="Stephen Milburn Anderson"/>
        <s v="Richard E. Grant"/>
        <s v="David Lam"/>
        <s v="Vladlen Barbe"/>
        <s v="Robert C. Cooper"/>
        <s v="Kim Nguyen"/>
        <s v="Jackie Earle Haley"/>
        <s v="Max Färberböck"/>
        <s v="Arie Posin"/>
        <s v="Damian Nieman"/>
        <s v="Mark Tonderai"/>
        <s v="Ian Fitzgibbon"/>
        <s v="Rachel Perkins"/>
        <s v="Luis Valdez"/>
        <s v="Alan Alda"/>
        <s v="Louis Morneau"/>
        <s v="Caroline Link"/>
        <s v="Sterling Van Wagenen"/>
        <s v="Zal Batmanglij"/>
        <s v="Hans Petter Moland"/>
        <s v="Oren Moverman"/>
        <s v="Ian Sharp"/>
        <s v="Wolfgang Becker"/>
        <s v="Dan O'Bannon"/>
        <s v="George Roy Hill"/>
        <s v="Robert Stevenson"/>
        <s v="Jerome Robbins"/>
        <s v="Gary Hardwick"/>
        <s v="King Vidor"/>
        <s v="Fred Savage"/>
        <s v="Sammo Kam-Bo Hung"/>
        <s v="Rusty Cundieff"/>
        <s v="Dominique Othenin-Girard"/>
        <s v="Jean-Jacques Mantello"/>
        <s v="Risa Bramon Garcia"/>
        <s v="Brian Klugman"/>
        <s v="Matt Piedmont"/>
        <s v="Raymond De Felitta"/>
        <s v="John Michael Mcdonagh"/>
        <s v="Deb Hagan"/>
        <s v="Zach Cregger"/>
        <s v="Zach Braff"/>
        <s v="Mark Tarlov"/>
        <s v="John Cameron Mitchell"/>
        <s v="Jon Knautz"/>
        <s v="David Atkins"/>
        <s v="Patrick Stettner"/>
        <s v="Sam Peckinpah"/>
        <s v="Michael Crichton"/>
        <s v="Sylvio Tabet"/>
        <s v="Rick Bieber"/>
        <s v="Joey Lauren Adams"/>
        <s v="Fred Zinnemann"/>
        <s v="S.R. Bindler"/>
        <s v="Greg Marcks"/>
        <s v="Perry Lang"/>
        <s v="Jake Goldberger"/>
        <s v="William Kaufman"/>
        <s v="Cédric Klapisch"/>
        <s v="Kate Barker-Froyland"/>
        <s v="Martin Koolhoven"/>
        <s v="Charles Matthau"/>
        <s v="Christopher M. Bessette"/>
        <s v="Prachya Pinkaew"/>
        <s v="Gary Sinyor"/>
        <s v="Ashish R. Mohan"/>
        <s v="Darren Grant"/>
        <s v="Joseph Gordon-Levitt"/>
        <s v="William Sachs"/>
        <s v="Christophe Barratier"/>
        <s v="Émile Gaudreault"/>
        <s v="James Cox"/>
        <s v="James Toback"/>
        <s v="Aki Kaurismäki"/>
        <s v="Hitoshi Matsumoto"/>
        <s v="Rakeysh Omprakash Mehra"/>
        <s v="Collin Schiffli"/>
        <s v="George Ratliff"/>
        <s v="Shane Meadows"/>
        <s v="Jon Wright"/>
        <s v="Michael Mcgowan"/>
        <s v="Liv Ullmann"/>
        <s v="Rohan Sippy"/>
        <s v="Dan Trachtenberg"/>
        <s v="David F. Sandberg"/>
        <s v="Stiles White"/>
        <s v="Eugenio Derbez"/>
        <s v="Henry Koster"/>
        <s v="Patty Jenkins"/>
        <s v="Christopher Landon"/>
        <s v="David Gelb"/>
        <s v="Mike Flanagan"/>
        <s v="Nat Faxon"/>
        <s v="George Jackson"/>
        <s v="Maurice Joyce"/>
        <s v="Robert Duvall"/>
        <s v="Frank Perry"/>
        <s v="Jesse Peretz"/>
        <s v="Ice Cube"/>
        <s v="Richard Glatzer"/>
        <s v="Michael Curtiz"/>
        <s v="Bruce Malmuth"/>
        <s v="Rob Hedden"/>
        <s v="Harmony Korine"/>
        <s v="Joe Chappelle"/>
        <s v="Mickey Liddell"/>
        <s v="Fred Walton"/>
        <s v="Steve Carver"/>
        <s v="Gonzalo López-Gallego"/>
        <s v="Christine Jeffs"/>
        <s v="Don Coscarelli"/>
        <s v="Michael Tiddes"/>
        <s v="Bill Duke"/>
        <s v="Frank Borzage"/>
        <s v="Mamoru Hosoda"/>
        <s v="Brian Dannelly"/>
        <s v="Denys Arcand"/>
        <s v="J.S. Cardone"/>
        <s v="Jay Levey"/>
        <s v="Nicholaus Goossen"/>
        <s v="Ronan Chapalain"/>
        <s v="Xavier Beauvois"/>
        <s v="Randall Miller"/>
        <s v="Jerry Belson"/>
        <s v="Dan Rush"/>
        <s v="Michael Cuesta"/>
        <s v="Fenton Bailey"/>
        <s v="Jeremy Saulnier"/>
        <s v="Billy Kent"/>
        <s v="James Manera"/>
        <s v="Feroz Abbas Khan"/>
        <s v="Errol Morris"/>
        <s v="Dennis Hopper"/>
        <s v="Eli Craig"/>
        <s v="Nicholas Fackler"/>
        <s v="Richard Wallace"/>
        <s v="Morgan J. Freeman"/>
        <s v="Matthew Hastings"/>
        <s v="Klaus Menzel"/>
        <s v="Oren Peli"/>
        <s v="Paul Andrew Williams"/>
        <s v="Jim Amatulli"/>
        <s v="William H. Macy"/>
        <s v="Barrett Esposito"/>
        <s v="Vicky Jewson"/>
        <s v="Mike Mayhall"/>
        <s v="Stanton Barrett"/>
        <s v="Jirí Menzel"/>
        <s v="Fatih Akin"/>
        <s v="Nick Murphy"/>
        <s v="Frank Laloggia"/>
        <s v="Jeremy Brock"/>
        <s v="Scott Foley"/>
        <s v="Christophe Ali"/>
        <s v="Gabriela Tagliavini"/>
        <s v="Shona Auerbach"/>
        <s v="Leonard Farlinger"/>
        <s v="Michel Leclerc"/>
        <s v="Analeine Cal Y Mayor"/>
        <s v="Tom Kalin"/>
        <s v="John Huston"/>
        <s v="Walter Lang"/>
        <s v="Carlos Saura"/>
        <s v="Andrew Erwin"/>
        <s v="Beto Gómez"/>
        <s v="Mike Van Diem"/>
        <s v="Jonas Åkerlund"/>
        <s v="Todd Solondz"/>
        <s v="René Féret"/>
        <s v="Barry Skolnick"/>
        <s v="Johnnie To"/>
        <s v="Mateo Gil"/>
        <s v="Lukas Moodysson"/>
        <s v="Agnieszka Wojtowicz-Vosloo"/>
        <s v="Kabir Sadanand"/>
        <s v="Peter Deluise"/>
        <s v="Raja Menon"/>
        <s v="Nick Love"/>
        <s v="R. Balki"/>
        <s v="Ivan Engler"/>
        <s v="Cecil B. Demille"/>
        <s v="Henry Hobson"/>
        <s v="Mike Figgis"/>
        <s v="Duane Journey"/>
        <s v="Billy Wilder"/>
        <s v="Lisa Cholodenko"/>
        <s v="John Sturges"/>
        <s v="William Arntz"/>
        <s v="Ed Gass-Donnelly"/>
        <s v="Dj Pooh"/>
        <s v="James Melkonian"/>
        <s v="Roger Avary"/>
        <s v="Allison Anders"/>
        <s v="Rick De Oliveira"/>
        <s v="Jeff Franklin"/>
        <s v="Mike Mills"/>
        <s v="Dave Mckean"/>
        <s v="Ruggero Deodato"/>
        <s v="Gavin Wiesen"/>
        <s v="Mora Stephens"/>
        <s v="Mars Callahan"/>
        <s v="Leos Carax"/>
        <s v="Stefan Schwartz"/>
        <s v="Robert Lee King"/>
        <s v="Jorge Ramírez Suárez"/>
        <s v="Dan Ireland"/>
        <s v="Fernando León De Aranoa"/>
        <s v="Jim Mickle"/>
        <s v="Karim Aïnouz"/>
        <s v="Sam Levinson"/>
        <s v="Aleksandr Veledinskiy"/>
        <s v="Peter H. Hunt"/>
        <s v="Ruba Nadda"/>
        <s v="Howard Hughes"/>
        <s v="Edward Burns"/>
        <s v="Sean Byrne"/>
        <s v="Mark Griffiths"/>
        <s v="Bruce Macdonald"/>
        <s v="Victor Fleming"/>
        <s v="Richard Raymond"/>
        <s v="Alan Jacobs"/>
        <s v="George Sidney"/>
        <s v="Christopher Morris"/>
        <s v="Andrucha Waddington"/>
        <s v="Peter Stebbings"/>
        <s v="Vincente Minnelli"/>
        <s v="Dagur Kári"/>
        <s v="Jim Abrahams"/>
        <s v="Kevin Carraway"/>
        <s v="Michael Gornick"/>
        <s v="Richard Brooks"/>
        <s v="Robert Eggers"/>
        <s v="Michael Martin"/>
        <s v="Gideon Raff"/>
        <s v="Louis C.K."/>
        <s v="Anthony C. Ferrante"/>
        <s v="Salvador Carrasco"/>
        <s v="André Øvredal"/>
        <s v="Robert Cary"/>
        <s v="Adam Rapp"/>
        <s v="Warren P. Sonoda"/>
        <s v="Amanda Gusack"/>
        <s v="Avi Nesher"/>
        <s v="Charles Adelman"/>
        <s v="Jay Oliva"/>
        <s v="Charles Ferguson"/>
        <s v="Mark Young"/>
        <s v="Daniel Petrie Jr."/>
        <s v="Antonio Simoncini"/>
        <s v="Luc Jacquet"/>
        <s v="Eldar Rapaport"/>
        <s v="Clark Gregg"/>
        <s v="Damien Chazelle"/>
        <s v="Justin Kerrigan"/>
        <s v="Nathan Frankowski"/>
        <s v="Karen Moncrieff"/>
        <s v="Jennifer Finnigan"/>
        <s v="Eric Styles"/>
        <s v="Laurent Cantet"/>
        <s v="John Ford"/>
        <s v="Max Mayer"/>
        <s v="Joshua Marston"/>
        <s v="John Gulager"/>
        <s v="Brandon Cronenberg"/>
        <s v="Frank Capra"/>
        <s v="Tod Williams"/>
        <s v="Jack Sholder"/>
        <s v="Ted Post"/>
        <s v="Kunihiko Yuyama"/>
        <s v="Tom Mcloughlin"/>
        <s v="Adam Marcus"/>
        <s v="John Maclean"/>
        <s v="Benny Boom"/>
        <s v="Howard Hawks"/>
        <s v="Nnegest Likké"/>
        <s v="Christopher Leitch"/>
        <s v="Patricia Cardoso"/>
        <s v="Damien O'Donnell"/>
        <s v="Peter M. Cohen"/>
        <s v="Mel Stuart"/>
        <s v="Anthony Hickox"/>
        <s v="Tom Schulman"/>
        <s v="Jill Sprecher"/>
        <s v="Darren Stein"/>
        <s v="David Nixon"/>
        <s v="Jason Eisener"/>
        <s v="Enrique Begne"/>
        <s v="Matthew Bright"/>
        <s v="Andrea Arnold"/>
        <s v="Whit Stillman"/>
        <s v="Leslye Headland"/>
        <s v="Bobby Roth"/>
        <s v="Tim Heidecker"/>
        <s v="Kate Connor"/>
        <s v="Deon Taylor"/>
        <s v="Jason Alexander"/>
        <s v="Conor Mcpherson"/>
        <s v="Will Canon"/>
        <s v="Philip Zlotorynski"/>
        <s v="Lance Kawas"/>
        <s v="Francesca Gregorini"/>
        <s v="Marcio Garcia"/>
        <s v="Craig Moss"/>
        <s v="Michael Jai White"/>
        <s v="Paolo Monico"/>
        <s v="Youssef Delara"/>
        <s v="Darin Scott"/>
        <s v="Christian Sesma"/>
        <s v="Monte Hellman"/>
        <s v="Brian Caunter"/>
        <s v="Chris D'Arienzo"/>
        <s v="Isaac Florentine"/>
        <s v="Susan Seidelman"/>
        <s v="Heidi Ewing"/>
        <s v="Leon Ford"/>
        <s v="Hank Braxtan"/>
        <s v="John Carl Buechler"/>
        <s v="Rajkumar Hirani"/>
        <s v="Victor Nunez"/>
        <s v="Rohit Jugraj"/>
        <s v="Thorbjørn Christoffersen"/>
        <s v="Alex Van Warmerdam"/>
        <s v="Pawel Pawlikowski"/>
        <s v="Frank Sebastiano"/>
        <s v="Stacy Peralta"/>
        <s v="Nacho Vigalondo"/>
        <s v="Hao Ning"/>
        <s v="Tony Giglio"/>
        <s v="Stanley Donen"/>
        <s v="Joe Cross"/>
        <s v="Dinesh D'Souza"/>
        <s v="Tommy Lee Wallace"/>
        <s v="Don Taylor"/>
        <s v="Leslie Small"/>
        <s v="Éric Tessier"/>
        <s v="Alison Maclean"/>
        <s v="Alice Wu"/>
        <s v="Sarah Gavron"/>
        <s v="Isabel Coixet"/>
        <s v="James Ponsoldt"/>
        <s v="Joshua Tickell"/>
        <s v="Tim Boxell"/>
        <s v="Michael D. Sellers"/>
        <s v="Reed Cowan"/>
        <s v="James Dodson"/>
        <s v="Alex Rivera"/>
        <s v="John Murlowski"/>
        <s v="Benni Diez"/>
        <s v="Danny Perez"/>
        <s v="Robby Henson"/>
        <s v="Zackary Adler"/>
        <s v="Dominic Burns"/>
        <s v="Carmen Marron"/>
        <s v="Jason Stone"/>
        <s v="Jerry Rees"/>
        <s v="Jaco Booyens"/>
        <s v="Danny Steinmann"/>
        <s v="Michael Landon Jr."/>
        <s v="Jon Gunn"/>
        <s v="Hayley Cloake"/>
        <s v="Tay Garnett"/>
        <s v="Shyam Madiraju"/>
        <s v="Harmage Singh Kalirai"/>
        <s v="Rita Merson"/>
        <s v="William Wyler"/>
        <s v="Larry Clark"/>
        <s v="Petter Næss"/>
        <s v="Robert Fontaine"/>
        <s v="Dan Perri"/>
        <s v="Neil Mcenery-West"/>
        <s v="Anthony O'Brien"/>
        <s v="Michael Herz"/>
        <s v="David Robert Mitchell"/>
        <s v="Robert Mulligan"/>
        <s v="Chia-Liang Liu"/>
        <s v="Chris Kentis"/>
        <s v="Alex Kendrick"/>
        <s v="Robert Rossen"/>
        <s v="Jack Conway"/>
        <s v="Sylvain Chomet"/>
        <s v="Chris Eyre"/>
        <s v="Elia Kazan"/>
        <s v="Debra Granik"/>
        <s v="Henry King"/>
        <s v="Miranda July"/>
        <s v="Max Joseph"/>
        <s v="Jim Jarmusch"/>
        <s v="Kevin Tenney"/>
        <s v="Ari Folman"/>
        <s v="Gary Rogers"/>
        <s v="Marielle Heller"/>
        <s v="David Sington"/>
        <s v="Kelly Reichardt"/>
        <s v="Bob Giraldi"/>
        <s v="Huck Botko"/>
        <s v="David Duchovny"/>
        <s v="Mitchell Lichtenstein"/>
        <s v="Lance Mungia"/>
        <s v="Hue Rhodes"/>
        <s v="Jugal Hansraj"/>
        <s v="Danny Provenzano"/>
        <s v="Bill Muir"/>
        <s v="Noah Buschel"/>
        <s v="Brian Yuzna"/>
        <s v="Hunter Richards"/>
        <s v="Laurie Collyer"/>
        <s v="Aaron Hann"/>
        <s v="Phil Claydon"/>
        <s v="Ralph Ziman"/>
        <s v="John Simpson"/>
        <s v="Colin Minihan"/>
        <s v="Conor Mcmahon"/>
        <s v="Chris Shadley"/>
        <s v="Simon Napier-Bell"/>
        <s v="Simon Yin"/>
        <s v="Jeff Crook"/>
        <s v="Orson Welles"/>
        <s v="Dave Payne"/>
        <s v="Brad Copeland"/>
        <s v="Paul Bunnell"/>
        <s v="Phil Morrison"/>
        <s v="Harald Reinl"/>
        <s v="Tanner Beard"/>
        <s v="Scott Dow"/>
        <s v="Derick Martini"/>
        <s v="Jerry Dugan"/>
        <s v="Tim Hunter"/>
        <s v="Richard Ayoade"/>
        <s v="Jehane Noujaim"/>
        <s v="Pascal Arnold"/>
        <s v="Remo"/>
        <s v="John Laing"/>
        <s v="Jamal Hill"/>
        <s v="Daniel Stamm"/>
        <s v="Carlos Carrera"/>
        <s v="Benh Zeitlin"/>
        <s v="J. Lee Thompson"/>
        <s v="Maggie Greenwald"/>
        <s v="Vera Farmiga"/>
        <s v="Vijay Chandar"/>
        <s v="Jonathan Wacks"/>
        <s v="Khyentse Norbu"/>
        <s v="Tony Krantz"/>
        <s v="Mitchell Altieri"/>
        <s v="W.D. Hogan"/>
        <s v="Corey Grant"/>
        <s v="Lucky Mckee"/>
        <s v="Richard Boddington"/>
        <s v="David Hunt"/>
        <s v="Steven R. Monroe"/>
        <s v="Mark Illsley"/>
        <s v="Ritesh Batra"/>
        <s v="Sally Potter"/>
        <s v="Brad J. Silverman"/>
        <s v="Dave Meyers"/>
        <s v="Nadine Labaki"/>
        <s v="Lluís Quílez"/>
        <s v="Eytan Fox"/>
        <s v="François Truffaut"/>
        <s v="Adam Goldberg"/>
        <s v="Travis Zariwny"/>
        <s v="Adrienne Shelly"/>
        <s v="Newt Arnold"/>
        <s v="Alex Cox"/>
        <s v="Fabián Bielinsky"/>
        <s v="Dror Moreh"/>
        <s v="Rebecca Miller"/>
        <s v="Maggie Carey"/>
        <s v="Henry Bean"/>
        <s v="Simeon Rice"/>
        <s v="Jeff Garlin"/>
        <s v="Qasim Basir"/>
        <s v="Adam Green"/>
        <s v="Charles Chaplin"/>
        <s v="Pete Jones"/>
        <s v="Bruce Campbell"/>
        <s v="Adam Carolla"/>
        <s v="Bruce Mcdonald"/>
        <s v="James Mottern"/>
        <s v="Jaime Zevallos"/>
        <s v="Gerard Johnstone"/>
        <s v="Robert Greenwald"/>
        <s v="David Ray"/>
        <s v="Dave Rodriguez"/>
        <s v="Nae Caranfil"/>
        <s v="David Winning"/>
        <s v="Frank Lotito"/>
        <s v="Timothy Woodward Jr."/>
        <s v="Tara Subkoff"/>
        <s v="Russell Friedenberg"/>
        <s v="William Cottrell"/>
        <s v="Lucrecia Martel"/>
        <s v="Edward Dmytryk"/>
        <s v="Zak Penn"/>
        <s v="Alex Ranarivelo"/>
        <s v="Mathieu Amalric"/>
        <s v="David Worth"/>
        <s v="Leslie H. Martinson"/>
        <s v="Robert M. Young"/>
        <s v="Steve Buscemi"/>
        <s v="Ham Tran"/>
        <s v="Rich Cowan"/>
        <s v="Boris Rodriguez"/>
        <s v="Sadyk Sher-Niyaz"/>
        <s v="Paul Donovan"/>
        <s v="Jonathan Kesselman"/>
        <s v="Arjun Sablok"/>
        <s v="Tyler Oliver"/>
        <s v="Douglas Cheek"/>
        <s v="Deryck Broom"/>
        <s v="Henry Hathaway"/>
        <s v="Giovanni Zelko"/>
        <s v="Claudia Sainte-Luce"/>
        <s v="Jamie Babbit"/>
        <s v="David Boyd"/>
        <s v="Anna Muylaert"/>
        <s v="Steve Taylor"/>
        <s v="Kurt Voss"/>
        <s v="James David Pasternak"/>
        <s v="Laurent Bouhnik"/>
        <s v="Tom Sanchez"/>
        <s v="David Caffrey"/>
        <s v="Adam Jay Epstein"/>
        <s v="Justin Thomas Ostensen"/>
        <s v="Brenton Spencer"/>
        <s v="Ossie Davis"/>
        <s v="Jay Alaimo"/>
        <s v="Dylan Bank"/>
        <s v="Rob Mckittrick"/>
        <s v="Jeff Burr"/>
        <s v="Harry Gantz"/>
        <s v="Guy Maddin"/>
        <s v="Regardt Van Den Bergh"/>
        <s v="Panos Cosmatos"/>
        <s v="Gareth Evans"/>
        <s v="Matthew R. Anderson"/>
        <s v="Joe Marino"/>
        <s v="Joel Anderson"/>
        <s v="Shimit Amin"/>
        <s v="Douglas Trumbull"/>
        <s v="Mona Fastvold"/>
        <s v="Levan Gabriadze"/>
        <s v="Bradley Parker"/>
        <s v="Clive Barker"/>
        <s v="Harold Cronk"/>
        <s v="Takao Okawara"/>
        <s v="Duncan Tucker"/>
        <s v="Russ Meyer"/>
        <s v="Robert D. Webb"/>
        <s v="Allan Dwan"/>
        <s v="Andrew Steggall"/>
        <s v="Ben Lewin"/>
        <s v="Robert Kenner"/>
        <s v="Craig Johnson"/>
        <s v="Sean Durkin"/>
        <s v="Gillian Robespierre"/>
        <s v="Courtney Hunt"/>
        <s v="Morgan Neville"/>
        <s v="Chris Paine"/>
        <s v="Greg Berlanti"/>
        <s v="Marc Levin"/>
        <s v="Richard Dutcher"/>
        <s v="Khalid Mohamed"/>
        <s v="Finn Taylor"/>
        <s v="José Luis Valenzuela"/>
        <s v="Gia Coppola"/>
        <s v="Scandar Copti"/>
        <s v="Goran Dukic"/>
        <s v="Mike Cahill"/>
        <s v="Efram Potelle"/>
        <s v="Joshua Oppenheimer"/>
        <s v="Alex Gibney"/>
        <s v="Paul Crowder"/>
        <s v="Rohit Jagessar"/>
        <s v="Anthony Powell"/>
        <s v="Kief Davidson"/>
        <s v="Johnny Remo"/>
        <s v="Vivek Agnihotri"/>
        <s v="Ti West"/>
        <s v="Nick Tomnay"/>
        <s v="Nickolas Perry"/>
        <s v="Dan Zukovic"/>
        <s v="Becky Smith"/>
        <s v="Eric Nicholas"/>
        <s v="Benjamin Dickinson"/>
        <s v="Hal Haberman"/>
        <s v="A. Raven Cruz"/>
        <s v="Frank Whaley"/>
        <s v="Amat Escalante"/>
        <s v="Katherine Brooks"/>
        <s v="David Cross"/>
        <s v="Randall Rubin"/>
        <s v="Robert Bennett"/>
        <s v="Mary Pat Kelly"/>
        <s v="Lori Petty"/>
        <s v="Charlie Levi"/>
        <s v="Kevin Hamedani"/>
        <s v="David Decoteau"/>
        <s v="Mikel Rueda"/>
        <s v="Stefan C. Schaefer"/>
        <s v="Michael Taliferro"/>
        <s v="Katie Aselton"/>
        <s v="Robert Heath"/>
        <s v="D. Stevens"/>
        <s v="Jeffrey St. Jules"/>
        <s v="Robert Hall"/>
        <s v="K. King"/>
        <s v="Ralph Nelson"/>
        <s v="Blair Erickson"/>
        <s v="Allison Burnett"/>
        <s v="Richard Schenkman"/>
        <s v="Sanjay Rawal"/>
        <s v="Kat Coiro"/>
        <s v="Cristian Mungiu"/>
        <s v="Brian Dorton"/>
        <s v="Maryam Keshavarz"/>
        <s v="Ramaa Mosley"/>
        <s v="C. Jay Cox"/>
        <s v="Mariette Monpierre"/>
        <s v="Tommy Oliver"/>
        <s v="Jamie Travis"/>
        <s v="Rich Christiano"/>
        <s v="Natalie Bible'"/>
        <s v="Asghar Farhadi"/>
        <s v="Justin Molotnikov"/>
        <s v="Georg Wilhelm Pabst"/>
        <s v="Daniel Davila"/>
        <s v="Jorge Gaggero"/>
        <s v="Michael Burke"/>
        <s v="Catherine Jelski"/>
        <s v="Shane Dawson"/>
        <s v="Ryan Little"/>
        <s v="Clark Baker"/>
        <s v="Matt Maiellaro"/>
        <s v="Ben Wheatley"/>
        <s v="Oliver Blackburn"/>
        <s v="Christopher Hutson"/>
        <s v="David Lachapelle"/>
        <s v="Caryn Waechter"/>
        <s v="Emily Dell"/>
        <s v="Ryan Fleck"/>
        <s v="Jennifer Wynne Farmer"/>
        <s v="Christopher Scott Cherot"/>
        <s v="H.M. Coakley"/>
        <s v="Randy Moore"/>
        <s v="Chris Atkins"/>
        <s v="Bill Benenson"/>
        <s v="Ryan Smith"/>
        <s v="Travis Romero"/>
        <s v="Anna Mastro"/>
        <s v="Mark Sandrich"/>
        <s v="Daniel Myrick"/>
        <s v="Michael Wadleigh"/>
        <s v="Gene Teigland"/>
        <s v="Scott Ziehl"/>
        <s v="Richard Montoya"/>
        <s v="Johanna Schwartz"/>
        <s v="William Gazecki"/>
        <s v="Lance Mcdaniel"/>
        <s v="Thomas Lilti"/>
        <s v="Michael Walker"/>
        <s v="U. Roberto Romano"/>
        <s v="Amy Holden Jones"/>
        <s v="Blaz Zavrsnik"/>
        <s v="Pan Nalin"/>
        <s v="Joe Camp"/>
        <s v="Matt Walsh"/>
        <s v="John 'Bud' Cardos"/>
        <s v="Marilyn Agrelo"/>
        <s v="Brian Baugh"/>
        <s v="Patrick Creadon"/>
        <s v="Barry W. Blaustein"/>
        <s v="Kurt Hale"/>
        <s v="Siddiq Barmak"/>
        <s v="Joseph Dorman"/>
        <s v="Greg Harrison"/>
        <s v="Jacob Aaron Estes"/>
        <s v="Eric Schaeffer"/>
        <s v="Neema Barnette"/>
        <s v="Joe Swanberg"/>
        <s v="Molly Bernstein"/>
        <s v="Marius A. Markevicius"/>
        <s v="Tom Dicillo"/>
        <s v="Quentin Dupieux"/>
        <s v="Alex Smith"/>
        <s v="Gareth Edwards"/>
        <s v="Jonathan Parker"/>
        <s v="Sol Tryon"/>
        <s v="Alex Craig Mann"/>
        <s v="Stephen Kijak"/>
        <s v="Daston Kalili"/>
        <s v="Michael Hoffman Jr."/>
        <s v="Patrick Gilles"/>
        <s v="Georgia Hilton"/>
        <s v="Jack Heller"/>
        <s v="Fernando Baez Mella"/>
        <s v="Warren Sheppard"/>
        <s v="Justin Paul Miller"/>
        <s v="Joel Paul Reisig"/>
        <s v="Catherine Gund"/>
        <s v="Luke Dye"/>
        <s v="Alec Asten"/>
        <s v="Hans Canosa"/>
        <s v="Lloyd Kaufman"/>
        <s v="Matthew Watts"/>
        <s v="Lloyd Bacon"/>
        <s v="Joe Kenemore"/>
        <s v="Kay Pollak"/>
        <s v="Eric England"/>
        <s v="Sue Corcoran"/>
        <s v="Jonathan Caouette"/>
        <s v="Ray Griggs"/>
        <s v="Matt Jackson"/>
        <s v="Lucio Fulci"/>
        <s v="Paul Fox"/>
        <s v="Ari Kirschenbaum"/>
        <s v="Cassandra Nicolaou"/>
        <s v="Ingmar Bergman"/>
        <s v="Roger Nygard"/>
        <s v="Harry Beaumont"/>
        <s v="Franck Khalfoun"/>
        <s v="Mor Loushy"/>
        <s v="Henry Alex Rubin"/>
        <s v="Sam Firstenberg"/>
        <s v="Doug Block"/>
        <s v="Chad Kapper"/>
        <s v="Paul Fierlinger"/>
        <s v="Yorgos Lanthimos"/>
        <s v="Lauren Lazin"/>
        <s v="Gregory Widen"/>
        <s v="Niall Johnson"/>
        <s v="Eric Mendelsohn"/>
        <s v="Jean-Luc Godard"/>
        <s v="Florence Ayisi"/>
        <s v="Michael Roemer"/>
        <s v="Eddie O'Flaherty"/>
        <s v="Babar Ahmed"/>
        <s v="John D. Hancock"/>
        <s v="Paul Bartel"/>
        <s v="Bruce Dellis"/>
        <s v="Pece Dingo"/>
        <s v="Jerome Elston Scott"/>
        <s v="Étienne Faure"/>
        <s v="Herb Freed"/>
        <s v="Jack Perez"/>
        <s v="Craig Zobel"/>
        <s v="Ken Del Conte"/>
        <s v="Maria Maggenti"/>
        <s v="Piyush Dinker Pandya"/>
        <s v="Daniel Columbie"/>
        <s v="Emma-Kate Croghan"/>
        <s v="Bill Plympton"/>
        <s v="Drake Doremus"/>
        <s v="Al Franklin"/>
        <s v="Michael Kang"/>
        <s v="Lori Silverbush"/>
        <s v="Stuart Hazeldine"/>
        <s v="Hilary Brougher"/>
        <s v="Rachel Goldenberg"/>
        <s v="Corbin Bernsen"/>
        <s v="Jamin Winans"/>
        <s v="Tom Seidman"/>
        <s v="Jason Naumann"/>
        <s v="Matt Cimber"/>
        <s v="Sam Martin"/>
        <s v="Andrew Hyatt"/>
        <s v="Kristin Rizzo"/>
        <s v="Ward Roberts"/>
        <s v="Zoran Lisinac"/>
        <s v="James O'Brien"/>
        <s v="Tom Putnam"/>
        <s v="Jon Shear"/>
        <s v="Al Silliman Jr."/>
        <s v="Eugène Lourié"/>
        <s v="Lowell Sherman"/>
        <s v="Maurizio Benazzo"/>
        <s v="David G. Evans"/>
        <s v="Sherman Alexie"/>
        <s v="Justin Dillon"/>
        <s v="Stevan Mena"/>
        <s v="Livingston Oden"/>
        <s v="Chris Marker"/>
        <s v="Carl Theodor Dreyer"/>
        <s v="Marianna Palka"/>
        <s v="Ricki Stern"/>
        <s v="Nadia Tass"/>
        <s v="James Kerwin"/>
        <s v="C. Fraser Press"/>
        <s v="Rania Attieh"/>
        <s v="Sharon Greytak"/>
        <s v="Majid Majidi"/>
        <s v="Andrew Haigh"/>
        <s v="Cary Bell"/>
        <s v="Nicolae Constantin Tanase"/>
        <s v="Melvin Van Peebles"/>
        <s v="Ken Roht"/>
        <s v="Robinson Devor"/>
        <s v="Michel Orion Scott"/>
        <s v="Pat Holden"/>
        <s v="Eric Bugbee"/>
        <s v="Bill Melendez"/>
        <s v="Dena Seidel"/>
        <s v="Deborah Anderson"/>
        <s v="Sara Newens"/>
        <s v="Sai Varadan"/>
        <s v="Amal Al-Agroobi"/>
        <s v="Andrew Berends"/>
        <s v="Lynn Shelton"/>
        <s v="David Hewlett"/>
        <s v="Nate Parker"/>
        <s v="Nathan Smith Jones"/>
        <s v="Travis Cluff"/>
        <s v="Robert Townsend"/>
        <s v="Jamaa Fanaka"/>
        <s v="Larry Blamire"/>
        <s v="Stephen Langford"/>
        <s v="E.L. Katz"/>
        <s v="Lisanne Pajot"/>
        <s v="Dan Reed"/>
        <s v="John Reinhardt"/>
        <s v="Patrick Ryan Sims"/>
        <s v="Laslo Benedek"/>
        <s v="Jason Miller"/>
        <s v="Sut Jhally"/>
        <s v="Julie Davis"/>
        <s v="Myles Berkowitz"/>
        <s v="Brett Piper"/>
        <s v="Brandon Trost"/>
        <s v="Joseph Green"/>
        <s v="Wade Gasque"/>
        <s v="Daniel Schechter"/>
        <s v="Matt Johnson"/>
        <s v="Bruno Barreto"/>
        <s v="Lena Dunham"/>
        <s v="Terron R. Parsons"/>
        <s v="Jem Cohen"/>
        <s v="Andrew Leman"/>
        <s v="Dave Carroll"/>
        <s v="William Eubank"/>
        <s v="Patrick Meaney"/>
        <s v="Chad Hartigan"/>
        <s v="Malcolm Goodwin"/>
        <s v="Kevin Jordan"/>
        <s v="Kirk Loudon"/>
        <s v="Travis Legge"/>
        <s v="Collin Joseph Neal"/>
        <s v="Bradley Rust Gray"/>
        <s v="Mike Bruce"/>
        <s v="Andrew Bujalski"/>
        <s v="Damir Catic"/>
        <s v="James Bidgood"/>
        <s v="Eric Eason"/>
        <s v="Joseph Mazzella"/>
        <s v="Marcus Nispel"/>
        <s v="Brandon Landers"/>
        <s v="Jim Chuchu"/>
        <s v="Daryl Wein"/>
        <s v="Jason Trost"/>
        <s v="Jafar Panahi"/>
        <s v="Ivan Kavanagh"/>
        <s v="Kiyoshi Kurosawa"/>
        <s v="Tadeo Garcia"/>
        <s v="Thomas L. Phillips"/>
        <s v="Ash Baron-Cohen"/>
        <s v="Shane Carruth"/>
        <s v="Neill Dela Llana"/>
        <s v="Anthony Vallone"/>
        <s v="Scott Smith"/>
        <s v="Benjamin Roberds"/>
        <s v="Daniel Hsia"/>
      </sharedItems>
    </cacheField>
    <cacheField name="Genre" numFmtId="0">
      <sharedItems count="20">
        <s v="Action"/>
        <s v="Adventure"/>
        <s v="Drama"/>
        <s v="Animation"/>
        <s v="Comedy"/>
        <s v="Mystery"/>
        <s v="Crime"/>
        <s v="Biography"/>
        <s v="Fantasy"/>
        <s v="Documentary"/>
        <s v="Sci-Fi"/>
        <s v="Horror"/>
        <s v="Romance"/>
        <s v="Thriller"/>
        <s v="Family"/>
        <s v="Music"/>
        <s v="Western"/>
        <s v="Musical"/>
        <s v="Film-Noir"/>
        <s v="History"/>
      </sharedItems>
    </cacheField>
    <cacheField name="Language" numFmtId="0">
      <sharedItems count="44">
        <s v="English"/>
        <s v="Japanese"/>
        <s v="French"/>
        <s v="Mandarin"/>
        <s v="Aboriginal"/>
        <s v="Spanish"/>
        <s v="Filipino"/>
        <s v="Hindi"/>
        <s v="Russian"/>
        <s v="Maya"/>
        <s v="Kazakh"/>
        <s v="Telugu"/>
        <s v="Cantonese"/>
        <s v="German"/>
        <s v="Aramaic"/>
        <s v="Italian"/>
        <s v="Dutch"/>
        <s v="Dari"/>
        <s v="Hebrew"/>
        <s v="Chinese"/>
        <s v="Mongolian"/>
        <s v="Swedish"/>
        <s v="Korean"/>
        <s v="Thai"/>
        <s v="Bosnian"/>
        <s v="Hungarian"/>
        <s v="Portuguese"/>
        <s v="Icelandic"/>
        <s v="Danish"/>
        <s v="Arabic"/>
        <s v="Norwegian"/>
        <s v="Czech"/>
        <s v="Zulu"/>
        <s v="Panjabi"/>
        <s v="Polish"/>
        <s v="Tamil"/>
        <s v="Dzongkha"/>
        <s v="Vietnamese"/>
        <s v="Indonesian"/>
        <s v="Romanian"/>
        <s v="Persian"/>
        <s v="Slovenian"/>
        <s v="Greek"/>
        <s v="Swahili"/>
      </sharedItems>
    </cacheField>
    <cacheField name="Duration" numFmtId="0">
      <sharedItems containsSemiMixedTypes="0" containsString="0" containsNumber="1" containsInteger="1" minValue="7" maxValue="330"/>
    </cacheField>
    <cacheField name="IMDB Score" numFmtId="0">
      <sharedItems containsSemiMixedTypes="0" containsString="0" containsNumber="1" minValue="1.6" maxValue="9.5"/>
    </cacheField>
    <cacheField name="Budget" numFmtId="0">
      <sharedItems containsSemiMixedTypes="0" containsString="0" containsNumber="1" containsInteger="1" minValue="218" maxValue="4200000000"/>
    </cacheField>
    <cacheField name="Gross" numFmtId="0">
      <sharedItems containsSemiMixedTypes="0" containsString="0" containsNumber="1" containsInteger="1" minValue="162" maxValue="7605058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0">
  <r>
    <s v="Avatar"/>
    <x v="0"/>
    <x v="0"/>
    <x v="0"/>
    <n v="178"/>
    <n v="7.9"/>
    <n v="237000000"/>
    <n v="760505847"/>
  </r>
  <r>
    <s v="Pirates of the Caribbean: At World's End"/>
    <x v="1"/>
    <x v="0"/>
    <x v="0"/>
    <n v="169"/>
    <n v="7.1"/>
    <n v="300000000"/>
    <n v="309404152"/>
  </r>
  <r>
    <s v="Spectre"/>
    <x v="2"/>
    <x v="0"/>
    <x v="0"/>
    <n v="148"/>
    <n v="6.8"/>
    <n v="245000000"/>
    <n v="200074175"/>
  </r>
  <r>
    <s v="The Dark Knight Rises"/>
    <x v="3"/>
    <x v="0"/>
    <x v="0"/>
    <n v="164"/>
    <n v="8.5"/>
    <n v="250000000"/>
    <n v="448130642"/>
  </r>
  <r>
    <s v="John Carter"/>
    <x v="4"/>
    <x v="0"/>
    <x v="0"/>
    <n v="132"/>
    <n v="6.6"/>
    <n v="263700000"/>
    <n v="73058679"/>
  </r>
  <r>
    <s v="Spider-Man 3"/>
    <x v="5"/>
    <x v="0"/>
    <x v="0"/>
    <n v="156"/>
    <n v="6.2"/>
    <n v="258000000"/>
    <n v="336530303"/>
  </r>
  <r>
    <s v="Tangled"/>
    <x v="6"/>
    <x v="1"/>
    <x v="0"/>
    <n v="100"/>
    <n v="7.8"/>
    <n v="260000000"/>
    <n v="200807262"/>
  </r>
  <r>
    <s v="Avengers: Age of Ultron"/>
    <x v="7"/>
    <x v="0"/>
    <x v="0"/>
    <n v="141"/>
    <n v="7.5"/>
    <n v="250000000"/>
    <n v="458991599"/>
  </r>
  <r>
    <s v="Harry Potter and the Half-Blood Prince"/>
    <x v="8"/>
    <x v="1"/>
    <x v="0"/>
    <n v="153"/>
    <n v="7.5"/>
    <n v="250000000"/>
    <n v="301956980"/>
  </r>
  <r>
    <s v="Batman v Superman: Dawn of Justice"/>
    <x v="9"/>
    <x v="0"/>
    <x v="0"/>
    <n v="183"/>
    <n v="6.9"/>
    <n v="250000000"/>
    <n v="330249062"/>
  </r>
  <r>
    <s v="Superman Returns"/>
    <x v="10"/>
    <x v="0"/>
    <x v="0"/>
    <n v="169"/>
    <n v="6.1"/>
    <n v="209000000"/>
    <n v="200069408"/>
  </r>
  <r>
    <s v="Quantum of Solace"/>
    <x v="11"/>
    <x v="0"/>
    <x v="0"/>
    <n v="106"/>
    <n v="6.7"/>
    <n v="200000000"/>
    <n v="168368427"/>
  </r>
  <r>
    <s v="Pirates of the Caribbean: Dead Man's Chest"/>
    <x v="1"/>
    <x v="0"/>
    <x v="0"/>
    <n v="151"/>
    <n v="7.3"/>
    <n v="225000000"/>
    <n v="423032628"/>
  </r>
  <r>
    <s v="The Lone Ranger"/>
    <x v="1"/>
    <x v="0"/>
    <x v="0"/>
    <n v="150"/>
    <n v="6.5"/>
    <n v="215000000"/>
    <n v="89289910"/>
  </r>
  <r>
    <s v="Man of Steel"/>
    <x v="9"/>
    <x v="0"/>
    <x v="0"/>
    <n v="143"/>
    <n v="7.2"/>
    <n v="225000000"/>
    <n v="291021565"/>
  </r>
  <r>
    <s v="The Chronicles of Narnia: Prince Caspian"/>
    <x v="12"/>
    <x v="0"/>
    <x v="0"/>
    <n v="150"/>
    <n v="6.6"/>
    <n v="225000000"/>
    <n v="141614023"/>
  </r>
  <r>
    <s v="The Avengers"/>
    <x v="7"/>
    <x v="0"/>
    <x v="0"/>
    <n v="173"/>
    <n v="8.1"/>
    <n v="220000000"/>
    <n v="623279547"/>
  </r>
  <r>
    <s v="Pirates of the Caribbean: On Stranger Tides"/>
    <x v="13"/>
    <x v="0"/>
    <x v="0"/>
    <n v="136"/>
    <n v="6.7"/>
    <n v="250000000"/>
    <n v="241063875"/>
  </r>
  <r>
    <s v="Men in Black 3"/>
    <x v="14"/>
    <x v="0"/>
    <x v="0"/>
    <n v="106"/>
    <n v="6.8"/>
    <n v="225000000"/>
    <n v="179020854"/>
  </r>
  <r>
    <s v="The Hobbit: The Battle of the Five Armies"/>
    <x v="15"/>
    <x v="1"/>
    <x v="0"/>
    <n v="164"/>
    <n v="7.5"/>
    <n v="250000000"/>
    <n v="255108370"/>
  </r>
  <r>
    <s v="The Amazing Spider-Man"/>
    <x v="16"/>
    <x v="0"/>
    <x v="0"/>
    <n v="153"/>
    <n v="7"/>
    <n v="230000000"/>
    <n v="262030663"/>
  </r>
  <r>
    <s v="Robin Hood"/>
    <x v="17"/>
    <x v="0"/>
    <x v="0"/>
    <n v="156"/>
    <n v="6.7"/>
    <n v="200000000"/>
    <n v="105219735"/>
  </r>
  <r>
    <s v="The Hobbit: The Desolation of Smaug"/>
    <x v="15"/>
    <x v="1"/>
    <x v="0"/>
    <n v="186"/>
    <n v="7.9"/>
    <n v="225000000"/>
    <n v="258355354"/>
  </r>
  <r>
    <s v="The Golden Compass"/>
    <x v="18"/>
    <x v="1"/>
    <x v="0"/>
    <n v="113"/>
    <n v="6.1"/>
    <n v="180000000"/>
    <n v="70083519"/>
  </r>
  <r>
    <s v="King Kong"/>
    <x v="15"/>
    <x v="0"/>
    <x v="0"/>
    <n v="201"/>
    <n v="7.2"/>
    <n v="207000000"/>
    <n v="218051260"/>
  </r>
  <r>
    <s v="Titanic"/>
    <x v="0"/>
    <x v="2"/>
    <x v="0"/>
    <n v="194"/>
    <n v="7.7"/>
    <n v="200000000"/>
    <n v="658672302"/>
  </r>
  <r>
    <s v="Captain America: Civil War"/>
    <x v="19"/>
    <x v="0"/>
    <x v="0"/>
    <n v="147"/>
    <n v="8.1999999999999993"/>
    <n v="250000000"/>
    <n v="407197282"/>
  </r>
  <r>
    <s v="Battleship"/>
    <x v="20"/>
    <x v="0"/>
    <x v="0"/>
    <n v="131"/>
    <n v="5.9"/>
    <n v="209000000"/>
    <n v="65173160"/>
  </r>
  <r>
    <s v="Jurassic World"/>
    <x v="21"/>
    <x v="0"/>
    <x v="0"/>
    <n v="124"/>
    <n v="7"/>
    <n v="150000000"/>
    <n v="652177271"/>
  </r>
  <r>
    <s v="Skyfall"/>
    <x v="2"/>
    <x v="0"/>
    <x v="0"/>
    <n v="143"/>
    <n v="7.8"/>
    <n v="200000000"/>
    <n v="304360277"/>
  </r>
  <r>
    <s v="Spider-Man 2"/>
    <x v="5"/>
    <x v="0"/>
    <x v="0"/>
    <n v="135"/>
    <n v="7.3"/>
    <n v="200000000"/>
    <n v="373377893"/>
  </r>
  <r>
    <s v="Iron Man 3"/>
    <x v="22"/>
    <x v="0"/>
    <x v="0"/>
    <n v="195"/>
    <n v="7.2"/>
    <n v="200000000"/>
    <n v="408992272"/>
  </r>
  <r>
    <s v="Alice in Wonderland"/>
    <x v="23"/>
    <x v="1"/>
    <x v="0"/>
    <n v="108"/>
    <n v="6.5"/>
    <n v="200000000"/>
    <n v="334185206"/>
  </r>
  <r>
    <s v="X-Men: The Last Stand"/>
    <x v="24"/>
    <x v="0"/>
    <x v="0"/>
    <n v="104"/>
    <n v="6.8"/>
    <n v="210000000"/>
    <n v="234360014"/>
  </r>
  <r>
    <s v="Monsters University"/>
    <x v="25"/>
    <x v="1"/>
    <x v="0"/>
    <n v="104"/>
    <n v="7.3"/>
    <n v="200000000"/>
    <n v="268488329"/>
  </r>
  <r>
    <s v="Transformers: Revenge of the Fallen"/>
    <x v="26"/>
    <x v="0"/>
    <x v="0"/>
    <n v="150"/>
    <n v="6"/>
    <n v="200000000"/>
    <n v="402076689"/>
  </r>
  <r>
    <s v="Transformers: Age of Extinction"/>
    <x v="26"/>
    <x v="0"/>
    <x v="0"/>
    <n v="165"/>
    <n v="5.7"/>
    <n v="210000000"/>
    <n v="245428137"/>
  </r>
  <r>
    <s v="Oz the Great and Powerful"/>
    <x v="5"/>
    <x v="1"/>
    <x v="0"/>
    <n v="130"/>
    <n v="6.4"/>
    <n v="215000000"/>
    <n v="234903076"/>
  </r>
  <r>
    <s v="The Amazing Spider-Man 2"/>
    <x v="16"/>
    <x v="0"/>
    <x v="0"/>
    <n v="142"/>
    <n v="6.7"/>
    <n v="200000000"/>
    <n v="202853933"/>
  </r>
  <r>
    <s v="TRON: Legacy"/>
    <x v="27"/>
    <x v="0"/>
    <x v="0"/>
    <n v="125"/>
    <n v="6.8"/>
    <n v="170000000"/>
    <n v="172051787"/>
  </r>
  <r>
    <s v="Cars 2"/>
    <x v="28"/>
    <x v="1"/>
    <x v="0"/>
    <n v="106"/>
    <n v="6.3"/>
    <n v="200000000"/>
    <n v="191450875"/>
  </r>
  <r>
    <s v="Green Lantern"/>
    <x v="29"/>
    <x v="0"/>
    <x v="0"/>
    <n v="123"/>
    <n v="5.6"/>
    <n v="200000000"/>
    <n v="116593191"/>
  </r>
  <r>
    <s v="Toy Story 3"/>
    <x v="30"/>
    <x v="1"/>
    <x v="0"/>
    <n v="103"/>
    <n v="8.3000000000000007"/>
    <n v="200000000"/>
    <n v="414984497"/>
  </r>
  <r>
    <s v="Terminator Salvation"/>
    <x v="31"/>
    <x v="0"/>
    <x v="0"/>
    <n v="118"/>
    <n v="6.6"/>
    <n v="200000000"/>
    <n v="125320003"/>
  </r>
  <r>
    <s v="Furious 7"/>
    <x v="32"/>
    <x v="0"/>
    <x v="0"/>
    <n v="140"/>
    <n v="7.2"/>
    <n v="190000000"/>
    <n v="350034110"/>
  </r>
  <r>
    <s v="World War Z"/>
    <x v="11"/>
    <x v="0"/>
    <x v="0"/>
    <n v="123"/>
    <n v="7"/>
    <n v="190000000"/>
    <n v="202351611"/>
  </r>
  <r>
    <s v="X-Men: Days of Future Past"/>
    <x v="10"/>
    <x v="0"/>
    <x v="0"/>
    <n v="149"/>
    <n v="8"/>
    <n v="200000000"/>
    <n v="233914986"/>
  </r>
  <r>
    <s v="Star Trek Into Darkness"/>
    <x v="33"/>
    <x v="0"/>
    <x v="0"/>
    <n v="132"/>
    <n v="7.8"/>
    <n v="190000000"/>
    <n v="228756232"/>
  </r>
  <r>
    <s v="Jack the Giant Slayer"/>
    <x v="10"/>
    <x v="1"/>
    <x v="0"/>
    <n v="114"/>
    <n v="6.3"/>
    <n v="195000000"/>
    <n v="65171860"/>
  </r>
  <r>
    <s v="The Great Gatsby"/>
    <x v="34"/>
    <x v="2"/>
    <x v="0"/>
    <n v="143"/>
    <n v="7.3"/>
    <n v="105000000"/>
    <n v="144812796"/>
  </r>
  <r>
    <s v="Prince of Persia: The Sands of Time"/>
    <x v="35"/>
    <x v="0"/>
    <x v="0"/>
    <n v="116"/>
    <n v="6.6"/>
    <n v="200000000"/>
    <n v="90755643"/>
  </r>
  <r>
    <s v="Pacific Rim"/>
    <x v="36"/>
    <x v="0"/>
    <x v="0"/>
    <n v="131"/>
    <n v="7"/>
    <n v="190000000"/>
    <n v="101785482"/>
  </r>
  <r>
    <s v="Transformers: Dark of the Moon"/>
    <x v="26"/>
    <x v="0"/>
    <x v="0"/>
    <n v="154"/>
    <n v="6.3"/>
    <n v="195000000"/>
    <n v="352358779"/>
  </r>
  <r>
    <s v="Indiana Jones and the Kingdom of the Crystal Skull"/>
    <x v="37"/>
    <x v="0"/>
    <x v="0"/>
    <n v="122"/>
    <n v="6.2"/>
    <n v="185000000"/>
    <n v="317011114"/>
  </r>
  <r>
    <s v="The Good Dinosaur"/>
    <x v="38"/>
    <x v="1"/>
    <x v="0"/>
    <n v="93"/>
    <n v="6.8"/>
    <n v="20000000"/>
    <n v="123070338"/>
  </r>
  <r>
    <s v="Brave"/>
    <x v="39"/>
    <x v="1"/>
    <x v="0"/>
    <n v="93"/>
    <n v="7.2"/>
    <n v="185000000"/>
    <n v="237282182"/>
  </r>
  <r>
    <s v="Star Trek Beyond"/>
    <x v="40"/>
    <x v="0"/>
    <x v="0"/>
    <n v="122"/>
    <n v="7.5"/>
    <n v="185000000"/>
    <n v="130468626"/>
  </r>
  <r>
    <s v="WALL·E"/>
    <x v="4"/>
    <x v="1"/>
    <x v="0"/>
    <n v="98"/>
    <n v="8.4"/>
    <n v="180000000"/>
    <n v="223806889"/>
  </r>
  <r>
    <s v="Rush Hour 3"/>
    <x v="24"/>
    <x v="0"/>
    <x v="0"/>
    <n v="91"/>
    <n v="6.2"/>
    <n v="140000000"/>
    <n v="140080850"/>
  </r>
  <r>
    <s v="2012"/>
    <x v="41"/>
    <x v="0"/>
    <x v="0"/>
    <n v="158"/>
    <n v="5.8"/>
    <n v="200000000"/>
    <n v="166112167"/>
  </r>
  <r>
    <s v="A Christmas Carol"/>
    <x v="42"/>
    <x v="3"/>
    <x v="0"/>
    <n v="96"/>
    <n v="6.8"/>
    <n v="200000000"/>
    <n v="137850096"/>
  </r>
  <r>
    <s v="Jupiter Ascending"/>
    <x v="43"/>
    <x v="0"/>
    <x v="0"/>
    <n v="127"/>
    <n v="5.4"/>
    <n v="176000000"/>
    <n v="47375327"/>
  </r>
  <r>
    <s v="The Legend of Tarzan"/>
    <x v="8"/>
    <x v="0"/>
    <x v="0"/>
    <n v="110"/>
    <n v="6.6"/>
    <n v="180000000"/>
    <n v="124051759"/>
  </r>
  <r>
    <s v="The Chronicles of Narnia: The Lion, the Witch and the Wardrobe"/>
    <x v="12"/>
    <x v="1"/>
    <x v="0"/>
    <n v="150"/>
    <n v="6.9"/>
    <n v="180000000"/>
    <n v="291709845"/>
  </r>
  <r>
    <s v="X-Men: Apocalypse"/>
    <x v="10"/>
    <x v="0"/>
    <x v="0"/>
    <n v="144"/>
    <n v="7.3"/>
    <n v="178000000"/>
    <n v="154985087"/>
  </r>
  <r>
    <s v="The Dark Knight"/>
    <x v="3"/>
    <x v="0"/>
    <x v="0"/>
    <n v="152"/>
    <n v="9"/>
    <n v="185000000"/>
    <n v="533316061"/>
  </r>
  <r>
    <s v="Up"/>
    <x v="44"/>
    <x v="1"/>
    <x v="0"/>
    <n v="96"/>
    <n v="8.3000000000000007"/>
    <n v="175000000"/>
    <n v="292979556"/>
  </r>
  <r>
    <s v="Monsters vs. Aliens"/>
    <x v="45"/>
    <x v="0"/>
    <x v="0"/>
    <n v="94"/>
    <n v="6.5"/>
    <n v="175000000"/>
    <n v="198332128"/>
  </r>
  <r>
    <s v="Iron Man"/>
    <x v="46"/>
    <x v="0"/>
    <x v="0"/>
    <n v="126"/>
    <n v="7.9"/>
    <n v="140000000"/>
    <n v="318298180"/>
  </r>
  <r>
    <s v="Hugo"/>
    <x v="47"/>
    <x v="1"/>
    <x v="0"/>
    <n v="126"/>
    <n v="7.5"/>
    <n v="170000000"/>
    <n v="73820094"/>
  </r>
  <r>
    <s v="Wild Wild West"/>
    <x v="14"/>
    <x v="0"/>
    <x v="0"/>
    <n v="106"/>
    <n v="4.8"/>
    <n v="170000000"/>
    <n v="113745408"/>
  </r>
  <r>
    <s v="The Mummy: Tomb of the Dragon Emperor"/>
    <x v="48"/>
    <x v="0"/>
    <x v="0"/>
    <n v="112"/>
    <n v="5.2"/>
    <n v="145000000"/>
    <n v="102176165"/>
  </r>
  <r>
    <s v="Suicide Squad"/>
    <x v="49"/>
    <x v="0"/>
    <x v="0"/>
    <n v="123"/>
    <n v="6.9"/>
    <n v="175000000"/>
    <n v="161087183"/>
  </r>
  <r>
    <s v="Evan Almighty"/>
    <x v="50"/>
    <x v="4"/>
    <x v="0"/>
    <n v="96"/>
    <n v="5.4"/>
    <n v="175000000"/>
    <n v="100289690"/>
  </r>
  <r>
    <s v="Edge of Tomorrow"/>
    <x v="51"/>
    <x v="0"/>
    <x v="0"/>
    <n v="113"/>
    <n v="7.9"/>
    <n v="178000000"/>
    <n v="100189501"/>
  </r>
  <r>
    <s v="Waterworld"/>
    <x v="52"/>
    <x v="0"/>
    <x v="0"/>
    <n v="176"/>
    <n v="6.1"/>
    <n v="175000000"/>
    <n v="88246220"/>
  </r>
  <r>
    <s v="G.I. Joe: The Rise of Cobra"/>
    <x v="53"/>
    <x v="0"/>
    <x v="0"/>
    <n v="118"/>
    <n v="5.8"/>
    <n v="175000000"/>
    <n v="150167630"/>
  </r>
  <r>
    <s v="Inside Out"/>
    <x v="44"/>
    <x v="1"/>
    <x v="0"/>
    <n v="95"/>
    <n v="8.3000000000000007"/>
    <n v="175000000"/>
    <n v="356454367"/>
  </r>
  <r>
    <s v="The Jungle Book"/>
    <x v="46"/>
    <x v="1"/>
    <x v="0"/>
    <n v="106"/>
    <n v="7.8"/>
    <n v="175000000"/>
    <n v="362645141"/>
  </r>
  <r>
    <s v="Iron Man 2"/>
    <x v="46"/>
    <x v="0"/>
    <x v="0"/>
    <n v="124"/>
    <n v="7"/>
    <n v="200000000"/>
    <n v="312057433"/>
  </r>
  <r>
    <s v="Snow White and the Huntsman"/>
    <x v="54"/>
    <x v="0"/>
    <x v="0"/>
    <n v="132"/>
    <n v="6.1"/>
    <n v="170000000"/>
    <n v="155111815"/>
  </r>
  <r>
    <s v="Maleficent"/>
    <x v="55"/>
    <x v="0"/>
    <x v="0"/>
    <n v="97"/>
    <n v="7"/>
    <n v="180000000"/>
    <n v="241407328"/>
  </r>
  <r>
    <s v="Dawn of the Planet of the Apes"/>
    <x v="56"/>
    <x v="0"/>
    <x v="0"/>
    <n v="130"/>
    <n v="7.6"/>
    <n v="170000000"/>
    <n v="208543795"/>
  </r>
  <r>
    <s v="The Lovers"/>
    <x v="57"/>
    <x v="0"/>
    <x v="0"/>
    <n v="109"/>
    <n v="4.5"/>
    <n v="20000000"/>
    <n v="25078937"/>
  </r>
  <r>
    <s v="47 Ronin"/>
    <x v="58"/>
    <x v="0"/>
    <x v="0"/>
    <n v="128"/>
    <n v="6.3"/>
    <n v="175000000"/>
    <n v="38297305"/>
  </r>
  <r>
    <s v="Captain America: The Winter Soldier"/>
    <x v="19"/>
    <x v="0"/>
    <x v="0"/>
    <n v="136"/>
    <n v="7.8"/>
    <n v="170000000"/>
    <n v="259746958"/>
  </r>
  <r>
    <s v="Shrek Forever After"/>
    <x v="59"/>
    <x v="1"/>
    <x v="0"/>
    <n v="93"/>
    <n v="6.4"/>
    <n v="165000000"/>
    <n v="238371987"/>
  </r>
  <r>
    <s v="Tomorrowland"/>
    <x v="60"/>
    <x v="0"/>
    <x v="0"/>
    <n v="130"/>
    <n v="6.5"/>
    <n v="190000000"/>
    <n v="93417865"/>
  </r>
  <r>
    <s v="Big Hero 6"/>
    <x v="61"/>
    <x v="0"/>
    <x v="0"/>
    <n v="102"/>
    <n v="7.9"/>
    <n v="165000000"/>
    <n v="222487711"/>
  </r>
  <r>
    <s v="Wreck-It Ralph"/>
    <x v="62"/>
    <x v="1"/>
    <x v="0"/>
    <n v="101"/>
    <n v="7.8"/>
    <n v="165000000"/>
    <n v="189412677"/>
  </r>
  <r>
    <s v="The Polar Express"/>
    <x v="42"/>
    <x v="1"/>
    <x v="0"/>
    <n v="100"/>
    <n v="6.6"/>
    <n v="165000000"/>
    <n v="665426"/>
  </r>
  <r>
    <s v="Independence Day: Resurgence"/>
    <x v="41"/>
    <x v="0"/>
    <x v="0"/>
    <n v="120"/>
    <n v="5.5"/>
    <n v="165000000"/>
    <n v="102315545"/>
  </r>
  <r>
    <s v="How to Train Your Dragon"/>
    <x v="63"/>
    <x v="1"/>
    <x v="0"/>
    <n v="98"/>
    <n v="8.1999999999999993"/>
    <n v="165000000"/>
    <n v="217387997"/>
  </r>
  <r>
    <s v="Terminator 3: Rise of the Machines"/>
    <x v="64"/>
    <x v="0"/>
    <x v="0"/>
    <n v="109"/>
    <n v="6.4"/>
    <n v="200000000"/>
    <n v="150350192"/>
  </r>
  <r>
    <s v="Guardians of the Galaxy"/>
    <x v="65"/>
    <x v="0"/>
    <x v="0"/>
    <n v="121"/>
    <n v="8.1"/>
    <n v="170000000"/>
    <n v="333130696"/>
  </r>
  <r>
    <s v="Interstellar"/>
    <x v="3"/>
    <x v="1"/>
    <x v="0"/>
    <n v="169"/>
    <n v="8.6"/>
    <n v="165000000"/>
    <n v="187991439"/>
  </r>
  <r>
    <s v="Inception"/>
    <x v="3"/>
    <x v="0"/>
    <x v="0"/>
    <n v="148"/>
    <n v="8.8000000000000007"/>
    <n v="160000000"/>
    <n v="292568851"/>
  </r>
  <r>
    <s v="Godzilla Resurgence"/>
    <x v="66"/>
    <x v="0"/>
    <x v="1"/>
    <n v="120"/>
    <n v="8.1999999999999993"/>
    <n v="20000000"/>
    <n v="25078937"/>
  </r>
  <r>
    <s v="The Hobbit: An Unexpected Journey"/>
    <x v="15"/>
    <x v="1"/>
    <x v="0"/>
    <n v="182"/>
    <n v="7.9"/>
    <n v="180000000"/>
    <n v="303001229"/>
  </r>
  <r>
    <s v="The Fast and the Furious"/>
    <x v="48"/>
    <x v="0"/>
    <x v="0"/>
    <n v="106"/>
    <n v="6.7"/>
    <n v="38000000"/>
    <n v="144512310"/>
  </r>
  <r>
    <s v="The Curious Case of Benjamin Button"/>
    <x v="67"/>
    <x v="2"/>
    <x v="0"/>
    <n v="166"/>
    <n v="7.8"/>
    <n v="150000000"/>
    <n v="127490802"/>
  </r>
  <r>
    <s v="X-Men: First Class"/>
    <x v="68"/>
    <x v="0"/>
    <x v="0"/>
    <n v="132"/>
    <n v="7.8"/>
    <n v="160000000"/>
    <n v="146405371"/>
  </r>
  <r>
    <s v="The Hunger Games: Mockingjay - Part 2"/>
    <x v="69"/>
    <x v="1"/>
    <x v="0"/>
    <n v="137"/>
    <n v="6.6"/>
    <n v="160000000"/>
    <n v="281666058"/>
  </r>
  <r>
    <s v="The Sorcerer's Apprentice"/>
    <x v="70"/>
    <x v="0"/>
    <x v="0"/>
    <n v="109"/>
    <n v="6.1"/>
    <n v="150000000"/>
    <n v="63143812"/>
  </r>
  <r>
    <s v="Poseidon"/>
    <x v="71"/>
    <x v="0"/>
    <x v="0"/>
    <n v="98"/>
    <n v="5.6"/>
    <n v="160000000"/>
    <n v="60655503"/>
  </r>
  <r>
    <s v="Alice Through the Looking Glass"/>
    <x v="72"/>
    <x v="1"/>
    <x v="0"/>
    <n v="113"/>
    <n v="6.4"/>
    <n v="170000000"/>
    <n v="76846624"/>
  </r>
  <r>
    <s v="Shrek the Third"/>
    <x v="73"/>
    <x v="1"/>
    <x v="0"/>
    <n v="93"/>
    <n v="6.1"/>
    <n v="160000000"/>
    <n v="320706665"/>
  </r>
  <r>
    <s v="Warcraft"/>
    <x v="74"/>
    <x v="0"/>
    <x v="0"/>
    <n v="123"/>
    <n v="7.3"/>
    <n v="160000000"/>
    <n v="46978995"/>
  </r>
  <r>
    <s v="Terminator Genisys"/>
    <x v="75"/>
    <x v="0"/>
    <x v="0"/>
    <n v="126"/>
    <n v="6.6"/>
    <n v="155000000"/>
    <n v="89732035"/>
  </r>
  <r>
    <s v="The Chronicles of Narnia: The Voyage of the Dawn Treader"/>
    <x v="76"/>
    <x v="1"/>
    <x v="0"/>
    <n v="113"/>
    <n v="6.3"/>
    <n v="155000000"/>
    <n v="104383624"/>
  </r>
  <r>
    <s v="Pearl Harbor"/>
    <x v="26"/>
    <x v="0"/>
    <x v="0"/>
    <n v="184"/>
    <n v="6.1"/>
    <n v="140000000"/>
    <n v="198539855"/>
  </r>
  <r>
    <s v="Transformers"/>
    <x v="26"/>
    <x v="0"/>
    <x v="0"/>
    <n v="144"/>
    <n v="7.1"/>
    <n v="150000000"/>
    <n v="318759914"/>
  </r>
  <r>
    <s v="Alexander"/>
    <x v="77"/>
    <x v="0"/>
    <x v="0"/>
    <n v="206"/>
    <n v="5.5"/>
    <n v="155000000"/>
    <n v="34293771"/>
  </r>
  <r>
    <s v="Harry Potter and the Order of the Phoenix"/>
    <x v="8"/>
    <x v="1"/>
    <x v="0"/>
    <n v="138"/>
    <n v="7.5"/>
    <n v="150000000"/>
    <n v="292000866"/>
  </r>
  <r>
    <s v="Harry Potter and the Goblet of Fire"/>
    <x v="35"/>
    <x v="1"/>
    <x v="0"/>
    <n v="157"/>
    <n v="7.6"/>
    <n v="150000000"/>
    <n v="289994397"/>
  </r>
  <r>
    <s v="Hancock"/>
    <x v="20"/>
    <x v="0"/>
    <x v="0"/>
    <n v="102"/>
    <n v="6.4"/>
    <n v="150000000"/>
    <n v="227946274"/>
  </r>
  <r>
    <s v="I Am Legend"/>
    <x v="69"/>
    <x v="2"/>
    <x v="0"/>
    <n v="104"/>
    <n v="7.2"/>
    <n v="150000000"/>
    <n v="256386216"/>
  </r>
  <r>
    <s v="Charlie and the Chocolate Factory"/>
    <x v="23"/>
    <x v="1"/>
    <x v="0"/>
    <n v="115"/>
    <n v="6.7"/>
    <n v="150000000"/>
    <n v="206456431"/>
  </r>
  <r>
    <s v="Ratatouille"/>
    <x v="60"/>
    <x v="3"/>
    <x v="0"/>
    <n v="111"/>
    <n v="8"/>
    <n v="150000000"/>
    <n v="206435493"/>
  </r>
  <r>
    <s v="Batman Begins"/>
    <x v="3"/>
    <x v="0"/>
    <x v="0"/>
    <n v="128"/>
    <n v="8.3000000000000007"/>
    <n v="150000000"/>
    <n v="205343774"/>
  </r>
  <r>
    <s v="Madagascar: Escape 2 Africa"/>
    <x v="78"/>
    <x v="0"/>
    <x v="0"/>
    <n v="89"/>
    <n v="6.7"/>
    <n v="150000000"/>
    <n v="179982968"/>
  </r>
  <r>
    <s v="Night at the Museum: Battle of the Smithsonian"/>
    <x v="79"/>
    <x v="1"/>
    <x v="0"/>
    <n v="105"/>
    <n v="5.9"/>
    <n v="150000000"/>
    <n v="177243721"/>
  </r>
  <r>
    <s v="X-Men Origins: Wolverine"/>
    <x v="80"/>
    <x v="0"/>
    <x v="0"/>
    <n v="119"/>
    <n v="6.7"/>
    <n v="150000000"/>
    <n v="179883016"/>
  </r>
  <r>
    <s v="The Matrix Revolutions"/>
    <x v="43"/>
    <x v="0"/>
    <x v="0"/>
    <n v="129"/>
    <n v="6.7"/>
    <n v="150000000"/>
    <n v="139259759"/>
  </r>
  <r>
    <s v="Frozen"/>
    <x v="81"/>
    <x v="1"/>
    <x v="0"/>
    <n v="102"/>
    <n v="7.6"/>
    <n v="150000000"/>
    <n v="400736600"/>
  </r>
  <r>
    <s v="The Matrix Reloaded"/>
    <x v="43"/>
    <x v="0"/>
    <x v="0"/>
    <n v="138"/>
    <n v="7.2"/>
    <n v="150000000"/>
    <n v="281492479"/>
  </r>
  <r>
    <s v="Thor: The Dark World"/>
    <x v="75"/>
    <x v="0"/>
    <x v="0"/>
    <n v="112"/>
    <n v="7.1"/>
    <n v="170000000"/>
    <n v="206360018"/>
  </r>
  <r>
    <s v="Mad Max: Fury Road"/>
    <x v="82"/>
    <x v="0"/>
    <x v="0"/>
    <n v="120"/>
    <n v="8.1"/>
    <n v="150000000"/>
    <n v="153629485"/>
  </r>
  <r>
    <s v="Angels &amp; Demons"/>
    <x v="83"/>
    <x v="5"/>
    <x v="0"/>
    <n v="146"/>
    <n v="6.7"/>
    <n v="150000000"/>
    <n v="133375846"/>
  </r>
  <r>
    <s v="Thor"/>
    <x v="84"/>
    <x v="0"/>
    <x v="0"/>
    <n v="115"/>
    <n v="7"/>
    <n v="150000000"/>
    <n v="181015141"/>
  </r>
  <r>
    <s v="Bolt"/>
    <x v="85"/>
    <x v="1"/>
    <x v="0"/>
    <n v="96"/>
    <n v="6.9"/>
    <n v="150000000"/>
    <n v="114053579"/>
  </r>
  <r>
    <s v="G-Force"/>
    <x v="86"/>
    <x v="0"/>
    <x v="0"/>
    <n v="88"/>
    <n v="5.0999999999999996"/>
    <n v="150000000"/>
    <n v="119420252"/>
  </r>
  <r>
    <s v="Wrath of the Titans"/>
    <x v="87"/>
    <x v="0"/>
    <x v="0"/>
    <n v="99"/>
    <n v="5.8"/>
    <n v="150000000"/>
    <n v="83640426"/>
  </r>
  <r>
    <s v="Dark Shadows"/>
    <x v="23"/>
    <x v="4"/>
    <x v="0"/>
    <n v="113"/>
    <n v="6.2"/>
    <n v="100000000"/>
    <n v="79711678"/>
  </r>
  <r>
    <s v="Mission: Impossible - Rogue Nation"/>
    <x v="88"/>
    <x v="0"/>
    <x v="0"/>
    <n v="131"/>
    <n v="7.4"/>
    <n v="150000000"/>
    <n v="195000874"/>
  </r>
  <r>
    <s v="The Wolfman"/>
    <x v="89"/>
    <x v="2"/>
    <x v="0"/>
    <n v="119"/>
    <n v="5.8"/>
    <n v="150000000"/>
    <n v="61937495"/>
  </r>
  <r>
    <s v="Bee Movie"/>
    <x v="90"/>
    <x v="1"/>
    <x v="0"/>
    <n v="91"/>
    <n v="6.2"/>
    <n v="150000000"/>
    <n v="126597121"/>
  </r>
  <r>
    <s v="Kung Fu Panda 2"/>
    <x v="91"/>
    <x v="0"/>
    <x v="0"/>
    <n v="90"/>
    <n v="7.3"/>
    <n v="150000000"/>
    <n v="165230261"/>
  </r>
  <r>
    <s v="The Last Airbender"/>
    <x v="92"/>
    <x v="0"/>
    <x v="0"/>
    <n v="103"/>
    <n v="4.2"/>
    <n v="150000000"/>
    <n v="131564731"/>
  </r>
  <r>
    <s v="Mission: Impossible III"/>
    <x v="33"/>
    <x v="0"/>
    <x v="0"/>
    <n v="124"/>
    <n v="6.9"/>
    <n v="150000000"/>
    <n v="133382309"/>
  </r>
  <r>
    <s v="White House Down"/>
    <x v="41"/>
    <x v="0"/>
    <x v="0"/>
    <n v="131"/>
    <n v="6.4"/>
    <n v="150000000"/>
    <n v="73103784"/>
  </r>
  <r>
    <s v="Mars Needs Moms"/>
    <x v="93"/>
    <x v="0"/>
    <x v="0"/>
    <n v="88"/>
    <n v="5.4"/>
    <n v="150000000"/>
    <n v="21379315"/>
  </r>
  <r>
    <s v="Flushed Away"/>
    <x v="94"/>
    <x v="1"/>
    <x v="0"/>
    <n v="85"/>
    <n v="6.7"/>
    <n v="149000000"/>
    <n v="64459316"/>
  </r>
  <r>
    <s v="Pan"/>
    <x v="95"/>
    <x v="1"/>
    <x v="0"/>
    <n v="111"/>
    <n v="5.8"/>
    <n v="150000000"/>
    <n v="34964818"/>
  </r>
  <r>
    <s v="Mr. Peabody &amp; Sherman"/>
    <x v="96"/>
    <x v="1"/>
    <x v="0"/>
    <n v="92"/>
    <n v="6.9"/>
    <n v="145000000"/>
    <n v="111505642"/>
  </r>
  <r>
    <s v="Troy"/>
    <x v="71"/>
    <x v="1"/>
    <x v="0"/>
    <n v="196"/>
    <n v="7.2"/>
    <n v="175000000"/>
    <n v="133228348"/>
  </r>
  <r>
    <s v="Madagascar 3: Europe's Most Wanted"/>
    <x v="78"/>
    <x v="1"/>
    <x v="0"/>
    <n v="93"/>
    <n v="6.9"/>
    <n v="145000000"/>
    <n v="216366733"/>
  </r>
  <r>
    <s v="Die Another Day"/>
    <x v="97"/>
    <x v="0"/>
    <x v="0"/>
    <n v="133"/>
    <n v="6.1"/>
    <n v="142000000"/>
    <n v="160201106"/>
  </r>
  <r>
    <s v="Ghostbusters"/>
    <x v="98"/>
    <x v="0"/>
    <x v="0"/>
    <n v="116"/>
    <n v="5.5"/>
    <n v="144000000"/>
    <n v="118099659"/>
  </r>
  <r>
    <s v="Armageddon"/>
    <x v="26"/>
    <x v="0"/>
    <x v="0"/>
    <n v="153"/>
    <n v="6.6"/>
    <n v="140000000"/>
    <n v="201573391"/>
  </r>
  <r>
    <s v="Men in Black II"/>
    <x v="14"/>
    <x v="0"/>
    <x v="0"/>
    <n v="88"/>
    <n v="6.1"/>
    <n v="140000000"/>
    <n v="190418803"/>
  </r>
  <r>
    <s v="Beowulf"/>
    <x v="42"/>
    <x v="0"/>
    <x v="0"/>
    <n v="115"/>
    <n v="6.3"/>
    <n v="150000000"/>
    <n v="82161969"/>
  </r>
  <r>
    <s v="Kung Fu Panda 3"/>
    <x v="99"/>
    <x v="0"/>
    <x v="0"/>
    <n v="95"/>
    <n v="7.2"/>
    <n v="145000000"/>
    <n v="143523463"/>
  </r>
  <r>
    <s v="Mission: Impossible - Ghost Protocol"/>
    <x v="60"/>
    <x v="0"/>
    <x v="0"/>
    <n v="133"/>
    <n v="7.4"/>
    <n v="145000000"/>
    <n v="209364921"/>
  </r>
  <r>
    <s v="Rise of the Guardians"/>
    <x v="100"/>
    <x v="1"/>
    <x v="0"/>
    <n v="97"/>
    <n v="7.3"/>
    <n v="145000000"/>
    <n v="103400692"/>
  </r>
  <r>
    <s v="Fun with Dick and Jane"/>
    <x v="101"/>
    <x v="4"/>
    <x v="0"/>
    <n v="90"/>
    <n v="6.1"/>
    <n v="100000000"/>
    <n v="110332737"/>
  </r>
  <r>
    <s v="The Last Samurai"/>
    <x v="102"/>
    <x v="0"/>
    <x v="0"/>
    <n v="154"/>
    <n v="7.7"/>
    <n v="140000000"/>
    <n v="111110575"/>
  </r>
  <r>
    <s v="Exodus: Gods and Kings"/>
    <x v="17"/>
    <x v="0"/>
    <x v="0"/>
    <n v="150"/>
    <n v="6.1"/>
    <n v="140000000"/>
    <n v="65007045"/>
  </r>
  <r>
    <s v="Star Trek"/>
    <x v="33"/>
    <x v="0"/>
    <x v="0"/>
    <n v="127"/>
    <n v="8"/>
    <n v="150000000"/>
    <n v="257704099"/>
  </r>
  <r>
    <s v="Spider-Man"/>
    <x v="5"/>
    <x v="0"/>
    <x v="0"/>
    <n v="121"/>
    <n v="7.3"/>
    <n v="139000000"/>
    <n v="403706375"/>
  </r>
  <r>
    <s v="How to Train Your Dragon 2"/>
    <x v="63"/>
    <x v="0"/>
    <x v="0"/>
    <n v="102"/>
    <n v="7.9"/>
    <n v="145000000"/>
    <n v="176997107"/>
  </r>
  <r>
    <s v="Gods of Egypt"/>
    <x v="103"/>
    <x v="0"/>
    <x v="0"/>
    <n v="126"/>
    <n v="5.5"/>
    <n v="140000000"/>
    <n v="31141074"/>
  </r>
  <r>
    <s v="Stealth"/>
    <x v="48"/>
    <x v="0"/>
    <x v="0"/>
    <n v="121"/>
    <n v="5"/>
    <n v="135000000"/>
    <n v="31704416"/>
  </r>
  <r>
    <s v="Watchmen"/>
    <x v="9"/>
    <x v="0"/>
    <x v="0"/>
    <n v="215"/>
    <n v="7.7"/>
    <n v="130000000"/>
    <n v="107503316"/>
  </r>
  <r>
    <s v="Lethal Weapon 4"/>
    <x v="104"/>
    <x v="0"/>
    <x v="0"/>
    <n v="127"/>
    <n v="6.6"/>
    <n v="140000000"/>
    <n v="129734803"/>
  </r>
  <r>
    <s v="Hulk"/>
    <x v="105"/>
    <x v="0"/>
    <x v="0"/>
    <n v="138"/>
    <n v="5.7"/>
    <n v="137000000"/>
    <n v="132122995"/>
  </r>
  <r>
    <s v="G.I. Joe: Retaliation"/>
    <x v="106"/>
    <x v="0"/>
    <x v="0"/>
    <n v="122"/>
    <n v="5.8"/>
    <n v="130000000"/>
    <n v="122512052"/>
  </r>
  <r>
    <s v="Sahara"/>
    <x v="107"/>
    <x v="0"/>
    <x v="0"/>
    <n v="124"/>
    <n v="6"/>
    <n v="130000000"/>
    <n v="68642452"/>
  </r>
  <r>
    <s v="Final Fantasy: The Spirits Within"/>
    <x v="108"/>
    <x v="0"/>
    <x v="0"/>
    <n v="106"/>
    <n v="6.4"/>
    <n v="137000000"/>
    <n v="32131830"/>
  </r>
  <r>
    <s v="Captain America: The First Avenger"/>
    <x v="89"/>
    <x v="0"/>
    <x v="0"/>
    <n v="124"/>
    <n v="6.9"/>
    <n v="140000000"/>
    <n v="176636816"/>
  </r>
  <r>
    <s v="The World Is Not Enough"/>
    <x v="76"/>
    <x v="0"/>
    <x v="0"/>
    <n v="128"/>
    <n v="6.4"/>
    <n v="135000000"/>
    <n v="126930660"/>
  </r>
  <r>
    <s v="Master and Commander: The Far Side of the World"/>
    <x v="109"/>
    <x v="0"/>
    <x v="0"/>
    <n v="138"/>
    <n v="7.4"/>
    <n v="150000000"/>
    <n v="93926386"/>
  </r>
  <r>
    <s v="The Twilight Saga: Breaking Dawn - Part 2"/>
    <x v="110"/>
    <x v="1"/>
    <x v="0"/>
    <n v="115"/>
    <n v="5.5"/>
    <n v="120000000"/>
    <n v="292298923"/>
  </r>
  <r>
    <s v="Happy Feet 2"/>
    <x v="82"/>
    <x v="3"/>
    <x v="0"/>
    <n v="100"/>
    <n v="5.9"/>
    <n v="135000000"/>
    <n v="63992328"/>
  </r>
  <r>
    <s v="The Incredible Hulk"/>
    <x v="111"/>
    <x v="0"/>
    <x v="0"/>
    <n v="135"/>
    <n v="6.8"/>
    <n v="150000000"/>
    <n v="134518390"/>
  </r>
  <r>
    <s v="The BFG"/>
    <x v="37"/>
    <x v="1"/>
    <x v="0"/>
    <n v="117"/>
    <n v="6.8"/>
    <n v="140000000"/>
    <n v="52792307"/>
  </r>
  <r>
    <s v="The Revenant"/>
    <x v="112"/>
    <x v="1"/>
    <x v="0"/>
    <n v="156"/>
    <n v="8.1"/>
    <n v="135000000"/>
    <n v="183635922"/>
  </r>
  <r>
    <s v="Turbo"/>
    <x v="113"/>
    <x v="1"/>
    <x v="0"/>
    <n v="96"/>
    <n v="6.5"/>
    <n v="135000000"/>
    <n v="83024900"/>
  </r>
  <r>
    <s v="Rango"/>
    <x v="1"/>
    <x v="1"/>
    <x v="0"/>
    <n v="107"/>
    <n v="7.2"/>
    <n v="135000000"/>
    <n v="123207194"/>
  </r>
  <r>
    <s v="Penguins of Madagascar"/>
    <x v="78"/>
    <x v="1"/>
    <x v="0"/>
    <n v="92"/>
    <n v="6.7"/>
    <n v="132000000"/>
    <n v="83348920"/>
  </r>
  <r>
    <s v="The Bourne Ultimatum"/>
    <x v="114"/>
    <x v="0"/>
    <x v="0"/>
    <n v="115"/>
    <n v="8.1"/>
    <n v="110000000"/>
    <n v="227137090"/>
  </r>
  <r>
    <s v="Kung Fu Panda"/>
    <x v="115"/>
    <x v="0"/>
    <x v="0"/>
    <n v="92"/>
    <n v="7.6"/>
    <n v="130000000"/>
    <n v="215395021"/>
  </r>
  <r>
    <s v="Ant-Man"/>
    <x v="116"/>
    <x v="0"/>
    <x v="0"/>
    <n v="117"/>
    <n v="7.4"/>
    <n v="130000000"/>
    <n v="180191634"/>
  </r>
  <r>
    <s v="The Hunger Games: Catching Fire"/>
    <x v="69"/>
    <x v="1"/>
    <x v="0"/>
    <n v="146"/>
    <n v="7.6"/>
    <n v="130000000"/>
    <n v="424645577"/>
  </r>
  <r>
    <s v="Home"/>
    <x v="117"/>
    <x v="1"/>
    <x v="0"/>
    <n v="94"/>
    <n v="6.7"/>
    <n v="135000000"/>
    <n v="177343675"/>
  </r>
  <r>
    <s v="War of the Worlds"/>
    <x v="37"/>
    <x v="1"/>
    <x v="0"/>
    <n v="116"/>
    <n v="6.5"/>
    <n v="132000000"/>
    <n v="234277056"/>
  </r>
  <r>
    <s v="Bad Boys II"/>
    <x v="26"/>
    <x v="0"/>
    <x v="0"/>
    <n v="147"/>
    <n v="6.6"/>
    <n v="130000000"/>
    <n v="138396624"/>
  </r>
  <r>
    <s v="Puss in Boots"/>
    <x v="73"/>
    <x v="0"/>
    <x v="0"/>
    <n v="90"/>
    <n v="6.7"/>
    <n v="130000000"/>
    <n v="149234747"/>
  </r>
  <r>
    <s v="Salt"/>
    <x v="118"/>
    <x v="0"/>
    <x v="0"/>
    <n v="101"/>
    <n v="6.4"/>
    <n v="110000000"/>
    <n v="118311368"/>
  </r>
  <r>
    <s v="Noah"/>
    <x v="119"/>
    <x v="0"/>
    <x v="0"/>
    <n v="138"/>
    <n v="5.8"/>
    <n v="125000000"/>
    <n v="101160529"/>
  </r>
  <r>
    <s v="The Adventures of Tintin"/>
    <x v="37"/>
    <x v="0"/>
    <x v="0"/>
    <n v="107"/>
    <n v="7.4"/>
    <n v="135000000"/>
    <n v="77564037"/>
  </r>
  <r>
    <s v="Harry Potter and the Prisoner of Azkaban"/>
    <x v="120"/>
    <x v="1"/>
    <x v="0"/>
    <n v="142"/>
    <n v="7.8"/>
    <n v="130000000"/>
    <n v="249358727"/>
  </r>
  <r>
    <s v="Australia"/>
    <x v="34"/>
    <x v="1"/>
    <x v="0"/>
    <n v="165"/>
    <n v="6.6"/>
    <n v="130000000"/>
    <n v="49551662"/>
  </r>
  <r>
    <s v="After Earth"/>
    <x v="92"/>
    <x v="0"/>
    <x v="0"/>
    <n v="100"/>
    <n v="4.9000000000000004"/>
    <n v="130000000"/>
    <n v="60522097"/>
  </r>
  <r>
    <s v="Dinosaur"/>
    <x v="121"/>
    <x v="1"/>
    <x v="0"/>
    <n v="82"/>
    <n v="6.5"/>
    <n v="127500000"/>
    <n v="137748063"/>
  </r>
  <r>
    <s v="Night at the Museum: Secret of the Tomb"/>
    <x v="79"/>
    <x v="1"/>
    <x v="0"/>
    <n v="98"/>
    <n v="6.2"/>
    <n v="127000000"/>
    <n v="113733726"/>
  </r>
  <r>
    <s v="Megamind"/>
    <x v="122"/>
    <x v="0"/>
    <x v="0"/>
    <n v="95"/>
    <n v="7.3"/>
    <n v="130000000"/>
    <n v="148337537"/>
  </r>
  <r>
    <s v="Harry Potter and the Sorcerer's Stone"/>
    <x v="123"/>
    <x v="1"/>
    <x v="0"/>
    <n v="159"/>
    <n v="7.5"/>
    <n v="125000000"/>
    <n v="317557891"/>
  </r>
  <r>
    <s v="R.I.P.D."/>
    <x v="124"/>
    <x v="0"/>
    <x v="0"/>
    <n v="96"/>
    <n v="5.6"/>
    <n v="130000000"/>
    <n v="33592415"/>
  </r>
  <r>
    <s v="Pirates of the Caribbean: The Curse of the Black Pearl"/>
    <x v="1"/>
    <x v="0"/>
    <x v="0"/>
    <n v="143"/>
    <n v="8.1"/>
    <n v="140000000"/>
    <n v="305388685"/>
  </r>
  <r>
    <s v="The Hunger Games: Mockingjay - Part 1"/>
    <x v="69"/>
    <x v="1"/>
    <x v="0"/>
    <n v="123"/>
    <n v="6.7"/>
    <n v="125000000"/>
    <n v="337103873"/>
  </r>
  <r>
    <s v="The Da Vinci Code"/>
    <x v="83"/>
    <x v="5"/>
    <x v="0"/>
    <n v="174"/>
    <n v="6.6"/>
    <n v="125000000"/>
    <n v="217536138"/>
  </r>
  <r>
    <s v="Rio 2"/>
    <x v="125"/>
    <x v="1"/>
    <x v="0"/>
    <n v="101"/>
    <n v="6.4"/>
    <n v="103000000"/>
    <n v="131536019"/>
  </r>
  <r>
    <s v="X-Men 2"/>
    <x v="10"/>
    <x v="0"/>
    <x v="0"/>
    <n v="134"/>
    <n v="7.5"/>
    <n v="110000000"/>
    <n v="214948780"/>
  </r>
  <r>
    <s v="Fast Five"/>
    <x v="40"/>
    <x v="0"/>
    <x v="0"/>
    <n v="132"/>
    <n v="7.3"/>
    <n v="125000000"/>
    <n v="209805005"/>
  </r>
  <r>
    <s v="Sherlock Holmes: A Game of Shadows"/>
    <x v="126"/>
    <x v="0"/>
    <x v="0"/>
    <n v="129"/>
    <n v="7.5"/>
    <n v="125000000"/>
    <n v="186830669"/>
  </r>
  <r>
    <s v="Clash of the Titans"/>
    <x v="111"/>
    <x v="0"/>
    <x v="0"/>
    <n v="106"/>
    <n v="5.8"/>
    <n v="125000000"/>
    <n v="163192114"/>
  </r>
  <r>
    <s v="Total Recall"/>
    <x v="127"/>
    <x v="0"/>
    <x v="0"/>
    <n v="113"/>
    <n v="7.5"/>
    <n v="65000000"/>
    <n v="119412921"/>
  </r>
  <r>
    <s v="The 13th Warrior"/>
    <x v="128"/>
    <x v="0"/>
    <x v="0"/>
    <n v="102"/>
    <n v="6.6"/>
    <n v="85000000"/>
    <n v="32694788"/>
  </r>
  <r>
    <s v="The Bourne Legacy"/>
    <x v="129"/>
    <x v="0"/>
    <x v="0"/>
    <n v="135"/>
    <n v="6.7"/>
    <n v="125000000"/>
    <n v="113165635"/>
  </r>
  <r>
    <s v="Batman &amp; Robin"/>
    <x v="130"/>
    <x v="0"/>
    <x v="0"/>
    <n v="125"/>
    <n v="3.7"/>
    <n v="125000000"/>
    <n v="107285004"/>
  </r>
  <r>
    <s v="How the Grinch Stole Christmas"/>
    <x v="83"/>
    <x v="4"/>
    <x v="0"/>
    <n v="110"/>
    <n v="6"/>
    <n v="123000000"/>
    <n v="260031035"/>
  </r>
  <r>
    <s v="The Day After Tomorrow"/>
    <x v="41"/>
    <x v="0"/>
    <x v="0"/>
    <n v="124"/>
    <n v="6.4"/>
    <n v="125000000"/>
    <n v="186739919"/>
  </r>
  <r>
    <s v="Mission: Impossible II"/>
    <x v="131"/>
    <x v="0"/>
    <x v="0"/>
    <n v="123"/>
    <n v="6.1"/>
    <n v="125000000"/>
    <n v="215397307"/>
  </r>
  <r>
    <s v="The Perfect Storm"/>
    <x v="71"/>
    <x v="0"/>
    <x v="0"/>
    <n v="130"/>
    <n v="6.4"/>
    <n v="140000000"/>
    <n v="182618434"/>
  </r>
  <r>
    <s v="Fantastic 4: Rise of the Silver Surfer"/>
    <x v="132"/>
    <x v="0"/>
    <x v="0"/>
    <n v="92"/>
    <n v="5.6"/>
    <n v="130000000"/>
    <n v="131920333"/>
  </r>
  <r>
    <s v="Life of Pi"/>
    <x v="105"/>
    <x v="1"/>
    <x v="0"/>
    <n v="127"/>
    <n v="8"/>
    <n v="120000000"/>
    <n v="124976634"/>
  </r>
  <r>
    <s v="Ghost Rider"/>
    <x v="133"/>
    <x v="0"/>
    <x v="0"/>
    <n v="123"/>
    <n v="5.2"/>
    <n v="110000000"/>
    <n v="115802596"/>
  </r>
  <r>
    <s v="Jason Bourne"/>
    <x v="114"/>
    <x v="0"/>
    <x v="0"/>
    <n v="123"/>
    <n v="7.1"/>
    <n v="120000000"/>
    <n v="108521835"/>
  </r>
  <r>
    <s v="Charlie's Angels: Full Throttle"/>
    <x v="31"/>
    <x v="0"/>
    <x v="0"/>
    <n v="107"/>
    <n v="4.8"/>
    <n v="120000000"/>
    <n v="100685880"/>
  </r>
  <r>
    <s v="Prometheus"/>
    <x v="17"/>
    <x v="1"/>
    <x v="0"/>
    <n v="124"/>
    <n v="7"/>
    <n v="130000000"/>
    <n v="126464904"/>
  </r>
  <r>
    <s v="Stuart Little 2"/>
    <x v="96"/>
    <x v="1"/>
    <x v="0"/>
    <n v="77"/>
    <n v="5.4"/>
    <n v="120000000"/>
    <n v="64736114"/>
  </r>
  <r>
    <s v="Elysium"/>
    <x v="134"/>
    <x v="0"/>
    <x v="0"/>
    <n v="109"/>
    <n v="6.6"/>
    <n v="115000000"/>
    <n v="93050117"/>
  </r>
  <r>
    <s v="The Chronicles of Riddick"/>
    <x v="135"/>
    <x v="0"/>
    <x v="0"/>
    <n v="134"/>
    <n v="6.7"/>
    <n v="105000000"/>
    <n v="57637485"/>
  </r>
  <r>
    <s v="RoboCop"/>
    <x v="136"/>
    <x v="0"/>
    <x v="0"/>
    <n v="117"/>
    <n v="6.2"/>
    <n v="100000000"/>
    <n v="58607007"/>
  </r>
  <r>
    <s v="Speed Racer"/>
    <x v="43"/>
    <x v="0"/>
    <x v="0"/>
    <n v="135"/>
    <n v="6.1"/>
    <n v="120000000"/>
    <n v="43929341"/>
  </r>
  <r>
    <s v="How Do You Know"/>
    <x v="137"/>
    <x v="4"/>
    <x v="0"/>
    <n v="121"/>
    <n v="5.3"/>
    <n v="120000000"/>
    <n v="30212620"/>
  </r>
  <r>
    <s v="Knight and Day"/>
    <x v="138"/>
    <x v="0"/>
    <x v="0"/>
    <n v="117"/>
    <n v="6.3"/>
    <n v="117000000"/>
    <n v="76418654"/>
  </r>
  <r>
    <s v="Oblivion"/>
    <x v="27"/>
    <x v="0"/>
    <x v="0"/>
    <n v="124"/>
    <n v="7"/>
    <n v="120000000"/>
    <n v="89021735"/>
  </r>
  <r>
    <s v="Star Wars: Episode III - Revenge of the Sith"/>
    <x v="139"/>
    <x v="0"/>
    <x v="0"/>
    <n v="140"/>
    <n v="7.6"/>
    <n v="113000000"/>
    <n v="380262555"/>
  </r>
  <r>
    <s v="Star Wars: Episode II - Attack of the Clones"/>
    <x v="139"/>
    <x v="0"/>
    <x v="0"/>
    <n v="142"/>
    <n v="6.7"/>
    <n v="115000000"/>
    <n v="310675583"/>
  </r>
  <r>
    <s v="Monsters, Inc."/>
    <x v="44"/>
    <x v="1"/>
    <x v="0"/>
    <n v="92"/>
    <n v="8.1"/>
    <n v="115000000"/>
    <n v="289907418"/>
  </r>
  <r>
    <s v="The Wolverine"/>
    <x v="138"/>
    <x v="0"/>
    <x v="0"/>
    <n v="138"/>
    <n v="6.7"/>
    <n v="120000000"/>
    <n v="132550960"/>
  </r>
  <r>
    <s v="Star Wars: Episode I - The Phantom Menace"/>
    <x v="139"/>
    <x v="0"/>
    <x v="0"/>
    <n v="136"/>
    <n v="6.5"/>
    <n v="115000000"/>
    <n v="474544677"/>
  </r>
  <r>
    <s v="The Croods"/>
    <x v="140"/>
    <x v="1"/>
    <x v="0"/>
    <n v="98"/>
    <n v="7.3"/>
    <n v="135000000"/>
    <n v="187165546"/>
  </r>
  <r>
    <s v="Asterix at the Olympic Games"/>
    <x v="141"/>
    <x v="1"/>
    <x v="2"/>
    <n v="116"/>
    <n v="5.0999999999999996"/>
    <n v="78000000"/>
    <n v="25078937"/>
  </r>
  <r>
    <s v="Windtalkers"/>
    <x v="131"/>
    <x v="0"/>
    <x v="0"/>
    <n v="153"/>
    <n v="6"/>
    <n v="115000000"/>
    <n v="40911830"/>
  </r>
  <r>
    <s v="The Huntsman: Winter's War"/>
    <x v="142"/>
    <x v="0"/>
    <x v="0"/>
    <n v="120"/>
    <n v="6.1"/>
    <n v="115000000"/>
    <n v="47952020"/>
  </r>
  <r>
    <s v="Teenage Mutant Ninja Turtles"/>
    <x v="87"/>
    <x v="0"/>
    <x v="0"/>
    <n v="101"/>
    <n v="5.9"/>
    <n v="125000000"/>
    <n v="190871240"/>
  </r>
  <r>
    <s v="Gravity"/>
    <x v="120"/>
    <x v="1"/>
    <x v="0"/>
    <n v="91"/>
    <n v="7.8"/>
    <n v="100000000"/>
    <n v="274084951"/>
  </r>
  <r>
    <s v="Dante's Peak"/>
    <x v="143"/>
    <x v="0"/>
    <x v="0"/>
    <n v="108"/>
    <n v="5.8"/>
    <n v="116000000"/>
    <n v="67155742"/>
  </r>
  <r>
    <s v="Teenage Mutant Ninja Turtles: Out of the Shadows"/>
    <x v="144"/>
    <x v="0"/>
    <x v="0"/>
    <n v="112"/>
    <n v="6.3"/>
    <n v="135000000"/>
    <n v="81638674"/>
  </r>
  <r>
    <s v="Fantastic Four"/>
    <x v="145"/>
    <x v="0"/>
    <x v="0"/>
    <n v="100"/>
    <n v="4.3"/>
    <n v="120000000"/>
    <n v="56114221"/>
  </r>
  <r>
    <s v="Night at the Museum"/>
    <x v="79"/>
    <x v="0"/>
    <x v="0"/>
    <n v="108"/>
    <n v="6.4"/>
    <n v="110000000"/>
    <n v="250863268"/>
  </r>
  <r>
    <s v="San Andreas"/>
    <x v="146"/>
    <x v="0"/>
    <x v="0"/>
    <n v="114"/>
    <n v="6.1"/>
    <n v="110000000"/>
    <n v="155181732"/>
  </r>
  <r>
    <s v="Tomorrow Never Dies"/>
    <x v="147"/>
    <x v="0"/>
    <x v="0"/>
    <n v="119"/>
    <n v="6.5"/>
    <n v="110000000"/>
    <n v="125332007"/>
  </r>
  <r>
    <s v="The Patriot"/>
    <x v="41"/>
    <x v="0"/>
    <x v="0"/>
    <n v="142"/>
    <n v="7.1"/>
    <n v="110000000"/>
    <n v="113330342"/>
  </r>
  <r>
    <s v="Ocean's Twelve"/>
    <x v="148"/>
    <x v="6"/>
    <x v="0"/>
    <n v="125"/>
    <n v="6.4"/>
    <n v="110000000"/>
    <n v="125531634"/>
  </r>
  <r>
    <s v="Mr. &amp; Mrs. Smith"/>
    <x v="51"/>
    <x v="0"/>
    <x v="0"/>
    <n v="126"/>
    <n v="6.5"/>
    <n v="120000000"/>
    <n v="186336103"/>
  </r>
  <r>
    <s v="Insurgent"/>
    <x v="124"/>
    <x v="1"/>
    <x v="0"/>
    <n v="119"/>
    <n v="6.3"/>
    <n v="110000000"/>
    <n v="129995817"/>
  </r>
  <r>
    <s v="The Aviator"/>
    <x v="47"/>
    <x v="7"/>
    <x v="0"/>
    <n v="170"/>
    <n v="7.5"/>
    <n v="110000000"/>
    <n v="102608827"/>
  </r>
  <r>
    <s v="Gulliver's Travels"/>
    <x v="45"/>
    <x v="1"/>
    <x v="0"/>
    <n v="85"/>
    <n v="4.9000000000000004"/>
    <n v="112000000"/>
    <n v="42776259"/>
  </r>
  <r>
    <s v="The Green Hornet"/>
    <x v="149"/>
    <x v="0"/>
    <x v="0"/>
    <n v="119"/>
    <n v="5.8"/>
    <n v="120000000"/>
    <n v="98780042"/>
  </r>
  <r>
    <s v="300: Rise of an Empire"/>
    <x v="150"/>
    <x v="0"/>
    <x v="0"/>
    <n v="102"/>
    <n v="6.2"/>
    <n v="110000000"/>
    <n v="106369117"/>
  </r>
  <r>
    <s v="The Smurfs"/>
    <x v="151"/>
    <x v="1"/>
    <x v="0"/>
    <n v="103"/>
    <n v="5.5"/>
    <n v="110000000"/>
    <n v="142614158"/>
  </r>
  <r>
    <s v="Home on the Range"/>
    <x v="152"/>
    <x v="3"/>
    <x v="0"/>
    <n v="76"/>
    <n v="5.4"/>
    <n v="110000000"/>
    <n v="50026353"/>
  </r>
  <r>
    <s v="Allegiant"/>
    <x v="124"/>
    <x v="0"/>
    <x v="0"/>
    <n v="120"/>
    <n v="5.8"/>
    <n v="110000000"/>
    <n v="66002193"/>
  </r>
  <r>
    <s v="Real Steel"/>
    <x v="79"/>
    <x v="0"/>
    <x v="0"/>
    <n v="127"/>
    <n v="7.1"/>
    <n v="110000000"/>
    <n v="85463309"/>
  </r>
  <r>
    <s v="The Smurfs 2"/>
    <x v="151"/>
    <x v="1"/>
    <x v="0"/>
    <n v="105"/>
    <n v="5.4"/>
    <n v="105000000"/>
    <n v="71017784"/>
  </r>
  <r>
    <s v="Speed 2: Cruise Control"/>
    <x v="153"/>
    <x v="0"/>
    <x v="0"/>
    <n v="121"/>
    <n v="3.7"/>
    <n v="160000000"/>
    <n v="48068396"/>
  </r>
  <r>
    <s v="Ender's Game"/>
    <x v="80"/>
    <x v="0"/>
    <x v="0"/>
    <n v="114"/>
    <n v="6.7"/>
    <n v="110000000"/>
    <n v="61656849"/>
  </r>
  <r>
    <s v="Live Free or Die Hard"/>
    <x v="154"/>
    <x v="0"/>
    <x v="0"/>
    <n v="129"/>
    <n v="7.2"/>
    <n v="110000000"/>
    <n v="134520804"/>
  </r>
  <r>
    <s v="The Lord of the Rings: The Fellowship of the Ring"/>
    <x v="15"/>
    <x v="0"/>
    <x v="0"/>
    <n v="171"/>
    <n v="8.8000000000000007"/>
    <n v="93000000"/>
    <n v="313837577"/>
  </r>
  <r>
    <s v="Around the World in 80 Days"/>
    <x v="155"/>
    <x v="0"/>
    <x v="0"/>
    <n v="120"/>
    <n v="5.8"/>
    <n v="110000000"/>
    <n v="24004159"/>
  </r>
  <r>
    <s v="Ali"/>
    <x v="156"/>
    <x v="7"/>
    <x v="0"/>
    <n v="165"/>
    <n v="6.8"/>
    <n v="107000000"/>
    <n v="58183966"/>
  </r>
  <r>
    <s v="The Cat in the Hat"/>
    <x v="157"/>
    <x v="1"/>
    <x v="0"/>
    <n v="82"/>
    <n v="3.8"/>
    <n v="109000000"/>
    <n v="100446895"/>
  </r>
  <r>
    <s v="I, Robot"/>
    <x v="103"/>
    <x v="0"/>
    <x v="0"/>
    <n v="115"/>
    <n v="7.1"/>
    <n v="120000000"/>
    <n v="144795350"/>
  </r>
  <r>
    <s v="Kingdom of Heaven"/>
    <x v="17"/>
    <x v="0"/>
    <x v="0"/>
    <n v="194"/>
    <n v="7.2"/>
    <n v="130000000"/>
    <n v="47396698"/>
  </r>
  <r>
    <s v="Stuart Little"/>
    <x v="96"/>
    <x v="1"/>
    <x v="0"/>
    <n v="84"/>
    <n v="5.9"/>
    <n v="133000000"/>
    <n v="140015224"/>
  </r>
  <r>
    <s v="The Princess and the Frog"/>
    <x v="158"/>
    <x v="3"/>
    <x v="0"/>
    <n v="97"/>
    <n v="7.1"/>
    <n v="105000000"/>
    <n v="104374107"/>
  </r>
  <r>
    <s v="The Martian"/>
    <x v="17"/>
    <x v="1"/>
    <x v="0"/>
    <n v="151"/>
    <n v="8.1"/>
    <n v="108000000"/>
    <n v="228430993"/>
  </r>
  <r>
    <s v="The Island"/>
    <x v="26"/>
    <x v="0"/>
    <x v="0"/>
    <n v="136"/>
    <n v="6.9"/>
    <n v="126000000"/>
    <n v="35799026"/>
  </r>
  <r>
    <s v="Town &amp; Country"/>
    <x v="159"/>
    <x v="4"/>
    <x v="0"/>
    <n v="104"/>
    <n v="4.4000000000000004"/>
    <n v="90000000"/>
    <n v="6712451"/>
  </r>
  <r>
    <s v="Gone in Sixty Seconds"/>
    <x v="160"/>
    <x v="0"/>
    <x v="0"/>
    <n v="127"/>
    <n v="6.5"/>
    <n v="90000000"/>
    <n v="101643008"/>
  </r>
  <r>
    <s v="Gladiator"/>
    <x v="17"/>
    <x v="0"/>
    <x v="0"/>
    <n v="171"/>
    <n v="8.5"/>
    <n v="103000000"/>
    <n v="187670866"/>
  </r>
  <r>
    <s v="Minority Report"/>
    <x v="37"/>
    <x v="0"/>
    <x v="0"/>
    <n v="145"/>
    <n v="7.7"/>
    <n v="102000000"/>
    <n v="132014112"/>
  </r>
  <r>
    <s v="Harry Potter and the Chamber of Secrets"/>
    <x v="123"/>
    <x v="1"/>
    <x v="0"/>
    <n v="174"/>
    <n v="7.4"/>
    <n v="100000000"/>
    <n v="261970615"/>
  </r>
  <r>
    <s v="Casino Royale"/>
    <x v="29"/>
    <x v="0"/>
    <x v="0"/>
    <n v="144"/>
    <n v="8"/>
    <n v="150000000"/>
    <n v="167007184"/>
  </r>
  <r>
    <s v="Planet of the Apes"/>
    <x v="23"/>
    <x v="0"/>
    <x v="0"/>
    <n v="119"/>
    <n v="5.7"/>
    <n v="100000000"/>
    <n v="180011740"/>
  </r>
  <r>
    <s v="Terminator 2: Judgment Day"/>
    <x v="0"/>
    <x v="0"/>
    <x v="0"/>
    <n v="153"/>
    <n v="8.5"/>
    <n v="102000000"/>
    <n v="204843350"/>
  </r>
  <r>
    <s v="Public Enemies"/>
    <x v="156"/>
    <x v="7"/>
    <x v="0"/>
    <n v="140"/>
    <n v="7"/>
    <n v="100000000"/>
    <n v="97030725"/>
  </r>
  <r>
    <s v="American Gangster"/>
    <x v="17"/>
    <x v="7"/>
    <x v="0"/>
    <n v="176"/>
    <n v="7.8"/>
    <n v="100000000"/>
    <n v="130127620"/>
  </r>
  <r>
    <s v="True Lies"/>
    <x v="0"/>
    <x v="0"/>
    <x v="0"/>
    <n v="141"/>
    <n v="7.2"/>
    <n v="115000000"/>
    <n v="146282411"/>
  </r>
  <r>
    <s v="The Taking of Pelham 1 2 3"/>
    <x v="161"/>
    <x v="0"/>
    <x v="0"/>
    <n v="106"/>
    <n v="6.4"/>
    <n v="100000000"/>
    <n v="65452312"/>
  </r>
  <r>
    <s v="Little Fockers"/>
    <x v="162"/>
    <x v="4"/>
    <x v="0"/>
    <n v="98"/>
    <n v="5.5"/>
    <n v="100000000"/>
    <n v="148383780"/>
  </r>
  <r>
    <s v="The Other Guys"/>
    <x v="163"/>
    <x v="0"/>
    <x v="0"/>
    <n v="116"/>
    <n v="6.7"/>
    <n v="100000000"/>
    <n v="119219978"/>
  </r>
  <r>
    <s v="Eraser"/>
    <x v="164"/>
    <x v="0"/>
    <x v="0"/>
    <n v="115"/>
    <n v="6.1"/>
    <n v="100000000"/>
    <n v="101228120"/>
  </r>
  <r>
    <s v="Django Unchained"/>
    <x v="165"/>
    <x v="2"/>
    <x v="0"/>
    <n v="165"/>
    <n v="8.5"/>
    <n v="100000000"/>
    <n v="162804648"/>
  </r>
  <r>
    <s v="The Hunchback of Notre Dame"/>
    <x v="166"/>
    <x v="3"/>
    <x v="0"/>
    <n v="91"/>
    <n v="6.9"/>
    <n v="100000000"/>
    <n v="100117603"/>
  </r>
  <r>
    <s v="The Emperor's New Groove"/>
    <x v="167"/>
    <x v="1"/>
    <x v="0"/>
    <n v="78"/>
    <n v="7.3"/>
    <n v="100000000"/>
    <n v="89296573"/>
  </r>
  <r>
    <s v="The Expendables 2"/>
    <x v="168"/>
    <x v="0"/>
    <x v="0"/>
    <n v="103"/>
    <n v="6.7"/>
    <n v="92000000"/>
    <n v="85017401"/>
  </r>
  <r>
    <s v="National Treasure"/>
    <x v="70"/>
    <x v="0"/>
    <x v="0"/>
    <n v="131"/>
    <n v="6.9"/>
    <n v="100000000"/>
    <n v="173005002"/>
  </r>
  <r>
    <s v="Eragon"/>
    <x v="169"/>
    <x v="0"/>
    <x v="0"/>
    <n v="104"/>
    <n v="5.0999999999999996"/>
    <n v="100000000"/>
    <n v="75030163"/>
  </r>
  <r>
    <s v="Where the Wild Things Are"/>
    <x v="170"/>
    <x v="1"/>
    <x v="0"/>
    <n v="101"/>
    <n v="6.8"/>
    <n v="100000000"/>
    <n v="77222184"/>
  </r>
  <r>
    <s v="Epic"/>
    <x v="171"/>
    <x v="1"/>
    <x v="0"/>
    <n v="102"/>
    <n v="6.7"/>
    <n v="100000000"/>
    <n v="107515297"/>
  </r>
  <r>
    <s v="The Tourist"/>
    <x v="172"/>
    <x v="0"/>
    <x v="0"/>
    <n v="103"/>
    <n v="6"/>
    <n v="100000000"/>
    <n v="67631157"/>
  </r>
  <r>
    <s v="End of Days"/>
    <x v="173"/>
    <x v="0"/>
    <x v="0"/>
    <n v="121"/>
    <n v="5.7"/>
    <n v="83000000"/>
    <n v="66862068"/>
  </r>
  <r>
    <s v="Blood Diamond"/>
    <x v="102"/>
    <x v="1"/>
    <x v="0"/>
    <n v="143"/>
    <n v="8"/>
    <n v="100000000"/>
    <n v="57366262"/>
  </r>
  <r>
    <s v="The Wolf of Wall Street"/>
    <x v="47"/>
    <x v="7"/>
    <x v="0"/>
    <n v="240"/>
    <n v="8.1999999999999993"/>
    <n v="100000000"/>
    <n v="116866727"/>
  </r>
  <r>
    <s v="Batman Forever"/>
    <x v="130"/>
    <x v="0"/>
    <x v="0"/>
    <n v="121"/>
    <n v="5.4"/>
    <n v="100000000"/>
    <n v="184031112"/>
  </r>
  <r>
    <s v="Starship Troopers"/>
    <x v="127"/>
    <x v="0"/>
    <x v="0"/>
    <n v="129"/>
    <n v="7.2"/>
    <n v="105000000"/>
    <n v="54700065"/>
  </r>
  <r>
    <s v="Cloud Atlas"/>
    <x v="174"/>
    <x v="2"/>
    <x v="0"/>
    <n v="172"/>
    <n v="7.5"/>
    <n v="102000000"/>
    <n v="27098580"/>
  </r>
  <r>
    <s v="Legend of the Guardians: The Owls of Ga'Hoole"/>
    <x v="9"/>
    <x v="0"/>
    <x v="0"/>
    <n v="101"/>
    <n v="7"/>
    <n v="80000000"/>
    <n v="55673333"/>
  </r>
  <r>
    <s v="Catwoman"/>
    <x v="175"/>
    <x v="0"/>
    <x v="0"/>
    <n v="87"/>
    <n v="3.3"/>
    <n v="100000000"/>
    <n v="40198710"/>
  </r>
  <r>
    <s v="Hercules"/>
    <x v="24"/>
    <x v="0"/>
    <x v="0"/>
    <n v="101"/>
    <n v="6"/>
    <n v="100000000"/>
    <n v="72660029"/>
  </r>
  <r>
    <s v="Treasure Planet"/>
    <x v="158"/>
    <x v="1"/>
    <x v="0"/>
    <n v="95"/>
    <n v="7.1"/>
    <n v="140000000"/>
    <n v="38120554"/>
  </r>
  <r>
    <s v="Land of the Lost"/>
    <x v="176"/>
    <x v="1"/>
    <x v="0"/>
    <n v="102"/>
    <n v="5.4"/>
    <n v="100000000"/>
    <n v="49392095"/>
  </r>
  <r>
    <s v="The Expendables 3"/>
    <x v="177"/>
    <x v="0"/>
    <x v="0"/>
    <n v="131"/>
    <n v="6.1"/>
    <n v="90000000"/>
    <n v="39292022"/>
  </r>
  <r>
    <s v="Point Break"/>
    <x v="178"/>
    <x v="0"/>
    <x v="0"/>
    <n v="114"/>
    <n v="5.3"/>
    <n v="105000000"/>
    <n v="28772222"/>
  </r>
  <r>
    <s v="Son of the Mask"/>
    <x v="179"/>
    <x v="4"/>
    <x v="0"/>
    <n v="94"/>
    <n v="2.2000000000000002"/>
    <n v="84000000"/>
    <n v="17010646"/>
  </r>
  <r>
    <s v="In the Heart of the Sea"/>
    <x v="83"/>
    <x v="0"/>
    <x v="0"/>
    <n v="122"/>
    <n v="7"/>
    <n v="100000000"/>
    <n v="24985612"/>
  </r>
  <r>
    <s v="The Adventures of Pluto Nash"/>
    <x v="180"/>
    <x v="0"/>
    <x v="0"/>
    <n v="95"/>
    <n v="3.8"/>
    <n v="100000000"/>
    <n v="4411102"/>
  </r>
  <r>
    <s v="Green Zone"/>
    <x v="114"/>
    <x v="0"/>
    <x v="0"/>
    <n v="115"/>
    <n v="6.9"/>
    <n v="100000000"/>
    <n v="35024475"/>
  </r>
  <r>
    <s v="The Peanuts Movie"/>
    <x v="181"/>
    <x v="1"/>
    <x v="0"/>
    <n v="88"/>
    <n v="7.2"/>
    <n v="99000000"/>
    <n v="130174897"/>
  </r>
  <r>
    <s v="The Spanish Prisoner"/>
    <x v="182"/>
    <x v="2"/>
    <x v="0"/>
    <n v="110"/>
    <n v="7.3"/>
    <n v="10000000"/>
    <n v="10200000"/>
  </r>
  <r>
    <s v="The Mummy Returns"/>
    <x v="53"/>
    <x v="0"/>
    <x v="0"/>
    <n v="130"/>
    <n v="6.3"/>
    <n v="98000000"/>
    <n v="202007640"/>
  </r>
  <r>
    <s v="Gangs of New York"/>
    <x v="47"/>
    <x v="6"/>
    <x v="0"/>
    <n v="216"/>
    <n v="7.5"/>
    <n v="100000000"/>
    <n v="77679638"/>
  </r>
  <r>
    <s v="The Flowers of War"/>
    <x v="183"/>
    <x v="2"/>
    <x v="3"/>
    <n v="146"/>
    <n v="7.6"/>
    <n v="94000000"/>
    <n v="9213"/>
  </r>
  <r>
    <s v="Surf's Up"/>
    <x v="184"/>
    <x v="3"/>
    <x v="0"/>
    <n v="85"/>
    <n v="6.8"/>
    <n v="100000000"/>
    <n v="58867694"/>
  </r>
  <r>
    <s v="The Stepford Wives"/>
    <x v="185"/>
    <x v="4"/>
    <x v="0"/>
    <n v="93"/>
    <n v="5.2"/>
    <n v="90000000"/>
    <n v="59475623"/>
  </r>
  <r>
    <s v="Black Hawk Down"/>
    <x v="17"/>
    <x v="2"/>
    <x v="0"/>
    <n v="152"/>
    <n v="7.7"/>
    <n v="92000000"/>
    <n v="108638745"/>
  </r>
  <r>
    <s v="The Campaign"/>
    <x v="186"/>
    <x v="4"/>
    <x v="0"/>
    <n v="85"/>
    <n v="6.2"/>
    <n v="95000000"/>
    <n v="86897182"/>
  </r>
  <r>
    <s v="The Fifth Element"/>
    <x v="187"/>
    <x v="0"/>
    <x v="0"/>
    <n v="126"/>
    <n v="7.7"/>
    <n v="93000000"/>
    <n v="63540020"/>
  </r>
  <r>
    <s v="Sex and the City 2"/>
    <x v="188"/>
    <x v="4"/>
    <x v="0"/>
    <n v="146"/>
    <n v="4.3"/>
    <n v="100000000"/>
    <n v="95328937"/>
  </r>
  <r>
    <s v="The Road to El Dorado"/>
    <x v="189"/>
    <x v="1"/>
    <x v="0"/>
    <n v="89"/>
    <n v="6.9"/>
    <n v="95000000"/>
    <n v="50802661"/>
  </r>
  <r>
    <s v="Ice Age: Continental Drift"/>
    <x v="181"/>
    <x v="1"/>
    <x v="0"/>
    <n v="88"/>
    <n v="6.6"/>
    <n v="95000000"/>
    <n v="161317423"/>
  </r>
  <r>
    <s v="Cinderella"/>
    <x v="84"/>
    <x v="2"/>
    <x v="0"/>
    <n v="105"/>
    <n v="7"/>
    <n v="95000000"/>
    <n v="201148159"/>
  </r>
  <r>
    <s v="The Lovely Bones"/>
    <x v="15"/>
    <x v="2"/>
    <x v="0"/>
    <n v="135"/>
    <n v="6.7"/>
    <n v="65000000"/>
    <n v="43982842"/>
  </r>
  <r>
    <s v="Finding Nemo"/>
    <x v="4"/>
    <x v="1"/>
    <x v="0"/>
    <n v="100"/>
    <n v="8.1999999999999993"/>
    <n v="94000000"/>
    <n v="380838870"/>
  </r>
  <r>
    <s v="The Lord of the Rings: The Return of the King"/>
    <x v="15"/>
    <x v="0"/>
    <x v="0"/>
    <n v="192"/>
    <n v="8.9"/>
    <n v="94000000"/>
    <n v="377019252"/>
  </r>
  <r>
    <s v="The Lord of the Rings: The Two Towers"/>
    <x v="15"/>
    <x v="0"/>
    <x v="0"/>
    <n v="172"/>
    <n v="8.6999999999999993"/>
    <n v="94000000"/>
    <n v="340478898"/>
  </r>
  <r>
    <s v="Seventh Son"/>
    <x v="190"/>
    <x v="0"/>
    <x v="0"/>
    <n v="102"/>
    <n v="5.5"/>
    <n v="95000000"/>
    <n v="17176900"/>
  </r>
  <r>
    <s v="Lara Croft: Tomb Raider"/>
    <x v="168"/>
    <x v="0"/>
    <x v="0"/>
    <n v="100"/>
    <n v="5.7"/>
    <n v="115000000"/>
    <n v="131144183"/>
  </r>
  <r>
    <s v="Transcendence"/>
    <x v="191"/>
    <x v="2"/>
    <x v="0"/>
    <n v="119"/>
    <n v="6.3"/>
    <n v="100000000"/>
    <n v="23014504"/>
  </r>
  <r>
    <s v="Jurassic Park III"/>
    <x v="89"/>
    <x v="0"/>
    <x v="0"/>
    <n v="92"/>
    <n v="5.9"/>
    <n v="93000000"/>
    <n v="181166115"/>
  </r>
  <r>
    <s v="Rise of the Planet of the Apes"/>
    <x v="192"/>
    <x v="0"/>
    <x v="0"/>
    <n v="105"/>
    <n v="7.6"/>
    <n v="93000000"/>
    <n v="176740650"/>
  </r>
  <r>
    <s v="The Spiderwick Chronicles"/>
    <x v="193"/>
    <x v="1"/>
    <x v="0"/>
    <n v="107"/>
    <n v="6.6"/>
    <n v="90000000"/>
    <n v="71148699"/>
  </r>
  <r>
    <s v="A Good Day to Die Hard"/>
    <x v="194"/>
    <x v="0"/>
    <x v="0"/>
    <n v="101"/>
    <n v="5.3"/>
    <n v="92000000"/>
    <n v="67344392"/>
  </r>
  <r>
    <s v="The Alamo"/>
    <x v="195"/>
    <x v="2"/>
    <x v="0"/>
    <n v="137"/>
    <n v="6"/>
    <n v="107000000"/>
    <n v="22406362"/>
  </r>
  <r>
    <s v="The Incredibles"/>
    <x v="60"/>
    <x v="0"/>
    <x v="0"/>
    <n v="115"/>
    <n v="8"/>
    <n v="92000000"/>
    <n v="261437578"/>
  </r>
  <r>
    <s v="Cutthroat Island"/>
    <x v="196"/>
    <x v="0"/>
    <x v="0"/>
    <n v="124"/>
    <n v="5.6"/>
    <n v="98000000"/>
    <n v="11000000"/>
  </r>
  <r>
    <s v="Percy Jackson &amp; the Olympians: The Lightning Thief"/>
    <x v="123"/>
    <x v="1"/>
    <x v="0"/>
    <n v="118"/>
    <n v="5.9"/>
    <n v="95000000"/>
    <n v="88761720"/>
  </r>
  <r>
    <s v="Men in Black"/>
    <x v="14"/>
    <x v="1"/>
    <x v="0"/>
    <n v="98"/>
    <n v="7.3"/>
    <n v="90000000"/>
    <n v="250147615"/>
  </r>
  <r>
    <s v="Toy Story 2"/>
    <x v="28"/>
    <x v="1"/>
    <x v="0"/>
    <n v="82"/>
    <n v="7.9"/>
    <n v="90000000"/>
    <n v="245823397"/>
  </r>
  <r>
    <s v="Unstoppable"/>
    <x v="161"/>
    <x v="0"/>
    <x v="0"/>
    <n v="98"/>
    <n v="6.8"/>
    <n v="100000000"/>
    <n v="81557479"/>
  </r>
  <r>
    <s v="Rush Hour 2"/>
    <x v="24"/>
    <x v="0"/>
    <x v="0"/>
    <n v="90"/>
    <n v="6.6"/>
    <n v="90000000"/>
    <n v="226138454"/>
  </r>
  <r>
    <s v="What Lies Beneath"/>
    <x v="42"/>
    <x v="2"/>
    <x v="0"/>
    <n v="130"/>
    <n v="6.6"/>
    <n v="100000000"/>
    <n v="155370362"/>
  </r>
  <r>
    <s v="Cloudy with a Chance of Meatballs"/>
    <x v="197"/>
    <x v="3"/>
    <x v="0"/>
    <n v="90"/>
    <n v="7"/>
    <n v="100000000"/>
    <n v="124870275"/>
  </r>
  <r>
    <s v="Ice Age: Dawn of the Dinosaurs"/>
    <x v="125"/>
    <x v="0"/>
    <x v="0"/>
    <n v="94"/>
    <n v="7"/>
    <n v="90000000"/>
    <n v="196573705"/>
  </r>
  <r>
    <s v="The Secret Life of Walter Mitty"/>
    <x v="198"/>
    <x v="1"/>
    <x v="0"/>
    <n v="114"/>
    <n v="7.3"/>
    <n v="90000000"/>
    <n v="58229120"/>
  </r>
  <r>
    <s v="Charlie's Angels"/>
    <x v="31"/>
    <x v="0"/>
    <x v="0"/>
    <n v="94"/>
    <n v="5.5"/>
    <n v="92000000"/>
    <n v="125305545"/>
  </r>
  <r>
    <s v="The Departed"/>
    <x v="47"/>
    <x v="6"/>
    <x v="0"/>
    <n v="151"/>
    <n v="8.5"/>
    <n v="90000000"/>
    <n v="132373442"/>
  </r>
  <r>
    <s v="Mulan"/>
    <x v="199"/>
    <x v="1"/>
    <x v="0"/>
    <n v="88"/>
    <n v="7.5"/>
    <n v="90000000"/>
    <n v="120618403"/>
  </r>
  <r>
    <s v="Tropic Thunder"/>
    <x v="198"/>
    <x v="0"/>
    <x v="0"/>
    <n v="121"/>
    <n v="7"/>
    <n v="92000000"/>
    <n v="110416702"/>
  </r>
  <r>
    <s v="The Girl with the Dragon Tattoo"/>
    <x v="67"/>
    <x v="6"/>
    <x v="0"/>
    <n v="158"/>
    <n v="7.8"/>
    <n v="90000000"/>
    <n v="102515793"/>
  </r>
  <r>
    <s v="Die Hard with a Vengeance"/>
    <x v="128"/>
    <x v="0"/>
    <x v="0"/>
    <n v="128"/>
    <n v="7.6"/>
    <n v="90000000"/>
    <n v="100012500"/>
  </r>
  <r>
    <s v="Sherlock Holmes"/>
    <x v="126"/>
    <x v="0"/>
    <x v="0"/>
    <n v="128"/>
    <n v="7.6"/>
    <n v="90000000"/>
    <n v="209019489"/>
  </r>
  <r>
    <s v="Ben-Hur"/>
    <x v="200"/>
    <x v="1"/>
    <x v="0"/>
    <n v="141"/>
    <n v="6.1"/>
    <n v="20000000"/>
    <n v="25078937"/>
  </r>
  <r>
    <s v="Atlantis: The Lost Empire"/>
    <x v="166"/>
    <x v="0"/>
    <x v="0"/>
    <n v="95"/>
    <n v="6.8"/>
    <n v="120000000"/>
    <n v="84037039"/>
  </r>
  <r>
    <s v="Alvin and the Chipmunks: The Road Chip"/>
    <x v="201"/>
    <x v="1"/>
    <x v="0"/>
    <n v="92"/>
    <n v="5"/>
    <n v="90000000"/>
    <n v="85884815"/>
  </r>
  <r>
    <s v="Valkyrie"/>
    <x v="10"/>
    <x v="2"/>
    <x v="0"/>
    <n v="121"/>
    <n v="7.1"/>
    <n v="75000000"/>
    <n v="83077470"/>
  </r>
  <r>
    <s v="You Don't Mess with the Zohan"/>
    <x v="202"/>
    <x v="0"/>
    <x v="0"/>
    <n v="113"/>
    <n v="5.5"/>
    <n v="90000000"/>
    <n v="100018837"/>
  </r>
  <r>
    <s v="Pixels"/>
    <x v="123"/>
    <x v="0"/>
    <x v="0"/>
    <n v="106"/>
    <n v="5.6"/>
    <n v="88000000"/>
    <n v="78747585"/>
  </r>
  <r>
    <s v="A.I. Artificial Intelligence"/>
    <x v="37"/>
    <x v="1"/>
    <x v="0"/>
    <n v="146"/>
    <n v="7.1"/>
    <n v="100000000"/>
    <n v="78616689"/>
  </r>
  <r>
    <s v="The Haunted Mansion"/>
    <x v="96"/>
    <x v="4"/>
    <x v="0"/>
    <n v="88"/>
    <n v="4.9000000000000004"/>
    <n v="90000000"/>
    <n v="75817994"/>
  </r>
  <r>
    <s v="Contact"/>
    <x v="42"/>
    <x v="2"/>
    <x v="0"/>
    <n v="150"/>
    <n v="7.4"/>
    <n v="90000000"/>
    <n v="100853835"/>
  </r>
  <r>
    <s v="Hollow Man"/>
    <x v="127"/>
    <x v="0"/>
    <x v="0"/>
    <n v="119"/>
    <n v="5.7"/>
    <n v="95000000"/>
    <n v="73209340"/>
  </r>
  <r>
    <s v="The Interpreter"/>
    <x v="203"/>
    <x v="6"/>
    <x v="4"/>
    <n v="128"/>
    <n v="6.4"/>
    <n v="80000000"/>
    <n v="72515360"/>
  </r>
  <r>
    <s v="Percy Jackson: Sea of Monsters"/>
    <x v="204"/>
    <x v="1"/>
    <x v="0"/>
    <n v="106"/>
    <n v="5.9"/>
    <n v="90000000"/>
    <n v="68558662"/>
  </r>
  <r>
    <s v="Lara Croft Tomb Raider: The Cradle of Life"/>
    <x v="153"/>
    <x v="0"/>
    <x v="0"/>
    <n v="117"/>
    <n v="5.5"/>
    <n v="95000000"/>
    <n v="65653758"/>
  </r>
  <r>
    <s v="Now You See Me 2"/>
    <x v="106"/>
    <x v="0"/>
    <x v="0"/>
    <n v="129"/>
    <n v="6.9"/>
    <n v="90000000"/>
    <n v="64685359"/>
  </r>
  <r>
    <s v="The Saint"/>
    <x v="118"/>
    <x v="0"/>
    <x v="0"/>
    <n v="116"/>
    <n v="6.2"/>
    <n v="68000000"/>
    <n v="61355436"/>
  </r>
  <r>
    <s v="Spy Game"/>
    <x v="161"/>
    <x v="0"/>
    <x v="0"/>
    <n v="114"/>
    <n v="7"/>
    <n v="92000000"/>
    <n v="26871"/>
  </r>
  <r>
    <s v="Mission to Mars"/>
    <x v="205"/>
    <x v="1"/>
    <x v="0"/>
    <n v="114"/>
    <n v="5.6"/>
    <n v="90000000"/>
    <n v="60874615"/>
  </r>
  <r>
    <s v="Rio"/>
    <x v="125"/>
    <x v="1"/>
    <x v="0"/>
    <n v="96"/>
    <n v="7"/>
    <n v="90000000"/>
    <n v="143618384"/>
  </r>
  <r>
    <s v="Bicentennial Man"/>
    <x v="123"/>
    <x v="4"/>
    <x v="0"/>
    <n v="132"/>
    <n v="6.8"/>
    <n v="100000000"/>
    <n v="58220776"/>
  </r>
  <r>
    <s v="Volcano"/>
    <x v="206"/>
    <x v="0"/>
    <x v="0"/>
    <n v="104"/>
    <n v="5.4"/>
    <n v="90000000"/>
    <n v="47474112"/>
  </r>
  <r>
    <s v="The Devil's Own"/>
    <x v="207"/>
    <x v="0"/>
    <x v="0"/>
    <n v="111"/>
    <n v="6.1"/>
    <n v="86000000"/>
    <n v="42877165"/>
  </r>
  <r>
    <s v="K-19: The Widowmaker"/>
    <x v="208"/>
    <x v="2"/>
    <x v="0"/>
    <n v="138"/>
    <n v="6.7"/>
    <n v="100000000"/>
    <n v="35168677"/>
  </r>
  <r>
    <s v="Conan the Barbarian"/>
    <x v="209"/>
    <x v="1"/>
    <x v="0"/>
    <n v="129"/>
    <n v="6.9"/>
    <n v="20000000"/>
    <n v="37567440"/>
  </r>
  <r>
    <s v="Cinderella Man"/>
    <x v="83"/>
    <x v="7"/>
    <x v="0"/>
    <n v="144"/>
    <n v="8"/>
    <n v="88000000"/>
    <n v="61644321"/>
  </r>
  <r>
    <s v="The Nutcracker in 3D"/>
    <x v="210"/>
    <x v="0"/>
    <x v="0"/>
    <n v="110"/>
    <n v="4.4000000000000004"/>
    <n v="90000000"/>
    <n v="190562"/>
  </r>
  <r>
    <s v="Seabiscuit"/>
    <x v="211"/>
    <x v="2"/>
    <x v="0"/>
    <n v="140"/>
    <n v="7.3"/>
    <n v="87000000"/>
    <n v="120147445"/>
  </r>
  <r>
    <s v="Twister"/>
    <x v="153"/>
    <x v="0"/>
    <x v="0"/>
    <n v="113"/>
    <n v="6.3"/>
    <n v="92000000"/>
    <n v="241688385"/>
  </r>
  <r>
    <s v="Cast Away"/>
    <x v="42"/>
    <x v="1"/>
    <x v="0"/>
    <n v="143"/>
    <n v="7.7"/>
    <n v="90000000"/>
    <n v="233630478"/>
  </r>
  <r>
    <s v="Happy Feet"/>
    <x v="82"/>
    <x v="3"/>
    <x v="0"/>
    <n v="108"/>
    <n v="6.5"/>
    <n v="100000000"/>
    <n v="197992827"/>
  </r>
  <r>
    <s v="The Bourne Supremacy"/>
    <x v="114"/>
    <x v="0"/>
    <x v="0"/>
    <n v="108"/>
    <n v="7.8"/>
    <n v="75000000"/>
    <n v="176049130"/>
  </r>
  <r>
    <s v="Air Force One"/>
    <x v="71"/>
    <x v="0"/>
    <x v="0"/>
    <n v="124"/>
    <n v="6.4"/>
    <n v="85000000"/>
    <n v="172620724"/>
  </r>
  <r>
    <s v="Ocean's Eleven"/>
    <x v="148"/>
    <x v="6"/>
    <x v="0"/>
    <n v="116"/>
    <n v="7.8"/>
    <n v="85000000"/>
    <n v="183405771"/>
  </r>
  <r>
    <s v="The Three Musketeers"/>
    <x v="212"/>
    <x v="0"/>
    <x v="0"/>
    <n v="110"/>
    <n v="5.8"/>
    <n v="75000000"/>
    <n v="20315324"/>
  </r>
  <r>
    <s v="Hotel Transylvania"/>
    <x v="213"/>
    <x v="3"/>
    <x v="0"/>
    <n v="91"/>
    <n v="7.1"/>
    <n v="85000000"/>
    <n v="148313048"/>
  </r>
  <r>
    <s v="Enchanted"/>
    <x v="214"/>
    <x v="3"/>
    <x v="0"/>
    <n v="107"/>
    <n v="7.1"/>
    <n v="85000000"/>
    <n v="127706877"/>
  </r>
  <r>
    <s v="Safe House"/>
    <x v="215"/>
    <x v="0"/>
    <x v="0"/>
    <n v="115"/>
    <n v="6.8"/>
    <n v="85000000"/>
    <n v="126149655"/>
  </r>
  <r>
    <s v="102 Dalmatians"/>
    <x v="214"/>
    <x v="1"/>
    <x v="0"/>
    <n v="100"/>
    <n v="4.8"/>
    <n v="85000000"/>
    <n v="66941559"/>
  </r>
  <r>
    <s v="Tower Heist"/>
    <x v="24"/>
    <x v="0"/>
    <x v="0"/>
    <n v="104"/>
    <n v="6.2"/>
    <n v="75000000"/>
    <n v="78009155"/>
  </r>
  <r>
    <s v="The Holiday"/>
    <x v="216"/>
    <x v="4"/>
    <x v="0"/>
    <n v="138"/>
    <n v="6.9"/>
    <n v="85000000"/>
    <n v="63224849"/>
  </r>
  <r>
    <s v="Enemy of the State"/>
    <x v="161"/>
    <x v="0"/>
    <x v="0"/>
    <n v="140"/>
    <n v="7.3"/>
    <n v="90000000"/>
    <n v="111544445"/>
  </r>
  <r>
    <s v="It's Complicated"/>
    <x v="216"/>
    <x v="4"/>
    <x v="0"/>
    <n v="120"/>
    <n v="6.6"/>
    <n v="85000000"/>
    <n v="112703470"/>
  </r>
  <r>
    <s v="Ocean's Thirteen"/>
    <x v="148"/>
    <x v="6"/>
    <x v="0"/>
    <n v="122"/>
    <n v="6.9"/>
    <n v="85000000"/>
    <n v="117144465"/>
  </r>
  <r>
    <s v="Open Season"/>
    <x v="217"/>
    <x v="1"/>
    <x v="0"/>
    <n v="83"/>
    <n v="6.2"/>
    <n v="85000000"/>
    <n v="84303558"/>
  </r>
  <r>
    <s v="Divergent"/>
    <x v="218"/>
    <x v="1"/>
    <x v="0"/>
    <n v="139"/>
    <n v="6.7"/>
    <n v="85000000"/>
    <n v="150832203"/>
  </r>
  <r>
    <s v="Enemy at the Gates"/>
    <x v="219"/>
    <x v="2"/>
    <x v="0"/>
    <n v="131"/>
    <n v="7.6"/>
    <n v="68000000"/>
    <n v="51396781"/>
  </r>
  <r>
    <s v="The Rundown"/>
    <x v="20"/>
    <x v="0"/>
    <x v="0"/>
    <n v="104"/>
    <n v="6.7"/>
    <n v="85000000"/>
    <n v="47592825"/>
  </r>
  <r>
    <s v="Last Action Hero"/>
    <x v="128"/>
    <x v="0"/>
    <x v="0"/>
    <n v="130"/>
    <n v="6.2"/>
    <n v="70000000"/>
    <n v="50016394"/>
  </r>
  <r>
    <s v="Memoirs of a Geisha"/>
    <x v="13"/>
    <x v="2"/>
    <x v="0"/>
    <n v="145"/>
    <n v="7.3"/>
    <n v="85000000"/>
    <n v="57010853"/>
  </r>
  <r>
    <s v="The Fast and the Furious: Tokyo Drift"/>
    <x v="40"/>
    <x v="0"/>
    <x v="0"/>
    <n v="104"/>
    <n v="6"/>
    <n v="85000000"/>
    <n v="62494975"/>
  </r>
  <r>
    <s v="Arthur Christmas"/>
    <x v="220"/>
    <x v="1"/>
    <x v="0"/>
    <n v="97"/>
    <n v="7.1"/>
    <n v="100000000"/>
    <n v="46440491"/>
  </r>
  <r>
    <s v="Meet Joe Black"/>
    <x v="221"/>
    <x v="2"/>
    <x v="0"/>
    <n v="178"/>
    <n v="7.1"/>
    <n v="90000000"/>
    <n v="44606335"/>
  </r>
  <r>
    <s v="Collateral Damage"/>
    <x v="222"/>
    <x v="0"/>
    <x v="0"/>
    <n v="108"/>
    <n v="5.5"/>
    <n v="85000000"/>
    <n v="40048332"/>
  </r>
  <r>
    <s v="All That Jazz"/>
    <x v="223"/>
    <x v="4"/>
    <x v="0"/>
    <n v="123"/>
    <n v="7.8"/>
    <n v="20000000"/>
    <n v="25078937"/>
  </r>
  <r>
    <s v="Mirror Mirror"/>
    <x v="224"/>
    <x v="1"/>
    <x v="0"/>
    <n v="106"/>
    <n v="5.6"/>
    <n v="85000000"/>
    <n v="64933670"/>
  </r>
  <r>
    <s v="Scott Pilgrim vs. the World"/>
    <x v="225"/>
    <x v="0"/>
    <x v="0"/>
    <n v="112"/>
    <n v="7.5"/>
    <n v="60000000"/>
    <n v="31494270"/>
  </r>
  <r>
    <s v="The Core"/>
    <x v="226"/>
    <x v="0"/>
    <x v="0"/>
    <n v="135"/>
    <n v="5.4"/>
    <n v="60000000"/>
    <n v="31111260"/>
  </r>
  <r>
    <s v="Nutty Professor II: The Klumps"/>
    <x v="227"/>
    <x v="4"/>
    <x v="0"/>
    <n v="109"/>
    <n v="4.3"/>
    <n v="65000000"/>
    <n v="123307945"/>
  </r>
  <r>
    <s v="Scooby-Doo"/>
    <x v="151"/>
    <x v="1"/>
    <x v="0"/>
    <n v="86"/>
    <n v="4.9000000000000004"/>
    <n v="84000000"/>
    <n v="153288182"/>
  </r>
  <r>
    <s v="Dredd"/>
    <x v="228"/>
    <x v="0"/>
    <x v="0"/>
    <n v="95"/>
    <n v="7.1"/>
    <n v="35000000"/>
    <n v="13401683"/>
  </r>
  <r>
    <s v="Click"/>
    <x v="155"/>
    <x v="4"/>
    <x v="0"/>
    <n v="107"/>
    <n v="6.4"/>
    <n v="70000000"/>
    <n v="137340146"/>
  </r>
  <r>
    <s v="Creepshow"/>
    <x v="229"/>
    <x v="4"/>
    <x v="0"/>
    <n v="130"/>
    <n v="6.9"/>
    <n v="8000000"/>
    <n v="25078937"/>
  </r>
  <r>
    <s v="Cats &amp; Dogs: The Revenge of Kitty Galore"/>
    <x v="146"/>
    <x v="0"/>
    <x v="0"/>
    <n v="82"/>
    <n v="4.3"/>
    <n v="85000000"/>
    <n v="43575716"/>
  </r>
  <r>
    <s v="Jumper"/>
    <x v="51"/>
    <x v="0"/>
    <x v="0"/>
    <n v="88"/>
    <n v="6.1"/>
    <n v="85000000"/>
    <n v="80170146"/>
  </r>
  <r>
    <s v="Hellboy II: The Golden Army"/>
    <x v="36"/>
    <x v="0"/>
    <x v="0"/>
    <n v="120"/>
    <n v="7"/>
    <n v="85000000"/>
    <n v="75754670"/>
  </r>
  <r>
    <s v="Zodiac"/>
    <x v="67"/>
    <x v="6"/>
    <x v="0"/>
    <n v="162"/>
    <n v="7.7"/>
    <n v="65000000"/>
    <n v="33048353"/>
  </r>
  <r>
    <s v="The 6th Day"/>
    <x v="147"/>
    <x v="0"/>
    <x v="0"/>
    <n v="123"/>
    <n v="5.9"/>
    <n v="82000000"/>
    <n v="34543701"/>
  </r>
  <r>
    <s v="Bruce Almighty"/>
    <x v="50"/>
    <x v="4"/>
    <x v="0"/>
    <n v="101"/>
    <n v="6.7"/>
    <n v="81000000"/>
    <n v="242589580"/>
  </r>
  <r>
    <s v="The Expendables"/>
    <x v="230"/>
    <x v="0"/>
    <x v="0"/>
    <n v="113"/>
    <n v="6.5"/>
    <n v="80000000"/>
    <n v="102981571"/>
  </r>
  <r>
    <s v="Mission: Impossible"/>
    <x v="205"/>
    <x v="0"/>
    <x v="0"/>
    <n v="110"/>
    <n v="7.1"/>
    <n v="80000000"/>
    <n v="180965237"/>
  </r>
  <r>
    <s v="The Hunger Games"/>
    <x v="211"/>
    <x v="1"/>
    <x v="0"/>
    <n v="142"/>
    <n v="7.3"/>
    <n v="78000000"/>
    <n v="407999255"/>
  </r>
  <r>
    <s v="The Hangover Part II"/>
    <x v="231"/>
    <x v="4"/>
    <x v="0"/>
    <n v="102"/>
    <n v="6.5"/>
    <n v="80000000"/>
    <n v="254455986"/>
  </r>
  <r>
    <s v="Batman Returns"/>
    <x v="23"/>
    <x v="0"/>
    <x v="0"/>
    <n v="126"/>
    <n v="7"/>
    <n v="80000000"/>
    <n v="162831698"/>
  </r>
  <r>
    <s v="Over the Hedge"/>
    <x v="117"/>
    <x v="1"/>
    <x v="0"/>
    <n v="83"/>
    <n v="6.8"/>
    <n v="80000000"/>
    <n v="155019340"/>
  </r>
  <r>
    <s v="Lilo &amp; Stitch"/>
    <x v="63"/>
    <x v="1"/>
    <x v="0"/>
    <n v="85"/>
    <n v="7.2"/>
    <n v="80000000"/>
    <n v="145771527"/>
  </r>
  <r>
    <s v="Charlotte's Web"/>
    <x v="232"/>
    <x v="4"/>
    <x v="0"/>
    <n v="97"/>
    <n v="6.4"/>
    <n v="20000000"/>
    <n v="82506325"/>
  </r>
  <r>
    <s v="Deep Impact"/>
    <x v="233"/>
    <x v="0"/>
    <x v="0"/>
    <n v="120"/>
    <n v="6.1"/>
    <n v="75000000"/>
    <n v="140459099"/>
  </r>
  <r>
    <s v="RED 2"/>
    <x v="101"/>
    <x v="0"/>
    <x v="0"/>
    <n v="116"/>
    <n v="6.7"/>
    <n v="84000000"/>
    <n v="53215979"/>
  </r>
  <r>
    <s v="The Longest Yard"/>
    <x v="227"/>
    <x v="4"/>
    <x v="0"/>
    <n v="113"/>
    <n v="6.4"/>
    <n v="82000000"/>
    <n v="158115031"/>
  </r>
  <r>
    <s v="Alvin and the Chipmunks: Chipwrecked"/>
    <x v="59"/>
    <x v="1"/>
    <x v="0"/>
    <n v="87"/>
    <n v="4.4000000000000004"/>
    <n v="75000000"/>
    <n v="133103929"/>
  </r>
  <r>
    <s v="Grown Ups 2"/>
    <x v="202"/>
    <x v="4"/>
    <x v="0"/>
    <n v="101"/>
    <n v="5.4"/>
    <n v="80000000"/>
    <n v="133668525"/>
  </r>
  <r>
    <s v="Get Smart"/>
    <x v="227"/>
    <x v="0"/>
    <x v="0"/>
    <n v="110"/>
    <n v="6.5"/>
    <n v="80000000"/>
    <n v="130313314"/>
  </r>
  <r>
    <s v="Something's Gotta Give"/>
    <x v="216"/>
    <x v="4"/>
    <x v="0"/>
    <n v="128"/>
    <n v="6.7"/>
    <n v="80000000"/>
    <n v="124590960"/>
  </r>
  <r>
    <s v="Shutter Island"/>
    <x v="47"/>
    <x v="5"/>
    <x v="0"/>
    <n v="138"/>
    <n v="8.1"/>
    <n v="80000000"/>
    <n v="127968405"/>
  </r>
  <r>
    <s v="Four Christmases"/>
    <x v="234"/>
    <x v="4"/>
    <x v="0"/>
    <n v="88"/>
    <n v="5.6"/>
    <n v="80000000"/>
    <n v="120136047"/>
  </r>
  <r>
    <s v="Robots"/>
    <x v="171"/>
    <x v="1"/>
    <x v="0"/>
    <n v="91"/>
    <n v="6.3"/>
    <n v="75000000"/>
    <n v="128200012"/>
  </r>
  <r>
    <s v="Face/Off"/>
    <x v="131"/>
    <x v="0"/>
    <x v="0"/>
    <n v="138"/>
    <n v="7.3"/>
    <n v="80000000"/>
    <n v="112225777"/>
  </r>
  <r>
    <s v="Bedtime Stories"/>
    <x v="235"/>
    <x v="4"/>
    <x v="0"/>
    <n v="99"/>
    <n v="6.1"/>
    <n v="80000000"/>
    <n v="109993847"/>
  </r>
  <r>
    <s v="Road to Perdition"/>
    <x v="2"/>
    <x v="6"/>
    <x v="0"/>
    <n v="117"/>
    <n v="7.7"/>
    <n v="80000000"/>
    <n v="104054514"/>
  </r>
  <r>
    <s v="Just Go with It"/>
    <x v="202"/>
    <x v="4"/>
    <x v="0"/>
    <n v="117"/>
    <n v="6.4"/>
    <n v="80000000"/>
    <n v="103028109"/>
  </r>
  <r>
    <s v="Con Air"/>
    <x v="168"/>
    <x v="0"/>
    <x v="0"/>
    <n v="123"/>
    <n v="6.8"/>
    <n v="75000000"/>
    <n v="101087161"/>
  </r>
  <r>
    <s v="Eagle Eye"/>
    <x v="236"/>
    <x v="0"/>
    <x v="0"/>
    <n v="118"/>
    <n v="6.6"/>
    <n v="80000000"/>
    <n v="101111837"/>
  </r>
  <r>
    <s v="Cold Mountain"/>
    <x v="237"/>
    <x v="1"/>
    <x v="0"/>
    <n v="154"/>
    <n v="7.2"/>
    <n v="79000000"/>
    <n v="95632614"/>
  </r>
  <r>
    <s v="The Book of Eli"/>
    <x v="238"/>
    <x v="0"/>
    <x v="0"/>
    <n v="118"/>
    <n v="6.9"/>
    <n v="80000000"/>
    <n v="94822707"/>
  </r>
  <r>
    <s v="Flubber"/>
    <x v="239"/>
    <x v="4"/>
    <x v="0"/>
    <n v="90"/>
    <n v="5.2"/>
    <n v="80000000"/>
    <n v="92969824"/>
  </r>
  <r>
    <s v="The Haunting"/>
    <x v="153"/>
    <x v="8"/>
    <x v="0"/>
    <n v="113"/>
    <n v="4.9000000000000004"/>
    <n v="80000000"/>
    <n v="91188905"/>
  </r>
  <r>
    <s v="Space Jam"/>
    <x v="240"/>
    <x v="1"/>
    <x v="0"/>
    <n v="88"/>
    <n v="6.3"/>
    <n v="80000000"/>
    <n v="90443603"/>
  </r>
  <r>
    <s v="The Pink Panther"/>
    <x v="79"/>
    <x v="1"/>
    <x v="0"/>
    <n v="93"/>
    <n v="5.6"/>
    <n v="65000000"/>
    <n v="82226474"/>
  </r>
  <r>
    <s v="The Day the Earth Stood Still"/>
    <x v="241"/>
    <x v="2"/>
    <x v="0"/>
    <n v="104"/>
    <n v="5.5"/>
    <n v="80000000"/>
    <n v="79363785"/>
  </r>
  <r>
    <s v="Conspiracy Theory"/>
    <x v="104"/>
    <x v="0"/>
    <x v="0"/>
    <n v="135"/>
    <n v="6.7"/>
    <n v="75000000"/>
    <n v="76081498"/>
  </r>
  <r>
    <s v="Fury"/>
    <x v="49"/>
    <x v="0"/>
    <x v="0"/>
    <n v="134"/>
    <n v="7.6"/>
    <n v="68000000"/>
    <n v="85707116"/>
  </r>
  <r>
    <s v="Six Days Seven Nights"/>
    <x v="242"/>
    <x v="0"/>
    <x v="0"/>
    <n v="98"/>
    <n v="5.7"/>
    <n v="70000000"/>
    <n v="74329966"/>
  </r>
  <r>
    <s v="Yogi Bear"/>
    <x v="243"/>
    <x v="1"/>
    <x v="0"/>
    <n v="80"/>
    <n v="4.5999999999999996"/>
    <n v="80000000"/>
    <n v="100169068"/>
  </r>
  <r>
    <s v="Spirit: Stallion of the Cimarron"/>
    <x v="244"/>
    <x v="1"/>
    <x v="0"/>
    <n v="83"/>
    <n v="7"/>
    <n v="80000000"/>
    <n v="73215310"/>
  </r>
  <r>
    <s v="Zookeeper"/>
    <x v="155"/>
    <x v="4"/>
    <x v="0"/>
    <n v="102"/>
    <n v="5.2"/>
    <n v="80000000"/>
    <n v="80360866"/>
  </r>
  <r>
    <s v="Lost in Space"/>
    <x v="245"/>
    <x v="0"/>
    <x v="0"/>
    <n v="130"/>
    <n v="5.0999999999999996"/>
    <n v="80000000"/>
    <n v="69102910"/>
  </r>
  <r>
    <s v="The Manchurian Candidate"/>
    <x v="246"/>
    <x v="2"/>
    <x v="0"/>
    <n v="129"/>
    <n v="6.6"/>
    <n v="80000000"/>
    <n v="65948711"/>
  </r>
  <r>
    <s v="Déjà Vu"/>
    <x v="247"/>
    <x v="2"/>
    <x v="0"/>
    <n v="117"/>
    <n v="7"/>
    <n v="20000000"/>
    <n v="821997"/>
  </r>
  <r>
    <s v="Hotel Transylvania 2"/>
    <x v="213"/>
    <x v="3"/>
    <x v="0"/>
    <n v="89"/>
    <n v="6.7"/>
    <n v="80000000"/>
    <n v="169692572"/>
  </r>
  <r>
    <s v="Fantasia 2000"/>
    <x v="248"/>
    <x v="3"/>
    <x v="0"/>
    <n v="74"/>
    <n v="7.3"/>
    <n v="80000000"/>
    <n v="60507228"/>
  </r>
  <r>
    <s v="The Time Machine"/>
    <x v="93"/>
    <x v="0"/>
    <x v="0"/>
    <n v="96"/>
    <n v="5.9"/>
    <n v="80000000"/>
    <n v="56684819"/>
  </r>
  <r>
    <s v="Mighty Joe Young"/>
    <x v="180"/>
    <x v="0"/>
    <x v="0"/>
    <n v="114"/>
    <n v="5.6"/>
    <n v="90000000"/>
    <n v="50628009"/>
  </r>
  <r>
    <s v="Swordfish"/>
    <x v="160"/>
    <x v="0"/>
    <x v="0"/>
    <n v="99"/>
    <n v="6.5"/>
    <n v="80000000"/>
    <n v="69772969"/>
  </r>
  <r>
    <s v="The Legend of Zorro"/>
    <x v="29"/>
    <x v="0"/>
    <x v="5"/>
    <n v="129"/>
    <n v="5.9"/>
    <n v="75000000"/>
    <n v="45356386"/>
  </r>
  <r>
    <s v="What Dreams May Come"/>
    <x v="249"/>
    <x v="2"/>
    <x v="0"/>
    <n v="113"/>
    <n v="7"/>
    <n v="85000000"/>
    <n v="55350897"/>
  </r>
  <r>
    <s v="Little Nicky"/>
    <x v="250"/>
    <x v="4"/>
    <x v="0"/>
    <n v="90"/>
    <n v="5.3"/>
    <n v="80000000"/>
    <n v="39442871"/>
  </r>
  <r>
    <s v="The Brothers Grimm"/>
    <x v="251"/>
    <x v="0"/>
    <x v="0"/>
    <n v="118"/>
    <n v="5.9"/>
    <n v="88000000"/>
    <n v="37899638"/>
  </r>
  <r>
    <s v="Mars Attacks!"/>
    <x v="23"/>
    <x v="0"/>
    <x v="0"/>
    <n v="106"/>
    <n v="6.3"/>
    <n v="70000000"/>
    <n v="37754208"/>
  </r>
  <r>
    <s v="Evolution"/>
    <x v="252"/>
    <x v="2"/>
    <x v="2"/>
    <n v="81"/>
    <n v="6.4"/>
    <n v="20000000"/>
    <n v="25078937"/>
  </r>
  <r>
    <s v="The Edge"/>
    <x v="97"/>
    <x v="0"/>
    <x v="0"/>
    <n v="117"/>
    <n v="6.9"/>
    <n v="20000000"/>
    <n v="27779888"/>
  </r>
  <r>
    <s v="Surrogates"/>
    <x v="64"/>
    <x v="0"/>
    <x v="0"/>
    <n v="89"/>
    <n v="6.3"/>
    <n v="80000000"/>
    <n v="38542418"/>
  </r>
  <r>
    <s v="Thirteen Days"/>
    <x v="143"/>
    <x v="2"/>
    <x v="0"/>
    <n v="145"/>
    <n v="7.3"/>
    <n v="80000000"/>
    <n v="34566746"/>
  </r>
  <r>
    <s v="Daylight"/>
    <x v="48"/>
    <x v="0"/>
    <x v="0"/>
    <n v="114"/>
    <n v="5.8"/>
    <n v="80000000"/>
    <n v="32885565"/>
  </r>
  <r>
    <s v="Walking with Dinosaurs 3D"/>
    <x v="253"/>
    <x v="1"/>
    <x v="0"/>
    <n v="87"/>
    <n v="5.2"/>
    <n v="80000000"/>
    <n v="36073232"/>
  </r>
  <r>
    <s v="Battlefield Earth"/>
    <x v="254"/>
    <x v="0"/>
    <x v="0"/>
    <n v="119"/>
    <n v="2.4"/>
    <n v="44000000"/>
    <n v="21471685"/>
  </r>
  <r>
    <s v="Looney Tunes: Back in Action"/>
    <x v="255"/>
    <x v="1"/>
    <x v="0"/>
    <n v="91"/>
    <n v="5.7"/>
    <n v="80000000"/>
    <n v="20950820"/>
  </r>
  <r>
    <s v="Nine"/>
    <x v="13"/>
    <x v="2"/>
    <x v="0"/>
    <n v="118"/>
    <n v="5.8"/>
    <n v="80000000"/>
    <n v="19673424"/>
  </r>
  <r>
    <s v="Timeline"/>
    <x v="104"/>
    <x v="0"/>
    <x v="0"/>
    <n v="116"/>
    <n v="5.6"/>
    <n v="80000000"/>
    <n v="19480739"/>
  </r>
  <r>
    <s v="The Postman"/>
    <x v="256"/>
    <x v="0"/>
    <x v="0"/>
    <n v="177"/>
    <n v="6"/>
    <n v="80000000"/>
    <n v="17593391"/>
  </r>
  <r>
    <s v="Babe: Pig in the City"/>
    <x v="82"/>
    <x v="1"/>
    <x v="0"/>
    <n v="97"/>
    <n v="5.8"/>
    <n v="80000000"/>
    <n v="18318000"/>
  </r>
  <r>
    <s v="The Last Witch Hunter"/>
    <x v="107"/>
    <x v="0"/>
    <x v="0"/>
    <n v="106"/>
    <n v="6"/>
    <n v="90000000"/>
    <n v="27356090"/>
  </r>
  <r>
    <s v="Red Planet"/>
    <x v="257"/>
    <x v="0"/>
    <x v="0"/>
    <n v="106"/>
    <n v="5.7"/>
    <n v="70000000"/>
    <n v="17473245"/>
  </r>
  <r>
    <s v="Arthur and the Invisibles"/>
    <x v="187"/>
    <x v="1"/>
    <x v="0"/>
    <n v="94"/>
    <n v="6"/>
    <n v="86000000"/>
    <n v="15131330"/>
  </r>
  <r>
    <s v="Oceans"/>
    <x v="258"/>
    <x v="9"/>
    <x v="2"/>
    <n v="104"/>
    <n v="7.8"/>
    <n v="40000000"/>
    <n v="19406406"/>
  </r>
  <r>
    <s v="A Sound of Thunder"/>
    <x v="173"/>
    <x v="0"/>
    <x v="0"/>
    <n v="102"/>
    <n v="4.2"/>
    <n v="52000000"/>
    <n v="1891821"/>
  </r>
  <r>
    <s v="Pompeii"/>
    <x v="212"/>
    <x v="0"/>
    <x v="0"/>
    <n v="105"/>
    <n v="5.6"/>
    <n v="80000000"/>
    <n v="23219748"/>
  </r>
  <r>
    <s v="Top Cat Begins"/>
    <x v="259"/>
    <x v="3"/>
    <x v="5"/>
    <n v="89"/>
    <n v="4.4000000000000004"/>
    <n v="8000000"/>
    <n v="25078937"/>
  </r>
  <r>
    <s v="A Beautiful Mind"/>
    <x v="83"/>
    <x v="7"/>
    <x v="0"/>
    <n v="135"/>
    <n v="8.1999999999999993"/>
    <n v="58000000"/>
    <n v="170708996"/>
  </r>
  <r>
    <s v="The Lion King"/>
    <x v="217"/>
    <x v="1"/>
    <x v="0"/>
    <n v="73"/>
    <n v="8.5"/>
    <n v="45000000"/>
    <n v="422783777"/>
  </r>
  <r>
    <s v="Journey 2: The Mysterious Island"/>
    <x v="146"/>
    <x v="0"/>
    <x v="0"/>
    <n v="94"/>
    <n v="5.8"/>
    <n v="79000000"/>
    <n v="103812241"/>
  </r>
  <r>
    <s v="Cloudy with a Chance of Meatballs 2"/>
    <x v="260"/>
    <x v="3"/>
    <x v="0"/>
    <n v="95"/>
    <n v="6.5"/>
    <n v="78000000"/>
    <n v="119793567"/>
  </r>
  <r>
    <s v="Red Dragon"/>
    <x v="24"/>
    <x v="6"/>
    <x v="0"/>
    <n v="124"/>
    <n v="7.2"/>
    <n v="78000000"/>
    <n v="92930005"/>
  </r>
  <r>
    <s v="Hidalgo"/>
    <x v="89"/>
    <x v="0"/>
    <x v="0"/>
    <n v="136"/>
    <n v="6.7"/>
    <n v="100000000"/>
    <n v="67286731"/>
  </r>
  <r>
    <s v="Jack and Jill"/>
    <x v="202"/>
    <x v="4"/>
    <x v="0"/>
    <n v="91"/>
    <n v="3.4"/>
    <n v="79000000"/>
    <n v="74158157"/>
  </r>
  <r>
    <s v="2 Fast 2 Furious"/>
    <x v="261"/>
    <x v="0"/>
    <x v="0"/>
    <n v="107"/>
    <n v="5.9"/>
    <n v="76000000"/>
    <n v="127083765"/>
  </r>
  <r>
    <s v="The Little Prince"/>
    <x v="115"/>
    <x v="1"/>
    <x v="0"/>
    <n v="108"/>
    <n v="7.8"/>
    <n v="81200000"/>
    <n v="1339152"/>
  </r>
  <r>
    <s v="The Invasion"/>
    <x v="262"/>
    <x v="10"/>
    <x v="0"/>
    <n v="99"/>
    <n v="5.9"/>
    <n v="80000000"/>
    <n v="15071514"/>
  </r>
  <r>
    <s v="The Adventures of Rocky &amp; Bullwinkle"/>
    <x v="263"/>
    <x v="1"/>
    <x v="0"/>
    <n v="92"/>
    <n v="4.0999999999999996"/>
    <n v="76000000"/>
    <n v="26000610"/>
  </r>
  <r>
    <s v="The Secret Life of Pets"/>
    <x v="264"/>
    <x v="3"/>
    <x v="0"/>
    <n v="87"/>
    <n v="6.8"/>
    <n v="75000000"/>
    <n v="323505540"/>
  </r>
  <r>
    <s v="The League of Extraordinary Gentlemen"/>
    <x v="265"/>
    <x v="0"/>
    <x v="0"/>
    <n v="110"/>
    <n v="5.8"/>
    <n v="78000000"/>
    <n v="66462600"/>
  </r>
  <r>
    <s v="Despicable Me 2"/>
    <x v="266"/>
    <x v="3"/>
    <x v="0"/>
    <n v="98"/>
    <n v="7.5"/>
    <n v="76000000"/>
    <n v="368049635"/>
  </r>
  <r>
    <s v="Independence Day"/>
    <x v="41"/>
    <x v="0"/>
    <x v="0"/>
    <n v="154"/>
    <n v="6.9"/>
    <n v="75000000"/>
    <n v="306124059"/>
  </r>
  <r>
    <s v="The Lost World: Jurassic Park"/>
    <x v="37"/>
    <x v="0"/>
    <x v="0"/>
    <n v="129"/>
    <n v="6.5"/>
    <n v="73000000"/>
    <n v="229074524"/>
  </r>
  <r>
    <s v="Madagascar"/>
    <x v="78"/>
    <x v="1"/>
    <x v="0"/>
    <n v="86"/>
    <n v="6.9"/>
    <n v="75000000"/>
    <n v="193136719"/>
  </r>
  <r>
    <s v="Children of Men"/>
    <x v="120"/>
    <x v="2"/>
    <x v="0"/>
    <n v="109"/>
    <n v="7.9"/>
    <n v="76000000"/>
    <n v="35286428"/>
  </r>
  <r>
    <s v="X-Men"/>
    <x v="10"/>
    <x v="0"/>
    <x v="0"/>
    <n v="104"/>
    <n v="7.4"/>
    <n v="75000000"/>
    <n v="157299717"/>
  </r>
  <r>
    <s v="Wanted"/>
    <x v="200"/>
    <x v="0"/>
    <x v="0"/>
    <n v="110"/>
    <n v="6.7"/>
    <n v="75000000"/>
    <n v="134568845"/>
  </r>
  <r>
    <s v="The Rock"/>
    <x v="26"/>
    <x v="0"/>
    <x v="0"/>
    <n v="136"/>
    <n v="7.4"/>
    <n v="75000000"/>
    <n v="134006721"/>
  </r>
  <r>
    <s v="Ice Age: The Meltdown"/>
    <x v="125"/>
    <x v="0"/>
    <x v="0"/>
    <n v="115"/>
    <n v="6.9"/>
    <n v="80000000"/>
    <n v="195329763"/>
  </r>
  <r>
    <s v="50 First Dates"/>
    <x v="227"/>
    <x v="4"/>
    <x v="0"/>
    <n v="99"/>
    <n v="6.8"/>
    <n v="75000000"/>
    <n v="120776832"/>
  </r>
  <r>
    <s v="Hairspray"/>
    <x v="235"/>
    <x v="4"/>
    <x v="0"/>
    <n v="117"/>
    <n v="6.7"/>
    <n v="75000000"/>
    <n v="118823091"/>
  </r>
  <r>
    <s v="Exorcist: The Beginning"/>
    <x v="196"/>
    <x v="11"/>
    <x v="0"/>
    <n v="125"/>
    <n v="5.0999999999999996"/>
    <n v="50000000"/>
    <n v="41814863"/>
  </r>
  <r>
    <s v="Inspector Gadget"/>
    <x v="267"/>
    <x v="0"/>
    <x v="0"/>
    <n v="110"/>
    <n v="4.0999999999999996"/>
    <n v="75000000"/>
    <n v="97360069"/>
  </r>
  <r>
    <s v="Now You See Me"/>
    <x v="111"/>
    <x v="6"/>
    <x v="0"/>
    <n v="125"/>
    <n v="7.3"/>
    <n v="75000000"/>
    <n v="117698894"/>
  </r>
  <r>
    <s v="Grown Ups"/>
    <x v="202"/>
    <x v="4"/>
    <x v="0"/>
    <n v="102"/>
    <n v="6"/>
    <n v="80000000"/>
    <n v="162001186"/>
  </r>
  <r>
    <s v="The Terminal"/>
    <x v="37"/>
    <x v="4"/>
    <x v="0"/>
    <n v="128"/>
    <n v="7.3"/>
    <n v="60000000"/>
    <n v="77032279"/>
  </r>
  <r>
    <s v="Hotel for Dogs"/>
    <x v="204"/>
    <x v="4"/>
    <x v="0"/>
    <n v="100"/>
    <n v="5.4"/>
    <n v="35000000"/>
    <n v="73023275"/>
  </r>
  <r>
    <s v="Vertical Limit"/>
    <x v="29"/>
    <x v="0"/>
    <x v="0"/>
    <n v="124"/>
    <n v="5.9"/>
    <n v="75000000"/>
    <n v="68473360"/>
  </r>
  <r>
    <s v="Charlie Wilson's War"/>
    <x v="268"/>
    <x v="7"/>
    <x v="0"/>
    <n v="102"/>
    <n v="7.1"/>
    <n v="75000000"/>
    <n v="66636385"/>
  </r>
  <r>
    <s v="Shark Tale"/>
    <x v="189"/>
    <x v="1"/>
    <x v="0"/>
    <n v="90"/>
    <n v="6"/>
    <n v="75000000"/>
    <n v="160762022"/>
  </r>
  <r>
    <s v="Dreamgirls"/>
    <x v="110"/>
    <x v="2"/>
    <x v="0"/>
    <n v="130"/>
    <n v="6.5"/>
    <n v="70000000"/>
    <n v="103338338"/>
  </r>
  <r>
    <s v="Be Cool"/>
    <x v="269"/>
    <x v="4"/>
    <x v="0"/>
    <n v="118"/>
    <n v="5.7"/>
    <n v="53000000"/>
    <n v="55808744"/>
  </r>
  <r>
    <s v="Munich"/>
    <x v="37"/>
    <x v="2"/>
    <x v="0"/>
    <n v="163"/>
    <n v="7.6"/>
    <n v="70000000"/>
    <n v="47379090"/>
  </r>
  <r>
    <s v="Tears of the Sun"/>
    <x v="270"/>
    <x v="0"/>
    <x v="0"/>
    <n v="142"/>
    <n v="6.6"/>
    <n v="70000000"/>
    <n v="43426961"/>
  </r>
  <r>
    <s v="Killers"/>
    <x v="271"/>
    <x v="0"/>
    <x v="0"/>
    <n v="100"/>
    <n v="5.4"/>
    <n v="75000000"/>
    <n v="47000485"/>
  </r>
  <r>
    <s v="The Man from U.N.C.L.E."/>
    <x v="126"/>
    <x v="0"/>
    <x v="0"/>
    <n v="116"/>
    <n v="7.3"/>
    <n v="75000000"/>
    <n v="45434443"/>
  </r>
  <r>
    <s v="Spanglish"/>
    <x v="137"/>
    <x v="4"/>
    <x v="0"/>
    <n v="131"/>
    <n v="6.5"/>
    <n v="80000000"/>
    <n v="42044321"/>
  </r>
  <r>
    <s v="Monster House"/>
    <x v="272"/>
    <x v="3"/>
    <x v="0"/>
    <n v="91"/>
    <n v="6.6"/>
    <n v="75000000"/>
    <n v="73661010"/>
  </r>
  <r>
    <s v="Bandits"/>
    <x v="273"/>
    <x v="4"/>
    <x v="0"/>
    <n v="123"/>
    <n v="6.6"/>
    <n v="80000000"/>
    <n v="41523271"/>
  </r>
  <r>
    <s v="First Knight"/>
    <x v="274"/>
    <x v="0"/>
    <x v="0"/>
    <n v="134"/>
    <n v="5.9"/>
    <n v="55000000"/>
    <n v="37600435"/>
  </r>
  <r>
    <s v="Anna and the King"/>
    <x v="275"/>
    <x v="2"/>
    <x v="0"/>
    <n v="148"/>
    <n v="6.7"/>
    <n v="75000000"/>
    <n v="39251128"/>
  </r>
  <r>
    <s v="Immortals"/>
    <x v="224"/>
    <x v="0"/>
    <x v="0"/>
    <n v="110"/>
    <n v="6.1"/>
    <n v="75000000"/>
    <n v="83503161"/>
  </r>
  <r>
    <s v="Hostage"/>
    <x v="276"/>
    <x v="0"/>
    <x v="0"/>
    <n v="113"/>
    <n v="6.6"/>
    <n v="52000000"/>
    <n v="34636443"/>
  </r>
  <r>
    <s v="Titan A.E."/>
    <x v="277"/>
    <x v="0"/>
    <x v="0"/>
    <n v="94"/>
    <n v="6.6"/>
    <n v="75000000"/>
    <n v="22751979"/>
  </r>
  <r>
    <s v="Hollywood Homicide"/>
    <x v="278"/>
    <x v="0"/>
    <x v="0"/>
    <n v="116"/>
    <n v="5.3"/>
    <n v="75000000"/>
    <n v="30013346"/>
  </r>
  <r>
    <s v="Soldier"/>
    <x v="212"/>
    <x v="0"/>
    <x v="0"/>
    <n v="99"/>
    <n v="6"/>
    <n v="75000000"/>
    <n v="14567883"/>
  </r>
  <r>
    <s v="Carriers"/>
    <x v="279"/>
    <x v="2"/>
    <x v="0"/>
    <n v="84"/>
    <n v="6"/>
    <n v="20000000"/>
    <n v="90820"/>
  </r>
  <r>
    <s v="Monkeybone"/>
    <x v="280"/>
    <x v="3"/>
    <x v="0"/>
    <n v="93"/>
    <n v="4.7"/>
    <n v="75000000"/>
    <n v="5409517"/>
  </r>
  <r>
    <s v="Flight of the Phoenix"/>
    <x v="194"/>
    <x v="0"/>
    <x v="0"/>
    <n v="113"/>
    <n v="6.1"/>
    <n v="45000000"/>
    <n v="21009180"/>
  </r>
  <r>
    <s v="Unbreakable"/>
    <x v="92"/>
    <x v="2"/>
    <x v="0"/>
    <n v="106"/>
    <n v="7.2"/>
    <n v="75000000"/>
    <n v="94999143"/>
  </r>
  <r>
    <s v="Minions"/>
    <x v="281"/>
    <x v="0"/>
    <x v="0"/>
    <n v="91"/>
    <n v="6.4"/>
    <n v="74000000"/>
    <n v="336029560"/>
  </r>
  <r>
    <s v="Sucker Punch"/>
    <x v="9"/>
    <x v="0"/>
    <x v="0"/>
    <n v="128"/>
    <n v="6.1"/>
    <n v="82000000"/>
    <n v="36381716"/>
  </r>
  <r>
    <s v="Snake Eyes"/>
    <x v="205"/>
    <x v="6"/>
    <x v="0"/>
    <n v="98"/>
    <n v="5.9"/>
    <n v="69000000"/>
    <n v="55585389"/>
  </r>
  <r>
    <s v="Sphere"/>
    <x v="273"/>
    <x v="2"/>
    <x v="0"/>
    <n v="134"/>
    <n v="6"/>
    <n v="75000000"/>
    <n v="36976367"/>
  </r>
  <r>
    <s v="The Angry Birds Movie"/>
    <x v="282"/>
    <x v="0"/>
    <x v="0"/>
    <n v="97"/>
    <n v="6.3"/>
    <n v="73000000"/>
    <n v="107225164"/>
  </r>
  <r>
    <s v="Fool's Gold"/>
    <x v="275"/>
    <x v="0"/>
    <x v="0"/>
    <n v="112"/>
    <n v="5.6"/>
    <n v="70000000"/>
    <n v="70224196"/>
  </r>
  <r>
    <s v="Funny People"/>
    <x v="283"/>
    <x v="4"/>
    <x v="0"/>
    <n v="153"/>
    <n v="6.4"/>
    <n v="75000000"/>
    <n v="51814190"/>
  </r>
  <r>
    <s v="The Kingdom"/>
    <x v="20"/>
    <x v="0"/>
    <x v="0"/>
    <n v="110"/>
    <n v="7.1"/>
    <n v="70000000"/>
    <n v="47456450"/>
  </r>
  <r>
    <s v="Talladega Nights: The Ballad of Ricky Bobby"/>
    <x v="163"/>
    <x v="0"/>
    <x v="0"/>
    <n v="122"/>
    <n v="6.6"/>
    <n v="73000000"/>
    <n v="148213377"/>
  </r>
  <r>
    <s v="Dr. Dolittle 2"/>
    <x v="284"/>
    <x v="4"/>
    <x v="0"/>
    <n v="87"/>
    <n v="4.5999999999999996"/>
    <n v="72000000"/>
    <n v="112950721"/>
  </r>
  <r>
    <s v="Braveheart"/>
    <x v="285"/>
    <x v="7"/>
    <x v="0"/>
    <n v="178"/>
    <n v="8.4"/>
    <n v="72000000"/>
    <n v="75600000"/>
  </r>
  <r>
    <s v="Jarhead"/>
    <x v="2"/>
    <x v="0"/>
    <x v="0"/>
    <n v="125"/>
    <n v="7.1"/>
    <n v="70000000"/>
    <n v="62647540"/>
  </r>
  <r>
    <s v="The Simpsons Movie"/>
    <x v="286"/>
    <x v="1"/>
    <x v="0"/>
    <n v="87"/>
    <n v="7.4"/>
    <n v="75000000"/>
    <n v="183132370"/>
  </r>
  <r>
    <s v="The Majestic"/>
    <x v="287"/>
    <x v="2"/>
    <x v="0"/>
    <n v="152"/>
    <n v="6.9"/>
    <n v="72000000"/>
    <n v="27796042"/>
  </r>
  <r>
    <s v="Driven"/>
    <x v="196"/>
    <x v="0"/>
    <x v="0"/>
    <n v="116"/>
    <n v="4.5"/>
    <n v="72000000"/>
    <n v="32616869"/>
  </r>
  <r>
    <s v="Two Brothers"/>
    <x v="219"/>
    <x v="1"/>
    <x v="0"/>
    <n v="109"/>
    <n v="7.1"/>
    <n v="59660000"/>
    <n v="18947630"/>
  </r>
  <r>
    <s v="The Village"/>
    <x v="92"/>
    <x v="2"/>
    <x v="0"/>
    <n v="108"/>
    <n v="6.5"/>
    <n v="60000000"/>
    <n v="114195633"/>
  </r>
  <r>
    <s v="Doctor Dolittle"/>
    <x v="288"/>
    <x v="4"/>
    <x v="0"/>
    <n v="85"/>
    <n v="5.3"/>
    <n v="71500000"/>
    <n v="144156464"/>
  </r>
  <r>
    <s v="Signs"/>
    <x v="92"/>
    <x v="2"/>
    <x v="0"/>
    <n v="106"/>
    <n v="6.7"/>
    <n v="72000000"/>
    <n v="227965690"/>
  </r>
  <r>
    <s v="Shrek 2"/>
    <x v="12"/>
    <x v="1"/>
    <x v="0"/>
    <n v="93"/>
    <n v="7.2"/>
    <n v="150000000"/>
    <n v="436471036"/>
  </r>
  <r>
    <s v="Cars"/>
    <x v="28"/>
    <x v="1"/>
    <x v="0"/>
    <n v="117"/>
    <n v="7.2"/>
    <n v="120000000"/>
    <n v="244052771"/>
  </r>
  <r>
    <s v="Runaway Bride"/>
    <x v="289"/>
    <x v="4"/>
    <x v="0"/>
    <n v="116"/>
    <n v="5.5"/>
    <n v="70000000"/>
    <n v="152149590"/>
  </r>
  <r>
    <s v="xXx"/>
    <x v="48"/>
    <x v="0"/>
    <x v="0"/>
    <n v="132"/>
    <n v="5.8"/>
    <n v="70000000"/>
    <n v="141204016"/>
  </r>
  <r>
    <s v="The SpongeBob Movie: Sponge Out of Water"/>
    <x v="290"/>
    <x v="1"/>
    <x v="0"/>
    <n v="92"/>
    <n v="6"/>
    <n v="74000000"/>
    <n v="162495848"/>
  </r>
  <r>
    <s v="Ransom"/>
    <x v="83"/>
    <x v="6"/>
    <x v="0"/>
    <n v="139"/>
    <n v="6.6"/>
    <n v="80000000"/>
    <n v="136448821"/>
  </r>
  <r>
    <s v="Inglourious Basterds"/>
    <x v="165"/>
    <x v="1"/>
    <x v="0"/>
    <n v="153"/>
    <n v="8.3000000000000007"/>
    <n v="75000000"/>
    <n v="120523073"/>
  </r>
  <r>
    <s v="Hook"/>
    <x v="37"/>
    <x v="1"/>
    <x v="0"/>
    <n v="142"/>
    <n v="6.7"/>
    <n v="70000000"/>
    <n v="119654900"/>
  </r>
  <r>
    <s v="Die Hard 2"/>
    <x v="196"/>
    <x v="0"/>
    <x v="0"/>
    <n v="124"/>
    <n v="7.1"/>
    <n v="70000000"/>
    <n v="117541000"/>
  </r>
  <r>
    <s v="S.W.A.T."/>
    <x v="291"/>
    <x v="0"/>
    <x v="0"/>
    <n v="117"/>
    <n v="6"/>
    <n v="80000000"/>
    <n v="116643346"/>
  </r>
  <r>
    <s v="Vanilla Sky"/>
    <x v="292"/>
    <x v="8"/>
    <x v="0"/>
    <n v="141"/>
    <n v="6.9"/>
    <n v="68000000"/>
    <n v="100614858"/>
  </r>
  <r>
    <s v="Lady in the Water"/>
    <x v="92"/>
    <x v="2"/>
    <x v="0"/>
    <n v="110"/>
    <n v="5.6"/>
    <n v="70000000"/>
    <n v="42272747"/>
  </r>
  <r>
    <s v="AVP: Alien vs. Predator"/>
    <x v="212"/>
    <x v="0"/>
    <x v="0"/>
    <n v="109"/>
    <n v="5.6"/>
    <n v="60000000"/>
    <n v="80281096"/>
  </r>
  <r>
    <s v="Alvin and the Chipmunks: The Squeakquel"/>
    <x v="288"/>
    <x v="3"/>
    <x v="0"/>
    <n v="88"/>
    <n v="4.5"/>
    <n v="75000000"/>
    <n v="219613391"/>
  </r>
  <r>
    <s v="We Were Soldiers"/>
    <x v="293"/>
    <x v="0"/>
    <x v="0"/>
    <n v="124"/>
    <n v="7.1"/>
    <n v="75000000"/>
    <n v="78120196"/>
  </r>
  <r>
    <s v="Olympus Has Fallen"/>
    <x v="270"/>
    <x v="0"/>
    <x v="0"/>
    <n v="119"/>
    <n v="6.5"/>
    <n v="70000000"/>
    <n v="98895417"/>
  </r>
  <r>
    <s v="Star Trek: Insurrection"/>
    <x v="294"/>
    <x v="0"/>
    <x v="0"/>
    <n v="103"/>
    <n v="6.4"/>
    <n v="58000000"/>
    <n v="70117571"/>
  </r>
  <r>
    <s v="Battle Los Angeles"/>
    <x v="87"/>
    <x v="0"/>
    <x v="0"/>
    <n v="116"/>
    <n v="5.8"/>
    <n v="70000000"/>
    <n v="83552429"/>
  </r>
  <r>
    <s v="Big Fish"/>
    <x v="23"/>
    <x v="1"/>
    <x v="0"/>
    <n v="125"/>
    <n v="8"/>
    <n v="70000000"/>
    <n v="66257002"/>
  </r>
  <r>
    <s v="Wolf"/>
    <x v="268"/>
    <x v="2"/>
    <x v="0"/>
    <n v="125"/>
    <n v="6.2"/>
    <n v="70000000"/>
    <n v="65012000"/>
  </r>
  <r>
    <s v="War Horse"/>
    <x v="37"/>
    <x v="2"/>
    <x v="0"/>
    <n v="146"/>
    <n v="7.2"/>
    <n v="66000000"/>
    <n v="79883359"/>
  </r>
  <r>
    <s v="The Monuments Men"/>
    <x v="295"/>
    <x v="2"/>
    <x v="0"/>
    <n v="118"/>
    <n v="6.1"/>
    <n v="70000000"/>
    <n v="78031620"/>
  </r>
  <r>
    <s v="The Abyss"/>
    <x v="0"/>
    <x v="1"/>
    <x v="0"/>
    <n v="171"/>
    <n v="7.6"/>
    <n v="69500000"/>
    <n v="54222000"/>
  </r>
  <r>
    <s v="Wall Street: Money Never Sleeps"/>
    <x v="77"/>
    <x v="2"/>
    <x v="0"/>
    <n v="136"/>
    <n v="6.3"/>
    <n v="70000000"/>
    <n v="52474616"/>
  </r>
  <r>
    <s v="Dracula Untold"/>
    <x v="296"/>
    <x v="0"/>
    <x v="0"/>
    <n v="92"/>
    <n v="6.3"/>
    <n v="70000000"/>
    <n v="55942830"/>
  </r>
  <r>
    <s v="The Siege"/>
    <x v="102"/>
    <x v="0"/>
    <x v="0"/>
    <n v="116"/>
    <n v="6.3"/>
    <n v="70000000"/>
    <n v="40932372"/>
  </r>
  <r>
    <s v="Stardust"/>
    <x v="68"/>
    <x v="1"/>
    <x v="0"/>
    <n v="127"/>
    <n v="7.7"/>
    <n v="70000000"/>
    <n v="38345403"/>
  </r>
  <r>
    <s v="Seven Years in Tibet"/>
    <x v="219"/>
    <x v="1"/>
    <x v="0"/>
    <n v="136"/>
    <n v="7"/>
    <n v="70000000"/>
    <n v="37901509"/>
  </r>
  <r>
    <s v="The Dilemma"/>
    <x v="83"/>
    <x v="4"/>
    <x v="0"/>
    <n v="111"/>
    <n v="5.3"/>
    <n v="70000000"/>
    <n v="48430355"/>
  </r>
  <r>
    <s v="Bad Company"/>
    <x v="130"/>
    <x v="0"/>
    <x v="0"/>
    <n v="116"/>
    <n v="5.6"/>
    <n v="70000000"/>
    <n v="30157016"/>
  </r>
  <r>
    <s v="Doom"/>
    <x v="297"/>
    <x v="0"/>
    <x v="0"/>
    <n v="113"/>
    <n v="5.2"/>
    <n v="60000000"/>
    <n v="28031250"/>
  </r>
  <r>
    <s v="I Spy"/>
    <x v="288"/>
    <x v="0"/>
    <x v="0"/>
    <n v="97"/>
    <n v="5.4"/>
    <n v="70000000"/>
    <n v="33105600"/>
  </r>
  <r>
    <s v="Underworld: Awakening"/>
    <x v="298"/>
    <x v="0"/>
    <x v="0"/>
    <n v="88"/>
    <n v="6.4"/>
    <n v="70000000"/>
    <n v="62321039"/>
  </r>
  <r>
    <s v="Rock of Ages"/>
    <x v="235"/>
    <x v="4"/>
    <x v="0"/>
    <n v="136"/>
    <n v="5.9"/>
    <n v="75000000"/>
    <n v="38509342"/>
  </r>
  <r>
    <s v="Hart's War"/>
    <x v="299"/>
    <x v="2"/>
    <x v="0"/>
    <n v="125"/>
    <n v="6.3"/>
    <n v="60000000"/>
    <n v="19076815"/>
  </r>
  <r>
    <s v="Killer Elite"/>
    <x v="300"/>
    <x v="0"/>
    <x v="0"/>
    <n v="116"/>
    <n v="6.5"/>
    <n v="35000000"/>
    <n v="25093607"/>
  </r>
  <r>
    <s v="Rollerball"/>
    <x v="128"/>
    <x v="0"/>
    <x v="0"/>
    <n v="98"/>
    <n v="3"/>
    <n v="70000000"/>
    <n v="18990542"/>
  </r>
  <r>
    <s v="Ballistic: Ecks vs. Sever"/>
    <x v="301"/>
    <x v="0"/>
    <x v="0"/>
    <n v="91"/>
    <n v="3.6"/>
    <n v="70000000"/>
    <n v="14294842"/>
  </r>
  <r>
    <s v="Hard Rain"/>
    <x v="302"/>
    <x v="0"/>
    <x v="0"/>
    <n v="97"/>
    <n v="5.8"/>
    <n v="70000000"/>
    <n v="19819494"/>
  </r>
  <r>
    <s v="Osmosis Jones"/>
    <x v="303"/>
    <x v="0"/>
    <x v="0"/>
    <n v="95"/>
    <n v="6.2"/>
    <n v="70000000"/>
    <n v="13596911"/>
  </r>
  <r>
    <s v="Legends of Oz: Dorothy's Return"/>
    <x v="152"/>
    <x v="1"/>
    <x v="0"/>
    <n v="88"/>
    <n v="5.6"/>
    <n v="70000000"/>
    <n v="8460990"/>
  </r>
  <r>
    <s v="Blackhat"/>
    <x v="156"/>
    <x v="0"/>
    <x v="0"/>
    <n v="133"/>
    <n v="5.4"/>
    <n v="70000000"/>
    <n v="7097125"/>
  </r>
  <r>
    <s v="Sky Captain and the World of Tomorrow"/>
    <x v="304"/>
    <x v="0"/>
    <x v="0"/>
    <n v="106"/>
    <n v="6.1"/>
    <n v="70000000"/>
    <n v="37760080"/>
  </r>
  <r>
    <s v="Basic Instinct 2"/>
    <x v="305"/>
    <x v="6"/>
    <x v="0"/>
    <n v="116"/>
    <n v="4.2"/>
    <n v="70000000"/>
    <n v="5851188"/>
  </r>
  <r>
    <s v="Escape Plan"/>
    <x v="306"/>
    <x v="0"/>
    <x v="0"/>
    <n v="115"/>
    <n v="6.7"/>
    <n v="50000000"/>
    <n v="25121291"/>
  </r>
  <r>
    <s v="The Legend of Hercules"/>
    <x v="196"/>
    <x v="0"/>
    <x v="0"/>
    <n v="99"/>
    <n v="4.2"/>
    <n v="70000000"/>
    <n v="18821279"/>
  </r>
  <r>
    <s v="The Sum of All Fears"/>
    <x v="307"/>
    <x v="0"/>
    <x v="0"/>
    <n v="124"/>
    <n v="6.4"/>
    <n v="68000000"/>
    <n v="118471320"/>
  </r>
  <r>
    <s v="The Twilight Saga: Eclipse"/>
    <x v="308"/>
    <x v="1"/>
    <x v="0"/>
    <n v="124"/>
    <n v="4.9000000000000004"/>
    <n v="68000000"/>
    <n v="300523113"/>
  </r>
  <r>
    <s v="The Score"/>
    <x v="185"/>
    <x v="6"/>
    <x v="0"/>
    <n v="124"/>
    <n v="6.8"/>
    <n v="68000000"/>
    <n v="71069884"/>
  </r>
  <r>
    <s v="Despicable Me"/>
    <x v="266"/>
    <x v="3"/>
    <x v="0"/>
    <n v="87"/>
    <n v="7.7"/>
    <n v="69000000"/>
    <n v="251501645"/>
  </r>
  <r>
    <s v="Money Train"/>
    <x v="309"/>
    <x v="0"/>
    <x v="0"/>
    <n v="105"/>
    <n v="5.6"/>
    <n v="68000000"/>
    <n v="35324232"/>
  </r>
  <r>
    <s v="Ted 2"/>
    <x v="310"/>
    <x v="4"/>
    <x v="0"/>
    <n v="125"/>
    <n v="6.4"/>
    <n v="68000000"/>
    <n v="81257500"/>
  </r>
  <r>
    <s v="Agora"/>
    <x v="311"/>
    <x v="1"/>
    <x v="0"/>
    <n v="141"/>
    <n v="7.2"/>
    <n v="70000000"/>
    <n v="617840"/>
  </r>
  <r>
    <s v="Mystery Men"/>
    <x v="312"/>
    <x v="0"/>
    <x v="0"/>
    <n v="121"/>
    <n v="6"/>
    <n v="65000000"/>
    <n v="29655590"/>
  </r>
  <r>
    <s v="Hall Pass"/>
    <x v="303"/>
    <x v="4"/>
    <x v="0"/>
    <n v="111"/>
    <n v="5.9"/>
    <n v="36000000"/>
    <n v="45045037"/>
  </r>
  <r>
    <s v="The Insider"/>
    <x v="156"/>
    <x v="7"/>
    <x v="0"/>
    <n v="157"/>
    <n v="7.9"/>
    <n v="68000000"/>
    <n v="28965197"/>
  </r>
  <r>
    <s v="The Finest Hours"/>
    <x v="313"/>
    <x v="0"/>
    <x v="0"/>
    <n v="117"/>
    <n v="6.8"/>
    <n v="20000000"/>
    <n v="27550735"/>
  </r>
  <r>
    <s v="Body of Lies"/>
    <x v="17"/>
    <x v="0"/>
    <x v="0"/>
    <n v="128"/>
    <n v="7.1"/>
    <n v="70000000"/>
    <n v="39380442"/>
  </r>
  <r>
    <s v="Dinner for Schmucks"/>
    <x v="186"/>
    <x v="4"/>
    <x v="0"/>
    <n v="114"/>
    <n v="5.9"/>
    <n v="20000000"/>
    <n v="72980108"/>
  </r>
  <r>
    <s v="Abraham Lincoln: Vampire Hunter"/>
    <x v="200"/>
    <x v="0"/>
    <x v="0"/>
    <n v="105"/>
    <n v="5.9"/>
    <n v="69000000"/>
    <n v="37516013"/>
  </r>
  <r>
    <s v="Entrapment"/>
    <x v="226"/>
    <x v="0"/>
    <x v="0"/>
    <n v="113"/>
    <n v="6.2"/>
    <n v="66000000"/>
    <n v="87704396"/>
  </r>
  <r>
    <s v="The X Files"/>
    <x v="314"/>
    <x v="2"/>
    <x v="0"/>
    <n v="121"/>
    <n v="7"/>
    <n v="66000000"/>
    <n v="83892374"/>
  </r>
  <r>
    <s v="The Last Legion"/>
    <x v="315"/>
    <x v="0"/>
    <x v="0"/>
    <n v="102"/>
    <n v="5.4"/>
    <n v="35000000"/>
    <n v="5932060"/>
  </r>
  <r>
    <s v="Saving Private Ryan"/>
    <x v="37"/>
    <x v="0"/>
    <x v="0"/>
    <n v="169"/>
    <n v="8.6"/>
    <n v="70000000"/>
    <n v="216119491"/>
  </r>
  <r>
    <s v="Need for Speed"/>
    <x v="316"/>
    <x v="0"/>
    <x v="0"/>
    <n v="132"/>
    <n v="6.5"/>
    <n v="66000000"/>
    <n v="43568507"/>
  </r>
  <r>
    <s v="What Women Want"/>
    <x v="216"/>
    <x v="4"/>
    <x v="0"/>
    <n v="127"/>
    <n v="6.4"/>
    <n v="70000000"/>
    <n v="182805123"/>
  </r>
  <r>
    <s v="Ice Age"/>
    <x v="171"/>
    <x v="1"/>
    <x v="0"/>
    <n v="103"/>
    <n v="7.6"/>
    <n v="59000000"/>
    <n v="176387405"/>
  </r>
  <r>
    <s v="Dreamcatcher"/>
    <x v="317"/>
    <x v="2"/>
    <x v="0"/>
    <n v="136"/>
    <n v="5.5"/>
    <n v="68000000"/>
    <n v="33685268"/>
  </r>
  <r>
    <s v="Lincoln"/>
    <x v="37"/>
    <x v="7"/>
    <x v="0"/>
    <n v="150"/>
    <n v="7.4"/>
    <n v="65000000"/>
    <n v="182204440"/>
  </r>
  <r>
    <s v="The Matrix"/>
    <x v="43"/>
    <x v="0"/>
    <x v="0"/>
    <n v="136"/>
    <n v="8.6999999999999993"/>
    <n v="63000000"/>
    <n v="171383253"/>
  </r>
  <r>
    <s v="Apollo 13"/>
    <x v="83"/>
    <x v="1"/>
    <x v="0"/>
    <n v="140"/>
    <n v="7.6"/>
    <n v="62000000"/>
    <n v="172071312"/>
  </r>
  <r>
    <s v="The Santa Clause 2"/>
    <x v="318"/>
    <x v="4"/>
    <x v="0"/>
    <n v="104"/>
    <n v="5.5"/>
    <n v="60000000"/>
    <n v="139225854"/>
  </r>
  <r>
    <s v="Les Misérables"/>
    <x v="319"/>
    <x v="2"/>
    <x v="0"/>
    <n v="158"/>
    <n v="7.6"/>
    <n v="61000000"/>
    <n v="148775460"/>
  </r>
  <r>
    <s v="You've Got Mail"/>
    <x v="320"/>
    <x v="4"/>
    <x v="0"/>
    <n v="119"/>
    <n v="6.5"/>
    <n v="65000000"/>
    <n v="115731542"/>
  </r>
  <r>
    <s v="Step Brothers"/>
    <x v="163"/>
    <x v="4"/>
    <x v="0"/>
    <n v="106"/>
    <n v="6.9"/>
    <n v="65000000"/>
    <n v="100468793"/>
  </r>
  <r>
    <s v="The Mask of Zorro"/>
    <x v="29"/>
    <x v="0"/>
    <x v="0"/>
    <n v="136"/>
    <n v="6.7"/>
    <n v="65000000"/>
    <n v="93771072"/>
  </r>
  <r>
    <s v="Due Date"/>
    <x v="231"/>
    <x v="4"/>
    <x v="0"/>
    <n v="95"/>
    <n v="6.6"/>
    <n v="65000000"/>
    <n v="100448498"/>
  </r>
  <r>
    <s v="Unbroken"/>
    <x v="321"/>
    <x v="7"/>
    <x v="0"/>
    <n v="137"/>
    <n v="7.2"/>
    <n v="65000000"/>
    <n v="115603980"/>
  </r>
  <r>
    <s v="Space Cowboys"/>
    <x v="322"/>
    <x v="0"/>
    <x v="0"/>
    <n v="130"/>
    <n v="6.4"/>
    <n v="65000000"/>
    <n v="90454043"/>
  </r>
  <r>
    <s v="Cliffhanger"/>
    <x v="196"/>
    <x v="0"/>
    <x v="0"/>
    <n v="124"/>
    <n v="6.4"/>
    <n v="70000000"/>
    <n v="84049211"/>
  </r>
  <r>
    <s v="Broken Arrow"/>
    <x v="131"/>
    <x v="0"/>
    <x v="0"/>
    <n v="108"/>
    <n v="6"/>
    <n v="50000000"/>
    <n v="70450000"/>
  </r>
  <r>
    <s v="The Kid"/>
    <x v="70"/>
    <x v="4"/>
    <x v="0"/>
    <n v="104"/>
    <n v="6.1"/>
    <n v="60000000"/>
    <n v="69688384"/>
  </r>
  <r>
    <s v="World Trade Center"/>
    <x v="77"/>
    <x v="2"/>
    <x v="0"/>
    <n v="129"/>
    <n v="6"/>
    <n v="63000000"/>
    <n v="70236496"/>
  </r>
  <r>
    <s v="Mona Lisa Smile"/>
    <x v="35"/>
    <x v="2"/>
    <x v="0"/>
    <n v="117"/>
    <n v="6.4"/>
    <n v="65000000"/>
    <n v="63695760"/>
  </r>
  <r>
    <s v="The Dictator"/>
    <x v="323"/>
    <x v="4"/>
    <x v="0"/>
    <n v="99"/>
    <n v="6.4"/>
    <n v="65000000"/>
    <n v="59617068"/>
  </r>
  <r>
    <s v="Eyes Wide Shut"/>
    <x v="324"/>
    <x v="2"/>
    <x v="0"/>
    <n v="159"/>
    <n v="7.3"/>
    <n v="65000000"/>
    <n v="55637680"/>
  </r>
  <r>
    <s v="Annie"/>
    <x v="325"/>
    <x v="4"/>
    <x v="0"/>
    <n v="118"/>
    <n v="5.2"/>
    <n v="65000000"/>
    <n v="85911262"/>
  </r>
  <r>
    <s v="Focus"/>
    <x v="326"/>
    <x v="4"/>
    <x v="0"/>
    <n v="105"/>
    <n v="6.6"/>
    <n v="50100000"/>
    <n v="53846915"/>
  </r>
  <r>
    <s v="This Means War"/>
    <x v="31"/>
    <x v="0"/>
    <x v="0"/>
    <n v="103"/>
    <n v="6.3"/>
    <n v="65000000"/>
    <n v="54758461"/>
  </r>
  <r>
    <s v="Blade: Trinity"/>
    <x v="327"/>
    <x v="0"/>
    <x v="0"/>
    <n v="122"/>
    <n v="5.9"/>
    <n v="65000000"/>
    <n v="52397389"/>
  </r>
  <r>
    <s v="Red Dawn"/>
    <x v="209"/>
    <x v="0"/>
    <x v="0"/>
    <n v="114"/>
    <n v="6.4"/>
    <n v="16900000"/>
    <n v="25078937"/>
  </r>
  <r>
    <s v="Primary Colors"/>
    <x v="268"/>
    <x v="4"/>
    <x v="0"/>
    <n v="143"/>
    <n v="6.7"/>
    <n v="65000000"/>
    <n v="38966057"/>
  </r>
  <r>
    <s v="Resident Evil: Retribution"/>
    <x v="212"/>
    <x v="0"/>
    <x v="0"/>
    <n v="96"/>
    <n v="5.4"/>
    <n v="65000000"/>
    <n v="42345531"/>
  </r>
  <r>
    <s v="Death Race"/>
    <x v="212"/>
    <x v="0"/>
    <x v="0"/>
    <n v="111"/>
    <n v="6.4"/>
    <n v="45000000"/>
    <n v="36064910"/>
  </r>
  <r>
    <s v="The Long Kiss Goodnight"/>
    <x v="196"/>
    <x v="0"/>
    <x v="0"/>
    <n v="121"/>
    <n v="6.7"/>
    <n v="65000000"/>
    <n v="33328051"/>
  </r>
  <r>
    <s v="Proof of Life"/>
    <x v="328"/>
    <x v="0"/>
    <x v="0"/>
    <n v="135"/>
    <n v="6.2"/>
    <n v="65000000"/>
    <n v="32598931"/>
  </r>
  <r>
    <s v="Zathura: A Space Adventure"/>
    <x v="46"/>
    <x v="0"/>
    <x v="0"/>
    <n v="101"/>
    <n v="6.1"/>
    <n v="65000000"/>
    <n v="28045540"/>
  </r>
  <r>
    <s v="Fight Club"/>
    <x v="67"/>
    <x v="2"/>
    <x v="0"/>
    <n v="151"/>
    <n v="8.8000000000000007"/>
    <n v="63000000"/>
    <n v="37023395"/>
  </r>
  <r>
    <s v="We Are Marshall"/>
    <x v="31"/>
    <x v="2"/>
    <x v="0"/>
    <n v="131"/>
    <n v="7.1"/>
    <n v="65000000"/>
    <n v="43532294"/>
  </r>
  <r>
    <s v="Hudson Hawk"/>
    <x v="329"/>
    <x v="0"/>
    <x v="0"/>
    <n v="100"/>
    <n v="5.7"/>
    <n v="70000000"/>
    <n v="17218080"/>
  </r>
  <r>
    <s v="Lucky Numbers"/>
    <x v="320"/>
    <x v="4"/>
    <x v="0"/>
    <n v="105"/>
    <n v="5"/>
    <n v="65000000"/>
    <n v="10014234"/>
  </r>
  <r>
    <s v="I, Frankenstein"/>
    <x v="330"/>
    <x v="0"/>
    <x v="0"/>
    <n v="92"/>
    <n v="5.0999999999999996"/>
    <n v="65000000"/>
    <n v="19059018"/>
  </r>
  <r>
    <s v="Oliver Twist"/>
    <x v="331"/>
    <x v="6"/>
    <x v="0"/>
    <n v="130"/>
    <n v="6.9"/>
    <n v="50000000"/>
    <n v="1987287"/>
  </r>
  <r>
    <s v="Elektra"/>
    <x v="314"/>
    <x v="0"/>
    <x v="0"/>
    <n v="100"/>
    <n v="4.8"/>
    <n v="43000000"/>
    <n v="24407944"/>
  </r>
  <r>
    <s v="Sin City: A Dame to Kill For"/>
    <x v="332"/>
    <x v="0"/>
    <x v="0"/>
    <n v="102"/>
    <n v="6.5"/>
    <n v="65000000"/>
    <n v="13750556"/>
  </r>
  <r>
    <s v="Random Hearts"/>
    <x v="203"/>
    <x v="2"/>
    <x v="0"/>
    <n v="133"/>
    <n v="5.0999999999999996"/>
    <n v="64000000"/>
    <n v="31054924"/>
  </r>
  <r>
    <s v="Everest"/>
    <x v="333"/>
    <x v="1"/>
    <x v="0"/>
    <n v="121"/>
    <n v="7.1"/>
    <n v="55000000"/>
    <n v="43247140"/>
  </r>
  <r>
    <s v="Perfume: The Story of a Murderer"/>
    <x v="174"/>
    <x v="6"/>
    <x v="0"/>
    <n v="147"/>
    <n v="7.5"/>
    <n v="50000000"/>
    <n v="2208939"/>
  </r>
  <r>
    <s v="Austin Powers in Goldmember"/>
    <x v="186"/>
    <x v="0"/>
    <x v="0"/>
    <n v="94"/>
    <n v="6.2"/>
    <n v="63000000"/>
    <n v="213079163"/>
  </r>
  <r>
    <s v="Astro Boy"/>
    <x v="94"/>
    <x v="0"/>
    <x v="0"/>
    <n v="94"/>
    <n v="6.3"/>
    <n v="65000000"/>
    <n v="19548064"/>
  </r>
  <r>
    <s v="Jurassic Park"/>
    <x v="37"/>
    <x v="1"/>
    <x v="0"/>
    <n v="127"/>
    <n v="8.1"/>
    <n v="63000000"/>
    <n v="356784000"/>
  </r>
  <r>
    <s v="Wyatt Earp"/>
    <x v="317"/>
    <x v="1"/>
    <x v="0"/>
    <n v="212"/>
    <n v="6.6"/>
    <n v="63000000"/>
    <n v="25052000"/>
  </r>
  <r>
    <s v="Clear and Present Danger"/>
    <x v="118"/>
    <x v="0"/>
    <x v="0"/>
    <n v="141"/>
    <n v="6.9"/>
    <n v="62000000"/>
    <n v="122012710"/>
  </r>
  <r>
    <s v="Dragon Blade"/>
    <x v="334"/>
    <x v="0"/>
    <x v="3"/>
    <n v="103"/>
    <n v="6.1"/>
    <n v="65000000"/>
    <n v="72413"/>
  </r>
  <r>
    <s v="Littleman"/>
    <x v="335"/>
    <x v="4"/>
    <x v="0"/>
    <n v="98"/>
    <n v="4.3"/>
    <n v="64000000"/>
    <n v="58255287"/>
  </r>
  <r>
    <s v="U-571"/>
    <x v="64"/>
    <x v="0"/>
    <x v="0"/>
    <n v="116"/>
    <n v="6.6"/>
    <n v="62000000"/>
    <n v="77086030"/>
  </r>
  <r>
    <s v="The American President"/>
    <x v="336"/>
    <x v="4"/>
    <x v="0"/>
    <n v="114"/>
    <n v="6.8"/>
    <n v="62000000"/>
    <n v="65000000"/>
  </r>
  <r>
    <s v="The Love Guru"/>
    <x v="337"/>
    <x v="4"/>
    <x v="0"/>
    <n v="87"/>
    <n v="3.8"/>
    <n v="62000000"/>
    <n v="32178777"/>
  </r>
  <r>
    <s v="3000 Miles to Graceland"/>
    <x v="338"/>
    <x v="0"/>
    <x v="0"/>
    <n v="125"/>
    <n v="5.9"/>
    <n v="42000000"/>
    <n v="15738632"/>
  </r>
  <r>
    <s v="The Hateful Eight"/>
    <x v="165"/>
    <x v="6"/>
    <x v="0"/>
    <n v="187"/>
    <n v="7.9"/>
    <n v="44000000"/>
    <n v="54116191"/>
  </r>
  <r>
    <s v="Blades of Glory"/>
    <x v="339"/>
    <x v="4"/>
    <x v="0"/>
    <n v="93"/>
    <n v="6.3"/>
    <n v="61000000"/>
    <n v="118153533"/>
  </r>
  <r>
    <s v="Hop"/>
    <x v="340"/>
    <x v="1"/>
    <x v="0"/>
    <n v="95"/>
    <n v="5.5"/>
    <n v="63000000"/>
    <n v="108012170"/>
  </r>
  <r>
    <s v="300"/>
    <x v="9"/>
    <x v="0"/>
    <x v="0"/>
    <n v="117"/>
    <n v="7.7"/>
    <n v="65000000"/>
    <n v="210592590"/>
  </r>
  <r>
    <s v="Meet the Fockers"/>
    <x v="186"/>
    <x v="4"/>
    <x v="0"/>
    <n v="106"/>
    <n v="6.3"/>
    <n v="80000000"/>
    <n v="279167575"/>
  </r>
  <r>
    <s v="Marley &amp; Me"/>
    <x v="341"/>
    <x v="4"/>
    <x v="0"/>
    <n v="115"/>
    <n v="7.1"/>
    <n v="60000000"/>
    <n v="143151473"/>
  </r>
  <r>
    <s v="The Green Mile"/>
    <x v="287"/>
    <x v="6"/>
    <x v="0"/>
    <n v="189"/>
    <n v="8.5"/>
    <n v="60000000"/>
    <n v="136801374"/>
  </r>
  <r>
    <s v="Wild Hogs"/>
    <x v="201"/>
    <x v="0"/>
    <x v="0"/>
    <n v="100"/>
    <n v="5.9"/>
    <n v="20000000"/>
    <n v="168213584"/>
  </r>
  <r>
    <s v="Chicken Little"/>
    <x v="167"/>
    <x v="1"/>
    <x v="0"/>
    <n v="81"/>
    <n v="5.8"/>
    <n v="150000000"/>
    <n v="135381507"/>
  </r>
  <r>
    <s v="Gone Girl"/>
    <x v="67"/>
    <x v="6"/>
    <x v="0"/>
    <n v="149"/>
    <n v="8.1"/>
    <n v="61000000"/>
    <n v="167735396"/>
  </r>
  <r>
    <s v="The Bourne Identity"/>
    <x v="51"/>
    <x v="0"/>
    <x v="0"/>
    <n v="119"/>
    <n v="7.9"/>
    <n v="60000000"/>
    <n v="121468960"/>
  </r>
  <r>
    <s v="GoldenEye"/>
    <x v="29"/>
    <x v="0"/>
    <x v="0"/>
    <n v="130"/>
    <n v="7.2"/>
    <n v="58000000"/>
    <n v="106635996"/>
  </r>
  <r>
    <s v="The General's Daughter"/>
    <x v="168"/>
    <x v="2"/>
    <x v="0"/>
    <n v="116"/>
    <n v="6.3"/>
    <n v="95000000"/>
    <n v="102678089"/>
  </r>
  <r>
    <s v="The Truman Show"/>
    <x v="109"/>
    <x v="4"/>
    <x v="0"/>
    <n v="103"/>
    <n v="8.1"/>
    <n v="60000000"/>
    <n v="125603360"/>
  </r>
  <r>
    <s v="The Prince of Egypt"/>
    <x v="342"/>
    <x v="1"/>
    <x v="0"/>
    <n v="99"/>
    <n v="7"/>
    <n v="70000000"/>
    <n v="101217900"/>
  </r>
  <r>
    <s v="Daddy Day Care"/>
    <x v="284"/>
    <x v="4"/>
    <x v="0"/>
    <n v="92"/>
    <n v="5.5"/>
    <n v="60000000"/>
    <n v="104148781"/>
  </r>
  <r>
    <s v="2 Guns"/>
    <x v="333"/>
    <x v="0"/>
    <x v="0"/>
    <n v="109"/>
    <n v="6.7"/>
    <n v="61000000"/>
    <n v="75573300"/>
  </r>
  <r>
    <s v="Cats &amp; Dogs"/>
    <x v="179"/>
    <x v="0"/>
    <x v="0"/>
    <n v="87"/>
    <n v="5.2"/>
    <n v="60000000"/>
    <n v="93375151"/>
  </r>
  <r>
    <s v="The Italian Job"/>
    <x v="269"/>
    <x v="0"/>
    <x v="0"/>
    <n v="111"/>
    <n v="7"/>
    <n v="60000000"/>
    <n v="106126012"/>
  </r>
  <r>
    <s v="Two Weeks Notice"/>
    <x v="343"/>
    <x v="4"/>
    <x v="0"/>
    <n v="101"/>
    <n v="6.1"/>
    <n v="60000000"/>
    <n v="93307796"/>
  </r>
  <r>
    <s v="Antz"/>
    <x v="78"/>
    <x v="1"/>
    <x v="0"/>
    <n v="83"/>
    <n v="6.6"/>
    <n v="105000000"/>
    <n v="90646554"/>
  </r>
  <r>
    <s v="Couples Retreat"/>
    <x v="344"/>
    <x v="4"/>
    <x v="0"/>
    <n v="113"/>
    <n v="5.5"/>
    <n v="60000000"/>
    <n v="109176215"/>
  </r>
  <r>
    <s v="Days of Thunder"/>
    <x v="161"/>
    <x v="0"/>
    <x v="0"/>
    <n v="107"/>
    <n v="5.9"/>
    <n v="60000000"/>
    <n v="82670733"/>
  </r>
  <r>
    <s v="Cheaper by the Dozen 2"/>
    <x v="235"/>
    <x v="1"/>
    <x v="0"/>
    <n v="94"/>
    <n v="5.4"/>
    <n v="60000000"/>
    <n v="82569532"/>
  </r>
  <r>
    <s v="The Scorch Trials"/>
    <x v="345"/>
    <x v="0"/>
    <x v="0"/>
    <n v="132"/>
    <n v="6.4"/>
    <n v="61000000"/>
    <n v="81687587"/>
  </r>
  <r>
    <s v="Eat Pray Love"/>
    <x v="346"/>
    <x v="2"/>
    <x v="0"/>
    <n v="140"/>
    <n v="5.7"/>
    <n v="60000000"/>
    <n v="80574010"/>
  </r>
  <r>
    <s v="The Family Man"/>
    <x v="24"/>
    <x v="4"/>
    <x v="0"/>
    <n v="125"/>
    <n v="6.7"/>
    <n v="60000000"/>
    <n v="75764085"/>
  </r>
  <r>
    <s v="RED"/>
    <x v="124"/>
    <x v="0"/>
    <x v="0"/>
    <n v="111"/>
    <n v="7.1"/>
    <n v="58000000"/>
    <n v="90356857"/>
  </r>
  <r>
    <s v="Any Given Sunday"/>
    <x v="77"/>
    <x v="2"/>
    <x v="0"/>
    <n v="156"/>
    <n v="6.8"/>
    <n v="55000000"/>
    <n v="75530832"/>
  </r>
  <r>
    <s v="The Horse Whisperer"/>
    <x v="347"/>
    <x v="2"/>
    <x v="0"/>
    <n v="170"/>
    <n v="6.5"/>
    <n v="60000000"/>
    <n v="75370763"/>
  </r>
  <r>
    <s v="Collateral"/>
    <x v="156"/>
    <x v="6"/>
    <x v="0"/>
    <n v="120"/>
    <n v="7.6"/>
    <n v="65000000"/>
    <n v="100003492"/>
  </r>
  <r>
    <s v="The Scorpion King"/>
    <x v="164"/>
    <x v="0"/>
    <x v="0"/>
    <n v="100"/>
    <n v="5.5"/>
    <n v="60000000"/>
    <n v="90341670"/>
  </r>
  <r>
    <s v="Ladder 49"/>
    <x v="348"/>
    <x v="0"/>
    <x v="0"/>
    <n v="115"/>
    <n v="6.5"/>
    <n v="55000000"/>
    <n v="74540762"/>
  </r>
  <r>
    <s v="Jack Reacher"/>
    <x v="88"/>
    <x v="0"/>
    <x v="0"/>
    <n v="130"/>
    <n v="7"/>
    <n v="60000000"/>
    <n v="80033643"/>
  </r>
  <r>
    <s v="Deep Blue Sea"/>
    <x v="196"/>
    <x v="0"/>
    <x v="0"/>
    <n v="105"/>
    <n v="5.8"/>
    <n v="60000000"/>
    <n v="73648142"/>
  </r>
  <r>
    <s v="This Is It"/>
    <x v="349"/>
    <x v="9"/>
    <x v="0"/>
    <n v="111"/>
    <n v="7.3"/>
    <n v="60000000"/>
    <n v="71844424"/>
  </r>
  <r>
    <s v="Contagion"/>
    <x v="148"/>
    <x v="2"/>
    <x v="0"/>
    <n v="106"/>
    <n v="6.6"/>
    <n v="60000000"/>
    <n v="75638743"/>
  </r>
  <r>
    <s v="Kangaroo Jack"/>
    <x v="350"/>
    <x v="0"/>
    <x v="0"/>
    <n v="89"/>
    <n v="4.4000000000000004"/>
    <n v="60000000"/>
    <n v="66734992"/>
  </r>
  <r>
    <s v="Coraline"/>
    <x v="280"/>
    <x v="3"/>
    <x v="0"/>
    <n v="100"/>
    <n v="7.7"/>
    <n v="60000000"/>
    <n v="75280058"/>
  </r>
  <r>
    <s v="The Happening"/>
    <x v="92"/>
    <x v="10"/>
    <x v="0"/>
    <n v="91"/>
    <n v="5"/>
    <n v="48000000"/>
    <n v="64505912"/>
  </r>
  <r>
    <s v="Man on Fire"/>
    <x v="161"/>
    <x v="0"/>
    <x v="0"/>
    <n v="146"/>
    <n v="7.7"/>
    <n v="70000000"/>
    <n v="77862546"/>
  </r>
  <r>
    <s v="The Shaggy Dog"/>
    <x v="351"/>
    <x v="4"/>
    <x v="0"/>
    <n v="98"/>
    <n v="4.4000000000000004"/>
    <n v="50000000"/>
    <n v="61112916"/>
  </r>
  <r>
    <s v="Starsky &amp; Hutch"/>
    <x v="231"/>
    <x v="4"/>
    <x v="0"/>
    <n v="101"/>
    <n v="6.1"/>
    <n v="60000000"/>
    <n v="88200225"/>
  </r>
  <r>
    <s v="Jingle All the Way"/>
    <x v="352"/>
    <x v="4"/>
    <x v="0"/>
    <n v="94"/>
    <n v="5.4"/>
    <n v="60000000"/>
    <n v="60573641"/>
  </r>
  <r>
    <s v="Hellboy"/>
    <x v="36"/>
    <x v="0"/>
    <x v="0"/>
    <n v="132"/>
    <n v="6.8"/>
    <n v="66000000"/>
    <n v="59035104"/>
  </r>
  <r>
    <s v="A Civil Action"/>
    <x v="353"/>
    <x v="2"/>
    <x v="0"/>
    <n v="115"/>
    <n v="6.5"/>
    <n v="60000000"/>
    <n v="56702901"/>
  </r>
  <r>
    <s v="ParaNorman"/>
    <x v="354"/>
    <x v="1"/>
    <x v="0"/>
    <n v="92"/>
    <n v="7"/>
    <n v="60000000"/>
    <n v="55994557"/>
  </r>
  <r>
    <s v="The Jackal"/>
    <x v="305"/>
    <x v="0"/>
    <x v="0"/>
    <n v="124"/>
    <n v="6.3"/>
    <n v="60000000"/>
    <n v="54910560"/>
  </r>
  <r>
    <s v="Paycheck"/>
    <x v="131"/>
    <x v="0"/>
    <x v="0"/>
    <n v="119"/>
    <n v="6.3"/>
    <n v="60000000"/>
    <n v="53789313"/>
  </r>
  <r>
    <s v="Up Close &amp; Personal"/>
    <x v="355"/>
    <x v="2"/>
    <x v="0"/>
    <n v="124"/>
    <n v="6.1"/>
    <n v="60000000"/>
    <n v="51045801"/>
  </r>
  <r>
    <s v="The Tale of Despereaux"/>
    <x v="356"/>
    <x v="1"/>
    <x v="0"/>
    <n v="93"/>
    <n v="6.1"/>
    <n v="60000000"/>
    <n v="50818750"/>
  </r>
  <r>
    <s v="The Tuxedo"/>
    <x v="357"/>
    <x v="0"/>
    <x v="0"/>
    <n v="98"/>
    <n v="5.3"/>
    <n v="60000000"/>
    <n v="50189179"/>
  </r>
  <r>
    <s v="Under Siege 2: Dark Territory"/>
    <x v="358"/>
    <x v="0"/>
    <x v="0"/>
    <n v="92"/>
    <n v="5.4"/>
    <n v="60000000"/>
    <n v="50024083"/>
  </r>
  <r>
    <s v="Jack Ryan: Shadow Recruit"/>
    <x v="84"/>
    <x v="0"/>
    <x v="0"/>
    <n v="105"/>
    <n v="6.2"/>
    <n v="60000000"/>
    <n v="50549107"/>
  </r>
  <r>
    <s v="Joy"/>
    <x v="359"/>
    <x v="7"/>
    <x v="0"/>
    <n v="124"/>
    <n v="6.6"/>
    <n v="60000000"/>
    <n v="56443482"/>
  </r>
  <r>
    <s v="London Has Fallen"/>
    <x v="360"/>
    <x v="0"/>
    <x v="0"/>
    <n v="99"/>
    <n v="5.9"/>
    <n v="60000000"/>
    <n v="62401264"/>
  </r>
  <r>
    <s v="Alien: Resurrection"/>
    <x v="361"/>
    <x v="0"/>
    <x v="0"/>
    <n v="116"/>
    <n v="6.3"/>
    <n v="75000000"/>
    <n v="47748610"/>
  </r>
  <r>
    <s v="Shooter"/>
    <x v="270"/>
    <x v="0"/>
    <x v="0"/>
    <n v="124"/>
    <n v="7.2"/>
    <n v="61000000"/>
    <n v="46975183"/>
  </r>
  <r>
    <s v="The Boxtrolls"/>
    <x v="362"/>
    <x v="1"/>
    <x v="0"/>
    <n v="96"/>
    <n v="6.8"/>
    <n v="60000000"/>
    <n v="50807639"/>
  </r>
  <r>
    <s v="Practical Magic"/>
    <x v="363"/>
    <x v="4"/>
    <x v="0"/>
    <n v="104"/>
    <n v="6.1"/>
    <n v="48000000"/>
    <n v="46611204"/>
  </r>
  <r>
    <s v="The Lego Movie"/>
    <x v="197"/>
    <x v="0"/>
    <x v="0"/>
    <n v="100"/>
    <n v="7.8"/>
    <n v="60000000"/>
    <n v="257756197"/>
  </r>
  <r>
    <s v="Miss Congeniality 2: Armed and Fabulous"/>
    <x v="364"/>
    <x v="0"/>
    <x v="0"/>
    <n v="115"/>
    <n v="5"/>
    <n v="45000000"/>
    <n v="48472213"/>
  </r>
  <r>
    <s v="Reign of Fire"/>
    <x v="314"/>
    <x v="0"/>
    <x v="0"/>
    <n v="101"/>
    <n v="6.2"/>
    <n v="60000000"/>
    <n v="43060566"/>
  </r>
  <r>
    <s v="Gangster Squad"/>
    <x v="365"/>
    <x v="0"/>
    <x v="0"/>
    <n v="113"/>
    <n v="6.7"/>
    <n v="60000000"/>
    <n v="45996718"/>
  </r>
  <r>
    <s v="Year One"/>
    <x v="366"/>
    <x v="1"/>
    <x v="0"/>
    <n v="100"/>
    <n v="4.9000000000000004"/>
    <n v="60000000"/>
    <n v="43337279"/>
  </r>
  <r>
    <s v="Invictus"/>
    <x v="322"/>
    <x v="7"/>
    <x v="0"/>
    <n v="134"/>
    <n v="7.4"/>
    <n v="60000000"/>
    <n v="37479778"/>
  </r>
  <r>
    <s v="State of Play"/>
    <x v="367"/>
    <x v="6"/>
    <x v="0"/>
    <n v="127"/>
    <n v="7.1"/>
    <n v="20000000"/>
    <n v="36965395"/>
  </r>
  <r>
    <s v="Duplicity"/>
    <x v="129"/>
    <x v="4"/>
    <x v="0"/>
    <n v="125"/>
    <n v="6.2"/>
    <n v="60000000"/>
    <n v="40559930"/>
  </r>
  <r>
    <s v="My Favorite Martian"/>
    <x v="368"/>
    <x v="4"/>
    <x v="0"/>
    <n v="94"/>
    <n v="4.9000000000000004"/>
    <n v="65000000"/>
    <n v="36830057"/>
  </r>
  <r>
    <s v="The Sentinel"/>
    <x v="291"/>
    <x v="0"/>
    <x v="0"/>
    <n v="107"/>
    <n v="6.1"/>
    <n v="60000000"/>
    <n v="36279230"/>
  </r>
  <r>
    <s v="Planet 51"/>
    <x v="369"/>
    <x v="1"/>
    <x v="0"/>
    <n v="91"/>
    <n v="6.1"/>
    <n v="70000000"/>
    <n v="42194060"/>
  </r>
  <r>
    <s v="Star Trek: Nemesis"/>
    <x v="370"/>
    <x v="0"/>
    <x v="0"/>
    <n v="116"/>
    <n v="6.4"/>
    <n v="60000000"/>
    <n v="43119879"/>
  </r>
  <r>
    <s v="Intolerable Cruelty"/>
    <x v="371"/>
    <x v="4"/>
    <x v="0"/>
    <n v="100"/>
    <n v="6.3"/>
    <n v="60000000"/>
    <n v="35096190"/>
  </r>
  <r>
    <s v="Trouble with the Curve"/>
    <x v="372"/>
    <x v="2"/>
    <x v="0"/>
    <n v="111"/>
    <n v="6.8"/>
    <n v="20000000"/>
    <n v="35754555"/>
  </r>
  <r>
    <s v="Edge of Darkness"/>
    <x v="29"/>
    <x v="6"/>
    <x v="0"/>
    <n v="117"/>
    <n v="6.6"/>
    <n v="80000000"/>
    <n v="43290977"/>
  </r>
  <r>
    <s v="The Relic"/>
    <x v="173"/>
    <x v="11"/>
    <x v="0"/>
    <n v="110"/>
    <n v="5.7"/>
    <n v="40000000"/>
    <n v="33927476"/>
  </r>
  <r>
    <s v="Analyze That"/>
    <x v="366"/>
    <x v="4"/>
    <x v="0"/>
    <n v="96"/>
    <n v="5.9"/>
    <n v="60000000"/>
    <n v="32122249"/>
  </r>
  <r>
    <s v="Righteous Kill"/>
    <x v="355"/>
    <x v="0"/>
    <x v="0"/>
    <n v="101"/>
    <n v="6"/>
    <n v="60000000"/>
    <n v="40076438"/>
  </r>
  <r>
    <s v="Mercury Rising"/>
    <x v="373"/>
    <x v="0"/>
    <x v="0"/>
    <n v="111"/>
    <n v="6.1"/>
    <n v="60000000"/>
    <n v="32940507"/>
  </r>
  <r>
    <s v="The Soloist"/>
    <x v="95"/>
    <x v="7"/>
    <x v="0"/>
    <n v="117"/>
    <n v="6.7"/>
    <n v="60000000"/>
    <n v="31670931"/>
  </r>
  <r>
    <s v="The Legend of Bagger Vance"/>
    <x v="347"/>
    <x v="2"/>
    <x v="0"/>
    <n v="126"/>
    <n v="6.7"/>
    <n v="60000000"/>
    <n v="30695227"/>
  </r>
  <r>
    <s v="Almost Famous"/>
    <x v="292"/>
    <x v="1"/>
    <x v="0"/>
    <n v="152"/>
    <n v="7.9"/>
    <n v="60000000"/>
    <n v="32522352"/>
  </r>
  <r>
    <s v="Garfield 2"/>
    <x v="340"/>
    <x v="3"/>
    <x v="0"/>
    <n v="86"/>
    <n v="5"/>
    <n v="20000000"/>
    <n v="28424210"/>
  </r>
  <r>
    <s v="xXx: State of the Union"/>
    <x v="97"/>
    <x v="0"/>
    <x v="0"/>
    <n v="101"/>
    <n v="4.3"/>
    <n v="87000000"/>
    <n v="26082914"/>
  </r>
  <r>
    <s v="Priest"/>
    <x v="374"/>
    <x v="0"/>
    <x v="0"/>
    <n v="87"/>
    <n v="5.7"/>
    <n v="60000000"/>
    <n v="29136626"/>
  </r>
  <r>
    <s v="Sinbad: Legend of the Seven Seas"/>
    <x v="375"/>
    <x v="1"/>
    <x v="0"/>
    <n v="85"/>
    <n v="6.7"/>
    <n v="60000000"/>
    <n v="26288320"/>
  </r>
  <r>
    <s v="Event Horizon"/>
    <x v="212"/>
    <x v="11"/>
    <x v="0"/>
    <n v="130"/>
    <n v="6.7"/>
    <n v="60000000"/>
    <n v="26616590"/>
  </r>
  <r>
    <s v="Dragonfly"/>
    <x v="50"/>
    <x v="2"/>
    <x v="0"/>
    <n v="104"/>
    <n v="6.1"/>
    <n v="60000000"/>
    <n v="30063805"/>
  </r>
  <r>
    <s v="The Black Dahlia"/>
    <x v="205"/>
    <x v="6"/>
    <x v="0"/>
    <n v="121"/>
    <n v="5.6"/>
    <n v="50000000"/>
    <n v="22518325"/>
  </r>
  <r>
    <s v="Flyboys"/>
    <x v="376"/>
    <x v="0"/>
    <x v="0"/>
    <n v="140"/>
    <n v="6.6"/>
    <n v="60000000"/>
    <n v="13082288"/>
  </r>
  <r>
    <s v="The Last Castle"/>
    <x v="377"/>
    <x v="0"/>
    <x v="0"/>
    <n v="131"/>
    <n v="6.9"/>
    <n v="60000000"/>
    <n v="18208078"/>
  </r>
  <r>
    <s v="Supernova"/>
    <x v="378"/>
    <x v="11"/>
    <x v="0"/>
    <n v="91"/>
    <n v="4.8"/>
    <n v="65000000"/>
    <n v="14218868"/>
  </r>
  <r>
    <s v="Winter's Tale"/>
    <x v="379"/>
    <x v="2"/>
    <x v="0"/>
    <n v="118"/>
    <n v="6.2"/>
    <n v="60000000"/>
    <n v="22451"/>
  </r>
  <r>
    <s v="The Mortal Instruments: City of Bones"/>
    <x v="380"/>
    <x v="8"/>
    <x v="0"/>
    <n v="130"/>
    <n v="6"/>
    <n v="60000000"/>
    <n v="31165421"/>
  </r>
  <r>
    <s v="Meet Dave"/>
    <x v="351"/>
    <x v="1"/>
    <x v="0"/>
    <n v="90"/>
    <n v="4.9000000000000004"/>
    <n v="60000000"/>
    <n v="11802056"/>
  </r>
  <r>
    <s v="Dark Water"/>
    <x v="381"/>
    <x v="2"/>
    <x v="0"/>
    <n v="103"/>
    <n v="5.6"/>
    <n v="30000000"/>
    <n v="25472967"/>
  </r>
  <r>
    <s v="Edtv"/>
    <x v="83"/>
    <x v="4"/>
    <x v="0"/>
    <n v="122"/>
    <n v="6.1"/>
    <n v="55000000"/>
    <n v="22362500"/>
  </r>
  <r>
    <s v="Inkheart"/>
    <x v="382"/>
    <x v="1"/>
    <x v="0"/>
    <n v="106"/>
    <n v="6.1"/>
    <n v="60000000"/>
    <n v="17281832"/>
  </r>
  <r>
    <s v="The Spirit"/>
    <x v="332"/>
    <x v="0"/>
    <x v="0"/>
    <n v="103"/>
    <n v="4.8"/>
    <n v="60000000"/>
    <n v="19781879"/>
  </r>
  <r>
    <s v="Mortdecai"/>
    <x v="383"/>
    <x v="0"/>
    <x v="0"/>
    <n v="107"/>
    <n v="5.5"/>
    <n v="60000000"/>
    <n v="7605668"/>
  </r>
  <r>
    <s v="In the Name of the King: A Dungeon Siege Tale"/>
    <x v="384"/>
    <x v="0"/>
    <x v="0"/>
    <n v="156"/>
    <n v="3.8"/>
    <n v="60000000"/>
    <n v="4535117"/>
  </r>
  <r>
    <s v="Beyond Borders"/>
    <x v="29"/>
    <x v="1"/>
    <x v="0"/>
    <n v="127"/>
    <n v="6.5"/>
    <n v="35000000"/>
    <n v="4426297"/>
  </r>
  <r>
    <s v="Xi you ji zhi: Sun Wukong san da Baigu Jing"/>
    <x v="385"/>
    <x v="0"/>
    <x v="0"/>
    <n v="119"/>
    <n v="6"/>
    <n v="68005000"/>
    <n v="25078937"/>
  </r>
  <r>
    <s v="The Great Raid"/>
    <x v="386"/>
    <x v="0"/>
    <x v="6"/>
    <n v="132"/>
    <n v="6.7"/>
    <n v="80000000"/>
    <n v="10166502"/>
  </r>
  <r>
    <s v="Deadpool"/>
    <x v="387"/>
    <x v="0"/>
    <x v="0"/>
    <n v="108"/>
    <n v="8.1"/>
    <n v="58000000"/>
    <n v="363024263"/>
  </r>
  <r>
    <s v="Holy Man"/>
    <x v="388"/>
    <x v="4"/>
    <x v="0"/>
    <n v="114"/>
    <n v="4.9000000000000004"/>
    <n v="60000000"/>
    <n v="12065985"/>
  </r>
  <r>
    <s v="American Sniper"/>
    <x v="322"/>
    <x v="0"/>
    <x v="0"/>
    <n v="133"/>
    <n v="7.3"/>
    <n v="58800000"/>
    <n v="350123553"/>
  </r>
  <r>
    <s v="Goosebumps"/>
    <x v="45"/>
    <x v="1"/>
    <x v="0"/>
    <n v="103"/>
    <n v="6.4"/>
    <n v="58000000"/>
    <n v="80021740"/>
  </r>
  <r>
    <s v="Just Like Heaven"/>
    <x v="193"/>
    <x v="4"/>
    <x v="0"/>
    <n v="95"/>
    <n v="6.7"/>
    <n v="58000000"/>
    <n v="48291624"/>
  </r>
  <r>
    <s v="The Flintstones in Viva Rock Vegas"/>
    <x v="352"/>
    <x v="4"/>
    <x v="0"/>
    <n v="90"/>
    <n v="3.6"/>
    <n v="60000000"/>
    <n v="35231365"/>
  </r>
  <r>
    <s v="Rambo III"/>
    <x v="389"/>
    <x v="0"/>
    <x v="0"/>
    <n v="87"/>
    <n v="5.7"/>
    <n v="63000000"/>
    <n v="53715611"/>
  </r>
  <r>
    <s v="Leatherheads"/>
    <x v="295"/>
    <x v="4"/>
    <x v="0"/>
    <n v="114"/>
    <n v="6"/>
    <n v="58000000"/>
    <n v="31199215"/>
  </r>
  <r>
    <s v="The Ridiculous 6"/>
    <x v="155"/>
    <x v="4"/>
    <x v="0"/>
    <n v="119"/>
    <n v="4.9000000000000004"/>
    <n v="20000000"/>
    <n v="25078937"/>
  </r>
  <r>
    <s v="Did You Hear About the Morgans?"/>
    <x v="343"/>
    <x v="4"/>
    <x v="0"/>
    <n v="103"/>
    <n v="4.7"/>
    <n v="58000000"/>
    <n v="29580087"/>
  </r>
  <r>
    <s v="The Internship"/>
    <x v="79"/>
    <x v="4"/>
    <x v="0"/>
    <n v="125"/>
    <n v="6.3"/>
    <n v="58000000"/>
    <n v="44665963"/>
  </r>
  <r>
    <s v="Resident Evil: Afterlife"/>
    <x v="212"/>
    <x v="0"/>
    <x v="0"/>
    <n v="97"/>
    <n v="5.9"/>
    <n v="60000000"/>
    <n v="60128566"/>
  </r>
  <r>
    <s v="Red Tails"/>
    <x v="390"/>
    <x v="0"/>
    <x v="0"/>
    <n v="125"/>
    <n v="5.9"/>
    <n v="58000000"/>
    <n v="49875589"/>
  </r>
  <r>
    <s v="The Devil's Advocate"/>
    <x v="328"/>
    <x v="2"/>
    <x v="0"/>
    <n v="136"/>
    <n v="7.5"/>
    <n v="57000000"/>
    <n v="60984028"/>
  </r>
  <r>
    <s v="That's My Boy"/>
    <x v="391"/>
    <x v="4"/>
    <x v="0"/>
    <n v="116"/>
    <n v="5.6"/>
    <n v="70000000"/>
    <n v="36931089"/>
  </r>
  <r>
    <s v="DragonHeart"/>
    <x v="48"/>
    <x v="0"/>
    <x v="0"/>
    <n v="103"/>
    <n v="6.4"/>
    <n v="57000000"/>
    <n v="51317350"/>
  </r>
  <r>
    <s v="After the Sunset"/>
    <x v="24"/>
    <x v="0"/>
    <x v="0"/>
    <n v="97"/>
    <n v="6.3"/>
    <n v="58000000"/>
    <n v="28328132"/>
  </r>
  <r>
    <s v="Ghost Rider: Spirit of Vengeance"/>
    <x v="392"/>
    <x v="0"/>
    <x v="0"/>
    <n v="96"/>
    <n v="4.3"/>
    <n v="57000000"/>
    <n v="51774002"/>
  </r>
  <r>
    <s v="Captain Corelli's Mandolin"/>
    <x v="393"/>
    <x v="2"/>
    <x v="0"/>
    <n v="131"/>
    <n v="5.9"/>
    <n v="57000000"/>
    <n v="25528495"/>
  </r>
  <r>
    <s v="The Pacifier"/>
    <x v="235"/>
    <x v="0"/>
    <x v="0"/>
    <n v="95"/>
    <n v="5.5"/>
    <n v="56000000"/>
    <n v="113006880"/>
  </r>
  <r>
    <s v="Walking Tall"/>
    <x v="394"/>
    <x v="0"/>
    <x v="0"/>
    <n v="86"/>
    <n v="6.2"/>
    <n v="56000000"/>
    <n v="45860039"/>
  </r>
  <r>
    <s v="Forrest Gump"/>
    <x v="42"/>
    <x v="4"/>
    <x v="0"/>
    <n v="142"/>
    <n v="8.8000000000000007"/>
    <n v="55000000"/>
    <n v="329691196"/>
  </r>
  <r>
    <s v="Alvin and the Chipmunks"/>
    <x v="340"/>
    <x v="3"/>
    <x v="0"/>
    <n v="92"/>
    <n v="5.2"/>
    <n v="60000000"/>
    <n v="217326336"/>
  </r>
  <r>
    <s v="Meet the Parents"/>
    <x v="186"/>
    <x v="4"/>
    <x v="0"/>
    <n v="108"/>
    <n v="7"/>
    <n v="55000000"/>
    <n v="166225040"/>
  </r>
  <r>
    <s v="Pocahontas"/>
    <x v="395"/>
    <x v="1"/>
    <x v="0"/>
    <n v="84"/>
    <n v="6.6"/>
    <n v="55000000"/>
    <n v="141600000"/>
  </r>
  <r>
    <s v="Superman"/>
    <x v="104"/>
    <x v="0"/>
    <x v="0"/>
    <n v="188"/>
    <n v="7.3"/>
    <n v="55000000"/>
    <n v="134218018"/>
  </r>
  <r>
    <s v="The Nutty Professor"/>
    <x v="50"/>
    <x v="4"/>
    <x v="0"/>
    <n v="95"/>
    <n v="5.6"/>
    <n v="54000000"/>
    <n v="128769345"/>
  </r>
  <r>
    <s v="Hitch"/>
    <x v="275"/>
    <x v="4"/>
    <x v="0"/>
    <n v="118"/>
    <n v="6.6"/>
    <n v="70000000"/>
    <n v="177575142"/>
  </r>
  <r>
    <s v="George of the Jungle"/>
    <x v="396"/>
    <x v="0"/>
    <x v="0"/>
    <n v="92"/>
    <n v="5.4"/>
    <n v="55000000"/>
    <n v="105263257"/>
  </r>
  <r>
    <s v="American Wedding"/>
    <x v="397"/>
    <x v="4"/>
    <x v="0"/>
    <n v="74"/>
    <n v="6.3"/>
    <n v="55000000"/>
    <n v="104354205"/>
  </r>
  <r>
    <s v="Captain Phillips"/>
    <x v="114"/>
    <x v="7"/>
    <x v="0"/>
    <n v="134"/>
    <n v="7.9"/>
    <n v="55000000"/>
    <n v="107100855"/>
  </r>
  <r>
    <s v="Date Night"/>
    <x v="79"/>
    <x v="4"/>
    <x v="0"/>
    <n v="101"/>
    <n v="6.3"/>
    <n v="55000000"/>
    <n v="98711404"/>
  </r>
  <r>
    <s v="Casper"/>
    <x v="176"/>
    <x v="4"/>
    <x v="0"/>
    <n v="100"/>
    <n v="6"/>
    <n v="50000000"/>
    <n v="100328194"/>
  </r>
  <r>
    <s v="The Equalizer"/>
    <x v="270"/>
    <x v="0"/>
    <x v="0"/>
    <n v="132"/>
    <n v="7.2"/>
    <n v="55000000"/>
    <n v="101530738"/>
  </r>
  <r>
    <s v="Maid in Manhattan"/>
    <x v="398"/>
    <x v="4"/>
    <x v="0"/>
    <n v="105"/>
    <n v="5.0999999999999996"/>
    <n v="55000000"/>
    <n v="93815117"/>
  </r>
  <r>
    <s v="Crimson Tide"/>
    <x v="161"/>
    <x v="0"/>
    <x v="0"/>
    <n v="123"/>
    <n v="7.3"/>
    <n v="53000000"/>
    <n v="91400000"/>
  </r>
  <r>
    <s v="The Pursuit of Happyness"/>
    <x v="399"/>
    <x v="7"/>
    <x v="0"/>
    <n v="117"/>
    <n v="8"/>
    <n v="55000000"/>
    <n v="162586036"/>
  </r>
  <r>
    <s v="Flightplan"/>
    <x v="124"/>
    <x v="2"/>
    <x v="0"/>
    <n v="98"/>
    <n v="6.2"/>
    <n v="55000000"/>
    <n v="89706988"/>
  </r>
  <r>
    <s v="Disclosure"/>
    <x v="273"/>
    <x v="2"/>
    <x v="0"/>
    <n v="128"/>
    <n v="6"/>
    <n v="55000000"/>
    <n v="83000000"/>
  </r>
  <r>
    <s v="City of Angels"/>
    <x v="176"/>
    <x v="2"/>
    <x v="0"/>
    <n v="114"/>
    <n v="6.7"/>
    <n v="55000000"/>
    <n v="78745923"/>
  </r>
  <r>
    <s v="Kill Bill: Vol. 1"/>
    <x v="165"/>
    <x v="0"/>
    <x v="0"/>
    <n v="111"/>
    <n v="8.1"/>
    <n v="30000000"/>
    <n v="70098138"/>
  </r>
  <r>
    <s v="Bowfinger"/>
    <x v="185"/>
    <x v="4"/>
    <x v="0"/>
    <n v="85"/>
    <n v="6.4"/>
    <n v="55000000"/>
    <n v="66365290"/>
  </r>
  <r>
    <s v="Kill Bill: Vol. 2"/>
    <x v="165"/>
    <x v="0"/>
    <x v="0"/>
    <n v="137"/>
    <n v="8"/>
    <n v="30000000"/>
    <n v="66207920"/>
  </r>
  <r>
    <s v="Tango &amp; Cash"/>
    <x v="210"/>
    <x v="0"/>
    <x v="0"/>
    <n v="97"/>
    <n v="6.3"/>
    <n v="55000000"/>
    <n v="63408614"/>
  </r>
  <r>
    <s v="Death Becomes Her"/>
    <x v="42"/>
    <x v="4"/>
    <x v="0"/>
    <n v="104"/>
    <n v="6.4"/>
    <n v="55000000"/>
    <n v="58422650"/>
  </r>
  <r>
    <s v="Shanghai Noon"/>
    <x v="400"/>
    <x v="0"/>
    <x v="0"/>
    <n v="110"/>
    <n v="6.6"/>
    <n v="55000000"/>
    <n v="56932305"/>
  </r>
  <r>
    <s v="Executive Decision"/>
    <x v="370"/>
    <x v="0"/>
    <x v="0"/>
    <n v="133"/>
    <n v="6.4"/>
    <n v="55000000"/>
    <n v="68750000"/>
  </r>
  <r>
    <s v="Mr. Popper's Penguins"/>
    <x v="193"/>
    <x v="4"/>
    <x v="0"/>
    <n v="94"/>
    <n v="6"/>
    <n v="55000000"/>
    <n v="68218041"/>
  </r>
  <r>
    <s v="The Forbidden Kingdom"/>
    <x v="96"/>
    <x v="0"/>
    <x v="0"/>
    <n v="104"/>
    <n v="6.6"/>
    <n v="55000000"/>
    <n v="25040293"/>
  </r>
  <r>
    <s v="Free Birds"/>
    <x v="401"/>
    <x v="1"/>
    <x v="0"/>
    <n v="91"/>
    <n v="5.9"/>
    <n v="55000000"/>
    <n v="55747724"/>
  </r>
  <r>
    <s v="Alien 3"/>
    <x v="67"/>
    <x v="0"/>
    <x v="0"/>
    <n v="145"/>
    <n v="6.4"/>
    <n v="50000000"/>
    <n v="55473600"/>
  </r>
  <r>
    <s v="Evita"/>
    <x v="402"/>
    <x v="7"/>
    <x v="0"/>
    <n v="135"/>
    <n v="6.3"/>
    <n v="55000000"/>
    <n v="49994804"/>
  </r>
  <r>
    <s v="Ronin"/>
    <x v="403"/>
    <x v="0"/>
    <x v="0"/>
    <n v="122"/>
    <n v="7.3"/>
    <n v="55000000"/>
    <n v="41609593"/>
  </r>
  <r>
    <s v="The Ghost and the Darkness"/>
    <x v="245"/>
    <x v="1"/>
    <x v="0"/>
    <n v="110"/>
    <n v="6.8"/>
    <n v="55000000"/>
    <n v="38553833"/>
  </r>
  <r>
    <s v="Paddington"/>
    <x v="404"/>
    <x v="3"/>
    <x v="0"/>
    <n v="95"/>
    <n v="7.2"/>
    <n v="55000000"/>
    <n v="76137505"/>
  </r>
  <r>
    <s v="The Watch"/>
    <x v="405"/>
    <x v="0"/>
    <x v="0"/>
    <n v="102"/>
    <n v="5.7"/>
    <n v="68000000"/>
    <n v="34350553"/>
  </r>
  <r>
    <s v="The Hunted"/>
    <x v="406"/>
    <x v="0"/>
    <x v="0"/>
    <n v="94"/>
    <n v="6"/>
    <n v="55000000"/>
    <n v="34238611"/>
  </r>
  <r>
    <s v="Instinct"/>
    <x v="70"/>
    <x v="2"/>
    <x v="0"/>
    <n v="126"/>
    <n v="6.5"/>
    <n v="55000000"/>
    <n v="34098563"/>
  </r>
  <r>
    <s v="Stuck on You"/>
    <x v="303"/>
    <x v="4"/>
    <x v="0"/>
    <n v="118"/>
    <n v="5.8"/>
    <n v="55000000"/>
    <n v="33828318"/>
  </r>
  <r>
    <s v="Semi-Pro"/>
    <x v="407"/>
    <x v="4"/>
    <x v="0"/>
    <n v="99"/>
    <n v="5.8"/>
    <n v="55000000"/>
    <n v="33472850"/>
  </r>
  <r>
    <s v="The Pirates! Band of Misfits"/>
    <x v="408"/>
    <x v="1"/>
    <x v="0"/>
    <n v="88"/>
    <n v="6.7"/>
    <n v="55000000"/>
    <n v="31051126"/>
  </r>
  <r>
    <s v="Changeling"/>
    <x v="322"/>
    <x v="6"/>
    <x v="0"/>
    <n v="141"/>
    <n v="7.8"/>
    <n v="55000000"/>
    <n v="35707327"/>
  </r>
  <r>
    <s v="Chain Reaction"/>
    <x v="222"/>
    <x v="0"/>
    <x v="0"/>
    <n v="107"/>
    <n v="5.6"/>
    <n v="50000000"/>
    <n v="20550712"/>
  </r>
  <r>
    <s v="The Fan"/>
    <x v="161"/>
    <x v="0"/>
    <x v="0"/>
    <n v="116"/>
    <n v="5.8"/>
    <n v="55000000"/>
    <n v="18573791"/>
  </r>
  <r>
    <s v="The Phantom of the Opera"/>
    <x v="130"/>
    <x v="2"/>
    <x v="0"/>
    <n v="143"/>
    <n v="7.4"/>
    <n v="70000000"/>
    <n v="51225796"/>
  </r>
  <r>
    <s v="Elizabeth: The Golden Age"/>
    <x v="409"/>
    <x v="7"/>
    <x v="0"/>
    <n v="114"/>
    <n v="6.9"/>
    <n v="55000000"/>
    <n v="16264475"/>
  </r>
  <r>
    <s v="Æon Flux"/>
    <x v="410"/>
    <x v="0"/>
    <x v="0"/>
    <n v="93"/>
    <n v="5.5"/>
    <n v="62000000"/>
    <n v="25857987"/>
  </r>
  <r>
    <s v="Gods and Generals"/>
    <x v="411"/>
    <x v="2"/>
    <x v="0"/>
    <n v="280"/>
    <n v="6.3"/>
    <n v="56000000"/>
    <n v="12870569"/>
  </r>
  <r>
    <s v="Turbulence"/>
    <x v="412"/>
    <x v="0"/>
    <x v="0"/>
    <n v="100"/>
    <n v="4.7"/>
    <n v="71000000"/>
    <n v="11466088"/>
  </r>
  <r>
    <s v="Imagine That"/>
    <x v="413"/>
    <x v="4"/>
    <x v="0"/>
    <n v="107"/>
    <n v="5.6"/>
    <n v="55000000"/>
    <n v="16088610"/>
  </r>
  <r>
    <s v="Muppets Most Wanted"/>
    <x v="72"/>
    <x v="1"/>
    <x v="0"/>
    <n v="119"/>
    <n v="6.4"/>
    <n v="50000000"/>
    <n v="51178893"/>
  </r>
  <r>
    <s v="Thunderbirds"/>
    <x v="294"/>
    <x v="0"/>
    <x v="0"/>
    <n v="95"/>
    <n v="4.2"/>
    <n v="57000000"/>
    <n v="6768055"/>
  </r>
  <r>
    <s v="Burlesque"/>
    <x v="414"/>
    <x v="2"/>
    <x v="0"/>
    <n v="119"/>
    <n v="6.4"/>
    <n v="55000000"/>
    <n v="39440655"/>
  </r>
  <r>
    <s v="A Very Long Engagement"/>
    <x v="361"/>
    <x v="2"/>
    <x v="2"/>
    <n v="133"/>
    <n v="7.7"/>
    <n v="47000000"/>
    <n v="6167817"/>
  </r>
  <r>
    <s v="Lolita"/>
    <x v="324"/>
    <x v="6"/>
    <x v="0"/>
    <n v="152"/>
    <n v="7.7"/>
    <n v="2000000"/>
    <n v="25078937"/>
  </r>
  <r>
    <s v="Eye See You"/>
    <x v="415"/>
    <x v="6"/>
    <x v="0"/>
    <n v="96"/>
    <n v="5.3"/>
    <n v="55000000"/>
    <n v="25078937"/>
  </r>
  <r>
    <s v="Blade II"/>
    <x v="36"/>
    <x v="0"/>
    <x v="0"/>
    <n v="117"/>
    <n v="6.7"/>
    <n v="54000000"/>
    <n v="81645152"/>
  </r>
  <r>
    <s v="Seven Pounds"/>
    <x v="399"/>
    <x v="2"/>
    <x v="0"/>
    <n v="123"/>
    <n v="7.7"/>
    <n v="55000000"/>
    <n v="69951824"/>
  </r>
  <r>
    <s v="Bullet to the Head"/>
    <x v="378"/>
    <x v="0"/>
    <x v="0"/>
    <n v="92"/>
    <n v="5.7"/>
    <n v="55000000"/>
    <n v="9483821"/>
  </r>
  <r>
    <s v="The Godfather: Part III"/>
    <x v="416"/>
    <x v="6"/>
    <x v="0"/>
    <n v="170"/>
    <n v="7.6"/>
    <n v="54000000"/>
    <n v="66676062"/>
  </r>
  <r>
    <s v="Elizabethtown"/>
    <x v="292"/>
    <x v="4"/>
    <x v="0"/>
    <n v="123"/>
    <n v="6.4"/>
    <n v="57000000"/>
    <n v="26838389"/>
  </r>
  <r>
    <s v="You, Me and Dupree"/>
    <x v="19"/>
    <x v="4"/>
    <x v="0"/>
    <n v="110"/>
    <n v="5.6"/>
    <n v="54000000"/>
    <n v="75604320"/>
  </r>
  <r>
    <s v="Superman II"/>
    <x v="417"/>
    <x v="0"/>
    <x v="0"/>
    <n v="116"/>
    <n v="6.8"/>
    <n v="54000000"/>
    <n v="108200000"/>
  </r>
  <r>
    <s v="Gigli"/>
    <x v="221"/>
    <x v="4"/>
    <x v="0"/>
    <n v="121"/>
    <n v="2.4"/>
    <n v="54000000"/>
    <n v="5660084"/>
  </r>
  <r>
    <s v="All the King's Men"/>
    <x v="353"/>
    <x v="2"/>
    <x v="0"/>
    <n v="128"/>
    <n v="6.2"/>
    <n v="55000000"/>
    <n v="7221458"/>
  </r>
  <r>
    <s v="Shaft"/>
    <x v="261"/>
    <x v="0"/>
    <x v="0"/>
    <n v="99"/>
    <n v="5.9"/>
    <n v="46000000"/>
    <n v="70327868"/>
  </r>
  <r>
    <s v="Anastasia"/>
    <x v="277"/>
    <x v="1"/>
    <x v="0"/>
    <n v="94"/>
    <n v="7.1"/>
    <n v="50000000"/>
    <n v="58297830"/>
  </r>
  <r>
    <s v="Moulin Rouge!"/>
    <x v="34"/>
    <x v="2"/>
    <x v="0"/>
    <n v="127"/>
    <n v="7.6"/>
    <n v="52500000"/>
    <n v="57386369"/>
  </r>
  <r>
    <s v="Domestic Disturbance"/>
    <x v="373"/>
    <x v="6"/>
    <x v="0"/>
    <n v="89"/>
    <n v="5.5"/>
    <n v="53000000"/>
    <n v="45207112"/>
  </r>
  <r>
    <s v="Black Mass"/>
    <x v="418"/>
    <x v="7"/>
    <x v="0"/>
    <n v="123"/>
    <n v="7"/>
    <n v="53000000"/>
    <n v="62563543"/>
  </r>
  <r>
    <s v="Flags of Our Fathers"/>
    <x v="322"/>
    <x v="2"/>
    <x v="0"/>
    <n v="135"/>
    <n v="7.1"/>
    <n v="90000000"/>
    <n v="33574332"/>
  </r>
  <r>
    <s v="Law Abiding Citizen"/>
    <x v="269"/>
    <x v="6"/>
    <x v="0"/>
    <n v="118"/>
    <n v="7.4"/>
    <n v="50000000"/>
    <n v="73343413"/>
  </r>
  <r>
    <s v="Grindhouse"/>
    <x v="419"/>
    <x v="0"/>
    <x v="0"/>
    <n v="189"/>
    <n v="7.6"/>
    <n v="53000000"/>
    <n v="25031037"/>
  </r>
  <r>
    <s v="Beloved"/>
    <x v="246"/>
    <x v="2"/>
    <x v="0"/>
    <n v="172"/>
    <n v="5.9"/>
    <n v="55000000"/>
    <n v="22843047"/>
  </r>
  <r>
    <s v="Lucky You"/>
    <x v="420"/>
    <x v="2"/>
    <x v="0"/>
    <n v="124"/>
    <n v="5.9"/>
    <n v="55000000"/>
    <n v="5755286"/>
  </r>
  <r>
    <s v="Catch Me If You Can"/>
    <x v="37"/>
    <x v="7"/>
    <x v="0"/>
    <n v="141"/>
    <n v="8"/>
    <n v="52000000"/>
    <n v="164435221"/>
  </r>
  <r>
    <s v="Zero Dark Thirty"/>
    <x v="208"/>
    <x v="2"/>
    <x v="0"/>
    <n v="157"/>
    <n v="7.4"/>
    <n v="40000000"/>
    <n v="95720716"/>
  </r>
  <r>
    <s v="The Break-Up"/>
    <x v="116"/>
    <x v="4"/>
    <x v="0"/>
    <n v="106"/>
    <n v="5.8"/>
    <n v="52000000"/>
    <n v="118683135"/>
  </r>
  <r>
    <s v="Mamma Mia!"/>
    <x v="421"/>
    <x v="4"/>
    <x v="0"/>
    <n v="108"/>
    <n v="6.3"/>
    <n v="52000000"/>
    <n v="143704210"/>
  </r>
  <r>
    <s v="Valentine's Day"/>
    <x v="289"/>
    <x v="4"/>
    <x v="0"/>
    <n v="125"/>
    <n v="5.7"/>
    <n v="52000000"/>
    <n v="110476776"/>
  </r>
  <r>
    <s v="The Dukes of Hazzard"/>
    <x v="422"/>
    <x v="0"/>
    <x v="0"/>
    <n v="107"/>
    <n v="5.0999999999999996"/>
    <n v="50000000"/>
    <n v="80270227"/>
  </r>
  <r>
    <s v="The Thin Red Line"/>
    <x v="423"/>
    <x v="2"/>
    <x v="0"/>
    <n v="215"/>
    <n v="7.6"/>
    <n v="52000000"/>
    <n v="36385763"/>
  </r>
  <r>
    <s v="The Change-Up"/>
    <x v="424"/>
    <x v="4"/>
    <x v="0"/>
    <n v="118"/>
    <n v="6.4"/>
    <n v="52000000"/>
    <n v="37035845"/>
  </r>
  <r>
    <s v="Man on the Moon"/>
    <x v="425"/>
    <x v="7"/>
    <x v="0"/>
    <n v="118"/>
    <n v="7.4"/>
    <n v="52000000"/>
    <n v="34580635"/>
  </r>
  <r>
    <s v="Casino"/>
    <x v="47"/>
    <x v="7"/>
    <x v="0"/>
    <n v="178"/>
    <n v="8.1999999999999993"/>
    <n v="52000000"/>
    <n v="42438300"/>
  </r>
  <r>
    <s v="From Paris with Love"/>
    <x v="426"/>
    <x v="0"/>
    <x v="0"/>
    <n v="92"/>
    <n v="6.5"/>
    <n v="52000000"/>
    <n v="23324666"/>
  </r>
  <r>
    <s v="Bulletproof Monk"/>
    <x v="427"/>
    <x v="0"/>
    <x v="0"/>
    <n v="104"/>
    <n v="5.5"/>
    <n v="52000000"/>
    <n v="23020488"/>
  </r>
  <r>
    <s v="Me, Myself &amp; Irene"/>
    <x v="303"/>
    <x v="4"/>
    <x v="0"/>
    <n v="116"/>
    <n v="6.5"/>
    <n v="51000000"/>
    <n v="90567722"/>
  </r>
  <r>
    <s v="Barnyard"/>
    <x v="428"/>
    <x v="3"/>
    <x v="0"/>
    <n v="90"/>
    <n v="5.6"/>
    <n v="51000000"/>
    <n v="72601713"/>
  </r>
  <r>
    <s v="Deck the Halls"/>
    <x v="429"/>
    <x v="4"/>
    <x v="0"/>
    <n v="93"/>
    <n v="4.9000000000000004"/>
    <n v="20000000"/>
    <n v="35092918"/>
  </r>
  <r>
    <s v="The Twilight Saga: New Moon"/>
    <x v="18"/>
    <x v="1"/>
    <x v="0"/>
    <n v="130"/>
    <n v="4.5999999999999996"/>
    <n v="50000000"/>
    <n v="296623634"/>
  </r>
  <r>
    <s v="Shrek"/>
    <x v="12"/>
    <x v="1"/>
    <x v="0"/>
    <n v="90"/>
    <n v="7.9"/>
    <n v="60000000"/>
    <n v="267652016"/>
  </r>
  <r>
    <s v="The Adjustment Bureau"/>
    <x v="430"/>
    <x v="12"/>
    <x v="0"/>
    <n v="106"/>
    <n v="7.1"/>
    <n v="50200000"/>
    <n v="62453315"/>
  </r>
  <r>
    <s v="Robin Hood: Prince of Thieves"/>
    <x v="52"/>
    <x v="0"/>
    <x v="0"/>
    <n v="155"/>
    <n v="6.9"/>
    <n v="48000000"/>
    <n v="165500000"/>
  </r>
  <r>
    <s v="Jerry Maguire"/>
    <x v="292"/>
    <x v="4"/>
    <x v="0"/>
    <n v="139"/>
    <n v="7.3"/>
    <n v="50000000"/>
    <n v="153620822"/>
  </r>
  <r>
    <s v="Ted"/>
    <x v="310"/>
    <x v="4"/>
    <x v="0"/>
    <n v="112"/>
    <n v="7"/>
    <n v="50000000"/>
    <n v="218628680"/>
  </r>
  <r>
    <s v="As Good as It Gets"/>
    <x v="137"/>
    <x v="4"/>
    <x v="0"/>
    <n v="139"/>
    <n v="7.7"/>
    <n v="50000000"/>
    <n v="147637474"/>
  </r>
  <r>
    <s v="Patch Adams"/>
    <x v="50"/>
    <x v="7"/>
    <x v="0"/>
    <n v="115"/>
    <n v="6.7"/>
    <n v="50000000"/>
    <n v="135014968"/>
  </r>
  <r>
    <s v="Anchorman 2: The Legend Continues"/>
    <x v="163"/>
    <x v="4"/>
    <x v="0"/>
    <n v="143"/>
    <n v="6.3"/>
    <n v="50000000"/>
    <n v="2175312"/>
  </r>
  <r>
    <s v="Mr. Deeds"/>
    <x v="250"/>
    <x v="4"/>
    <x v="0"/>
    <n v="96"/>
    <n v="5.8"/>
    <n v="50000000"/>
    <n v="126203320"/>
  </r>
  <r>
    <s v="Super 8"/>
    <x v="33"/>
    <x v="5"/>
    <x v="0"/>
    <n v="112"/>
    <n v="7.1"/>
    <n v="50000000"/>
    <n v="126975169"/>
  </r>
  <r>
    <s v="Erin Brockovich"/>
    <x v="148"/>
    <x v="7"/>
    <x v="0"/>
    <n v="131"/>
    <n v="7.3"/>
    <n v="52000000"/>
    <n v="125548685"/>
  </r>
  <r>
    <s v="How to Lose a Guy in 10 Days"/>
    <x v="368"/>
    <x v="4"/>
    <x v="0"/>
    <n v="116"/>
    <n v="6.4"/>
    <n v="50000000"/>
    <n v="105807520"/>
  </r>
  <r>
    <s v="22 Jump Street"/>
    <x v="197"/>
    <x v="0"/>
    <x v="0"/>
    <n v="112"/>
    <n v="7.1"/>
    <n v="50000000"/>
    <n v="191616238"/>
  </r>
  <r>
    <s v="Interview with the Vampire: The Vampire Chronicles"/>
    <x v="431"/>
    <x v="2"/>
    <x v="0"/>
    <n v="123"/>
    <n v="7.6"/>
    <n v="60000000"/>
    <n v="105264608"/>
  </r>
  <r>
    <s v="Yes Man"/>
    <x v="116"/>
    <x v="4"/>
    <x v="0"/>
    <n v="104"/>
    <n v="6.8"/>
    <n v="70000000"/>
    <n v="97680195"/>
  </r>
  <r>
    <s v="Central Intelligence"/>
    <x v="432"/>
    <x v="0"/>
    <x v="0"/>
    <n v="107"/>
    <n v="6.6"/>
    <n v="50000000"/>
    <n v="126088877"/>
  </r>
  <r>
    <s v="Stepmom"/>
    <x v="123"/>
    <x v="4"/>
    <x v="0"/>
    <n v="124"/>
    <n v="6.7"/>
    <n v="50000000"/>
    <n v="91030827"/>
  </r>
  <r>
    <s v="Daddy's Home"/>
    <x v="391"/>
    <x v="4"/>
    <x v="0"/>
    <n v="96"/>
    <n v="6.1"/>
    <n v="50000000"/>
    <n v="150315155"/>
  </r>
  <r>
    <s v="Into the Woods"/>
    <x v="13"/>
    <x v="1"/>
    <x v="0"/>
    <n v="125"/>
    <n v="6"/>
    <n v="50000000"/>
    <n v="127997349"/>
  </r>
  <r>
    <s v="Inside Man"/>
    <x v="433"/>
    <x v="6"/>
    <x v="0"/>
    <n v="129"/>
    <n v="7.6"/>
    <n v="45000000"/>
    <n v="88504640"/>
  </r>
  <r>
    <s v="Payback"/>
    <x v="434"/>
    <x v="0"/>
    <x v="0"/>
    <n v="90"/>
    <n v="7.1"/>
    <n v="50000000"/>
    <n v="81517441"/>
  </r>
  <r>
    <s v="Congo"/>
    <x v="435"/>
    <x v="0"/>
    <x v="0"/>
    <n v="109"/>
    <n v="5"/>
    <n v="50000000"/>
    <n v="81022333"/>
  </r>
  <r>
    <s v="We Bought a Zoo"/>
    <x v="292"/>
    <x v="4"/>
    <x v="0"/>
    <n v="124"/>
    <n v="7.1"/>
    <n v="20000000"/>
    <n v="75621915"/>
  </r>
  <r>
    <s v="Knowing"/>
    <x v="103"/>
    <x v="2"/>
    <x v="0"/>
    <n v="121"/>
    <n v="6.2"/>
    <n v="50000000"/>
    <n v="79948113"/>
  </r>
  <r>
    <s v="Failure to Launch"/>
    <x v="400"/>
    <x v="4"/>
    <x v="0"/>
    <n v="95"/>
    <n v="5.6"/>
    <n v="50000000"/>
    <n v="88658172"/>
  </r>
  <r>
    <s v="The Ring Two"/>
    <x v="436"/>
    <x v="11"/>
    <x v="0"/>
    <n v="128"/>
    <n v="5.4"/>
    <n v="20000000"/>
    <n v="75888270"/>
  </r>
  <r>
    <s v="Crazy, Stupid, Love."/>
    <x v="326"/>
    <x v="4"/>
    <x v="0"/>
    <n v="118"/>
    <n v="7.4"/>
    <n v="50000000"/>
    <n v="84244877"/>
  </r>
  <r>
    <s v="Garfield"/>
    <x v="437"/>
    <x v="3"/>
    <x v="0"/>
    <n v="80"/>
    <n v="5"/>
    <n v="35000000"/>
    <n v="75367693"/>
  </r>
  <r>
    <s v="Christmas with the Kranks"/>
    <x v="438"/>
    <x v="4"/>
    <x v="0"/>
    <n v="99"/>
    <n v="5.2"/>
    <n v="60000000"/>
    <n v="73701902"/>
  </r>
  <r>
    <s v="Moneyball"/>
    <x v="439"/>
    <x v="7"/>
    <x v="0"/>
    <n v="133"/>
    <n v="7.6"/>
    <n v="50000000"/>
    <n v="75605492"/>
  </r>
  <r>
    <s v="Outbreak"/>
    <x v="71"/>
    <x v="0"/>
    <x v="0"/>
    <n v="127"/>
    <n v="6.6"/>
    <n v="50000000"/>
    <n v="67823573"/>
  </r>
  <r>
    <s v="Non-Stop"/>
    <x v="440"/>
    <x v="0"/>
    <x v="0"/>
    <n v="106"/>
    <n v="7"/>
    <n v="50000000"/>
    <n v="91439400"/>
  </r>
  <r>
    <s v="Race to Witch Mountain"/>
    <x v="441"/>
    <x v="0"/>
    <x v="0"/>
    <n v="98"/>
    <n v="5.7"/>
    <n v="65000000"/>
    <n v="67128202"/>
  </r>
  <r>
    <s v="V for Vendetta"/>
    <x v="442"/>
    <x v="0"/>
    <x v="0"/>
    <n v="132"/>
    <n v="8.1999999999999993"/>
    <n v="54000000"/>
    <n v="70496802"/>
  </r>
  <r>
    <s v="Shanghai Knights"/>
    <x v="424"/>
    <x v="0"/>
    <x v="0"/>
    <n v="114"/>
    <n v="6.2"/>
    <n v="50000000"/>
    <n v="60470220"/>
  </r>
  <r>
    <s v="Curious George"/>
    <x v="443"/>
    <x v="1"/>
    <x v="0"/>
    <n v="78"/>
    <n v="6.6"/>
    <n v="50000000"/>
    <n v="58336565"/>
  </r>
  <r>
    <s v="Herbie Fully Loaded"/>
    <x v="444"/>
    <x v="1"/>
    <x v="0"/>
    <n v="101"/>
    <n v="4.7"/>
    <n v="50000000"/>
    <n v="66002004"/>
  </r>
  <r>
    <s v="Don't Say a Word"/>
    <x v="445"/>
    <x v="6"/>
    <x v="0"/>
    <n v="113"/>
    <n v="6.3"/>
    <n v="50000000"/>
    <n v="54997476"/>
  </r>
  <r>
    <s v="Hansel &amp; Gretel: Witch Hunters"/>
    <x v="446"/>
    <x v="0"/>
    <x v="0"/>
    <n v="98"/>
    <n v="6.1"/>
    <n v="50000000"/>
    <n v="55682070"/>
  </r>
  <r>
    <s v="Unfaithful"/>
    <x v="447"/>
    <x v="2"/>
    <x v="0"/>
    <n v="124"/>
    <n v="6.7"/>
    <n v="50000000"/>
    <n v="52752475"/>
  </r>
  <r>
    <s v="I Am Number Four"/>
    <x v="236"/>
    <x v="0"/>
    <x v="0"/>
    <n v="109"/>
    <n v="6.1"/>
    <n v="60000000"/>
    <n v="55092830"/>
  </r>
  <r>
    <s v="Syriana"/>
    <x v="448"/>
    <x v="2"/>
    <x v="0"/>
    <n v="128"/>
    <n v="7"/>
    <n v="50000000"/>
    <n v="50815288"/>
  </r>
  <r>
    <s v="13 Hours"/>
    <x v="26"/>
    <x v="0"/>
    <x v="0"/>
    <n v="144"/>
    <n v="7.4"/>
    <n v="50000000"/>
    <n v="52822418"/>
  </r>
  <r>
    <s v="The Book of Life"/>
    <x v="449"/>
    <x v="1"/>
    <x v="0"/>
    <n v="95"/>
    <n v="7.3"/>
    <n v="50000000"/>
    <n v="50150619"/>
  </r>
  <r>
    <s v="Firewall"/>
    <x v="450"/>
    <x v="6"/>
    <x v="0"/>
    <n v="105"/>
    <n v="5.8"/>
    <n v="50000000"/>
    <n v="48745150"/>
  </r>
  <r>
    <s v="Absolute Power"/>
    <x v="322"/>
    <x v="0"/>
    <x v="0"/>
    <n v="121"/>
    <n v="6.7"/>
    <n v="50000000"/>
    <n v="50007168"/>
  </r>
  <r>
    <s v="G.I. Jane"/>
    <x v="17"/>
    <x v="0"/>
    <x v="0"/>
    <n v="125"/>
    <n v="5.8"/>
    <n v="50000000"/>
    <n v="48154732"/>
  </r>
  <r>
    <s v="The Game"/>
    <x v="67"/>
    <x v="2"/>
    <x v="0"/>
    <n v="129"/>
    <n v="7.8"/>
    <n v="50000000"/>
    <n v="48265581"/>
  </r>
  <r>
    <s v="Silent Hill"/>
    <x v="451"/>
    <x v="1"/>
    <x v="0"/>
    <n v="132"/>
    <n v="6.6"/>
    <n v="50000000"/>
    <n v="46982632"/>
  </r>
  <r>
    <s v="The Replacements"/>
    <x v="452"/>
    <x v="4"/>
    <x v="0"/>
    <n v="118"/>
    <n v="6.5"/>
    <n v="50000000"/>
    <n v="44737059"/>
  </r>
  <r>
    <s v="American Reunion"/>
    <x v="453"/>
    <x v="4"/>
    <x v="0"/>
    <n v="113"/>
    <n v="6.7"/>
    <n v="50000000"/>
    <n v="56724080"/>
  </r>
  <r>
    <s v="The Negotiator"/>
    <x v="269"/>
    <x v="0"/>
    <x v="0"/>
    <n v="140"/>
    <n v="7.3"/>
    <n v="50000000"/>
    <n v="44484065"/>
  </r>
  <r>
    <s v="Into the Storm"/>
    <x v="454"/>
    <x v="0"/>
    <x v="0"/>
    <n v="89"/>
    <n v="5.8"/>
    <n v="50000000"/>
    <n v="47553512"/>
  </r>
  <r>
    <s v="Beverly Hills Cop III"/>
    <x v="455"/>
    <x v="0"/>
    <x v="0"/>
    <n v="104"/>
    <n v="5.5"/>
    <n v="55000000"/>
    <n v="42610000"/>
  </r>
  <r>
    <s v="Gremlins 2: The New Batch"/>
    <x v="255"/>
    <x v="4"/>
    <x v="0"/>
    <n v="106"/>
    <n v="6.3"/>
    <n v="50000000"/>
    <n v="41482207"/>
  </r>
  <r>
    <s v="The Judge"/>
    <x v="424"/>
    <x v="6"/>
    <x v="0"/>
    <n v="141"/>
    <n v="7.4"/>
    <n v="50000000"/>
    <n v="47105085"/>
  </r>
  <r>
    <s v="The Peacemaker"/>
    <x v="233"/>
    <x v="0"/>
    <x v="0"/>
    <n v="124"/>
    <n v="5.9"/>
    <n v="50000000"/>
    <n v="41256277"/>
  </r>
  <r>
    <s v="Resident Evil: Apocalypse"/>
    <x v="456"/>
    <x v="0"/>
    <x v="0"/>
    <n v="98"/>
    <n v="6.2"/>
    <n v="45000000"/>
    <n v="50740078"/>
  </r>
  <r>
    <s v="Bridget Jones: The Edge of Reason"/>
    <x v="457"/>
    <x v="4"/>
    <x v="0"/>
    <n v="108"/>
    <n v="5.9"/>
    <n v="40000000"/>
    <n v="40203020"/>
  </r>
  <r>
    <s v="Out of Time"/>
    <x v="458"/>
    <x v="6"/>
    <x v="0"/>
    <n v="114"/>
    <n v="6.5"/>
    <n v="50000000"/>
    <n v="40905277"/>
  </r>
  <r>
    <s v="On Deadly Ground"/>
    <x v="459"/>
    <x v="0"/>
    <x v="0"/>
    <n v="101"/>
    <n v="4.4000000000000004"/>
    <n v="50000000"/>
    <n v="38590500"/>
  </r>
  <r>
    <s v="The Adventures of Sharkboy and Lavagirl 3-D"/>
    <x v="419"/>
    <x v="0"/>
    <x v="0"/>
    <n v="93"/>
    <n v="3.5"/>
    <n v="50000000"/>
    <n v="39177541"/>
  </r>
  <r>
    <s v="The Beach"/>
    <x v="460"/>
    <x v="1"/>
    <x v="0"/>
    <n v="119"/>
    <n v="6.6"/>
    <n v="50000000"/>
    <n v="39778599"/>
  </r>
  <r>
    <s v="Raising Helen"/>
    <x v="289"/>
    <x v="4"/>
    <x v="0"/>
    <n v="119"/>
    <n v="6"/>
    <n v="50000000"/>
    <n v="37486138"/>
  </r>
  <r>
    <s v="Ninja Assassin"/>
    <x v="442"/>
    <x v="0"/>
    <x v="0"/>
    <n v="99"/>
    <n v="6.4"/>
    <n v="40000000"/>
    <n v="38105077"/>
  </r>
  <r>
    <s v="For Love of the Game"/>
    <x v="5"/>
    <x v="2"/>
    <x v="0"/>
    <n v="137"/>
    <n v="6.5"/>
    <n v="50000000"/>
    <n v="35168395"/>
  </r>
  <r>
    <s v="Striptease"/>
    <x v="461"/>
    <x v="4"/>
    <x v="0"/>
    <n v="117"/>
    <n v="4.3"/>
    <n v="40000000"/>
    <n v="32800000"/>
  </r>
  <r>
    <s v="Marmaduke"/>
    <x v="400"/>
    <x v="4"/>
    <x v="0"/>
    <n v="87"/>
    <n v="4.2"/>
    <n v="50000000"/>
    <n v="33643461"/>
  </r>
  <r>
    <s v="Hereafter"/>
    <x v="322"/>
    <x v="2"/>
    <x v="0"/>
    <n v="129"/>
    <n v="6.5"/>
    <n v="50000000"/>
    <n v="32741596"/>
  </r>
  <r>
    <s v="Murder by Numbers"/>
    <x v="462"/>
    <x v="6"/>
    <x v="0"/>
    <n v="115"/>
    <n v="6.1"/>
    <n v="50000000"/>
    <n v="31874869"/>
  </r>
  <r>
    <s v="Assassins"/>
    <x v="104"/>
    <x v="0"/>
    <x v="0"/>
    <n v="132"/>
    <n v="6.3"/>
    <n v="50000000"/>
    <n v="30306268"/>
  </r>
  <r>
    <s v="Hannibal Rising"/>
    <x v="463"/>
    <x v="6"/>
    <x v="0"/>
    <n v="131"/>
    <n v="6.2"/>
    <n v="50000000"/>
    <n v="27667947"/>
  </r>
  <r>
    <s v="The Story of Us"/>
    <x v="336"/>
    <x v="4"/>
    <x v="0"/>
    <n v="95"/>
    <n v="5.9"/>
    <n v="50000000"/>
    <n v="27067160"/>
  </r>
  <r>
    <s v="The Host"/>
    <x v="464"/>
    <x v="0"/>
    <x v="0"/>
    <n v="125"/>
    <n v="5.9"/>
    <n v="40000000"/>
    <n v="26616999"/>
  </r>
  <r>
    <s v="Basic"/>
    <x v="128"/>
    <x v="0"/>
    <x v="0"/>
    <n v="98"/>
    <n v="6.5"/>
    <n v="50000000"/>
    <n v="26536120"/>
  </r>
  <r>
    <s v="Blood Work"/>
    <x v="322"/>
    <x v="0"/>
    <x v="0"/>
    <n v="110"/>
    <n v="6.4"/>
    <n v="50000000"/>
    <n v="26199517"/>
  </r>
  <r>
    <s v="The International"/>
    <x v="174"/>
    <x v="0"/>
    <x v="0"/>
    <n v="118"/>
    <n v="6.5"/>
    <n v="50000000"/>
    <n v="25450527"/>
  </r>
  <r>
    <s v="Escape from L.A."/>
    <x v="465"/>
    <x v="0"/>
    <x v="0"/>
    <n v="101"/>
    <n v="5.7"/>
    <n v="50000000"/>
    <n v="25407250"/>
  </r>
  <r>
    <s v="The Iron Giant"/>
    <x v="60"/>
    <x v="0"/>
    <x v="0"/>
    <n v="90"/>
    <n v="8"/>
    <n v="70000000"/>
    <n v="23159305"/>
  </r>
  <r>
    <s v="The Life Aquatic with Steve Zissou"/>
    <x v="466"/>
    <x v="1"/>
    <x v="0"/>
    <n v="119"/>
    <n v="7.3"/>
    <n v="50000000"/>
    <n v="24006726"/>
  </r>
  <r>
    <s v="Free State of Jones"/>
    <x v="211"/>
    <x v="0"/>
    <x v="0"/>
    <n v="139"/>
    <n v="6.7"/>
    <n v="50000000"/>
    <n v="20389967"/>
  </r>
  <r>
    <s v="The Life of David Gale"/>
    <x v="402"/>
    <x v="6"/>
    <x v="0"/>
    <n v="130"/>
    <n v="7.5"/>
    <n v="50000000"/>
    <n v="19593740"/>
  </r>
  <r>
    <s v="Man of the House"/>
    <x v="388"/>
    <x v="0"/>
    <x v="0"/>
    <n v="100"/>
    <n v="5.4"/>
    <n v="40000000"/>
    <n v="19118247"/>
  </r>
  <r>
    <s v="Run All Night"/>
    <x v="440"/>
    <x v="0"/>
    <x v="0"/>
    <n v="114"/>
    <n v="6.6"/>
    <n v="50000000"/>
    <n v="26442251"/>
  </r>
  <r>
    <s v="Eastern Promises"/>
    <x v="467"/>
    <x v="6"/>
    <x v="0"/>
    <n v="96"/>
    <n v="7.7"/>
    <n v="25000000"/>
    <n v="17114882"/>
  </r>
  <r>
    <s v="Into the Blue"/>
    <x v="468"/>
    <x v="0"/>
    <x v="0"/>
    <n v="110"/>
    <n v="5.8"/>
    <n v="50000000"/>
    <n v="18472363"/>
  </r>
  <r>
    <s v="The Messenger: The Story of Joan of Arc"/>
    <x v="187"/>
    <x v="1"/>
    <x v="0"/>
    <n v="158"/>
    <n v="6.4"/>
    <n v="390000000"/>
    <n v="14131298"/>
  </r>
  <r>
    <s v="Your Highness"/>
    <x v="469"/>
    <x v="1"/>
    <x v="0"/>
    <n v="102"/>
    <n v="5.6"/>
    <n v="49900000"/>
    <n v="21557240"/>
  </r>
  <r>
    <s v="Dream House"/>
    <x v="470"/>
    <x v="2"/>
    <x v="0"/>
    <n v="84"/>
    <n v="6"/>
    <n v="55000000"/>
    <n v="21283440"/>
  </r>
  <r>
    <s v="Mad City"/>
    <x v="471"/>
    <x v="6"/>
    <x v="0"/>
    <n v="115"/>
    <n v="6.2"/>
    <n v="50000000"/>
    <n v="10556196"/>
  </r>
  <r>
    <s v="Baby's Day Out"/>
    <x v="472"/>
    <x v="1"/>
    <x v="0"/>
    <n v="99"/>
    <n v="5.9"/>
    <n v="50000000"/>
    <n v="16671505"/>
  </r>
  <r>
    <s v="The Scarlet Letter"/>
    <x v="57"/>
    <x v="2"/>
    <x v="0"/>
    <n v="135"/>
    <n v="5.0999999999999996"/>
    <n v="50000000"/>
    <n v="10400000"/>
  </r>
  <r>
    <s v="Fair Game"/>
    <x v="51"/>
    <x v="7"/>
    <x v="0"/>
    <n v="108"/>
    <n v="6.8"/>
    <n v="22000000"/>
    <n v="9528092"/>
  </r>
  <r>
    <s v="Domino"/>
    <x v="161"/>
    <x v="0"/>
    <x v="0"/>
    <n v="127"/>
    <n v="6"/>
    <n v="50000000"/>
    <n v="10137232"/>
  </r>
  <r>
    <s v="Jade"/>
    <x v="406"/>
    <x v="6"/>
    <x v="0"/>
    <n v="107"/>
    <n v="5.0999999999999996"/>
    <n v="50000000"/>
    <n v="9795017"/>
  </r>
  <r>
    <s v="Gamer"/>
    <x v="392"/>
    <x v="0"/>
    <x v="0"/>
    <n v="95"/>
    <n v="5.8"/>
    <n v="50000000"/>
    <n v="20488579"/>
  </r>
  <r>
    <s v="Beautiful Creatures"/>
    <x v="473"/>
    <x v="2"/>
    <x v="0"/>
    <n v="124"/>
    <n v="6.2"/>
    <n v="60000000"/>
    <n v="19445217"/>
  </r>
  <r>
    <s v="Death to Smoochy"/>
    <x v="474"/>
    <x v="4"/>
    <x v="0"/>
    <n v="109"/>
    <n v="6.4"/>
    <n v="55000000"/>
    <n v="8355815"/>
  </r>
  <r>
    <s v="Zoolander 2"/>
    <x v="198"/>
    <x v="4"/>
    <x v="0"/>
    <n v="102"/>
    <n v="4.8"/>
    <n v="50000000"/>
    <n v="28837115"/>
  </r>
  <r>
    <s v="The Big Bounce"/>
    <x v="475"/>
    <x v="4"/>
    <x v="0"/>
    <n v="88"/>
    <n v="4.9000000000000004"/>
    <n v="50000000"/>
    <n v="6471394"/>
  </r>
  <r>
    <s v="What Planet Are You From?"/>
    <x v="268"/>
    <x v="4"/>
    <x v="0"/>
    <n v="87"/>
    <n v="5.6"/>
    <n v="50000000"/>
    <n v="6291602"/>
  </r>
  <r>
    <s v="Drive Angry"/>
    <x v="476"/>
    <x v="0"/>
    <x v="0"/>
    <n v="104"/>
    <n v="5.5"/>
    <n v="50000000"/>
    <n v="10706786"/>
  </r>
  <r>
    <s v="Street Fighter: The Legend of Chun-Li"/>
    <x v="297"/>
    <x v="0"/>
    <x v="0"/>
    <n v="96"/>
    <n v="3.7"/>
    <n v="18000000"/>
    <n v="8742261"/>
  </r>
  <r>
    <s v="The One"/>
    <x v="477"/>
    <x v="0"/>
    <x v="0"/>
    <n v="85"/>
    <n v="5.9"/>
    <n v="49000000"/>
    <n v="43905746"/>
  </r>
  <r>
    <s v="The Adventures of Ford Fairlane"/>
    <x v="196"/>
    <x v="0"/>
    <x v="0"/>
    <n v="104"/>
    <n v="6.3"/>
    <n v="40000000"/>
    <n v="21413502"/>
  </r>
  <r>
    <s v="Pirate Radio"/>
    <x v="478"/>
    <x v="4"/>
    <x v="0"/>
    <n v="135"/>
    <n v="7.4"/>
    <n v="20000000"/>
    <n v="7994115"/>
  </r>
  <r>
    <s v="Traffic"/>
    <x v="148"/>
    <x v="6"/>
    <x v="0"/>
    <n v="190"/>
    <n v="7.6"/>
    <n v="48000000"/>
    <n v="124107476"/>
  </r>
  <r>
    <s v="Indiana Jones and the Last Crusade"/>
    <x v="37"/>
    <x v="0"/>
    <x v="0"/>
    <n v="127"/>
    <n v="8.3000000000000007"/>
    <n v="48000000"/>
    <n v="197171806"/>
  </r>
  <r>
    <s v="Anna Karenina"/>
    <x v="95"/>
    <x v="2"/>
    <x v="0"/>
    <n v="129"/>
    <n v="6.6"/>
    <n v="20000000"/>
    <n v="12802907"/>
  </r>
  <r>
    <s v="Chappie"/>
    <x v="134"/>
    <x v="0"/>
    <x v="0"/>
    <n v="120"/>
    <n v="6.9"/>
    <n v="49000000"/>
    <n v="31569268"/>
  </r>
  <r>
    <s v="The Bone Collector"/>
    <x v="118"/>
    <x v="6"/>
    <x v="0"/>
    <n v="118"/>
    <n v="6.7"/>
    <n v="48000000"/>
    <n v="66488090"/>
  </r>
  <r>
    <s v="Panic Room"/>
    <x v="67"/>
    <x v="6"/>
    <x v="0"/>
    <n v="112"/>
    <n v="6.8"/>
    <n v="48000000"/>
    <n v="95308367"/>
  </r>
  <r>
    <s v="The Tooth Fairy"/>
    <x v="479"/>
    <x v="11"/>
    <x v="0"/>
    <n v="89"/>
    <n v="4.5999999999999996"/>
    <n v="1500000"/>
    <n v="25078937"/>
  </r>
  <r>
    <s v="Three Kings"/>
    <x v="359"/>
    <x v="0"/>
    <x v="0"/>
    <n v="114"/>
    <n v="7.1"/>
    <n v="48000000"/>
    <n v="60652036"/>
  </r>
  <r>
    <s v="Child 44"/>
    <x v="215"/>
    <x v="6"/>
    <x v="0"/>
    <n v="137"/>
    <n v="6.4"/>
    <n v="50000000"/>
    <n v="1206135"/>
  </r>
  <r>
    <s v="Rat Race"/>
    <x v="274"/>
    <x v="1"/>
    <x v="0"/>
    <n v="112"/>
    <n v="6.4"/>
    <n v="48000000"/>
    <n v="56607223"/>
  </r>
  <r>
    <s v="K-PAX"/>
    <x v="382"/>
    <x v="2"/>
    <x v="0"/>
    <n v="120"/>
    <n v="7.4"/>
    <n v="48000000"/>
    <n v="50173190"/>
  </r>
  <r>
    <s v="Kate &amp; Leopold"/>
    <x v="138"/>
    <x v="4"/>
    <x v="0"/>
    <n v="123"/>
    <n v="6.4"/>
    <n v="48000000"/>
    <n v="47095453"/>
  </r>
  <r>
    <s v="Bedazzled"/>
    <x v="366"/>
    <x v="4"/>
    <x v="0"/>
    <n v="93"/>
    <n v="6"/>
    <n v="48000000"/>
    <n v="37879996"/>
  </r>
  <r>
    <s v="The Cotton Club"/>
    <x v="416"/>
    <x v="6"/>
    <x v="0"/>
    <n v="123"/>
    <n v="6.5"/>
    <n v="58000000"/>
    <n v="25900000"/>
  </r>
  <r>
    <s v="3:10 to Yuma"/>
    <x v="138"/>
    <x v="1"/>
    <x v="0"/>
    <n v="122"/>
    <n v="7.8"/>
    <n v="55000000"/>
    <n v="53574088"/>
  </r>
  <r>
    <s v="Taken 3"/>
    <x v="480"/>
    <x v="0"/>
    <x v="0"/>
    <n v="115"/>
    <n v="6"/>
    <n v="48000000"/>
    <n v="89253340"/>
  </r>
  <r>
    <s v="Out of Sight"/>
    <x v="148"/>
    <x v="6"/>
    <x v="0"/>
    <n v="123"/>
    <n v="7"/>
    <n v="48000000"/>
    <n v="37339525"/>
  </r>
  <r>
    <s v="The Cable Guy"/>
    <x v="198"/>
    <x v="4"/>
    <x v="0"/>
    <n v="96"/>
    <n v="6"/>
    <n v="47000000"/>
    <n v="60154431"/>
  </r>
  <r>
    <s v="Earth"/>
    <x v="481"/>
    <x v="2"/>
    <x v="7"/>
    <n v="110"/>
    <n v="7.8"/>
    <n v="20000000"/>
    <n v="528972"/>
  </r>
  <r>
    <s v="Dick Tracy"/>
    <x v="482"/>
    <x v="0"/>
    <x v="0"/>
    <n v="105"/>
    <n v="6.1"/>
    <n v="100000000"/>
    <n v="103738726"/>
  </r>
  <r>
    <s v="The Thomas Crown Affair"/>
    <x v="128"/>
    <x v="6"/>
    <x v="0"/>
    <n v="113"/>
    <n v="6.8"/>
    <n v="48000000"/>
    <n v="69304264"/>
  </r>
  <r>
    <s v="Riding in Cars with Boys"/>
    <x v="483"/>
    <x v="7"/>
    <x v="0"/>
    <n v="132"/>
    <n v="6.4"/>
    <n v="48000000"/>
    <n v="29781453"/>
  </r>
  <r>
    <s v="First Blood"/>
    <x v="484"/>
    <x v="0"/>
    <x v="0"/>
    <n v="93"/>
    <n v="7.7"/>
    <n v="14000000"/>
    <n v="25078937"/>
  </r>
  <r>
    <s v="Solaris"/>
    <x v="485"/>
    <x v="2"/>
    <x v="8"/>
    <n v="115"/>
    <n v="8.1"/>
    <n v="1000000"/>
    <n v="25078937"/>
  </r>
  <r>
    <s v="Happily N'Ever After"/>
    <x v="486"/>
    <x v="1"/>
    <x v="0"/>
    <n v="75"/>
    <n v="4.5"/>
    <n v="47000000"/>
    <n v="15519841"/>
  </r>
  <r>
    <s v="Mary Reilly"/>
    <x v="487"/>
    <x v="2"/>
    <x v="0"/>
    <n v="108"/>
    <n v="5.8"/>
    <n v="47000000"/>
    <n v="5600000"/>
  </r>
  <r>
    <s v="My Best Friend's Wedding"/>
    <x v="488"/>
    <x v="4"/>
    <x v="0"/>
    <n v="105"/>
    <n v="6.3"/>
    <n v="46000000"/>
    <n v="126805112"/>
  </r>
  <r>
    <s v="America's Sweethearts"/>
    <x v="438"/>
    <x v="4"/>
    <x v="0"/>
    <n v="102"/>
    <n v="5.7"/>
    <n v="48000000"/>
    <n v="93607673"/>
  </r>
  <r>
    <s v="Insomnia"/>
    <x v="3"/>
    <x v="2"/>
    <x v="0"/>
    <n v="118"/>
    <n v="7.2"/>
    <n v="46000000"/>
    <n v="67263182"/>
  </r>
  <r>
    <s v="Star Trek: First Contact"/>
    <x v="294"/>
    <x v="0"/>
    <x v="0"/>
    <n v="111"/>
    <n v="7.6"/>
    <n v="45000000"/>
    <n v="92001027"/>
  </r>
  <r>
    <s v="Jonah Hex"/>
    <x v="401"/>
    <x v="0"/>
    <x v="0"/>
    <n v="81"/>
    <n v="4.7"/>
    <n v="47000000"/>
    <n v="10539414"/>
  </r>
  <r>
    <s v="Courage Under Fire"/>
    <x v="102"/>
    <x v="0"/>
    <x v="0"/>
    <n v="116"/>
    <n v="6.6"/>
    <n v="46000000"/>
    <n v="58918501"/>
  </r>
  <r>
    <s v="Liar Liar"/>
    <x v="50"/>
    <x v="4"/>
    <x v="0"/>
    <n v="86"/>
    <n v="6.8"/>
    <n v="45000000"/>
    <n v="181395380"/>
  </r>
  <r>
    <s v="The Infiltrator"/>
    <x v="489"/>
    <x v="7"/>
    <x v="0"/>
    <n v="127"/>
    <n v="7.3"/>
    <n v="25000000"/>
    <n v="14946229"/>
  </r>
  <r>
    <s v="Inchon"/>
    <x v="490"/>
    <x v="2"/>
    <x v="0"/>
    <n v="140"/>
    <n v="2.7"/>
    <n v="48000000"/>
    <n v="25078937"/>
  </r>
  <r>
    <s v="The Flintstones"/>
    <x v="352"/>
    <x v="4"/>
    <x v="0"/>
    <n v="91"/>
    <n v="4.8"/>
    <n v="45000000"/>
    <n v="130512915"/>
  </r>
  <r>
    <s v="Taken 2"/>
    <x v="480"/>
    <x v="0"/>
    <x v="0"/>
    <n v="98"/>
    <n v="6.3"/>
    <n v="45000000"/>
    <n v="139852971"/>
  </r>
  <r>
    <s v="Scary Movie 3"/>
    <x v="491"/>
    <x v="4"/>
    <x v="0"/>
    <n v="84"/>
    <n v="5.5"/>
    <n v="48000000"/>
    <n v="110000082"/>
  </r>
  <r>
    <s v="Miss Congeniality"/>
    <x v="368"/>
    <x v="0"/>
    <x v="0"/>
    <n v="109"/>
    <n v="6.2"/>
    <n v="45000000"/>
    <n v="106807667"/>
  </r>
  <r>
    <s v="Journey to the Center of the Earth"/>
    <x v="243"/>
    <x v="0"/>
    <x v="0"/>
    <n v="93"/>
    <n v="5.8"/>
    <n v="45000000"/>
    <n v="101702060"/>
  </r>
  <r>
    <s v="The Princess Diaries 2: Royal Engagement"/>
    <x v="289"/>
    <x v="4"/>
    <x v="0"/>
    <n v="113"/>
    <n v="5.7"/>
    <n v="40000000"/>
    <n v="95149435"/>
  </r>
  <r>
    <s v="The Pelican Brief"/>
    <x v="207"/>
    <x v="6"/>
    <x v="0"/>
    <n v="141"/>
    <n v="6.5"/>
    <n v="45000000"/>
    <n v="100768056"/>
  </r>
  <r>
    <s v="The Client"/>
    <x v="130"/>
    <x v="6"/>
    <x v="0"/>
    <n v="119"/>
    <n v="6.7"/>
    <n v="45000000"/>
    <n v="92115211"/>
  </r>
  <r>
    <s v="The Bucket List"/>
    <x v="336"/>
    <x v="1"/>
    <x v="0"/>
    <n v="97"/>
    <n v="7.4"/>
    <n v="45000000"/>
    <n v="93452056"/>
  </r>
  <r>
    <s v="Patriot Games"/>
    <x v="118"/>
    <x v="0"/>
    <x v="0"/>
    <n v="117"/>
    <n v="6.9"/>
    <n v="45000000"/>
    <n v="83287363"/>
  </r>
  <r>
    <s v="Monster-in-Law"/>
    <x v="271"/>
    <x v="4"/>
    <x v="0"/>
    <n v="101"/>
    <n v="5.5"/>
    <n v="60000000"/>
    <n v="82931301"/>
  </r>
  <r>
    <s v="Prisoners"/>
    <x v="492"/>
    <x v="6"/>
    <x v="0"/>
    <n v="153"/>
    <n v="8.1"/>
    <n v="46000000"/>
    <n v="60962878"/>
  </r>
  <r>
    <s v="Training Day"/>
    <x v="270"/>
    <x v="6"/>
    <x v="0"/>
    <n v="122"/>
    <n v="7.7"/>
    <n v="45000000"/>
    <n v="76261036"/>
  </r>
  <r>
    <s v="Galaxy Quest"/>
    <x v="101"/>
    <x v="1"/>
    <x v="0"/>
    <n v="102"/>
    <n v="7.3"/>
    <n v="45000000"/>
    <n v="71423726"/>
  </r>
  <r>
    <s v="Scary Movie 2"/>
    <x v="335"/>
    <x v="4"/>
    <x v="0"/>
    <n v="83"/>
    <n v="5.2"/>
    <n v="45000000"/>
    <n v="71277420"/>
  </r>
  <r>
    <s v="The Muppets"/>
    <x v="72"/>
    <x v="1"/>
    <x v="0"/>
    <n v="103"/>
    <n v="7.1"/>
    <n v="45000000"/>
    <n v="88625922"/>
  </r>
  <r>
    <s v="Blade"/>
    <x v="265"/>
    <x v="0"/>
    <x v="0"/>
    <n v="110"/>
    <n v="7.1"/>
    <n v="45000000"/>
    <n v="70001065"/>
  </r>
  <r>
    <s v="Coach Carter"/>
    <x v="493"/>
    <x v="2"/>
    <x v="0"/>
    <n v="136"/>
    <n v="7.2"/>
    <n v="30000000"/>
    <n v="67253092"/>
  </r>
  <r>
    <s v="Changing Lanes"/>
    <x v="494"/>
    <x v="2"/>
    <x v="0"/>
    <n v="91"/>
    <n v="6.5"/>
    <n v="45000000"/>
    <n v="66790248"/>
  </r>
  <r>
    <s v="Anaconda"/>
    <x v="495"/>
    <x v="0"/>
    <x v="0"/>
    <n v="89"/>
    <n v="4.5999999999999996"/>
    <n v="45000000"/>
    <n v="65557989"/>
  </r>
  <r>
    <s v="Coyote Ugly"/>
    <x v="350"/>
    <x v="4"/>
    <x v="0"/>
    <n v="107"/>
    <n v="5.6"/>
    <n v="45000000"/>
    <n v="60786269"/>
  </r>
  <r>
    <s v="Love Actually"/>
    <x v="478"/>
    <x v="4"/>
    <x v="0"/>
    <n v="129"/>
    <n v="7.7"/>
    <n v="45000000"/>
    <n v="59365105"/>
  </r>
  <r>
    <s v="A Bug's Life"/>
    <x v="28"/>
    <x v="1"/>
    <x v="0"/>
    <n v="95"/>
    <n v="7.2"/>
    <n v="120000000"/>
    <n v="162792677"/>
  </r>
  <r>
    <s v="From Hell"/>
    <x v="238"/>
    <x v="11"/>
    <x v="0"/>
    <n v="122"/>
    <n v="6.8"/>
    <n v="35000000"/>
    <n v="31598308"/>
  </r>
  <r>
    <s v="The Specialist"/>
    <x v="495"/>
    <x v="0"/>
    <x v="0"/>
    <n v="110"/>
    <n v="5.4"/>
    <n v="45000000"/>
    <n v="57362581"/>
  </r>
  <r>
    <s v="Tin Cup"/>
    <x v="278"/>
    <x v="4"/>
    <x v="0"/>
    <n v="135"/>
    <n v="6.3"/>
    <n v="45000000"/>
    <n v="53854588"/>
  </r>
  <r>
    <s v="Yours, Mine and Ours"/>
    <x v="496"/>
    <x v="4"/>
    <x v="0"/>
    <n v="111"/>
    <n v="7.2"/>
    <n v="2500000"/>
    <n v="25078937"/>
  </r>
  <r>
    <s v="Kicking &amp; Screaming"/>
    <x v="397"/>
    <x v="4"/>
    <x v="0"/>
    <n v="95"/>
    <n v="5.6"/>
    <n v="45000000"/>
    <n v="52580895"/>
  </r>
  <r>
    <s v="The Hitchhiker's Guide to the Galaxy"/>
    <x v="497"/>
    <x v="1"/>
    <x v="0"/>
    <n v="109"/>
    <n v="6.8"/>
    <n v="50000000"/>
    <n v="51019112"/>
  </r>
  <r>
    <s v="Fat Albert"/>
    <x v="498"/>
    <x v="4"/>
    <x v="0"/>
    <n v="93"/>
    <n v="4.3"/>
    <n v="26000000"/>
    <n v="48114556"/>
  </r>
  <r>
    <s v="Resident Evil: Extinction"/>
    <x v="499"/>
    <x v="0"/>
    <x v="0"/>
    <n v="94"/>
    <n v="6.3"/>
    <n v="45000000"/>
    <n v="50648679"/>
  </r>
  <r>
    <s v="Blended"/>
    <x v="155"/>
    <x v="4"/>
    <x v="0"/>
    <n v="117"/>
    <n v="6.5"/>
    <n v="40000000"/>
    <n v="46280507"/>
  </r>
  <r>
    <s v="Last Holiday"/>
    <x v="398"/>
    <x v="1"/>
    <x v="0"/>
    <n v="112"/>
    <n v="6.4"/>
    <n v="45000000"/>
    <n v="38360195"/>
  </r>
  <r>
    <s v="The River Wild"/>
    <x v="420"/>
    <x v="0"/>
    <x v="0"/>
    <n v="111"/>
    <n v="6.3"/>
    <n v="45000000"/>
    <n v="46815748"/>
  </r>
  <r>
    <s v="The Indian in the Cupboard"/>
    <x v="185"/>
    <x v="2"/>
    <x v="0"/>
    <n v="96"/>
    <n v="5.9"/>
    <n v="45000000"/>
    <n v="35617599"/>
  </r>
  <r>
    <s v="Savages"/>
    <x v="77"/>
    <x v="6"/>
    <x v="0"/>
    <n v="141"/>
    <n v="6.5"/>
    <n v="45000000"/>
    <n v="47307550"/>
  </r>
  <r>
    <s v="Cellular"/>
    <x v="500"/>
    <x v="0"/>
    <x v="0"/>
    <n v="94"/>
    <n v="6.5"/>
    <n v="25000000"/>
    <n v="32003620"/>
  </r>
  <r>
    <s v="Johnny English"/>
    <x v="501"/>
    <x v="0"/>
    <x v="0"/>
    <n v="87"/>
    <n v="6.1"/>
    <n v="35000000"/>
    <n v="27972410"/>
  </r>
  <r>
    <s v="The Ant Bully"/>
    <x v="502"/>
    <x v="1"/>
    <x v="0"/>
    <n v="88"/>
    <n v="5.9"/>
    <n v="50000000"/>
    <n v="28133159"/>
  </r>
  <r>
    <s v="Dune"/>
    <x v="503"/>
    <x v="0"/>
    <x v="0"/>
    <n v="177"/>
    <n v="6.6"/>
    <n v="40000000"/>
    <n v="27400000"/>
  </r>
  <r>
    <s v="Across the Universe"/>
    <x v="504"/>
    <x v="2"/>
    <x v="0"/>
    <n v="133"/>
    <n v="7.4"/>
    <n v="45000000"/>
    <n v="24343673"/>
  </r>
  <r>
    <s v="Revolutionary Road"/>
    <x v="2"/>
    <x v="2"/>
    <x v="0"/>
    <n v="119"/>
    <n v="7.3"/>
    <n v="35000000"/>
    <n v="22877808"/>
  </r>
  <r>
    <s v="16 Blocks"/>
    <x v="104"/>
    <x v="0"/>
    <x v="0"/>
    <n v="102"/>
    <n v="6.6"/>
    <n v="52000000"/>
    <n v="36883539"/>
  </r>
  <r>
    <s v="Babylon A.D."/>
    <x v="505"/>
    <x v="0"/>
    <x v="0"/>
    <n v="101"/>
    <n v="5.6"/>
    <n v="70000000"/>
    <n v="22531698"/>
  </r>
  <r>
    <s v="The Glimmer Man"/>
    <x v="506"/>
    <x v="0"/>
    <x v="0"/>
    <n v="91"/>
    <n v="5.3"/>
    <n v="45000000"/>
    <n v="20400913"/>
  </r>
  <r>
    <s v="Multiplicity"/>
    <x v="366"/>
    <x v="4"/>
    <x v="0"/>
    <n v="117"/>
    <n v="6"/>
    <n v="45000000"/>
    <n v="20101861"/>
  </r>
  <r>
    <s v="Aliens in the Attic"/>
    <x v="507"/>
    <x v="1"/>
    <x v="0"/>
    <n v="86"/>
    <n v="5.4"/>
    <n v="45000000"/>
    <n v="25200412"/>
  </r>
  <r>
    <s v="The Pledge"/>
    <x v="508"/>
    <x v="6"/>
    <x v="0"/>
    <n v="124"/>
    <n v="6.8"/>
    <n v="45000000"/>
    <n v="19719930"/>
  </r>
  <r>
    <s v="The Producers"/>
    <x v="509"/>
    <x v="4"/>
    <x v="0"/>
    <n v="134"/>
    <n v="6.4"/>
    <n v="45000000"/>
    <n v="19377727"/>
  </r>
  <r>
    <s v="The Phantom"/>
    <x v="510"/>
    <x v="0"/>
    <x v="0"/>
    <n v="100"/>
    <n v="4.9000000000000004"/>
    <n v="45000000"/>
    <n v="17300889"/>
  </r>
  <r>
    <s v="All the Pretty Horses"/>
    <x v="511"/>
    <x v="2"/>
    <x v="0"/>
    <n v="220"/>
    <n v="5.8"/>
    <n v="57000000"/>
    <n v="15527125"/>
  </r>
  <r>
    <s v="Nixon"/>
    <x v="77"/>
    <x v="7"/>
    <x v="0"/>
    <n v="212"/>
    <n v="7.1"/>
    <n v="50000000"/>
    <n v="13560960"/>
  </r>
  <r>
    <s v="The Ghost Writer"/>
    <x v="331"/>
    <x v="5"/>
    <x v="0"/>
    <n v="128"/>
    <n v="7.2"/>
    <n v="45000000"/>
    <n v="15523168"/>
  </r>
  <r>
    <s v="Deep Rising"/>
    <x v="53"/>
    <x v="0"/>
    <x v="0"/>
    <n v="106"/>
    <n v="6"/>
    <n v="45000000"/>
    <n v="11146409"/>
  </r>
  <r>
    <s v="Miracle at St. Anna"/>
    <x v="433"/>
    <x v="0"/>
    <x v="0"/>
    <n v="160"/>
    <n v="6"/>
    <n v="45000000"/>
    <n v="7916887"/>
  </r>
  <r>
    <s v="Curse of the Golden Flower"/>
    <x v="183"/>
    <x v="2"/>
    <x v="3"/>
    <n v="114"/>
    <n v="7"/>
    <n v="45000000"/>
    <n v="6565495"/>
  </r>
  <r>
    <s v="Bangkok Dangerous"/>
    <x v="512"/>
    <x v="0"/>
    <x v="0"/>
    <n v="99"/>
    <n v="5.4"/>
    <n v="40000000"/>
    <n v="15279680"/>
  </r>
  <r>
    <s v="Big Trouble"/>
    <x v="14"/>
    <x v="4"/>
    <x v="0"/>
    <n v="74"/>
    <n v="6.5"/>
    <n v="40000000"/>
    <n v="7262288"/>
  </r>
  <r>
    <s v="Love in the Time of Cholera"/>
    <x v="35"/>
    <x v="2"/>
    <x v="0"/>
    <n v="139"/>
    <n v="6.4"/>
    <n v="45000000"/>
    <n v="4584886"/>
  </r>
  <r>
    <s v="Shadow Conspiracy"/>
    <x v="513"/>
    <x v="0"/>
    <x v="0"/>
    <n v="103"/>
    <n v="4.9000000000000004"/>
    <n v="45000000"/>
    <n v="2154540"/>
  </r>
  <r>
    <s v="Johnny English Reborn"/>
    <x v="514"/>
    <x v="0"/>
    <x v="0"/>
    <n v="101"/>
    <n v="6.3"/>
    <n v="45000000"/>
    <n v="8129455"/>
  </r>
  <r>
    <s v="Foodfight!"/>
    <x v="515"/>
    <x v="0"/>
    <x v="0"/>
    <n v="91"/>
    <n v="1.7"/>
    <n v="65000000"/>
    <n v="25078937"/>
  </r>
  <r>
    <s v="Argo"/>
    <x v="516"/>
    <x v="7"/>
    <x v="0"/>
    <n v="130"/>
    <n v="7.7"/>
    <n v="44500000"/>
    <n v="136019448"/>
  </r>
  <r>
    <s v="The Fugitive"/>
    <x v="222"/>
    <x v="0"/>
    <x v="0"/>
    <n v="130"/>
    <n v="7.8"/>
    <n v="44000000"/>
    <n v="183875760"/>
  </r>
  <r>
    <s v="The Bounty Hunter"/>
    <x v="275"/>
    <x v="0"/>
    <x v="0"/>
    <n v="110"/>
    <n v="5.5"/>
    <n v="40000000"/>
    <n v="67061228"/>
  </r>
  <r>
    <s v="Sleepers"/>
    <x v="273"/>
    <x v="6"/>
    <x v="0"/>
    <n v="147"/>
    <n v="7.5"/>
    <n v="44000000"/>
    <n v="53300852"/>
  </r>
  <r>
    <s v="Rambo: First Blood Part II"/>
    <x v="513"/>
    <x v="0"/>
    <x v="0"/>
    <n v="96"/>
    <n v="6.4"/>
    <n v="44000000"/>
    <n v="150415432"/>
  </r>
  <r>
    <s v="The Juror"/>
    <x v="517"/>
    <x v="2"/>
    <x v="0"/>
    <n v="118"/>
    <n v="5.6"/>
    <n v="44000000"/>
    <n v="44834712"/>
  </r>
  <r>
    <s v="Pinocchio"/>
    <x v="518"/>
    <x v="3"/>
    <x v="0"/>
    <n v="88"/>
    <n v="7.5"/>
    <n v="2600000"/>
    <n v="84300000"/>
  </r>
  <r>
    <s v="Heaven's Gate"/>
    <x v="519"/>
    <x v="1"/>
    <x v="0"/>
    <n v="325"/>
    <n v="6.8"/>
    <n v="44000000"/>
    <n v="1500000"/>
  </r>
  <r>
    <s v="Underworld: Evolution"/>
    <x v="154"/>
    <x v="0"/>
    <x v="0"/>
    <n v="102"/>
    <n v="6.8"/>
    <n v="50000000"/>
    <n v="62318875"/>
  </r>
  <r>
    <s v="Victor Frankenstein"/>
    <x v="520"/>
    <x v="2"/>
    <x v="0"/>
    <n v="110"/>
    <n v="6"/>
    <n v="40000000"/>
    <n v="5773519"/>
  </r>
  <r>
    <s v="Finding Forrester"/>
    <x v="521"/>
    <x v="2"/>
    <x v="0"/>
    <n v="136"/>
    <n v="7.3"/>
    <n v="43000000"/>
    <n v="51768623"/>
  </r>
  <r>
    <s v="28 Days"/>
    <x v="288"/>
    <x v="4"/>
    <x v="0"/>
    <n v="103"/>
    <n v="6"/>
    <n v="43000000"/>
    <n v="37035515"/>
  </r>
  <r>
    <s v="Unleashed"/>
    <x v="111"/>
    <x v="0"/>
    <x v="0"/>
    <n v="103"/>
    <n v="7"/>
    <n v="45000000"/>
    <n v="24520892"/>
  </r>
  <r>
    <s v="The Sweetest Thing"/>
    <x v="522"/>
    <x v="4"/>
    <x v="0"/>
    <n v="90"/>
    <n v="5.0999999999999996"/>
    <n v="43000000"/>
    <n v="24430272"/>
  </r>
  <r>
    <s v="The Firm"/>
    <x v="203"/>
    <x v="2"/>
    <x v="0"/>
    <n v="154"/>
    <n v="6.8"/>
    <n v="42000000"/>
    <n v="158348400"/>
  </r>
  <r>
    <s v="Charlie St. Cloud"/>
    <x v="523"/>
    <x v="2"/>
    <x v="0"/>
    <n v="99"/>
    <n v="6.5"/>
    <n v="44000000"/>
    <n v="31136950"/>
  </r>
  <r>
    <s v="The Mechanic"/>
    <x v="168"/>
    <x v="0"/>
    <x v="0"/>
    <n v="93"/>
    <n v="6.6"/>
    <n v="40000000"/>
    <n v="29113588"/>
  </r>
  <r>
    <s v="21 Jump Street"/>
    <x v="197"/>
    <x v="0"/>
    <x v="0"/>
    <n v="109"/>
    <n v="7.2"/>
    <n v="42000000"/>
    <n v="138447667"/>
  </r>
  <r>
    <s v="Notting Hill"/>
    <x v="494"/>
    <x v="4"/>
    <x v="0"/>
    <n v="124"/>
    <n v="7"/>
    <n v="42000000"/>
    <n v="116006080"/>
  </r>
  <r>
    <s v="Chicken Run"/>
    <x v="408"/>
    <x v="1"/>
    <x v="0"/>
    <n v="84"/>
    <n v="7"/>
    <n v="45000000"/>
    <n v="106793915"/>
  </r>
  <r>
    <s v="Along Came Polly"/>
    <x v="524"/>
    <x v="4"/>
    <x v="0"/>
    <n v="90"/>
    <n v="5.9"/>
    <n v="42000000"/>
    <n v="87856565"/>
  </r>
  <r>
    <s v="Boomerang"/>
    <x v="525"/>
    <x v="4"/>
    <x v="0"/>
    <n v="117"/>
    <n v="5.4"/>
    <n v="40000000"/>
    <n v="70100000"/>
  </r>
  <r>
    <s v="The Heat"/>
    <x v="98"/>
    <x v="0"/>
    <x v="0"/>
    <n v="123"/>
    <n v="6.6"/>
    <n v="43000000"/>
    <n v="159578352"/>
  </r>
  <r>
    <s v="Cleopatra"/>
    <x v="526"/>
    <x v="7"/>
    <x v="0"/>
    <n v="251"/>
    <n v="7"/>
    <n v="31115000"/>
    <n v="57750000"/>
  </r>
  <r>
    <s v="Here Comes the Boom"/>
    <x v="155"/>
    <x v="0"/>
    <x v="0"/>
    <n v="105"/>
    <n v="6.5"/>
    <n v="42000000"/>
    <n v="45290318"/>
  </r>
  <r>
    <s v="High Crimes"/>
    <x v="458"/>
    <x v="6"/>
    <x v="0"/>
    <n v="115"/>
    <n v="6.3"/>
    <n v="42000000"/>
    <n v="41543207"/>
  </r>
  <r>
    <s v="The Mirror Has Two Faces"/>
    <x v="527"/>
    <x v="4"/>
    <x v="0"/>
    <n v="122"/>
    <n v="6.5"/>
    <n v="42000000"/>
    <n v="41252428"/>
  </r>
  <r>
    <s v="The Mothman Prophecies"/>
    <x v="528"/>
    <x v="2"/>
    <x v="0"/>
    <n v="119"/>
    <n v="6.5"/>
    <n v="32000000"/>
    <n v="35228696"/>
  </r>
  <r>
    <s v="Brüno"/>
    <x v="323"/>
    <x v="4"/>
    <x v="0"/>
    <n v="81"/>
    <n v="5.8"/>
    <n v="42000000"/>
    <n v="59992760"/>
  </r>
  <r>
    <s v="Licence to Kill"/>
    <x v="529"/>
    <x v="0"/>
    <x v="0"/>
    <n v="133"/>
    <n v="6.6"/>
    <n v="32000000"/>
    <n v="34667015"/>
  </r>
  <r>
    <s v="Red Riding Hood"/>
    <x v="530"/>
    <x v="8"/>
    <x v="0"/>
    <n v="100"/>
    <n v="5.4"/>
    <n v="42000000"/>
    <n v="37652565"/>
  </r>
  <r>
    <s v="15 Minutes"/>
    <x v="531"/>
    <x v="0"/>
    <x v="0"/>
    <n v="120"/>
    <n v="6.1"/>
    <n v="42000000"/>
    <n v="24375436"/>
  </r>
  <r>
    <s v="Super Mario Bros."/>
    <x v="532"/>
    <x v="1"/>
    <x v="0"/>
    <n v="104"/>
    <n v="4"/>
    <n v="42000000"/>
    <n v="20915465"/>
  </r>
  <r>
    <s v="Lord of War"/>
    <x v="464"/>
    <x v="6"/>
    <x v="0"/>
    <n v="122"/>
    <n v="7.6"/>
    <n v="50000000"/>
    <n v="24127895"/>
  </r>
  <r>
    <s v="Hero"/>
    <x v="183"/>
    <x v="0"/>
    <x v="3"/>
    <n v="80"/>
    <n v="7.9"/>
    <n v="31000000"/>
    <n v="84961"/>
  </r>
  <r>
    <s v="One for the Money"/>
    <x v="533"/>
    <x v="0"/>
    <x v="0"/>
    <n v="91"/>
    <n v="5.3"/>
    <n v="40000000"/>
    <n v="26404753"/>
  </r>
  <r>
    <s v="The Interview"/>
    <x v="534"/>
    <x v="4"/>
    <x v="0"/>
    <n v="112"/>
    <n v="6.6"/>
    <n v="44000000"/>
    <n v="6105175"/>
  </r>
  <r>
    <s v="The Warrior's Way"/>
    <x v="535"/>
    <x v="0"/>
    <x v="0"/>
    <n v="100"/>
    <n v="6.3"/>
    <n v="45000000"/>
    <n v="5664251"/>
  </r>
  <r>
    <s v="Micmacs"/>
    <x v="361"/>
    <x v="0"/>
    <x v="2"/>
    <n v="105"/>
    <n v="7.2"/>
    <n v="27000000"/>
    <n v="1260917"/>
  </r>
  <r>
    <s v="8 Mile"/>
    <x v="420"/>
    <x v="2"/>
    <x v="0"/>
    <n v="110"/>
    <n v="7"/>
    <n v="41000000"/>
    <n v="116724075"/>
  </r>
  <r>
    <s v="Animal Kingdom: Let's go Ape"/>
    <x v="536"/>
    <x v="1"/>
    <x v="2"/>
    <n v="101"/>
    <n v="4.9000000000000004"/>
    <n v="20000000"/>
    <n v="25078937"/>
  </r>
  <r>
    <s v="A Knight's Tale"/>
    <x v="434"/>
    <x v="0"/>
    <x v="0"/>
    <n v="144"/>
    <n v="6.9"/>
    <n v="65000000"/>
    <n v="56083966"/>
  </r>
  <r>
    <s v="The Medallion"/>
    <x v="537"/>
    <x v="0"/>
    <x v="0"/>
    <n v="108"/>
    <n v="5.2"/>
    <n v="41000000"/>
    <n v="22108977"/>
  </r>
  <r>
    <s v="The Sixth Sense"/>
    <x v="92"/>
    <x v="2"/>
    <x v="0"/>
    <n v="107"/>
    <n v="8.1"/>
    <n v="40000000"/>
    <n v="293501675"/>
  </r>
  <r>
    <s v="Man on a Ledge"/>
    <x v="538"/>
    <x v="0"/>
    <x v="0"/>
    <n v="102"/>
    <n v="6.6"/>
    <n v="42000000"/>
    <n v="18600911"/>
  </r>
  <r>
    <s v="The Big Year"/>
    <x v="341"/>
    <x v="4"/>
    <x v="0"/>
    <n v="100"/>
    <n v="6.2"/>
    <n v="41000000"/>
    <n v="7204138"/>
  </r>
  <r>
    <s v="The Karate Kid"/>
    <x v="539"/>
    <x v="0"/>
    <x v="0"/>
    <n v="126"/>
    <n v="7.2"/>
    <n v="8000000"/>
    <n v="90800000"/>
  </r>
  <r>
    <s v="American Hustle"/>
    <x v="359"/>
    <x v="6"/>
    <x v="0"/>
    <n v="138"/>
    <n v="7.3"/>
    <n v="40000000"/>
    <n v="150117807"/>
  </r>
  <r>
    <s v="The Proposal"/>
    <x v="540"/>
    <x v="4"/>
    <x v="0"/>
    <n v="108"/>
    <n v="6.7"/>
    <n v="40000000"/>
    <n v="163947053"/>
  </r>
  <r>
    <s v="Double Jeopardy"/>
    <x v="541"/>
    <x v="6"/>
    <x v="0"/>
    <n v="105"/>
    <n v="6.4"/>
    <n v="70000000"/>
    <n v="116735231"/>
  </r>
  <r>
    <s v="Back to the Future Part II"/>
    <x v="42"/>
    <x v="1"/>
    <x v="0"/>
    <n v="108"/>
    <n v="7.8"/>
    <n v="40000000"/>
    <n v="118500000"/>
  </r>
  <r>
    <s v="Lucy"/>
    <x v="187"/>
    <x v="0"/>
    <x v="0"/>
    <n v="89"/>
    <n v="6.4"/>
    <n v="40000000"/>
    <n v="126546825"/>
  </r>
  <r>
    <s v="Fifty Shades of Grey"/>
    <x v="542"/>
    <x v="2"/>
    <x v="0"/>
    <n v="129"/>
    <n v="4.0999999999999996"/>
    <n v="40000000"/>
    <n v="166147885"/>
  </r>
  <r>
    <s v="Spy Kids 3-D: Game Over"/>
    <x v="419"/>
    <x v="0"/>
    <x v="0"/>
    <n v="84"/>
    <n v="4.0999999999999996"/>
    <n v="38000000"/>
    <n v="111760631"/>
  </r>
  <r>
    <s v="A Time to Kill"/>
    <x v="130"/>
    <x v="6"/>
    <x v="0"/>
    <n v="149"/>
    <n v="7.4"/>
    <n v="40000000"/>
    <n v="108706165"/>
  </r>
  <r>
    <s v="Cheaper by the Dozen"/>
    <x v="79"/>
    <x v="4"/>
    <x v="0"/>
    <n v="94"/>
    <n v="5.8"/>
    <n v="40000000"/>
    <n v="138614544"/>
  </r>
  <r>
    <s v="Lone Survivor"/>
    <x v="20"/>
    <x v="0"/>
    <x v="0"/>
    <n v="121"/>
    <n v="7.6"/>
    <n v="40000000"/>
    <n v="125069696"/>
  </r>
  <r>
    <s v="A League of Their Own"/>
    <x v="483"/>
    <x v="4"/>
    <x v="0"/>
    <n v="128"/>
    <n v="7.2"/>
    <n v="40000000"/>
    <n v="107458785"/>
  </r>
  <r>
    <s v="The Conjuring 2"/>
    <x v="32"/>
    <x v="11"/>
    <x v="0"/>
    <n v="134"/>
    <n v="7.8"/>
    <n v="40000000"/>
    <n v="102310175"/>
  </r>
  <r>
    <s v="The Social Network"/>
    <x v="67"/>
    <x v="7"/>
    <x v="0"/>
    <n v="120"/>
    <n v="7.7"/>
    <n v="40000000"/>
    <n v="96917897"/>
  </r>
  <r>
    <s v="He's Just Not That Into You"/>
    <x v="543"/>
    <x v="4"/>
    <x v="0"/>
    <n v="129"/>
    <n v="6.4"/>
    <n v="40000000"/>
    <n v="93952276"/>
  </r>
  <r>
    <s v="Scary Movie 4"/>
    <x v="491"/>
    <x v="4"/>
    <x v="0"/>
    <n v="89"/>
    <n v="5.0999999999999996"/>
    <n v="45000000"/>
    <n v="90703745"/>
  </r>
  <r>
    <s v="Scream 3"/>
    <x v="544"/>
    <x v="11"/>
    <x v="0"/>
    <n v="116"/>
    <n v="5.5"/>
    <n v="40000000"/>
    <n v="89138076"/>
  </r>
  <r>
    <s v="Back to the Future Part III"/>
    <x v="42"/>
    <x v="1"/>
    <x v="0"/>
    <n v="118"/>
    <n v="7.4"/>
    <n v="40000000"/>
    <n v="87666629"/>
  </r>
  <r>
    <s v="Get Hard"/>
    <x v="545"/>
    <x v="4"/>
    <x v="0"/>
    <n v="107"/>
    <n v="6"/>
    <n v="40000000"/>
    <n v="90353764"/>
  </r>
  <r>
    <s v="Bram Stoker's Dracula"/>
    <x v="416"/>
    <x v="8"/>
    <x v="0"/>
    <n v="155"/>
    <n v="7.5"/>
    <n v="40000000"/>
    <n v="82522790"/>
  </r>
  <r>
    <s v="Julie &amp; Julia"/>
    <x v="320"/>
    <x v="7"/>
    <x v="0"/>
    <n v="123"/>
    <n v="7"/>
    <n v="40000000"/>
    <n v="94125426"/>
  </r>
  <r>
    <s v="42"/>
    <x v="434"/>
    <x v="7"/>
    <x v="0"/>
    <n v="128"/>
    <n v="7.5"/>
    <n v="40000000"/>
    <n v="95001343"/>
  </r>
  <r>
    <s v="The Talented Mr. Ripley"/>
    <x v="237"/>
    <x v="6"/>
    <x v="0"/>
    <n v="139"/>
    <n v="7.3"/>
    <n v="40000000"/>
    <n v="81292135"/>
  </r>
  <r>
    <s v="Dumb and Dumber To"/>
    <x v="303"/>
    <x v="4"/>
    <x v="0"/>
    <n v="109"/>
    <n v="5.7"/>
    <n v="35000000"/>
    <n v="86208010"/>
  </r>
  <r>
    <s v="Eight Below"/>
    <x v="435"/>
    <x v="1"/>
    <x v="0"/>
    <n v="120"/>
    <n v="7.3"/>
    <n v="40000000"/>
    <n v="81593527"/>
  </r>
  <r>
    <s v="The Intern"/>
    <x v="216"/>
    <x v="4"/>
    <x v="0"/>
    <n v="121"/>
    <n v="7.2"/>
    <n v="35000000"/>
    <n v="75274748"/>
  </r>
  <r>
    <s v="Ride Along 2"/>
    <x v="132"/>
    <x v="0"/>
    <x v="0"/>
    <n v="102"/>
    <n v="5.9"/>
    <n v="40000000"/>
    <n v="90835030"/>
  </r>
  <r>
    <s v="The Last of the Mohicans"/>
    <x v="156"/>
    <x v="0"/>
    <x v="0"/>
    <n v="117"/>
    <n v="7.8"/>
    <n v="40000000"/>
    <n v="72455275"/>
  </r>
  <r>
    <s v="Ray"/>
    <x v="328"/>
    <x v="7"/>
    <x v="0"/>
    <n v="178"/>
    <n v="7.7"/>
    <n v="40000000"/>
    <n v="75305995"/>
  </r>
  <r>
    <s v="Sin City"/>
    <x v="332"/>
    <x v="6"/>
    <x v="0"/>
    <n v="147"/>
    <n v="8.1"/>
    <n v="40000000"/>
    <n v="74098862"/>
  </r>
  <r>
    <s v="Vantage Point"/>
    <x v="228"/>
    <x v="6"/>
    <x v="0"/>
    <n v="90"/>
    <n v="6.6"/>
    <n v="40000000"/>
    <n v="72266306"/>
  </r>
  <r>
    <s v="I Love You, Man"/>
    <x v="524"/>
    <x v="4"/>
    <x v="0"/>
    <n v="105"/>
    <n v="7.1"/>
    <n v="40000000"/>
    <n v="71347010"/>
  </r>
  <r>
    <s v="Shallow Hal"/>
    <x v="303"/>
    <x v="4"/>
    <x v="0"/>
    <n v="114"/>
    <n v="5.9"/>
    <n v="40000000"/>
    <n v="70836296"/>
  </r>
  <r>
    <s v="JFK"/>
    <x v="77"/>
    <x v="2"/>
    <x v="0"/>
    <n v="206"/>
    <n v="8"/>
    <n v="40000000"/>
    <n v="70405498"/>
  </r>
  <r>
    <s v="Big Momma's House 2"/>
    <x v="429"/>
    <x v="4"/>
    <x v="0"/>
    <n v="99"/>
    <n v="4.5999999999999996"/>
    <n v="40000000"/>
    <n v="70163652"/>
  </r>
  <r>
    <s v="The Mexican"/>
    <x v="1"/>
    <x v="1"/>
    <x v="0"/>
    <n v="123"/>
    <n v="6.1"/>
    <n v="34000000"/>
    <n v="66808615"/>
  </r>
  <r>
    <s v="17 Again"/>
    <x v="523"/>
    <x v="4"/>
    <x v="0"/>
    <n v="102"/>
    <n v="6.4"/>
    <n v="20000000"/>
    <n v="64149837"/>
  </r>
  <r>
    <s v="The Other Woman"/>
    <x v="546"/>
    <x v="4"/>
    <x v="0"/>
    <n v="109"/>
    <n v="6"/>
    <n v="40000000"/>
    <n v="83906114"/>
  </r>
  <r>
    <s v="The Final Destination"/>
    <x v="500"/>
    <x v="11"/>
    <x v="0"/>
    <n v="82"/>
    <n v="5.2"/>
    <n v="40000000"/>
    <n v="66466372"/>
  </r>
  <r>
    <s v="Bridge of Spies"/>
    <x v="37"/>
    <x v="2"/>
    <x v="0"/>
    <n v="142"/>
    <n v="7.6"/>
    <n v="40000000"/>
    <n v="72306065"/>
  </r>
  <r>
    <s v="Behind Enemy Lines"/>
    <x v="194"/>
    <x v="0"/>
    <x v="0"/>
    <n v="106"/>
    <n v="6.4"/>
    <n v="40000000"/>
    <n v="59068786"/>
  </r>
  <r>
    <s v="Get Him to the Greek"/>
    <x v="547"/>
    <x v="4"/>
    <x v="0"/>
    <n v="114"/>
    <n v="6.4"/>
    <n v="20000000"/>
    <n v="60923325"/>
  </r>
  <r>
    <s v="Shall We Dance"/>
    <x v="159"/>
    <x v="4"/>
    <x v="0"/>
    <n v="106"/>
    <n v="6.1"/>
    <n v="50000000"/>
    <n v="57887882"/>
  </r>
  <r>
    <s v="Small Soldiers"/>
    <x v="255"/>
    <x v="0"/>
    <x v="0"/>
    <n v="108"/>
    <n v="6.1"/>
    <n v="40000000"/>
    <n v="53955614"/>
  </r>
  <r>
    <s v="Spawn"/>
    <x v="548"/>
    <x v="0"/>
    <x v="0"/>
    <n v="98"/>
    <n v="5.2"/>
    <n v="40000000"/>
    <n v="54967359"/>
  </r>
  <r>
    <s v="The Count of Monte Cristo"/>
    <x v="52"/>
    <x v="0"/>
    <x v="0"/>
    <n v="131"/>
    <n v="7.7"/>
    <n v="35000000"/>
    <n v="54228104"/>
  </r>
  <r>
    <s v="The Lincoln Lawyer"/>
    <x v="489"/>
    <x v="6"/>
    <x v="0"/>
    <n v="118"/>
    <n v="7.3"/>
    <n v="40000000"/>
    <n v="57981889"/>
  </r>
  <r>
    <s v="Unknown"/>
    <x v="440"/>
    <x v="0"/>
    <x v="0"/>
    <n v="113"/>
    <n v="6.9"/>
    <n v="30000000"/>
    <n v="61094903"/>
  </r>
  <r>
    <s v="The Prestige"/>
    <x v="3"/>
    <x v="2"/>
    <x v="0"/>
    <n v="130"/>
    <n v="8.5"/>
    <n v="40000000"/>
    <n v="53082743"/>
  </r>
  <r>
    <s v="Horrible Bosses 2"/>
    <x v="391"/>
    <x v="4"/>
    <x v="0"/>
    <n v="116"/>
    <n v="6.3"/>
    <n v="42000000"/>
    <n v="54414716"/>
  </r>
  <r>
    <s v="Escape from Planet Earth"/>
    <x v="549"/>
    <x v="1"/>
    <x v="0"/>
    <n v="89"/>
    <n v="5.9"/>
    <n v="40000000"/>
    <n v="57011847"/>
  </r>
  <r>
    <s v="Apocalypto"/>
    <x v="285"/>
    <x v="0"/>
    <x v="9"/>
    <n v="139"/>
    <n v="7.8"/>
    <n v="40000000"/>
    <n v="50859889"/>
  </r>
  <r>
    <s v="The Living Daylights"/>
    <x v="529"/>
    <x v="0"/>
    <x v="0"/>
    <n v="130"/>
    <n v="6.7"/>
    <n v="30000000"/>
    <n v="51185897"/>
  </r>
  <r>
    <s v="Predators"/>
    <x v="550"/>
    <x v="0"/>
    <x v="0"/>
    <n v="107"/>
    <n v="6.4"/>
    <n v="40000000"/>
    <n v="52000688"/>
  </r>
  <r>
    <s v="Legal Eagles"/>
    <x v="242"/>
    <x v="4"/>
    <x v="0"/>
    <n v="116"/>
    <n v="5.9"/>
    <n v="40000000"/>
    <n v="49851591"/>
  </r>
  <r>
    <s v="Secret Window"/>
    <x v="383"/>
    <x v="5"/>
    <x v="0"/>
    <n v="96"/>
    <n v="6.6"/>
    <n v="40000000"/>
    <n v="47781388"/>
  </r>
  <r>
    <s v="The Lake House"/>
    <x v="551"/>
    <x v="2"/>
    <x v="0"/>
    <n v="99"/>
    <n v="6.8"/>
    <n v="40000000"/>
    <n v="52320979"/>
  </r>
  <r>
    <s v="The Skeleton Key"/>
    <x v="382"/>
    <x v="11"/>
    <x v="0"/>
    <n v="104"/>
    <n v="6.5"/>
    <n v="43000000"/>
    <n v="47806295"/>
  </r>
  <r>
    <s v="The Odd Life of Timothy Green"/>
    <x v="552"/>
    <x v="4"/>
    <x v="0"/>
    <n v="105"/>
    <n v="6.6"/>
    <n v="25000000"/>
    <n v="51853450"/>
  </r>
  <r>
    <s v="Made of Honor"/>
    <x v="553"/>
    <x v="4"/>
    <x v="0"/>
    <n v="101"/>
    <n v="5.8"/>
    <n v="40000000"/>
    <n v="46012734"/>
  </r>
  <r>
    <s v="Jersey Boys"/>
    <x v="322"/>
    <x v="7"/>
    <x v="0"/>
    <n v="134"/>
    <n v="6.9"/>
    <n v="40000000"/>
    <n v="47034272"/>
  </r>
  <r>
    <s v="The Rainmaker"/>
    <x v="416"/>
    <x v="6"/>
    <x v="0"/>
    <n v="135"/>
    <n v="7.1"/>
    <n v="40000000"/>
    <n v="45856732"/>
  </r>
  <r>
    <s v="Gothika"/>
    <x v="505"/>
    <x v="11"/>
    <x v="0"/>
    <n v="98"/>
    <n v="5.8"/>
    <n v="40000000"/>
    <n v="59588068"/>
  </r>
  <r>
    <s v="Amistad"/>
    <x v="37"/>
    <x v="2"/>
    <x v="0"/>
    <n v="155"/>
    <n v="7.2"/>
    <n v="36000000"/>
    <n v="44175394"/>
  </r>
  <r>
    <s v="Medicine Man"/>
    <x v="128"/>
    <x v="1"/>
    <x v="0"/>
    <n v="106"/>
    <n v="6"/>
    <n v="40000000"/>
    <n v="45500797"/>
  </r>
  <r>
    <s v="Aliens vs. Predator: Requiem"/>
    <x v="554"/>
    <x v="0"/>
    <x v="0"/>
    <n v="102"/>
    <n v="4.7"/>
    <n v="40000000"/>
    <n v="41797066"/>
  </r>
  <r>
    <s v="Ri¢hie Ri¢h"/>
    <x v="368"/>
    <x v="4"/>
    <x v="0"/>
    <n v="95"/>
    <n v="5.2"/>
    <n v="40000000"/>
    <n v="38087756"/>
  </r>
  <r>
    <s v="Autumn in New York"/>
    <x v="555"/>
    <x v="2"/>
    <x v="0"/>
    <n v="103"/>
    <n v="5.5"/>
    <n v="40000000"/>
    <n v="37752931"/>
  </r>
  <r>
    <s v="Music and Lyrics"/>
    <x v="343"/>
    <x v="4"/>
    <x v="0"/>
    <n v="95"/>
    <n v="6.5"/>
    <n v="20000000"/>
    <n v="50562555"/>
  </r>
  <r>
    <s v="Paul"/>
    <x v="556"/>
    <x v="1"/>
    <x v="0"/>
    <n v="109"/>
    <n v="7"/>
    <n v="40000000"/>
    <n v="37371385"/>
  </r>
  <r>
    <s v="The Guilt Trip"/>
    <x v="540"/>
    <x v="4"/>
    <x v="0"/>
    <n v="95"/>
    <n v="5.8"/>
    <n v="40000000"/>
    <n v="37101011"/>
  </r>
  <r>
    <s v="Scream 4"/>
    <x v="544"/>
    <x v="11"/>
    <x v="0"/>
    <n v="111"/>
    <n v="6.2"/>
    <n v="40000000"/>
    <n v="38176892"/>
  </r>
  <r>
    <s v="8MM"/>
    <x v="130"/>
    <x v="5"/>
    <x v="0"/>
    <n v="123"/>
    <n v="6.5"/>
    <n v="40000000"/>
    <n v="36283504"/>
  </r>
  <r>
    <s v="The Doors"/>
    <x v="77"/>
    <x v="7"/>
    <x v="0"/>
    <n v="140"/>
    <n v="7.2"/>
    <n v="38000000"/>
    <n v="35183792"/>
  </r>
  <r>
    <s v="Sex Tape"/>
    <x v="557"/>
    <x v="4"/>
    <x v="0"/>
    <n v="94"/>
    <n v="5.0999999999999996"/>
    <n v="40000000"/>
    <n v="38543473"/>
  </r>
  <r>
    <s v="Hanging Up"/>
    <x v="558"/>
    <x v="4"/>
    <x v="0"/>
    <n v="94"/>
    <n v="4.7"/>
    <n v="60000000"/>
    <n v="36037909"/>
  </r>
  <r>
    <s v="Final Destination 5"/>
    <x v="454"/>
    <x v="11"/>
    <x v="0"/>
    <n v="92"/>
    <n v="5.9"/>
    <n v="40000000"/>
    <n v="42575718"/>
  </r>
  <r>
    <s v="Mickey Blue Eyes"/>
    <x v="559"/>
    <x v="4"/>
    <x v="0"/>
    <n v="102"/>
    <n v="5.8"/>
    <n v="40000000"/>
    <n v="33864342"/>
  </r>
  <r>
    <s v="Pay It Forward"/>
    <x v="233"/>
    <x v="2"/>
    <x v="0"/>
    <n v="123"/>
    <n v="7.2"/>
    <n v="40000000"/>
    <n v="33508922"/>
  </r>
  <r>
    <s v="Fever Pitch"/>
    <x v="303"/>
    <x v="4"/>
    <x v="0"/>
    <n v="104"/>
    <n v="6.2"/>
    <n v="30000000"/>
    <n v="42071069"/>
  </r>
  <r>
    <s v="Drillbit Taylor"/>
    <x v="250"/>
    <x v="4"/>
    <x v="0"/>
    <n v="102"/>
    <n v="5.7"/>
    <n v="40000000"/>
    <n v="32853640"/>
  </r>
  <r>
    <s v="A Million Ways to Die in the West"/>
    <x v="310"/>
    <x v="4"/>
    <x v="0"/>
    <n v="136"/>
    <n v="6.1"/>
    <n v="40000000"/>
    <n v="42615685"/>
  </r>
  <r>
    <s v="The Shadow"/>
    <x v="499"/>
    <x v="0"/>
    <x v="0"/>
    <n v="93"/>
    <n v="6"/>
    <n v="25000000"/>
    <n v="32055248"/>
  </r>
  <r>
    <s v="Extremely Loud &amp; Incredibly Close"/>
    <x v="560"/>
    <x v="1"/>
    <x v="0"/>
    <n v="129"/>
    <n v="6.9"/>
    <n v="40000000"/>
    <n v="31836745"/>
  </r>
  <r>
    <s v="Morning Glory"/>
    <x v="494"/>
    <x v="4"/>
    <x v="0"/>
    <n v="107"/>
    <n v="6.5"/>
    <n v="40000000"/>
    <n v="30993544"/>
  </r>
  <r>
    <s v="Get Rich or Die Tryin'"/>
    <x v="470"/>
    <x v="7"/>
    <x v="0"/>
    <n v="117"/>
    <n v="5"/>
    <n v="40000000"/>
    <n v="30981850"/>
  </r>
  <r>
    <s v="The Art of War"/>
    <x v="561"/>
    <x v="0"/>
    <x v="0"/>
    <n v="116"/>
    <n v="5.7"/>
    <n v="40000000"/>
    <n v="30199105"/>
  </r>
  <r>
    <s v="Rent"/>
    <x v="123"/>
    <x v="2"/>
    <x v="0"/>
    <n v="135"/>
    <n v="7"/>
    <n v="40000000"/>
    <n v="29077547"/>
  </r>
  <r>
    <s v="Bless the Child"/>
    <x v="164"/>
    <x v="6"/>
    <x v="0"/>
    <n v="107"/>
    <n v="5.0999999999999996"/>
    <n v="40000000"/>
    <n v="29374178"/>
  </r>
  <r>
    <s v="The Out-of-Towners"/>
    <x v="396"/>
    <x v="4"/>
    <x v="0"/>
    <n v="90"/>
    <n v="5.3"/>
    <n v="40000000"/>
    <n v="28535768"/>
  </r>
  <r>
    <s v="The Island of Dr. Moreau"/>
    <x v="403"/>
    <x v="11"/>
    <x v="0"/>
    <n v="99"/>
    <n v="4.4000000000000004"/>
    <n v="40000000"/>
    <n v="27663982"/>
  </r>
  <r>
    <s v="The Musketeer"/>
    <x v="173"/>
    <x v="0"/>
    <x v="0"/>
    <n v="104"/>
    <n v="4.7"/>
    <n v="40000000"/>
    <n v="27053815"/>
  </r>
  <r>
    <s v="The Other Boleyn Girl"/>
    <x v="562"/>
    <x v="7"/>
    <x v="0"/>
    <n v="115"/>
    <n v="6.7"/>
    <n v="35000000"/>
    <n v="26814957"/>
  </r>
  <r>
    <s v="Sweet November"/>
    <x v="563"/>
    <x v="2"/>
    <x v="0"/>
    <n v="119"/>
    <n v="6.7"/>
    <n v="40000000"/>
    <n v="25178165"/>
  </r>
  <r>
    <s v="The Reaping"/>
    <x v="245"/>
    <x v="11"/>
    <x v="0"/>
    <n v="99"/>
    <n v="5.7"/>
    <n v="40000000"/>
    <n v="25117498"/>
  </r>
  <r>
    <s v="Mean Streets"/>
    <x v="47"/>
    <x v="6"/>
    <x v="0"/>
    <n v="112"/>
    <n v="7.4"/>
    <n v="500000"/>
    <n v="32645"/>
  </r>
  <r>
    <s v="Renaissance Man"/>
    <x v="483"/>
    <x v="4"/>
    <x v="0"/>
    <n v="128"/>
    <n v="6.1"/>
    <n v="40000000"/>
    <n v="24332324"/>
  </r>
  <r>
    <s v="Colombiana"/>
    <x v="480"/>
    <x v="0"/>
    <x v="0"/>
    <n v="112"/>
    <n v="6.4"/>
    <n v="40000000"/>
    <n v="36665854"/>
  </r>
  <r>
    <s v="The Magic Sword: Quest for Camelot"/>
    <x v="564"/>
    <x v="1"/>
    <x v="0"/>
    <n v="86"/>
    <n v="6.2"/>
    <n v="40000000"/>
    <n v="22717758"/>
  </r>
  <r>
    <s v="City by the Sea"/>
    <x v="305"/>
    <x v="6"/>
    <x v="0"/>
    <n v="108"/>
    <n v="6.2"/>
    <n v="60000000"/>
    <n v="22433915"/>
  </r>
  <r>
    <s v="At First Sight"/>
    <x v="565"/>
    <x v="2"/>
    <x v="0"/>
    <n v="128"/>
    <n v="5.9"/>
    <n v="60000000"/>
    <n v="22326247"/>
  </r>
  <r>
    <s v="Torque"/>
    <x v="566"/>
    <x v="0"/>
    <x v="0"/>
    <n v="84"/>
    <n v="4"/>
    <n v="40000000"/>
    <n v="21176322"/>
  </r>
  <r>
    <s v="City Hall"/>
    <x v="373"/>
    <x v="2"/>
    <x v="0"/>
    <n v="111"/>
    <n v="6.2"/>
    <n v="40000000"/>
    <n v="20300000"/>
  </r>
  <r>
    <s v="Showgirls"/>
    <x v="127"/>
    <x v="2"/>
    <x v="0"/>
    <n v="131"/>
    <n v="4.5999999999999996"/>
    <n v="45000000"/>
    <n v="20302961"/>
  </r>
  <r>
    <s v="Marie Antoinette"/>
    <x v="567"/>
    <x v="7"/>
    <x v="0"/>
    <n v="123"/>
    <n v="6.4"/>
    <n v="40000000"/>
    <n v="15962471"/>
  </r>
  <r>
    <s v="Kiss of Death"/>
    <x v="462"/>
    <x v="0"/>
    <x v="0"/>
    <n v="101"/>
    <n v="5.9"/>
    <n v="40000000"/>
    <n v="14942422"/>
  </r>
  <r>
    <s v="Get Carter"/>
    <x v="568"/>
    <x v="0"/>
    <x v="0"/>
    <n v="102"/>
    <n v="5.0999999999999996"/>
    <n v="40000000"/>
    <n v="14967182"/>
  </r>
  <r>
    <s v="The Impossible"/>
    <x v="569"/>
    <x v="2"/>
    <x v="0"/>
    <n v="114"/>
    <n v="7.6"/>
    <n v="45000000"/>
    <n v="18996755"/>
  </r>
  <r>
    <s v="Ishtar"/>
    <x v="570"/>
    <x v="0"/>
    <x v="0"/>
    <n v="107"/>
    <n v="4.2"/>
    <n v="51000000"/>
    <n v="14375181"/>
  </r>
  <r>
    <s v="Fantastic Mr. Fox"/>
    <x v="466"/>
    <x v="1"/>
    <x v="0"/>
    <n v="87"/>
    <n v="7.8"/>
    <n v="40000000"/>
    <n v="20999103"/>
  </r>
  <r>
    <s v="Life or Something Like It"/>
    <x v="388"/>
    <x v="4"/>
    <x v="0"/>
    <n v="103"/>
    <n v="5.8"/>
    <n v="40000000"/>
    <n v="14448589"/>
  </r>
  <r>
    <s v="Memoirs of an Invisible Man"/>
    <x v="465"/>
    <x v="4"/>
    <x v="0"/>
    <n v="99"/>
    <n v="5.9"/>
    <n v="40000000"/>
    <n v="14358033"/>
  </r>
  <r>
    <s v="Amélie"/>
    <x v="361"/>
    <x v="4"/>
    <x v="2"/>
    <n v="122"/>
    <n v="8.4"/>
    <n v="77000000"/>
    <n v="33201661"/>
  </r>
  <r>
    <s v="New York Minute"/>
    <x v="571"/>
    <x v="4"/>
    <x v="0"/>
    <n v="91"/>
    <n v="4.8"/>
    <n v="30000000"/>
    <n v="14018364"/>
  </r>
  <r>
    <s v="Alfie"/>
    <x v="572"/>
    <x v="4"/>
    <x v="0"/>
    <n v="103"/>
    <n v="6.2"/>
    <n v="60000000"/>
    <n v="13395939"/>
  </r>
  <r>
    <s v="Big Miracle"/>
    <x v="543"/>
    <x v="7"/>
    <x v="0"/>
    <n v="107"/>
    <n v="6.5"/>
    <n v="40000000"/>
    <n v="20113965"/>
  </r>
  <r>
    <s v="The Deep End of the Ocean"/>
    <x v="573"/>
    <x v="2"/>
    <x v="0"/>
    <n v="106"/>
    <n v="6.3"/>
    <n v="40000000"/>
    <n v="13376506"/>
  </r>
  <r>
    <s v="Feardotcom"/>
    <x v="574"/>
    <x v="6"/>
    <x v="0"/>
    <n v="101"/>
    <n v="3.3"/>
    <n v="42000000"/>
    <n v="13208023"/>
  </r>
  <r>
    <s v="Cirque du Freak: The Vampire's Assistant"/>
    <x v="162"/>
    <x v="0"/>
    <x v="0"/>
    <n v="109"/>
    <n v="5.9"/>
    <n v="40000000"/>
    <n v="13838130"/>
  </r>
  <r>
    <s v="Duplex"/>
    <x v="474"/>
    <x v="4"/>
    <x v="0"/>
    <n v="89"/>
    <n v="5.8"/>
    <n v="40000000"/>
    <n v="9652000"/>
  </r>
  <r>
    <s v="Soul Men"/>
    <x v="575"/>
    <x v="4"/>
    <x v="0"/>
    <n v="100"/>
    <n v="6.5"/>
    <n v="20000000"/>
    <n v="12081447"/>
  </r>
  <r>
    <s v="Raise the Titanic"/>
    <x v="576"/>
    <x v="0"/>
    <x v="0"/>
    <n v="119"/>
    <n v="4.7"/>
    <n v="36000000"/>
    <n v="7000000"/>
  </r>
  <r>
    <s v="Universal Soldier: The Return"/>
    <x v="577"/>
    <x v="0"/>
    <x v="0"/>
    <n v="83"/>
    <n v="4.0999999999999996"/>
    <n v="24000000"/>
    <n v="10431220"/>
  </r>
  <r>
    <s v="Pandorum"/>
    <x v="578"/>
    <x v="0"/>
    <x v="0"/>
    <n v="108"/>
    <n v="6.8"/>
    <n v="33000000"/>
    <n v="10326062"/>
  </r>
  <r>
    <s v="Impostor"/>
    <x v="445"/>
    <x v="2"/>
    <x v="0"/>
    <n v="102"/>
    <n v="6.2"/>
    <n v="40000000"/>
    <n v="6114237"/>
  </r>
  <r>
    <s v="Extreme Ops"/>
    <x v="561"/>
    <x v="0"/>
    <x v="0"/>
    <n v="93"/>
    <n v="4.5"/>
    <n v="40000000"/>
    <n v="4835968"/>
  </r>
  <r>
    <s v="Just Visiting"/>
    <x v="579"/>
    <x v="4"/>
    <x v="0"/>
    <n v="84"/>
    <n v="5.8"/>
    <n v="40000000"/>
    <n v="4777007"/>
  </r>
  <r>
    <s v="Sunshine"/>
    <x v="460"/>
    <x v="1"/>
    <x v="0"/>
    <n v="107"/>
    <n v="7.3"/>
    <n v="26000000"/>
    <n v="3675072"/>
  </r>
  <r>
    <s v="A Thousand Words"/>
    <x v="351"/>
    <x v="4"/>
    <x v="0"/>
    <n v="91"/>
    <n v="5.9"/>
    <n v="40000000"/>
    <n v="18438149"/>
  </r>
  <r>
    <s v="Delgo"/>
    <x v="580"/>
    <x v="1"/>
    <x v="0"/>
    <n v="94"/>
    <n v="4.4000000000000004"/>
    <n v="40000000"/>
    <n v="511920"/>
  </r>
  <r>
    <s v="The Gunman"/>
    <x v="426"/>
    <x v="0"/>
    <x v="0"/>
    <n v="115"/>
    <n v="5.8"/>
    <n v="40000000"/>
    <n v="10640645"/>
  </r>
  <r>
    <s v="Alex Rider: Operation Stormbreaker"/>
    <x v="581"/>
    <x v="0"/>
    <x v="0"/>
    <n v="93"/>
    <n v="5.0999999999999996"/>
    <n v="40000000"/>
    <n v="652526"/>
  </r>
  <r>
    <s v="Disturbia"/>
    <x v="236"/>
    <x v="2"/>
    <x v="0"/>
    <n v="105"/>
    <n v="6.9"/>
    <n v="20000000"/>
    <n v="80050171"/>
  </r>
  <r>
    <s v="Hackers"/>
    <x v="382"/>
    <x v="4"/>
    <x v="0"/>
    <n v="107"/>
    <n v="6.2"/>
    <n v="20000000"/>
    <n v="7564000"/>
  </r>
  <r>
    <s v="The Hunting Party"/>
    <x v="582"/>
    <x v="1"/>
    <x v="0"/>
    <n v="101"/>
    <n v="6.9"/>
    <n v="25000000"/>
    <n v="876671"/>
  </r>
  <r>
    <s v="The Hudsucker Proxy"/>
    <x v="371"/>
    <x v="4"/>
    <x v="0"/>
    <n v="111"/>
    <n v="7.3"/>
    <n v="30000000"/>
    <n v="2869369"/>
  </r>
  <r>
    <s v="The Warlords"/>
    <x v="583"/>
    <x v="0"/>
    <x v="3"/>
    <n v="113"/>
    <n v="7.1"/>
    <n v="40000000"/>
    <n v="128978"/>
  </r>
  <r>
    <s v="Nomad: The Warrior"/>
    <x v="190"/>
    <x v="2"/>
    <x v="10"/>
    <n v="112"/>
    <n v="6"/>
    <n v="25000000"/>
    <n v="77231"/>
  </r>
  <r>
    <s v="Snowpiercer"/>
    <x v="584"/>
    <x v="0"/>
    <x v="0"/>
    <n v="126"/>
    <n v="7"/>
    <n v="39200000"/>
    <n v="4563029"/>
  </r>
  <r>
    <s v="A Monster in Paris"/>
    <x v="189"/>
    <x v="1"/>
    <x v="2"/>
    <n v="90"/>
    <n v="6.8"/>
    <n v="25000000"/>
    <n v="25078937"/>
  </r>
  <r>
    <s v="The Last Shot"/>
    <x v="585"/>
    <x v="4"/>
    <x v="0"/>
    <n v="93"/>
    <n v="5.7"/>
    <n v="20000000"/>
    <n v="463730"/>
  </r>
  <r>
    <s v="The Crow"/>
    <x v="103"/>
    <x v="0"/>
    <x v="0"/>
    <n v="98"/>
    <n v="7.6"/>
    <n v="23000000"/>
    <n v="50693162"/>
  </r>
  <r>
    <s v="Baahubali: The Beginning"/>
    <x v="586"/>
    <x v="0"/>
    <x v="11"/>
    <n v="159"/>
    <n v="8.4"/>
    <n v="18026148"/>
    <n v="6498000"/>
  </r>
  <r>
    <s v="The Time Traveler's Wife"/>
    <x v="124"/>
    <x v="2"/>
    <x v="0"/>
    <n v="107"/>
    <n v="7.1"/>
    <n v="39000000"/>
    <n v="63411478"/>
  </r>
  <r>
    <s v="Because I Said So"/>
    <x v="329"/>
    <x v="4"/>
    <x v="0"/>
    <n v="102"/>
    <n v="5.6"/>
    <n v="20000000"/>
    <n v="42640890"/>
  </r>
  <r>
    <s v="Frankenweenie"/>
    <x v="23"/>
    <x v="3"/>
    <x v="0"/>
    <n v="87"/>
    <n v="7"/>
    <n v="39000000"/>
    <n v="35287788"/>
  </r>
  <r>
    <s v="Serenity"/>
    <x v="7"/>
    <x v="0"/>
    <x v="0"/>
    <n v="119"/>
    <n v="8"/>
    <n v="40000000"/>
    <n v="25335935"/>
  </r>
  <r>
    <s v="Against the Ropes"/>
    <x v="587"/>
    <x v="7"/>
    <x v="0"/>
    <n v="110"/>
    <n v="5.3"/>
    <n v="39000000"/>
    <n v="5881504"/>
  </r>
  <r>
    <s v="Superman III"/>
    <x v="417"/>
    <x v="0"/>
    <x v="0"/>
    <n v="125"/>
    <n v="4.9000000000000004"/>
    <n v="39000000"/>
    <n v="60000000"/>
  </r>
  <r>
    <s v="Grudge Match"/>
    <x v="227"/>
    <x v="4"/>
    <x v="0"/>
    <n v="113"/>
    <n v="6.4"/>
    <n v="40000000"/>
    <n v="29802761"/>
  </r>
  <r>
    <s v="Red Cliff"/>
    <x v="131"/>
    <x v="0"/>
    <x v="3"/>
    <n v="150"/>
    <n v="7.4"/>
    <n v="553632000"/>
    <n v="626809"/>
  </r>
  <r>
    <s v="Sweet Home Alabama"/>
    <x v="275"/>
    <x v="4"/>
    <x v="0"/>
    <n v="108"/>
    <n v="6.1"/>
    <n v="38000000"/>
    <n v="127214072"/>
  </r>
  <r>
    <s v="The Ugly Truth"/>
    <x v="271"/>
    <x v="4"/>
    <x v="0"/>
    <n v="96"/>
    <n v="6.5"/>
    <n v="38000000"/>
    <n v="88915214"/>
  </r>
  <r>
    <s v="Sgt. Bilko"/>
    <x v="588"/>
    <x v="4"/>
    <x v="0"/>
    <n v="93"/>
    <n v="5.7"/>
    <n v="39000000"/>
    <n v="30400000"/>
  </r>
  <r>
    <s v="Spy Kids 2: Island of Lost Dreams"/>
    <x v="419"/>
    <x v="0"/>
    <x v="0"/>
    <n v="100"/>
    <n v="5.0999999999999996"/>
    <n v="38000000"/>
    <n v="85570368"/>
  </r>
  <r>
    <s v="Star Trek: Generations"/>
    <x v="589"/>
    <x v="0"/>
    <x v="0"/>
    <n v="118"/>
    <n v="6.6"/>
    <n v="35000000"/>
    <n v="75668868"/>
  </r>
  <r>
    <s v="The Grandmaster"/>
    <x v="590"/>
    <x v="0"/>
    <x v="3"/>
    <n v="122"/>
    <n v="6.5"/>
    <n v="38600000"/>
    <n v="6594136"/>
  </r>
  <r>
    <s v="Water for Elephants"/>
    <x v="69"/>
    <x v="2"/>
    <x v="0"/>
    <n v="120"/>
    <n v="6.9"/>
    <n v="38000000"/>
    <n v="58700247"/>
  </r>
  <r>
    <s v="Dragon Nest: Warriors' Dawn"/>
    <x v="591"/>
    <x v="1"/>
    <x v="0"/>
    <n v="88"/>
    <n v="6.4"/>
    <n v="40000000"/>
    <n v="25078937"/>
  </r>
  <r>
    <s v="The Hurricane"/>
    <x v="592"/>
    <x v="7"/>
    <x v="0"/>
    <n v="146"/>
    <n v="7.6"/>
    <n v="38000000"/>
    <n v="50668906"/>
  </r>
  <r>
    <s v="Enough"/>
    <x v="76"/>
    <x v="6"/>
    <x v="0"/>
    <n v="115"/>
    <n v="5.6"/>
    <n v="38000000"/>
    <n v="39177215"/>
  </r>
  <r>
    <s v="Heartbreakers"/>
    <x v="593"/>
    <x v="4"/>
    <x v="0"/>
    <n v="123"/>
    <n v="6.2"/>
    <n v="35000000"/>
    <n v="40334024"/>
  </r>
  <r>
    <s v="Paul Blart: Mall Cop 2"/>
    <x v="441"/>
    <x v="0"/>
    <x v="0"/>
    <n v="94"/>
    <n v="4.4000000000000004"/>
    <n v="30000000"/>
    <n v="71038190"/>
  </r>
  <r>
    <s v="Angel Eyes"/>
    <x v="594"/>
    <x v="2"/>
    <x v="0"/>
    <n v="102"/>
    <n v="5.6"/>
    <n v="38000000"/>
    <n v="24044532"/>
  </r>
  <r>
    <s v="Joe Somebody"/>
    <x v="364"/>
    <x v="4"/>
    <x v="0"/>
    <n v="98"/>
    <n v="5.5"/>
    <n v="38000000"/>
    <n v="22770864"/>
  </r>
  <r>
    <s v="The Ninth Gate"/>
    <x v="331"/>
    <x v="5"/>
    <x v="0"/>
    <n v="133"/>
    <n v="6.7"/>
    <n v="38000000"/>
    <n v="18653746"/>
  </r>
  <r>
    <s v="Extreme Measures"/>
    <x v="76"/>
    <x v="6"/>
    <x v="0"/>
    <n v="118"/>
    <n v="6.1"/>
    <n v="38000000"/>
    <n v="17305211"/>
  </r>
  <r>
    <s v="Rock Star"/>
    <x v="388"/>
    <x v="2"/>
    <x v="0"/>
    <n v="105"/>
    <n v="6.2"/>
    <n v="57000000"/>
    <n v="16991902"/>
  </r>
  <r>
    <s v="Precious"/>
    <x v="595"/>
    <x v="2"/>
    <x v="0"/>
    <n v="109"/>
    <n v="7.3"/>
    <n v="10000000"/>
    <n v="47536959"/>
  </r>
  <r>
    <s v="White Squall"/>
    <x v="17"/>
    <x v="1"/>
    <x v="0"/>
    <n v="129"/>
    <n v="6.6"/>
    <n v="38000000"/>
    <n v="10300000"/>
  </r>
  <r>
    <s v="The Thing"/>
    <x v="465"/>
    <x v="11"/>
    <x v="0"/>
    <n v="109"/>
    <n v="8.1999999999999993"/>
    <n v="15000000"/>
    <n v="13782838"/>
  </r>
  <r>
    <s v="Riddick"/>
    <x v="135"/>
    <x v="0"/>
    <x v="0"/>
    <n v="127"/>
    <n v="6.4"/>
    <n v="38000000"/>
    <n v="41997790"/>
  </r>
  <r>
    <s v="Switchback"/>
    <x v="596"/>
    <x v="6"/>
    <x v="0"/>
    <n v="118"/>
    <n v="6.4"/>
    <n v="37000000"/>
    <n v="6482195"/>
  </r>
  <r>
    <s v="Texas Rangers"/>
    <x v="597"/>
    <x v="0"/>
    <x v="0"/>
    <n v="110"/>
    <n v="5.2"/>
    <n v="38000000"/>
    <n v="623374"/>
  </r>
  <r>
    <s v="City of Ember"/>
    <x v="272"/>
    <x v="1"/>
    <x v="0"/>
    <n v="90"/>
    <n v="6.5"/>
    <n v="55000000"/>
    <n v="7871693"/>
  </r>
  <r>
    <s v="The Master"/>
    <x v="598"/>
    <x v="2"/>
    <x v="0"/>
    <n v="144"/>
    <n v="7.1"/>
    <n v="32000000"/>
    <n v="16377274"/>
  </r>
  <r>
    <s v="Virgin Territory"/>
    <x v="599"/>
    <x v="1"/>
    <x v="0"/>
    <n v="97"/>
    <n v="4.8"/>
    <n v="38000000"/>
    <n v="25078937"/>
  </r>
  <r>
    <s v="The Express"/>
    <x v="445"/>
    <x v="7"/>
    <x v="0"/>
    <n v="130"/>
    <n v="7.3"/>
    <n v="40000000"/>
    <n v="9589875"/>
  </r>
  <r>
    <s v="The 5th Wave"/>
    <x v="600"/>
    <x v="0"/>
    <x v="0"/>
    <n v="112"/>
    <n v="5.2"/>
    <n v="38000000"/>
    <n v="34912982"/>
  </r>
  <r>
    <s v="Creed"/>
    <x v="601"/>
    <x v="2"/>
    <x v="0"/>
    <n v="133"/>
    <n v="7.7"/>
    <n v="35000000"/>
    <n v="109712885"/>
  </r>
  <r>
    <s v="The Town"/>
    <x v="516"/>
    <x v="6"/>
    <x v="0"/>
    <n v="150"/>
    <n v="7.6"/>
    <n v="37000000"/>
    <n v="92173235"/>
  </r>
  <r>
    <s v="What to Expect When You're Expecting"/>
    <x v="602"/>
    <x v="4"/>
    <x v="0"/>
    <n v="110"/>
    <n v="5.7"/>
    <n v="40000000"/>
    <n v="41102171"/>
  </r>
  <r>
    <s v="Burn After Reading"/>
    <x v="603"/>
    <x v="4"/>
    <x v="0"/>
    <n v="96"/>
    <n v="7"/>
    <n v="37000000"/>
    <n v="60338891"/>
  </r>
  <r>
    <s v="Nim's Island"/>
    <x v="604"/>
    <x v="1"/>
    <x v="0"/>
    <n v="96"/>
    <n v="6"/>
    <n v="37000000"/>
    <n v="48006503"/>
  </r>
  <r>
    <s v="Rush"/>
    <x v="83"/>
    <x v="0"/>
    <x v="0"/>
    <n v="123"/>
    <n v="8.1"/>
    <n v="38000000"/>
    <n v="26903709"/>
  </r>
  <r>
    <s v="Magnolia"/>
    <x v="598"/>
    <x v="2"/>
    <x v="0"/>
    <n v="188"/>
    <n v="8"/>
    <n v="37000000"/>
    <n v="22450975"/>
  </r>
  <r>
    <s v="Cop Out"/>
    <x v="605"/>
    <x v="0"/>
    <x v="0"/>
    <n v="107"/>
    <n v="5.6"/>
    <n v="37000000"/>
    <n v="44867349"/>
  </r>
  <r>
    <s v="How to Be Single"/>
    <x v="606"/>
    <x v="4"/>
    <x v="0"/>
    <n v="110"/>
    <n v="6.1"/>
    <n v="38000000"/>
    <n v="46813366"/>
  </r>
  <r>
    <s v="Dolphin Tale"/>
    <x v="607"/>
    <x v="2"/>
    <x v="0"/>
    <n v="113"/>
    <n v="6.9"/>
    <n v="37000000"/>
    <n v="72279690"/>
  </r>
  <r>
    <s v="Twilight"/>
    <x v="530"/>
    <x v="2"/>
    <x v="0"/>
    <n v="122"/>
    <n v="5.2"/>
    <n v="37000000"/>
    <n v="191449475"/>
  </r>
  <r>
    <s v="John Q"/>
    <x v="546"/>
    <x v="6"/>
    <x v="0"/>
    <n v="116"/>
    <n v="7"/>
    <n v="36000000"/>
    <n v="71026631"/>
  </r>
  <r>
    <s v="Blue Streak"/>
    <x v="239"/>
    <x v="0"/>
    <x v="0"/>
    <n v="93"/>
    <n v="6.3"/>
    <n v="65000000"/>
    <n v="68208190"/>
  </r>
  <r>
    <s v="We're the Millers"/>
    <x v="432"/>
    <x v="4"/>
    <x v="0"/>
    <n v="118"/>
    <n v="7"/>
    <n v="37000000"/>
    <n v="150368971"/>
  </r>
  <r>
    <s v="Obitaemyy ostrov"/>
    <x v="608"/>
    <x v="0"/>
    <x v="8"/>
    <n v="115"/>
    <n v="5.3"/>
    <n v="29500000"/>
    <n v="25078937"/>
  </r>
  <r>
    <s v="Breakdown"/>
    <x v="64"/>
    <x v="0"/>
    <x v="0"/>
    <n v="93"/>
    <n v="6.9"/>
    <n v="36000000"/>
    <n v="50129186"/>
  </r>
  <r>
    <s v="Never Say Never Again"/>
    <x v="609"/>
    <x v="0"/>
    <x v="0"/>
    <n v="121"/>
    <n v="6.2"/>
    <n v="36000000"/>
    <n v="55500000"/>
  </r>
  <r>
    <s v="Hot Tub Time Machine"/>
    <x v="610"/>
    <x v="4"/>
    <x v="0"/>
    <n v="101"/>
    <n v="6.4"/>
    <n v="36000000"/>
    <n v="50213619"/>
  </r>
  <r>
    <s v="Dolphin Tale 2"/>
    <x v="607"/>
    <x v="2"/>
    <x v="0"/>
    <n v="107"/>
    <n v="6.4"/>
    <n v="36000000"/>
    <n v="42019483"/>
  </r>
  <r>
    <s v="Reindeer Games"/>
    <x v="403"/>
    <x v="0"/>
    <x v="0"/>
    <n v="124"/>
    <n v="5.7"/>
    <n v="34000000"/>
    <n v="23360779"/>
  </r>
  <r>
    <s v="A Man Apart"/>
    <x v="269"/>
    <x v="0"/>
    <x v="0"/>
    <n v="109"/>
    <n v="6.1"/>
    <n v="36000000"/>
    <n v="26183197"/>
  </r>
  <r>
    <s v="Aloha"/>
    <x v="292"/>
    <x v="4"/>
    <x v="0"/>
    <n v="105"/>
    <n v="5.4"/>
    <n v="37000000"/>
    <n v="20991497"/>
  </r>
  <r>
    <s v="Ghosts of Mississippi"/>
    <x v="336"/>
    <x v="2"/>
    <x v="0"/>
    <n v="130"/>
    <n v="6.7"/>
    <n v="36000000"/>
    <n v="13052741"/>
  </r>
  <r>
    <s v="Snow Falling on Cedars"/>
    <x v="611"/>
    <x v="2"/>
    <x v="0"/>
    <n v="127"/>
    <n v="6.8"/>
    <n v="36000000"/>
    <n v="14378353"/>
  </r>
  <r>
    <s v="The Rite"/>
    <x v="306"/>
    <x v="2"/>
    <x v="0"/>
    <n v="114"/>
    <n v="6"/>
    <n v="37000000"/>
    <n v="33037754"/>
  </r>
  <r>
    <s v="Gattaca"/>
    <x v="464"/>
    <x v="2"/>
    <x v="0"/>
    <n v="106"/>
    <n v="7.8"/>
    <n v="36000000"/>
    <n v="12339633"/>
  </r>
  <r>
    <s v="Isn't She Great"/>
    <x v="461"/>
    <x v="7"/>
    <x v="0"/>
    <n v="95"/>
    <n v="5.3"/>
    <n v="36000000"/>
    <n v="2954405"/>
  </r>
  <r>
    <s v="Space Chimps"/>
    <x v="140"/>
    <x v="1"/>
    <x v="0"/>
    <n v="81"/>
    <n v="4.5"/>
    <n v="37000000"/>
    <n v="30105968"/>
  </r>
  <r>
    <s v="Head of State"/>
    <x v="612"/>
    <x v="4"/>
    <x v="0"/>
    <n v="95"/>
    <n v="5.4"/>
    <n v="35200000"/>
    <n v="37788228"/>
  </r>
  <r>
    <s v="The Hangover"/>
    <x v="231"/>
    <x v="4"/>
    <x v="0"/>
    <n v="108"/>
    <n v="7.8"/>
    <n v="35000000"/>
    <n v="277313371"/>
  </r>
  <r>
    <s v="Ip Man 3"/>
    <x v="613"/>
    <x v="0"/>
    <x v="12"/>
    <n v="105"/>
    <n v="7.2"/>
    <n v="36000000"/>
    <n v="2126511"/>
  </r>
  <r>
    <s v="Austin Powers: The Spy Who Shagged Me"/>
    <x v="186"/>
    <x v="0"/>
    <x v="0"/>
    <n v="95"/>
    <n v="6.6"/>
    <n v="33000000"/>
    <n v="205399422"/>
  </r>
  <r>
    <s v="Batman"/>
    <x v="23"/>
    <x v="0"/>
    <x v="0"/>
    <n v="126"/>
    <n v="7.6"/>
    <n v="35000000"/>
    <n v="251188924"/>
  </r>
  <r>
    <s v="There Be Dragons"/>
    <x v="57"/>
    <x v="7"/>
    <x v="0"/>
    <n v="102"/>
    <n v="5.9"/>
    <n v="36000000"/>
    <n v="1068392"/>
  </r>
  <r>
    <s v="Lethal Weapon 3"/>
    <x v="104"/>
    <x v="0"/>
    <x v="0"/>
    <n v="121"/>
    <n v="6.7"/>
    <n v="35000000"/>
    <n v="144731527"/>
  </r>
  <r>
    <s v="The Blind Side"/>
    <x v="195"/>
    <x v="7"/>
    <x v="0"/>
    <n v="129"/>
    <n v="7.7"/>
    <n v="29000000"/>
    <n v="255950375"/>
  </r>
  <r>
    <s v="Spy Kids"/>
    <x v="419"/>
    <x v="0"/>
    <x v="0"/>
    <n v="88"/>
    <n v="5.4"/>
    <n v="35000000"/>
    <n v="112692062"/>
  </r>
  <r>
    <s v="Horrible Bosses"/>
    <x v="234"/>
    <x v="4"/>
    <x v="0"/>
    <n v="106"/>
    <n v="6.9"/>
    <n v="35000000"/>
    <n v="117528646"/>
  </r>
  <r>
    <s v="True Grit"/>
    <x v="603"/>
    <x v="1"/>
    <x v="0"/>
    <n v="110"/>
    <n v="7.7"/>
    <n v="38000000"/>
    <n v="171031347"/>
  </r>
  <r>
    <s v="The Devil Wears Prada"/>
    <x v="341"/>
    <x v="4"/>
    <x v="0"/>
    <n v="109"/>
    <n v="6.8"/>
    <n v="35000000"/>
    <n v="124732962"/>
  </r>
  <r>
    <s v="Star Trek: The Motion Picture"/>
    <x v="614"/>
    <x v="1"/>
    <x v="0"/>
    <n v="143"/>
    <n v="6.4"/>
    <n v="35000000"/>
    <n v="82300000"/>
  </r>
  <r>
    <s v="Identity Thief"/>
    <x v="234"/>
    <x v="4"/>
    <x v="0"/>
    <n v="120"/>
    <n v="5.7"/>
    <n v="35000000"/>
    <n v="134455175"/>
  </r>
  <r>
    <s v="Cape Fear"/>
    <x v="47"/>
    <x v="6"/>
    <x v="0"/>
    <n v="128"/>
    <n v="7.3"/>
    <n v="35000000"/>
    <n v="79100000"/>
  </r>
  <r>
    <s v="21"/>
    <x v="271"/>
    <x v="6"/>
    <x v="0"/>
    <n v="123"/>
    <n v="6.8"/>
    <n v="35000000"/>
    <n v="81159365"/>
  </r>
  <r>
    <s v="Trainwreck"/>
    <x v="283"/>
    <x v="4"/>
    <x v="0"/>
    <n v="129"/>
    <n v="6.3"/>
    <n v="35000000"/>
    <n v="110008260"/>
  </r>
  <r>
    <s v="Guess Who"/>
    <x v="615"/>
    <x v="4"/>
    <x v="0"/>
    <n v="105"/>
    <n v="5.9"/>
    <n v="35000000"/>
    <n v="67962333"/>
  </r>
  <r>
    <s v="The English Patient"/>
    <x v="237"/>
    <x v="2"/>
    <x v="0"/>
    <n v="162"/>
    <n v="7.4"/>
    <n v="27000000"/>
    <n v="78651430"/>
  </r>
  <r>
    <s v="L.A. Confidential"/>
    <x v="420"/>
    <x v="6"/>
    <x v="0"/>
    <n v="138"/>
    <n v="8.3000000000000007"/>
    <n v="35000000"/>
    <n v="64604977"/>
  </r>
  <r>
    <s v="Sky High"/>
    <x v="59"/>
    <x v="1"/>
    <x v="0"/>
    <n v="100"/>
    <n v="6.2"/>
    <n v="35000000"/>
    <n v="63939454"/>
  </r>
  <r>
    <s v="In &amp; Out"/>
    <x v="185"/>
    <x v="4"/>
    <x v="0"/>
    <n v="90"/>
    <n v="6.3"/>
    <n v="35000000"/>
    <n v="63826569"/>
  </r>
  <r>
    <s v="Species"/>
    <x v="143"/>
    <x v="0"/>
    <x v="0"/>
    <n v="108"/>
    <n v="5.8"/>
    <n v="35000000"/>
    <n v="60054449"/>
  </r>
  <r>
    <s v="A Nightmare on Elm Street"/>
    <x v="544"/>
    <x v="11"/>
    <x v="0"/>
    <n v="101"/>
    <n v="7.5"/>
    <n v="1800000"/>
    <n v="26505000"/>
  </r>
  <r>
    <s v="The Cell"/>
    <x v="224"/>
    <x v="11"/>
    <x v="0"/>
    <n v="109"/>
    <n v="6.3"/>
    <n v="33000000"/>
    <n v="61280963"/>
  </r>
  <r>
    <s v="The Man in the Iron Mask"/>
    <x v="293"/>
    <x v="0"/>
    <x v="0"/>
    <n v="132"/>
    <n v="6.4"/>
    <n v="35000000"/>
    <n v="56876365"/>
  </r>
  <r>
    <s v="Secretariat"/>
    <x v="293"/>
    <x v="7"/>
    <x v="0"/>
    <n v="123"/>
    <n v="7.2"/>
    <n v="35000000"/>
    <n v="59699513"/>
  </r>
  <r>
    <s v="TMNT"/>
    <x v="616"/>
    <x v="0"/>
    <x v="0"/>
    <n v="87"/>
    <n v="6.3"/>
    <n v="34000000"/>
    <n v="54132596"/>
  </r>
  <r>
    <s v="Radio"/>
    <x v="617"/>
    <x v="7"/>
    <x v="0"/>
    <n v="109"/>
    <n v="6.9"/>
    <n v="35000000"/>
    <n v="52277485"/>
  </r>
  <r>
    <s v="Friends with Benefits"/>
    <x v="325"/>
    <x v="4"/>
    <x v="0"/>
    <n v="109"/>
    <n v="6.6"/>
    <n v="35000000"/>
    <n v="55802754"/>
  </r>
  <r>
    <s v="Neighbors 2: Sorority Rising"/>
    <x v="547"/>
    <x v="4"/>
    <x v="0"/>
    <n v="92"/>
    <n v="6"/>
    <n v="35000000"/>
    <n v="55291815"/>
  </r>
  <r>
    <s v="Saving Mr. Banks"/>
    <x v="195"/>
    <x v="7"/>
    <x v="0"/>
    <n v="125"/>
    <n v="7.5"/>
    <n v="35000000"/>
    <n v="83299761"/>
  </r>
  <r>
    <s v="Malcolm X"/>
    <x v="433"/>
    <x v="7"/>
    <x v="0"/>
    <n v="202"/>
    <n v="7.7"/>
    <n v="33000000"/>
    <n v="48169908"/>
  </r>
  <r>
    <s v="This Is 40"/>
    <x v="283"/>
    <x v="4"/>
    <x v="0"/>
    <n v="134"/>
    <n v="6.2"/>
    <n v="35000000"/>
    <n v="67523385"/>
  </r>
  <r>
    <s v="Old Dogs"/>
    <x v="201"/>
    <x v="4"/>
    <x v="0"/>
    <n v="88"/>
    <n v="5.4"/>
    <n v="35000000"/>
    <n v="49474048"/>
  </r>
  <r>
    <s v="Underworld: Rise of the Lycans"/>
    <x v="618"/>
    <x v="0"/>
    <x v="0"/>
    <n v="92"/>
    <n v="6.6"/>
    <n v="35000000"/>
    <n v="45802315"/>
  </r>
  <r>
    <s v="License to Wed"/>
    <x v="543"/>
    <x v="4"/>
    <x v="0"/>
    <n v="91"/>
    <n v="5.3"/>
    <n v="35000000"/>
    <n v="43792641"/>
  </r>
  <r>
    <s v="The Benchwarmers"/>
    <x v="202"/>
    <x v="4"/>
    <x v="0"/>
    <n v="75"/>
    <n v="5.6"/>
    <n v="33000000"/>
    <n v="57651794"/>
  </r>
  <r>
    <s v="Must Love Dogs"/>
    <x v="619"/>
    <x v="4"/>
    <x v="0"/>
    <n v="98"/>
    <n v="5.9"/>
    <n v="30000000"/>
    <n v="43894863"/>
  </r>
  <r>
    <s v="Donnie Brasco"/>
    <x v="35"/>
    <x v="7"/>
    <x v="0"/>
    <n v="147"/>
    <n v="7.8"/>
    <n v="35000000"/>
    <n v="41954997"/>
  </r>
  <r>
    <s v="Resident Evil"/>
    <x v="212"/>
    <x v="0"/>
    <x v="0"/>
    <n v="100"/>
    <n v="6.7"/>
    <n v="33000000"/>
    <n v="39532308"/>
  </r>
  <r>
    <s v="Poltergeist"/>
    <x v="620"/>
    <x v="8"/>
    <x v="0"/>
    <n v="120"/>
    <n v="7.4"/>
    <n v="10700000"/>
    <n v="76600000"/>
  </r>
  <r>
    <s v="The Ladykillers"/>
    <x v="603"/>
    <x v="4"/>
    <x v="0"/>
    <n v="104"/>
    <n v="6.2"/>
    <n v="35000000"/>
    <n v="39692139"/>
  </r>
  <r>
    <s v="Max Payne"/>
    <x v="194"/>
    <x v="0"/>
    <x v="0"/>
    <n v="103"/>
    <n v="5.4"/>
    <n v="35000000"/>
    <n v="40687294"/>
  </r>
  <r>
    <s v="In Time"/>
    <x v="464"/>
    <x v="0"/>
    <x v="0"/>
    <n v="109"/>
    <n v="6.7"/>
    <n v="40000000"/>
    <n v="37553932"/>
  </r>
  <r>
    <s v="The Back-up Plan"/>
    <x v="621"/>
    <x v="4"/>
    <x v="0"/>
    <n v="104"/>
    <n v="5.3"/>
    <n v="35000000"/>
    <n v="37481242"/>
  </r>
  <r>
    <s v="Something Borrowed"/>
    <x v="622"/>
    <x v="4"/>
    <x v="0"/>
    <n v="112"/>
    <n v="5.9"/>
    <n v="35000000"/>
    <n v="39026186"/>
  </r>
  <r>
    <s v="Black Knight"/>
    <x v="623"/>
    <x v="1"/>
    <x v="0"/>
    <n v="95"/>
    <n v="4.8"/>
    <n v="50000000"/>
    <n v="33422806"/>
  </r>
  <r>
    <s v="The Bad News Bears"/>
    <x v="624"/>
    <x v="4"/>
    <x v="0"/>
    <n v="102"/>
    <n v="7.3"/>
    <n v="20000000"/>
    <n v="25078937"/>
  </r>
  <r>
    <s v="Street Fighter"/>
    <x v="625"/>
    <x v="0"/>
    <x v="0"/>
    <n v="102"/>
    <n v="3.8"/>
    <n v="35000000"/>
    <n v="33423521"/>
  </r>
  <r>
    <s v="The Pianist"/>
    <x v="331"/>
    <x v="7"/>
    <x v="0"/>
    <n v="150"/>
    <n v="8.5"/>
    <n v="35000000"/>
    <n v="32519322"/>
  </r>
  <r>
    <s v="The Nativity Story"/>
    <x v="530"/>
    <x v="2"/>
    <x v="0"/>
    <n v="101"/>
    <n v="6.8"/>
    <n v="30000000"/>
    <n v="37617947"/>
  </r>
  <r>
    <s v="House of Wax"/>
    <x v="440"/>
    <x v="11"/>
    <x v="0"/>
    <n v="108"/>
    <n v="5.3"/>
    <n v="30000000"/>
    <n v="32048809"/>
  </r>
  <r>
    <s v="Closer"/>
    <x v="268"/>
    <x v="2"/>
    <x v="0"/>
    <n v="98"/>
    <n v="7.3"/>
    <n v="27000000"/>
    <n v="33987757"/>
  </r>
  <r>
    <s v="J. Edgar"/>
    <x v="322"/>
    <x v="7"/>
    <x v="0"/>
    <n v="137"/>
    <n v="6.6"/>
    <n v="35000000"/>
    <n v="37304950"/>
  </r>
  <r>
    <s v="Mirrors"/>
    <x v="626"/>
    <x v="11"/>
    <x v="0"/>
    <n v="112"/>
    <n v="6.2"/>
    <n v="35000000"/>
    <n v="30691439"/>
  </r>
  <r>
    <s v="Queen of the Damned"/>
    <x v="627"/>
    <x v="2"/>
    <x v="0"/>
    <n v="101"/>
    <n v="5.2"/>
    <n v="35000000"/>
    <n v="30307804"/>
  </r>
  <r>
    <s v="Predator 2"/>
    <x v="245"/>
    <x v="0"/>
    <x v="0"/>
    <n v="103"/>
    <n v="6.2"/>
    <n v="35000000"/>
    <n v="30669413"/>
  </r>
  <r>
    <s v="Untraceable"/>
    <x v="299"/>
    <x v="6"/>
    <x v="0"/>
    <n v="101"/>
    <n v="6.2"/>
    <n v="35000000"/>
    <n v="28687835"/>
  </r>
  <r>
    <s v="Blast from the Past"/>
    <x v="628"/>
    <x v="4"/>
    <x v="0"/>
    <n v="112"/>
    <n v="6.6"/>
    <n v="35000000"/>
    <n v="26494611"/>
  </r>
  <r>
    <s v="Flash Gordon"/>
    <x v="629"/>
    <x v="0"/>
    <x v="0"/>
    <n v="111"/>
    <n v="6.4"/>
    <n v="20000000"/>
    <n v="25078937"/>
  </r>
  <r>
    <s v="Jersey Girl"/>
    <x v="605"/>
    <x v="4"/>
    <x v="0"/>
    <n v="102"/>
    <n v="6.2"/>
    <n v="35000000"/>
    <n v="25266129"/>
  </r>
  <r>
    <s v="Alex Cross"/>
    <x v="48"/>
    <x v="0"/>
    <x v="0"/>
    <n v="101"/>
    <n v="5.0999999999999996"/>
    <n v="35000000"/>
    <n v="25863915"/>
  </r>
  <r>
    <s v="Midnight in the Garden of Good and Evil"/>
    <x v="322"/>
    <x v="6"/>
    <x v="0"/>
    <n v="155"/>
    <n v="6.6"/>
    <n v="30000000"/>
    <n v="25078937"/>
  </r>
  <r>
    <s v="Heist"/>
    <x v="630"/>
    <x v="0"/>
    <x v="0"/>
    <n v="93"/>
    <n v="6.1"/>
    <n v="19000000"/>
    <n v="25078937"/>
  </r>
  <r>
    <s v="Nanny McPhee Returns"/>
    <x v="631"/>
    <x v="4"/>
    <x v="0"/>
    <n v="109"/>
    <n v="6.1"/>
    <n v="35000000"/>
    <n v="28995450"/>
  </r>
  <r>
    <s v="Hoffa"/>
    <x v="474"/>
    <x v="7"/>
    <x v="0"/>
    <n v="140"/>
    <n v="6.6"/>
    <n v="35000000"/>
    <n v="24276500"/>
  </r>
  <r>
    <s v="The X Files: I Want to Believe"/>
    <x v="632"/>
    <x v="2"/>
    <x v="0"/>
    <n v="108"/>
    <n v="5.9"/>
    <n v="30000000"/>
    <n v="20981633"/>
  </r>
  <r>
    <s v="Ella Enchanted"/>
    <x v="633"/>
    <x v="4"/>
    <x v="0"/>
    <n v="96"/>
    <n v="6.3"/>
    <n v="35000000"/>
    <n v="22913677"/>
  </r>
  <r>
    <s v="Concussion"/>
    <x v="634"/>
    <x v="7"/>
    <x v="0"/>
    <n v="123"/>
    <n v="7.1"/>
    <n v="35000000"/>
    <n v="34531832"/>
  </r>
  <r>
    <s v="Abduction"/>
    <x v="261"/>
    <x v="0"/>
    <x v="0"/>
    <n v="106"/>
    <n v="5"/>
    <n v="35000000"/>
    <n v="28064226"/>
  </r>
  <r>
    <s v="Valiant"/>
    <x v="635"/>
    <x v="1"/>
    <x v="0"/>
    <n v="76"/>
    <n v="5.6"/>
    <n v="35000000"/>
    <n v="19447478"/>
  </r>
  <r>
    <s v="Wonder Boys"/>
    <x v="420"/>
    <x v="4"/>
    <x v="0"/>
    <n v="107"/>
    <n v="7.4"/>
    <n v="55000000"/>
    <n v="19389454"/>
  </r>
  <r>
    <s v="Superhero Movie"/>
    <x v="636"/>
    <x v="0"/>
    <x v="0"/>
    <n v="82"/>
    <n v="4.5"/>
    <n v="35000000"/>
    <n v="25871834"/>
  </r>
  <r>
    <s v="Broken City"/>
    <x v="637"/>
    <x v="6"/>
    <x v="0"/>
    <n v="109"/>
    <n v="6.2"/>
    <n v="35000000"/>
    <n v="19692608"/>
  </r>
  <r>
    <s v="Cursed"/>
    <x v="544"/>
    <x v="4"/>
    <x v="0"/>
    <n v="99"/>
    <n v="5"/>
    <n v="35000000"/>
    <n v="19294901"/>
  </r>
  <r>
    <s v="Premium Rush"/>
    <x v="383"/>
    <x v="0"/>
    <x v="0"/>
    <n v="91"/>
    <n v="6.5"/>
    <n v="35000000"/>
    <n v="20275446"/>
  </r>
  <r>
    <s v="Hot Pursuit"/>
    <x v="540"/>
    <x v="0"/>
    <x v="0"/>
    <n v="87"/>
    <n v="5.0999999999999996"/>
    <n v="35000000"/>
    <n v="34507079"/>
  </r>
  <r>
    <s v="The Four Feathers"/>
    <x v="409"/>
    <x v="1"/>
    <x v="0"/>
    <n v="125"/>
    <n v="6.5"/>
    <n v="35000000"/>
    <n v="18306166"/>
  </r>
  <r>
    <s v="Parker"/>
    <x v="328"/>
    <x v="0"/>
    <x v="0"/>
    <n v="118"/>
    <n v="6.2"/>
    <n v="35000000"/>
    <n v="17609982"/>
  </r>
  <r>
    <s v="Wimbledon"/>
    <x v="450"/>
    <x v="4"/>
    <x v="0"/>
    <n v="98"/>
    <n v="6.3"/>
    <n v="31000000"/>
    <n v="16831505"/>
  </r>
  <r>
    <s v="Furry Vengeance"/>
    <x v="522"/>
    <x v="4"/>
    <x v="0"/>
    <n v="92"/>
    <n v="3.8"/>
    <n v="35000000"/>
    <n v="17596256"/>
  </r>
  <r>
    <s v="Bait"/>
    <x v="638"/>
    <x v="0"/>
    <x v="0"/>
    <n v="93"/>
    <n v="5.2"/>
    <n v="30000000"/>
    <n v="25078937"/>
  </r>
  <r>
    <s v="Krull"/>
    <x v="639"/>
    <x v="0"/>
    <x v="0"/>
    <n v="116"/>
    <n v="6"/>
    <n v="27000000"/>
    <n v="25078937"/>
  </r>
  <r>
    <s v="Lions for Lambs"/>
    <x v="347"/>
    <x v="2"/>
    <x v="0"/>
    <n v="92"/>
    <n v="6.2"/>
    <n v="35000000"/>
    <n v="14998070"/>
  </r>
  <r>
    <s v="Flight of the Intruder"/>
    <x v="209"/>
    <x v="0"/>
    <x v="0"/>
    <n v="115"/>
    <n v="5.7"/>
    <n v="35000000"/>
    <n v="14587732"/>
  </r>
  <r>
    <s v="Walk Hard: The Dewey Cox Story"/>
    <x v="557"/>
    <x v="4"/>
    <x v="0"/>
    <n v="120"/>
    <n v="6.7"/>
    <n v="35000000"/>
    <n v="18317151"/>
  </r>
  <r>
    <s v="The Shipping News"/>
    <x v="640"/>
    <x v="2"/>
    <x v="0"/>
    <n v="111"/>
    <n v="6.8"/>
    <n v="35000000"/>
    <n v="11405825"/>
  </r>
  <r>
    <s v="American Outlaws"/>
    <x v="239"/>
    <x v="0"/>
    <x v="0"/>
    <n v="94"/>
    <n v="6"/>
    <n v="35000000"/>
    <n v="13264986"/>
  </r>
  <r>
    <s v="The Young Victoria"/>
    <x v="641"/>
    <x v="7"/>
    <x v="0"/>
    <n v="100"/>
    <n v="7.3"/>
    <n v="35000000"/>
    <n v="10991381"/>
  </r>
  <r>
    <s v="Whiteout"/>
    <x v="160"/>
    <x v="0"/>
    <x v="0"/>
    <n v="101"/>
    <n v="5.5"/>
    <n v="35000000"/>
    <n v="10268846"/>
  </r>
  <r>
    <s v="The Tree of Life"/>
    <x v="423"/>
    <x v="2"/>
    <x v="0"/>
    <n v="139"/>
    <n v="6.7"/>
    <n v="32000000"/>
    <n v="13303319"/>
  </r>
  <r>
    <s v="Knock Off"/>
    <x v="642"/>
    <x v="0"/>
    <x v="0"/>
    <n v="91"/>
    <n v="4.8"/>
    <n v="35000000"/>
    <n v="10076136"/>
  </r>
  <r>
    <s v="Sabotage"/>
    <x v="49"/>
    <x v="0"/>
    <x v="0"/>
    <n v="109"/>
    <n v="5.7"/>
    <n v="35000000"/>
    <n v="10499968"/>
  </r>
  <r>
    <s v="The Order"/>
    <x v="434"/>
    <x v="0"/>
    <x v="0"/>
    <n v="102"/>
    <n v="5.0999999999999996"/>
    <n v="38000000"/>
    <n v="7659747"/>
  </r>
  <r>
    <s v="Punisher: War Zone"/>
    <x v="643"/>
    <x v="0"/>
    <x v="0"/>
    <n v="103"/>
    <n v="6"/>
    <n v="35000000"/>
    <n v="7948159"/>
  </r>
  <r>
    <s v="Zoom"/>
    <x v="437"/>
    <x v="0"/>
    <x v="0"/>
    <n v="83"/>
    <n v="4.2"/>
    <n v="35000000"/>
    <n v="11631245"/>
  </r>
  <r>
    <s v="The Walk"/>
    <x v="42"/>
    <x v="1"/>
    <x v="0"/>
    <n v="123"/>
    <n v="7.4"/>
    <n v="35000000"/>
    <n v="10137502"/>
  </r>
  <r>
    <s v="Warriors of Virtue"/>
    <x v="644"/>
    <x v="0"/>
    <x v="0"/>
    <n v="101"/>
    <n v="4.5999999999999996"/>
    <n v="35000000"/>
    <n v="6448817"/>
  </r>
  <r>
    <s v="A Good Year"/>
    <x v="17"/>
    <x v="4"/>
    <x v="0"/>
    <n v="117"/>
    <n v="6.9"/>
    <n v="35000000"/>
    <n v="7458269"/>
  </r>
  <r>
    <s v="Radio Flyer"/>
    <x v="104"/>
    <x v="2"/>
    <x v="0"/>
    <n v="114"/>
    <n v="6.9"/>
    <n v="35000000"/>
    <n v="4651977"/>
  </r>
  <r>
    <s v="Blood In, Blood Out"/>
    <x v="328"/>
    <x v="6"/>
    <x v="0"/>
    <n v="330"/>
    <n v="8"/>
    <n v="35000000"/>
    <n v="4496583"/>
  </r>
  <r>
    <s v="Smilla's Sense of Snow"/>
    <x v="645"/>
    <x v="0"/>
    <x v="0"/>
    <n v="121"/>
    <n v="6.4"/>
    <n v="35000000"/>
    <n v="2221994"/>
  </r>
  <r>
    <s v="Femme Fatale"/>
    <x v="205"/>
    <x v="6"/>
    <x v="0"/>
    <n v="114"/>
    <n v="6.3"/>
    <n v="35000000"/>
    <n v="6592103"/>
  </r>
  <r>
    <s v="Lion of the Desert"/>
    <x v="646"/>
    <x v="7"/>
    <x v="0"/>
    <n v="156"/>
    <n v="8.4"/>
    <n v="35000000"/>
    <n v="25078937"/>
  </r>
  <r>
    <s v="The Horseman on the Roof"/>
    <x v="647"/>
    <x v="1"/>
    <x v="2"/>
    <n v="135"/>
    <n v="7.1"/>
    <n v="20000000"/>
    <n v="1877179"/>
  </r>
  <r>
    <s v="Ride with the Devil"/>
    <x v="105"/>
    <x v="2"/>
    <x v="0"/>
    <n v="148"/>
    <n v="6.8"/>
    <n v="35000000"/>
    <n v="630779"/>
  </r>
  <r>
    <s v="Biutiful"/>
    <x v="112"/>
    <x v="2"/>
    <x v="5"/>
    <n v="148"/>
    <n v="7.5"/>
    <n v="20000000"/>
    <n v="5100937"/>
  </r>
  <r>
    <s v="Bandidas"/>
    <x v="648"/>
    <x v="0"/>
    <x v="0"/>
    <n v="93"/>
    <n v="5.7"/>
    <n v="32000000"/>
    <n v="25078937"/>
  </r>
  <r>
    <s v="The Maze Runner"/>
    <x v="345"/>
    <x v="0"/>
    <x v="0"/>
    <n v="113"/>
    <n v="6.8"/>
    <n v="34000000"/>
    <n v="102413606"/>
  </r>
  <r>
    <s v="Unfinished Business"/>
    <x v="649"/>
    <x v="4"/>
    <x v="0"/>
    <n v="91"/>
    <n v="5.4"/>
    <n v="35000000"/>
    <n v="10214013"/>
  </r>
  <r>
    <s v="The Age of Innocence"/>
    <x v="47"/>
    <x v="2"/>
    <x v="0"/>
    <n v="139"/>
    <n v="7.2"/>
    <n v="30000000"/>
    <n v="32000000"/>
  </r>
  <r>
    <s v="The Fountain"/>
    <x v="119"/>
    <x v="2"/>
    <x v="0"/>
    <n v="96"/>
    <n v="7.3"/>
    <n v="35000000"/>
    <n v="10139254"/>
  </r>
  <r>
    <s v="Chill Factor"/>
    <x v="650"/>
    <x v="0"/>
    <x v="0"/>
    <n v="102"/>
    <n v="5.2"/>
    <n v="34000000"/>
    <n v="11227940"/>
  </r>
  <r>
    <s v="Stolen"/>
    <x v="168"/>
    <x v="0"/>
    <x v="0"/>
    <n v="96"/>
    <n v="5.5"/>
    <n v="35000000"/>
    <n v="183125"/>
  </r>
  <r>
    <s v="Ponyo"/>
    <x v="651"/>
    <x v="1"/>
    <x v="1"/>
    <n v="101"/>
    <n v="7.7"/>
    <n v="34000000"/>
    <n v="15081783"/>
  </r>
  <r>
    <s v="The Longest Ride"/>
    <x v="652"/>
    <x v="2"/>
    <x v="0"/>
    <n v="128"/>
    <n v="7.1"/>
    <n v="34000000"/>
    <n v="37432299"/>
  </r>
  <r>
    <s v="The Astronaut's Wife"/>
    <x v="653"/>
    <x v="2"/>
    <x v="0"/>
    <n v="109"/>
    <n v="5.3"/>
    <n v="34000000"/>
    <n v="10654581"/>
  </r>
  <r>
    <s v="I Dreamed of Africa"/>
    <x v="654"/>
    <x v="1"/>
    <x v="0"/>
    <n v="114"/>
    <n v="5.6"/>
    <n v="34000000"/>
    <n v="6543194"/>
  </r>
  <r>
    <s v="Playing for Keeps"/>
    <x v="399"/>
    <x v="4"/>
    <x v="0"/>
    <n v="105"/>
    <n v="5.7"/>
    <n v="35000000"/>
    <n v="13101142"/>
  </r>
  <r>
    <s v="Mandela: Long Walk to Freedom"/>
    <x v="562"/>
    <x v="7"/>
    <x v="0"/>
    <n v="141"/>
    <n v="7.1"/>
    <n v="35000000"/>
    <n v="8324748"/>
  </r>
  <r>
    <s v="Reds"/>
    <x v="482"/>
    <x v="7"/>
    <x v="0"/>
    <n v="195"/>
    <n v="7.5"/>
    <n v="35000000"/>
    <n v="25078937"/>
  </r>
  <r>
    <s v="A Few Good Men"/>
    <x v="336"/>
    <x v="2"/>
    <x v="0"/>
    <n v="138"/>
    <n v="7.6"/>
    <n v="40000000"/>
    <n v="141340178"/>
  </r>
  <r>
    <s v="Exit Wounds"/>
    <x v="297"/>
    <x v="0"/>
    <x v="0"/>
    <n v="101"/>
    <n v="5.5"/>
    <n v="33000000"/>
    <n v="51758599"/>
  </r>
  <r>
    <s v="Big Momma's House"/>
    <x v="151"/>
    <x v="0"/>
    <x v="0"/>
    <n v="99"/>
    <n v="5.0999999999999996"/>
    <n v="30000000"/>
    <n v="117559438"/>
  </r>
  <r>
    <s v="Thunder and the House of Magic"/>
    <x v="655"/>
    <x v="1"/>
    <x v="0"/>
    <n v="85"/>
    <n v="6.3"/>
    <n v="34000000"/>
    <n v="4091"/>
  </r>
  <r>
    <s v="The Darkest Hour"/>
    <x v="656"/>
    <x v="0"/>
    <x v="0"/>
    <n v="89"/>
    <n v="4.9000000000000004"/>
    <n v="30000000"/>
    <n v="21426805"/>
  </r>
  <r>
    <s v="Step Up Revolution"/>
    <x v="657"/>
    <x v="2"/>
    <x v="0"/>
    <n v="99"/>
    <n v="6.5"/>
    <n v="33000000"/>
    <n v="35057332"/>
  </r>
  <r>
    <s v="Snakes on a Plane"/>
    <x v="500"/>
    <x v="0"/>
    <x v="0"/>
    <n v="105"/>
    <n v="5.6"/>
    <n v="33000000"/>
    <n v="34014398"/>
  </r>
  <r>
    <s v="The Watcher"/>
    <x v="658"/>
    <x v="6"/>
    <x v="0"/>
    <n v="97"/>
    <n v="5.3"/>
    <n v="33000000"/>
    <n v="28927720"/>
  </r>
  <r>
    <s v="The Punisher"/>
    <x v="659"/>
    <x v="0"/>
    <x v="0"/>
    <n v="140"/>
    <n v="6.5"/>
    <n v="33000000"/>
    <n v="33682273"/>
  </r>
  <r>
    <s v="Goal! The Dream Begins"/>
    <x v="660"/>
    <x v="2"/>
    <x v="0"/>
    <n v="118"/>
    <n v="6.8"/>
    <n v="10000000"/>
    <n v="4280577"/>
  </r>
  <r>
    <s v="Safe"/>
    <x v="661"/>
    <x v="0"/>
    <x v="0"/>
    <n v="94"/>
    <n v="6.5"/>
    <n v="30000000"/>
    <n v="17120019"/>
  </r>
  <r>
    <s v="Pushing Tin"/>
    <x v="35"/>
    <x v="4"/>
    <x v="0"/>
    <n v="124"/>
    <n v="6"/>
    <n v="38000000"/>
    <n v="8406264"/>
  </r>
  <r>
    <s v="Star Wars: Episode VI - Return of the Jedi"/>
    <x v="662"/>
    <x v="0"/>
    <x v="0"/>
    <n v="134"/>
    <n v="8.4"/>
    <n v="32500000"/>
    <n v="309125409"/>
  </r>
  <r>
    <s v="Doomsday"/>
    <x v="663"/>
    <x v="0"/>
    <x v="0"/>
    <n v="113"/>
    <n v="6"/>
    <n v="30000000"/>
    <n v="10955425"/>
  </r>
  <r>
    <s v="The Reader"/>
    <x v="560"/>
    <x v="2"/>
    <x v="0"/>
    <n v="124"/>
    <n v="7.6"/>
    <n v="32000000"/>
    <n v="34180954"/>
  </r>
  <r>
    <s v="Wanderlust"/>
    <x v="664"/>
    <x v="4"/>
    <x v="0"/>
    <n v="98"/>
    <n v="5.6"/>
    <n v="20000000"/>
    <n v="17225675"/>
  </r>
  <r>
    <s v="Elf"/>
    <x v="46"/>
    <x v="4"/>
    <x v="0"/>
    <n v="97"/>
    <n v="6.9"/>
    <n v="33000000"/>
    <n v="173381405"/>
  </r>
  <r>
    <s v="Phenomenon"/>
    <x v="70"/>
    <x v="2"/>
    <x v="0"/>
    <n v="123"/>
    <n v="6.4"/>
    <n v="32000000"/>
    <n v="104632573"/>
  </r>
  <r>
    <s v="Snow Dogs"/>
    <x v="352"/>
    <x v="1"/>
    <x v="0"/>
    <n v="99"/>
    <n v="5.0999999999999996"/>
    <n v="35000000"/>
    <n v="81150692"/>
  </r>
  <r>
    <s v="Scrooged"/>
    <x v="104"/>
    <x v="4"/>
    <x v="0"/>
    <n v="101"/>
    <n v="7"/>
    <n v="32000000"/>
    <n v="60328558"/>
  </r>
  <r>
    <s v="Nacho Libre"/>
    <x v="665"/>
    <x v="4"/>
    <x v="0"/>
    <n v="92"/>
    <n v="5.7"/>
    <n v="32000000"/>
    <n v="80197993"/>
  </r>
  <r>
    <s v="Bridesmaids"/>
    <x v="98"/>
    <x v="4"/>
    <x v="0"/>
    <n v="131"/>
    <n v="6.8"/>
    <n v="32500000"/>
    <n v="169076745"/>
  </r>
  <r>
    <s v="This Is the End"/>
    <x v="534"/>
    <x v="4"/>
    <x v="0"/>
    <n v="107"/>
    <n v="6.7"/>
    <n v="32000000"/>
    <n v="101470202"/>
  </r>
  <r>
    <s v="Stigmata"/>
    <x v="666"/>
    <x v="11"/>
    <x v="0"/>
    <n v="103"/>
    <n v="6.2"/>
    <n v="29000000"/>
    <n v="50041732"/>
  </r>
  <r>
    <s v="Men of Honor"/>
    <x v="652"/>
    <x v="7"/>
    <x v="0"/>
    <n v="129"/>
    <n v="7.2"/>
    <n v="32000000"/>
    <n v="48814909"/>
  </r>
  <r>
    <s v="Takers"/>
    <x v="667"/>
    <x v="0"/>
    <x v="0"/>
    <n v="107"/>
    <n v="6.2"/>
    <n v="20000000"/>
    <n v="57744720"/>
  </r>
  <r>
    <s v="The Big Wedding"/>
    <x v="668"/>
    <x v="4"/>
    <x v="0"/>
    <n v="89"/>
    <n v="5.6"/>
    <n v="35000000"/>
    <n v="21784432"/>
  </r>
  <r>
    <s v="Big Mommas: Like Father, Like Son"/>
    <x v="429"/>
    <x v="0"/>
    <x v="0"/>
    <n v="113"/>
    <n v="4.4000000000000004"/>
    <n v="32000000"/>
    <n v="37911876"/>
  </r>
  <r>
    <s v="Source Code"/>
    <x v="74"/>
    <x v="5"/>
    <x v="0"/>
    <n v="93"/>
    <n v="7.5"/>
    <n v="32000000"/>
    <n v="54696902"/>
  </r>
  <r>
    <s v="Alive"/>
    <x v="435"/>
    <x v="1"/>
    <x v="0"/>
    <n v="120"/>
    <n v="7.1"/>
    <n v="32000000"/>
    <n v="36733909"/>
  </r>
  <r>
    <s v="The Number 23"/>
    <x v="130"/>
    <x v="5"/>
    <x v="0"/>
    <n v="98"/>
    <n v="6.4"/>
    <n v="32000000"/>
    <n v="35063732"/>
  </r>
  <r>
    <s v="The Young and Prodigious T.S. Spivet"/>
    <x v="361"/>
    <x v="0"/>
    <x v="0"/>
    <n v="105"/>
    <n v="7.1"/>
    <n v="33000000"/>
    <n v="99462"/>
  </r>
  <r>
    <s v="1941"/>
    <x v="37"/>
    <x v="0"/>
    <x v="0"/>
    <n v="142"/>
    <n v="5.9"/>
    <n v="35000000"/>
    <n v="25078937"/>
  </r>
  <r>
    <s v="Dreamer: Inspired by a True Story"/>
    <x v="669"/>
    <x v="2"/>
    <x v="0"/>
    <n v="98"/>
    <n v="6.9"/>
    <n v="32000000"/>
    <n v="32701088"/>
  </r>
  <r>
    <s v="A History of Violence"/>
    <x v="467"/>
    <x v="6"/>
    <x v="0"/>
    <n v="96"/>
    <n v="7.5"/>
    <n v="32000000"/>
    <n v="31493782"/>
  </r>
  <r>
    <s v="Transporter 2"/>
    <x v="111"/>
    <x v="0"/>
    <x v="0"/>
    <n v="87"/>
    <n v="6.3"/>
    <n v="32000000"/>
    <n v="43095600"/>
  </r>
  <r>
    <s v="The Quick and the Dead"/>
    <x v="5"/>
    <x v="0"/>
    <x v="0"/>
    <n v="107"/>
    <n v="6.4"/>
    <n v="32000000"/>
    <n v="18636537"/>
  </r>
  <r>
    <s v="Laws of Attraction"/>
    <x v="501"/>
    <x v="4"/>
    <x v="0"/>
    <n v="90"/>
    <n v="5.9"/>
    <n v="28000000"/>
    <n v="17848322"/>
  </r>
  <r>
    <s v="Bringing Out the Dead"/>
    <x v="47"/>
    <x v="2"/>
    <x v="0"/>
    <n v="121"/>
    <n v="6.8"/>
    <n v="55000000"/>
    <n v="16640210"/>
  </r>
  <r>
    <s v="Repo Men"/>
    <x v="670"/>
    <x v="0"/>
    <x v="0"/>
    <n v="119"/>
    <n v="6.3"/>
    <n v="32000000"/>
    <n v="13763130"/>
  </r>
  <r>
    <s v="Dragon Wars: D-War"/>
    <x v="671"/>
    <x v="0"/>
    <x v="0"/>
    <n v="107"/>
    <n v="3.6"/>
    <n v="35000000"/>
    <n v="10956379"/>
  </r>
  <r>
    <s v="Bogus"/>
    <x v="592"/>
    <x v="4"/>
    <x v="0"/>
    <n v="110"/>
    <n v="5.3"/>
    <n v="30000000"/>
    <n v="4357000"/>
  </r>
  <r>
    <s v="The Incredible Burt Wonderstone"/>
    <x v="672"/>
    <x v="4"/>
    <x v="0"/>
    <n v="100"/>
    <n v="5.9"/>
    <n v="30000000"/>
    <n v="22525921"/>
  </r>
  <r>
    <s v="Cats Don't Dance"/>
    <x v="167"/>
    <x v="3"/>
    <x v="0"/>
    <n v="75"/>
    <n v="6.9"/>
    <n v="32000000"/>
    <n v="3562749"/>
  </r>
  <r>
    <s v="Cradle Will Rock"/>
    <x v="673"/>
    <x v="2"/>
    <x v="0"/>
    <n v="132"/>
    <n v="6.9"/>
    <n v="32000000"/>
    <n v="2899970"/>
  </r>
  <r>
    <s v="The Good German"/>
    <x v="148"/>
    <x v="2"/>
    <x v="0"/>
    <n v="105"/>
    <n v="6.1"/>
    <n v="32000000"/>
    <n v="1304837"/>
  </r>
  <r>
    <s v="George and the Dragon"/>
    <x v="674"/>
    <x v="0"/>
    <x v="0"/>
    <n v="93"/>
    <n v="5.7"/>
    <n v="32000000"/>
    <n v="25078937"/>
  </r>
  <r>
    <s v="Apocalypse Now"/>
    <x v="416"/>
    <x v="2"/>
    <x v="0"/>
    <n v="289"/>
    <n v="8.5"/>
    <n v="31500000"/>
    <n v="78800000"/>
  </r>
  <r>
    <s v="Going the Distance"/>
    <x v="675"/>
    <x v="4"/>
    <x v="0"/>
    <n v="102"/>
    <n v="6.3"/>
    <n v="32000000"/>
    <n v="17797316"/>
  </r>
  <r>
    <s v="Mr. Holland's Opus"/>
    <x v="388"/>
    <x v="2"/>
    <x v="0"/>
    <n v="143"/>
    <n v="7.3"/>
    <n v="6500000"/>
    <n v="82528097"/>
  </r>
  <r>
    <s v="Criminal"/>
    <x v="676"/>
    <x v="0"/>
    <x v="0"/>
    <n v="113"/>
    <n v="6.3"/>
    <n v="31500000"/>
    <n v="14268533"/>
  </r>
  <r>
    <s v="Out of Africa"/>
    <x v="203"/>
    <x v="7"/>
    <x v="0"/>
    <n v="161"/>
    <n v="7.2"/>
    <n v="31000000"/>
    <n v="87100000"/>
  </r>
  <r>
    <s v="Flight"/>
    <x v="42"/>
    <x v="2"/>
    <x v="0"/>
    <n v="138"/>
    <n v="7.3"/>
    <n v="31000000"/>
    <n v="93749203"/>
  </r>
  <r>
    <s v="Moonraker"/>
    <x v="677"/>
    <x v="0"/>
    <x v="0"/>
    <n v="126"/>
    <n v="6.3"/>
    <n v="34000000"/>
    <n v="62700000"/>
  </r>
  <r>
    <s v="The Grand Budapest Hotel"/>
    <x v="466"/>
    <x v="1"/>
    <x v="0"/>
    <n v="99"/>
    <n v="8.1"/>
    <n v="25000000"/>
    <n v="59073773"/>
  </r>
  <r>
    <s v="Hearts in Atlantis"/>
    <x v="611"/>
    <x v="2"/>
    <x v="0"/>
    <n v="101"/>
    <n v="6.9"/>
    <n v="31000000"/>
    <n v="24185781"/>
  </r>
  <r>
    <s v="Arachnophobia"/>
    <x v="435"/>
    <x v="4"/>
    <x v="0"/>
    <n v="103"/>
    <n v="6.3"/>
    <n v="31000000"/>
    <n v="53133888"/>
  </r>
  <r>
    <s v="Frequency"/>
    <x v="299"/>
    <x v="6"/>
    <x v="0"/>
    <n v="118"/>
    <n v="7.3"/>
    <n v="31000000"/>
    <n v="44983704"/>
  </r>
  <r>
    <s v="Vacation"/>
    <x v="678"/>
    <x v="1"/>
    <x v="0"/>
    <n v="99"/>
    <n v="6.1"/>
    <n v="31000000"/>
    <n v="58879132"/>
  </r>
  <r>
    <s v="Get Shorty"/>
    <x v="14"/>
    <x v="4"/>
    <x v="0"/>
    <n v="105"/>
    <n v="6.9"/>
    <n v="30250000"/>
    <n v="72077000"/>
  </r>
  <r>
    <s v="Chicago"/>
    <x v="13"/>
    <x v="4"/>
    <x v="0"/>
    <n v="113"/>
    <n v="7.2"/>
    <n v="45000000"/>
    <n v="170684505"/>
  </r>
  <r>
    <s v="Big Daddy"/>
    <x v="202"/>
    <x v="4"/>
    <x v="0"/>
    <n v="93"/>
    <n v="6.4"/>
    <n v="34200000"/>
    <n v="163479795"/>
  </r>
  <r>
    <s v="American Pie 2"/>
    <x v="679"/>
    <x v="4"/>
    <x v="0"/>
    <n v="108"/>
    <n v="6.4"/>
    <n v="30000000"/>
    <n v="145096820"/>
  </r>
  <r>
    <s v="Toy Story"/>
    <x v="28"/>
    <x v="1"/>
    <x v="0"/>
    <n v="74"/>
    <n v="8.3000000000000007"/>
    <n v="30000000"/>
    <n v="191796233"/>
  </r>
  <r>
    <s v="Speed"/>
    <x v="153"/>
    <x v="0"/>
    <x v="0"/>
    <n v="116"/>
    <n v="7.2"/>
    <n v="25000000"/>
    <n v="121248145"/>
  </r>
  <r>
    <s v="The Vow"/>
    <x v="680"/>
    <x v="2"/>
    <x v="0"/>
    <n v="104"/>
    <n v="6.8"/>
    <n v="30000000"/>
    <n v="125014030"/>
  </r>
  <r>
    <s v="Extraordinary Measures"/>
    <x v="681"/>
    <x v="2"/>
    <x v="0"/>
    <n v="106"/>
    <n v="6.5"/>
    <n v="31000000"/>
    <n v="11854694"/>
  </r>
  <r>
    <s v="Remember the Titans"/>
    <x v="661"/>
    <x v="7"/>
    <x v="0"/>
    <n v="120"/>
    <n v="7.8"/>
    <n v="30000000"/>
    <n v="115648585"/>
  </r>
  <r>
    <s v="The Hunt for Red October"/>
    <x v="128"/>
    <x v="0"/>
    <x v="0"/>
    <n v="135"/>
    <n v="7.6"/>
    <n v="30000000"/>
    <n v="122012643"/>
  </r>
  <r>
    <s v="Lee Daniels' The Butler"/>
    <x v="595"/>
    <x v="7"/>
    <x v="0"/>
    <n v="132"/>
    <n v="7.2"/>
    <n v="30000000"/>
    <n v="116631310"/>
  </r>
  <r>
    <s v="Dodgeball: A True Underdog Story"/>
    <x v="432"/>
    <x v="4"/>
    <x v="0"/>
    <n v="92"/>
    <n v="6.7"/>
    <n v="20000000"/>
    <n v="114324072"/>
  </r>
  <r>
    <s v="The Addams Family"/>
    <x v="14"/>
    <x v="4"/>
    <x v="0"/>
    <n v="99"/>
    <n v="6.8"/>
    <n v="38000000"/>
    <n v="113502246"/>
  </r>
  <r>
    <s v="Ace Ventura: When Nature Calls"/>
    <x v="428"/>
    <x v="1"/>
    <x v="0"/>
    <n v="90"/>
    <n v="6.3"/>
    <n v="30000000"/>
    <n v="108360000"/>
  </r>
  <r>
    <s v="The Princess Diaries"/>
    <x v="289"/>
    <x v="4"/>
    <x v="0"/>
    <n v="111"/>
    <n v="6.2"/>
    <n v="37000000"/>
    <n v="108244774"/>
  </r>
  <r>
    <s v="The First Wives Club"/>
    <x v="628"/>
    <x v="4"/>
    <x v="0"/>
    <n v="103"/>
    <n v="6.2"/>
    <n v="26000000"/>
    <n v="105444419"/>
  </r>
  <r>
    <s v="Se7en"/>
    <x v="67"/>
    <x v="6"/>
    <x v="0"/>
    <n v="127"/>
    <n v="8.6"/>
    <n v="33000000"/>
    <n v="100125340"/>
  </r>
  <r>
    <s v="District 9"/>
    <x v="134"/>
    <x v="0"/>
    <x v="0"/>
    <n v="112"/>
    <n v="8"/>
    <n v="30000000"/>
    <n v="115646235"/>
  </r>
  <r>
    <s v="The SpongeBob SquarePants Movie"/>
    <x v="682"/>
    <x v="1"/>
    <x v="0"/>
    <n v="87"/>
    <n v="7"/>
    <n v="30000000"/>
    <n v="85416609"/>
  </r>
  <r>
    <s v="Mystic River"/>
    <x v="322"/>
    <x v="6"/>
    <x v="0"/>
    <n v="138"/>
    <n v="8"/>
    <n v="25000000"/>
    <n v="90135191"/>
  </r>
  <r>
    <s v="Million Dollar Baby"/>
    <x v="322"/>
    <x v="2"/>
    <x v="0"/>
    <n v="132"/>
    <n v="8.1"/>
    <n v="30000000"/>
    <n v="100422786"/>
  </r>
  <r>
    <s v="Analyze This"/>
    <x v="366"/>
    <x v="4"/>
    <x v="0"/>
    <n v="103"/>
    <n v="6.7"/>
    <n v="30000000"/>
    <n v="106694016"/>
  </r>
  <r>
    <s v="The Notebook"/>
    <x v="546"/>
    <x v="2"/>
    <x v="0"/>
    <n v="123"/>
    <n v="7.9"/>
    <n v="29000000"/>
    <n v="64286"/>
  </r>
  <r>
    <s v="27 Dresses"/>
    <x v="540"/>
    <x v="4"/>
    <x v="0"/>
    <n v="111"/>
    <n v="6.1"/>
    <n v="30000000"/>
    <n v="76806312"/>
  </r>
  <r>
    <s v="Hannah Montana: The Movie"/>
    <x v="159"/>
    <x v="4"/>
    <x v="0"/>
    <n v="102"/>
    <n v="4.2"/>
    <n v="30000000"/>
    <n v="79566871"/>
  </r>
  <r>
    <s v="Rugrats in Paris: The Movie"/>
    <x v="683"/>
    <x v="1"/>
    <x v="0"/>
    <n v="78"/>
    <n v="6.1"/>
    <n v="30000000"/>
    <n v="76501438"/>
  </r>
  <r>
    <s v="The Prince of Tides"/>
    <x v="527"/>
    <x v="2"/>
    <x v="0"/>
    <n v="132"/>
    <n v="6.6"/>
    <n v="30000000"/>
    <n v="74787599"/>
  </r>
  <r>
    <s v="Legends of the Fall"/>
    <x v="102"/>
    <x v="2"/>
    <x v="0"/>
    <n v="133"/>
    <n v="7.5"/>
    <n v="30000000"/>
    <n v="66528842"/>
  </r>
  <r>
    <s v="Up in the Air"/>
    <x v="684"/>
    <x v="2"/>
    <x v="0"/>
    <n v="108"/>
    <n v="7.4"/>
    <n v="25000000"/>
    <n v="83813460"/>
  </r>
  <r>
    <s v="About Schmidt"/>
    <x v="685"/>
    <x v="4"/>
    <x v="0"/>
    <n v="125"/>
    <n v="7.2"/>
    <n v="30000000"/>
    <n v="65010106"/>
  </r>
  <r>
    <s v="Warm Bodies"/>
    <x v="686"/>
    <x v="4"/>
    <x v="0"/>
    <n v="98"/>
    <n v="6.9"/>
    <n v="35000000"/>
    <n v="66359959"/>
  </r>
  <r>
    <s v="Looper"/>
    <x v="687"/>
    <x v="0"/>
    <x v="0"/>
    <n v="119"/>
    <n v="7.4"/>
    <n v="30000000"/>
    <n v="66468315"/>
  </r>
  <r>
    <s v="Down to Earth"/>
    <x v="18"/>
    <x v="4"/>
    <x v="0"/>
    <n v="87"/>
    <n v="5.4"/>
    <n v="30000000"/>
    <n v="64172251"/>
  </r>
  <r>
    <s v="Babe"/>
    <x v="688"/>
    <x v="4"/>
    <x v="0"/>
    <n v="91"/>
    <n v="6.8"/>
    <n v="30000000"/>
    <n v="66600000"/>
  </r>
  <r>
    <s v="Hope Springs"/>
    <x v="341"/>
    <x v="4"/>
    <x v="0"/>
    <n v="100"/>
    <n v="6.3"/>
    <n v="30000000"/>
    <n v="63536011"/>
  </r>
  <r>
    <s v="Forgetting Sarah Marshall"/>
    <x v="547"/>
    <x v="4"/>
    <x v="0"/>
    <n v="118"/>
    <n v="7.2"/>
    <n v="30000000"/>
    <n v="62877175"/>
  </r>
  <r>
    <s v="Four Brothers"/>
    <x v="261"/>
    <x v="0"/>
    <x v="0"/>
    <n v="109"/>
    <n v="6.9"/>
    <n v="45000000"/>
    <n v="74484168"/>
  </r>
  <r>
    <s v="Baby Mama"/>
    <x v="689"/>
    <x v="4"/>
    <x v="0"/>
    <n v="99"/>
    <n v="6"/>
    <n v="30000000"/>
    <n v="60269340"/>
  </r>
  <r>
    <s v="Hope Floats"/>
    <x v="690"/>
    <x v="2"/>
    <x v="0"/>
    <n v="114"/>
    <n v="5.9"/>
    <n v="30000000"/>
    <n v="60033780"/>
  </r>
  <r>
    <s v="Bride Wars"/>
    <x v="232"/>
    <x v="4"/>
    <x v="0"/>
    <n v="89"/>
    <n v="5.4"/>
    <n v="30000000"/>
    <n v="58715510"/>
  </r>
  <r>
    <s v="Without a Paddle"/>
    <x v="250"/>
    <x v="1"/>
    <x v="0"/>
    <n v="95"/>
    <n v="5.9"/>
    <n v="19000000"/>
    <n v="58156435"/>
  </r>
  <r>
    <s v="13 Going on 30"/>
    <x v="232"/>
    <x v="4"/>
    <x v="0"/>
    <n v="98"/>
    <n v="6.1"/>
    <n v="37000000"/>
    <n v="56044241"/>
  </r>
  <r>
    <s v="Midnight in Paris"/>
    <x v="691"/>
    <x v="4"/>
    <x v="0"/>
    <n v="94"/>
    <n v="7.7"/>
    <n v="17000000"/>
    <n v="56816662"/>
  </r>
  <r>
    <s v="The Nut Job"/>
    <x v="692"/>
    <x v="1"/>
    <x v="0"/>
    <n v="85"/>
    <n v="5.8"/>
    <n v="42000000"/>
    <n v="64238770"/>
  </r>
  <r>
    <s v="Blow"/>
    <x v="693"/>
    <x v="7"/>
    <x v="0"/>
    <n v="124"/>
    <n v="7.6"/>
    <n v="30000000"/>
    <n v="52937130"/>
  </r>
  <r>
    <s v="Message in a Bottle"/>
    <x v="594"/>
    <x v="2"/>
    <x v="0"/>
    <n v="131"/>
    <n v="6.1"/>
    <n v="55000000"/>
    <n v="52799004"/>
  </r>
  <r>
    <s v="Star Trek V: The Final Frontier"/>
    <x v="694"/>
    <x v="0"/>
    <x v="0"/>
    <n v="107"/>
    <n v="5.4"/>
    <n v="27800000"/>
    <n v="55210049"/>
  </r>
  <r>
    <s v="Like Mike"/>
    <x v="507"/>
    <x v="4"/>
    <x v="0"/>
    <n v="99"/>
    <n v="5.0999999999999996"/>
    <n v="30000000"/>
    <n v="51432423"/>
  </r>
  <r>
    <s v="Naked Gun 33 1/3: The Final Insult"/>
    <x v="227"/>
    <x v="4"/>
    <x v="0"/>
    <n v="83"/>
    <n v="6.4"/>
    <n v="30000000"/>
    <n v="51109400"/>
  </r>
  <r>
    <s v="A View to a Kill"/>
    <x v="529"/>
    <x v="0"/>
    <x v="0"/>
    <n v="131"/>
    <n v="6.3"/>
    <n v="30000000"/>
    <n v="50300000"/>
  </r>
  <r>
    <s v="The Curse of the Were-Rabbit"/>
    <x v="695"/>
    <x v="3"/>
    <x v="0"/>
    <n v="85"/>
    <n v="7.5"/>
    <n v="30000000"/>
    <n v="56068547"/>
  </r>
  <r>
    <s v="P.S. I Love You"/>
    <x v="473"/>
    <x v="2"/>
    <x v="0"/>
    <n v="126"/>
    <n v="7.1"/>
    <n v="30000000"/>
    <n v="53680848"/>
  </r>
  <r>
    <s v="Racing Stripes"/>
    <x v="564"/>
    <x v="1"/>
    <x v="0"/>
    <n v="102"/>
    <n v="5.2"/>
    <n v="20000000"/>
    <n v="49186871"/>
  </r>
  <r>
    <s v="Atonement"/>
    <x v="95"/>
    <x v="2"/>
    <x v="0"/>
    <n v="123"/>
    <n v="7.8"/>
    <n v="30000000"/>
    <n v="50921738"/>
  </r>
  <r>
    <s v="Letters to Juliet"/>
    <x v="232"/>
    <x v="4"/>
    <x v="0"/>
    <n v="105"/>
    <n v="6.5"/>
    <n v="30000000"/>
    <n v="53021560"/>
  </r>
  <r>
    <s v="Black Rain"/>
    <x v="17"/>
    <x v="0"/>
    <x v="0"/>
    <n v="125"/>
    <n v="6.6"/>
    <n v="30000000"/>
    <n v="45645204"/>
  </r>
  <r>
    <s v="The Three Stooges"/>
    <x v="303"/>
    <x v="4"/>
    <x v="0"/>
    <n v="92"/>
    <n v="5.0999999999999996"/>
    <n v="20000000"/>
    <n v="44328238"/>
  </r>
  <r>
    <s v="Corpse Bride"/>
    <x v="23"/>
    <x v="3"/>
    <x v="0"/>
    <n v="77"/>
    <n v="7.4"/>
    <n v="40000000"/>
    <n v="53337608"/>
  </r>
  <r>
    <s v="Glory Road"/>
    <x v="696"/>
    <x v="7"/>
    <x v="0"/>
    <n v="118"/>
    <n v="7.2"/>
    <n v="20000000"/>
    <n v="42643187"/>
  </r>
  <r>
    <s v="Sicario"/>
    <x v="492"/>
    <x v="0"/>
    <x v="0"/>
    <n v="121"/>
    <n v="7.6"/>
    <n v="30000000"/>
    <n v="46875468"/>
  </r>
  <r>
    <s v="Southpaw"/>
    <x v="270"/>
    <x v="2"/>
    <x v="0"/>
    <n v="124"/>
    <n v="7.5"/>
    <n v="30000000"/>
    <n v="52418902"/>
  </r>
  <r>
    <s v="Drag Me to Hell"/>
    <x v="5"/>
    <x v="11"/>
    <x v="0"/>
    <n v="99"/>
    <n v="6.6"/>
    <n v="30000000"/>
    <n v="42057340"/>
  </r>
  <r>
    <s v="The Age of Adaline"/>
    <x v="697"/>
    <x v="2"/>
    <x v="0"/>
    <n v="112"/>
    <n v="7.2"/>
    <n v="25000000"/>
    <n v="42478175"/>
  </r>
  <r>
    <s v="Secondhand Lions"/>
    <x v="698"/>
    <x v="4"/>
    <x v="0"/>
    <n v="111"/>
    <n v="7.6"/>
    <n v="30000000"/>
    <n v="41407470"/>
  </r>
  <r>
    <s v="Step Up 3D"/>
    <x v="106"/>
    <x v="2"/>
    <x v="0"/>
    <n v="107"/>
    <n v="6.2"/>
    <n v="30000000"/>
    <n v="42385520"/>
  </r>
  <r>
    <s v="Blue Crush"/>
    <x v="468"/>
    <x v="2"/>
    <x v="0"/>
    <n v="104"/>
    <n v="5.6"/>
    <n v="30000000"/>
    <n v="40118420"/>
  </r>
  <r>
    <s v="Stranger Than Fiction"/>
    <x v="11"/>
    <x v="4"/>
    <x v="0"/>
    <n v="113"/>
    <n v="7.6"/>
    <n v="38000000"/>
    <n v="40137776"/>
  </r>
  <r>
    <s v="30 Days of Night"/>
    <x v="308"/>
    <x v="11"/>
    <x v="0"/>
    <n v="113"/>
    <n v="6.6"/>
    <n v="32000000"/>
    <n v="39568996"/>
  </r>
  <r>
    <s v="The Cabin in the Woods"/>
    <x v="699"/>
    <x v="8"/>
    <x v="0"/>
    <n v="95"/>
    <n v="7"/>
    <n v="30000000"/>
    <n v="42043633"/>
  </r>
  <r>
    <s v="Meet the Spartans"/>
    <x v="700"/>
    <x v="4"/>
    <x v="0"/>
    <n v="86"/>
    <n v="2.7"/>
    <n v="30000000"/>
    <n v="38232624"/>
  </r>
  <r>
    <s v="Midnight Run"/>
    <x v="221"/>
    <x v="0"/>
    <x v="0"/>
    <n v="126"/>
    <n v="7.6"/>
    <n v="30000000"/>
    <n v="38413606"/>
  </r>
  <r>
    <s v="The Running Man"/>
    <x v="701"/>
    <x v="0"/>
    <x v="0"/>
    <n v="101"/>
    <n v="6.6"/>
    <n v="27000000"/>
    <n v="38122105"/>
  </r>
  <r>
    <s v="Little Shop of Horrors"/>
    <x v="185"/>
    <x v="4"/>
    <x v="0"/>
    <n v="102"/>
    <n v="6.9"/>
    <n v="25000000"/>
    <n v="38747385"/>
  </r>
  <r>
    <s v="Hanna"/>
    <x v="95"/>
    <x v="0"/>
    <x v="0"/>
    <n v="111"/>
    <n v="6.8"/>
    <n v="30000000"/>
    <n v="40247512"/>
  </r>
  <r>
    <s v="Mortal Kombat: Annihilation"/>
    <x v="702"/>
    <x v="0"/>
    <x v="0"/>
    <n v="95"/>
    <n v="3.7"/>
    <n v="30000000"/>
    <n v="35927406"/>
  </r>
  <r>
    <s v="Larry Crowne"/>
    <x v="703"/>
    <x v="4"/>
    <x v="0"/>
    <n v="98"/>
    <n v="6.1"/>
    <n v="30000000"/>
    <n v="35565975"/>
  </r>
  <r>
    <s v="Carrie"/>
    <x v="704"/>
    <x v="2"/>
    <x v="0"/>
    <n v="100"/>
    <n v="5.9"/>
    <n v="30000000"/>
    <n v="35266619"/>
  </r>
  <r>
    <s v="Take the Lead"/>
    <x v="705"/>
    <x v="2"/>
    <x v="0"/>
    <n v="118"/>
    <n v="6.7"/>
    <n v="30000000"/>
    <n v="34703228"/>
  </r>
  <r>
    <s v="Gridiron Gang"/>
    <x v="706"/>
    <x v="6"/>
    <x v="0"/>
    <n v="125"/>
    <n v="6.9"/>
    <n v="30000000"/>
    <n v="38432823"/>
  </r>
  <r>
    <s v="What's the Worst That Could Happen?"/>
    <x v="396"/>
    <x v="4"/>
    <x v="0"/>
    <n v="94"/>
    <n v="5.5"/>
    <n v="45000000"/>
    <n v="32095318"/>
  </r>
  <r>
    <s v="9"/>
    <x v="707"/>
    <x v="0"/>
    <x v="0"/>
    <n v="79"/>
    <n v="7.1"/>
    <n v="30000000"/>
    <n v="31743332"/>
  </r>
  <r>
    <s v="Side Effects"/>
    <x v="148"/>
    <x v="6"/>
    <x v="0"/>
    <n v="106"/>
    <n v="7.1"/>
    <n v="30000000"/>
    <n v="32154410"/>
  </r>
  <r>
    <s v="The Prince and Me"/>
    <x v="708"/>
    <x v="4"/>
    <x v="0"/>
    <n v="111"/>
    <n v="5.9"/>
    <n v="20000000"/>
    <n v="28165882"/>
  </r>
  <r>
    <s v="Winnie the Pooh"/>
    <x v="709"/>
    <x v="1"/>
    <x v="0"/>
    <n v="63"/>
    <n v="7.3"/>
    <n v="30000000"/>
    <n v="26687172"/>
  </r>
  <r>
    <s v="Dumb and Dumberer: When Harry Met Lloyd"/>
    <x v="710"/>
    <x v="4"/>
    <x v="0"/>
    <n v="85"/>
    <n v="3.4"/>
    <n v="19000000"/>
    <n v="26096584"/>
  </r>
  <r>
    <s v="Bulworth"/>
    <x v="482"/>
    <x v="4"/>
    <x v="0"/>
    <n v="108"/>
    <n v="6.8"/>
    <n v="30000000"/>
    <n v="26525834"/>
  </r>
  <r>
    <s v="Get on Up"/>
    <x v="711"/>
    <x v="7"/>
    <x v="0"/>
    <n v="139"/>
    <n v="6.9"/>
    <n v="30000000"/>
    <n v="30513940"/>
  </r>
  <r>
    <s v="One True Thing"/>
    <x v="458"/>
    <x v="2"/>
    <x v="0"/>
    <n v="127"/>
    <n v="7"/>
    <n v="30000000"/>
    <n v="23209440"/>
  </r>
  <r>
    <s v="Virtuosity"/>
    <x v="712"/>
    <x v="0"/>
    <x v="0"/>
    <n v="106"/>
    <n v="5.5"/>
    <n v="30000000"/>
    <n v="24048000"/>
  </r>
  <r>
    <s v="My Super Ex-Girlfriend"/>
    <x v="242"/>
    <x v="4"/>
    <x v="0"/>
    <n v="95"/>
    <n v="5.0999999999999996"/>
    <n v="30000000"/>
    <n v="22526144"/>
  </r>
  <r>
    <s v="Deliver Us from Evil"/>
    <x v="241"/>
    <x v="11"/>
    <x v="0"/>
    <n v="118"/>
    <n v="6.2"/>
    <n v="30000000"/>
    <n v="30523568"/>
  </r>
  <r>
    <s v="Sanctum"/>
    <x v="713"/>
    <x v="1"/>
    <x v="0"/>
    <n v="108"/>
    <n v="5.9"/>
    <n v="30000000"/>
    <n v="23070045"/>
  </r>
  <r>
    <s v="Little Black Book"/>
    <x v="714"/>
    <x v="4"/>
    <x v="0"/>
    <n v="105"/>
    <n v="5.2"/>
    <n v="35000000"/>
    <n v="20422207"/>
  </r>
  <r>
    <s v="The Five-Year Engagement"/>
    <x v="547"/>
    <x v="4"/>
    <x v="0"/>
    <n v="131"/>
    <n v="6.2"/>
    <n v="30000000"/>
    <n v="28644770"/>
  </r>
  <r>
    <s v="Mr 3000"/>
    <x v="715"/>
    <x v="4"/>
    <x v="0"/>
    <n v="104"/>
    <n v="5.5"/>
    <n v="30000000"/>
    <n v="21800302"/>
  </r>
  <r>
    <s v="The Next Three Days"/>
    <x v="716"/>
    <x v="6"/>
    <x v="0"/>
    <n v="133"/>
    <n v="7.4"/>
    <n v="35000000"/>
    <n v="21129348"/>
  </r>
  <r>
    <s v="Ultraviolet"/>
    <x v="717"/>
    <x v="0"/>
    <x v="0"/>
    <n v="94"/>
    <n v="4.4000000000000004"/>
    <n v="30000000"/>
    <n v="18500966"/>
  </r>
  <r>
    <s v="Assault on Precinct 13"/>
    <x v="718"/>
    <x v="0"/>
    <x v="0"/>
    <n v="109"/>
    <n v="6.3"/>
    <n v="20000000"/>
    <n v="19976073"/>
  </r>
  <r>
    <s v="The Replacement Killers"/>
    <x v="270"/>
    <x v="0"/>
    <x v="0"/>
    <n v="96"/>
    <n v="6.1"/>
    <n v="30000000"/>
    <n v="18967571"/>
  </r>
  <r>
    <s v="Fled"/>
    <x v="719"/>
    <x v="0"/>
    <x v="0"/>
    <n v="105"/>
    <n v="5.3"/>
    <n v="25000000"/>
    <n v="17100000"/>
  </r>
  <r>
    <s v="Eight Legged Freaks"/>
    <x v="720"/>
    <x v="0"/>
    <x v="0"/>
    <n v="99"/>
    <n v="5.4"/>
    <n v="30000000"/>
    <n v="17266505"/>
  </r>
  <r>
    <s v="Love &amp; Other Drugs"/>
    <x v="102"/>
    <x v="4"/>
    <x v="0"/>
    <n v="112"/>
    <n v="6.7"/>
    <n v="30000000"/>
    <n v="32357532"/>
  </r>
  <r>
    <s v="88 Minutes"/>
    <x v="355"/>
    <x v="6"/>
    <x v="0"/>
    <n v="108"/>
    <n v="5.9"/>
    <n v="30000000"/>
    <n v="16930884"/>
  </r>
  <r>
    <s v="North Country"/>
    <x v="721"/>
    <x v="2"/>
    <x v="0"/>
    <n v="126"/>
    <n v="7.3"/>
    <n v="35000000"/>
    <n v="18324242"/>
  </r>
  <r>
    <s v="The Whole Ten Yards"/>
    <x v="452"/>
    <x v="4"/>
    <x v="0"/>
    <n v="98"/>
    <n v="5.5"/>
    <n v="40000000"/>
    <n v="16323969"/>
  </r>
  <r>
    <s v="Splice"/>
    <x v="722"/>
    <x v="2"/>
    <x v="0"/>
    <n v="104"/>
    <n v="5.8"/>
    <n v="26000000"/>
    <n v="16999046"/>
  </r>
  <r>
    <s v="Howard the Duck"/>
    <x v="723"/>
    <x v="0"/>
    <x v="0"/>
    <n v="110"/>
    <n v="4.5999999999999996"/>
    <n v="35000000"/>
    <n v="16295774"/>
  </r>
  <r>
    <s v="Pride and Glory"/>
    <x v="724"/>
    <x v="6"/>
    <x v="0"/>
    <n v="130"/>
    <n v="6.7"/>
    <n v="30000000"/>
    <n v="15709385"/>
  </r>
  <r>
    <s v="The Cave"/>
    <x v="725"/>
    <x v="1"/>
    <x v="0"/>
    <n v="93"/>
    <n v="5.0999999999999996"/>
    <n v="30000000"/>
    <n v="14888028"/>
  </r>
  <r>
    <s v="Alex &amp; Emma"/>
    <x v="336"/>
    <x v="4"/>
    <x v="0"/>
    <n v="96"/>
    <n v="5.6"/>
    <n v="30000000"/>
    <n v="14208384"/>
  </r>
  <r>
    <s v="Wicker Park"/>
    <x v="520"/>
    <x v="2"/>
    <x v="0"/>
    <n v="114"/>
    <n v="7"/>
    <n v="30000000"/>
    <n v="12831121"/>
  </r>
  <r>
    <s v="Fright Night"/>
    <x v="313"/>
    <x v="4"/>
    <x v="0"/>
    <n v="106"/>
    <n v="6.4"/>
    <n v="30000000"/>
    <n v="18298649"/>
  </r>
  <r>
    <s v="The New World"/>
    <x v="423"/>
    <x v="7"/>
    <x v="0"/>
    <n v="150"/>
    <n v="6.7"/>
    <n v="30000000"/>
    <n v="12712093"/>
  </r>
  <r>
    <s v="Wing Commander"/>
    <x v="726"/>
    <x v="0"/>
    <x v="0"/>
    <n v="100"/>
    <n v="4.0999999999999996"/>
    <n v="30000000"/>
    <n v="11576087"/>
  </r>
  <r>
    <s v="In Dreams"/>
    <x v="431"/>
    <x v="2"/>
    <x v="0"/>
    <n v="100"/>
    <n v="5.5"/>
    <n v="30000000"/>
    <n v="11900000"/>
  </r>
  <r>
    <s v="Dragonball: Evolution"/>
    <x v="477"/>
    <x v="0"/>
    <x v="0"/>
    <n v="100"/>
    <n v="2.7"/>
    <n v="45000000"/>
    <n v="9353573"/>
  </r>
  <r>
    <s v="The Last Stand"/>
    <x v="727"/>
    <x v="0"/>
    <x v="0"/>
    <n v="107"/>
    <n v="6.4"/>
    <n v="45000000"/>
    <n v="12026670"/>
  </r>
  <r>
    <s v="Godsend"/>
    <x v="728"/>
    <x v="2"/>
    <x v="0"/>
    <n v="102"/>
    <n v="4.8"/>
    <n v="25000000"/>
    <n v="14334645"/>
  </r>
  <r>
    <s v="Chasing Liberty"/>
    <x v="729"/>
    <x v="4"/>
    <x v="0"/>
    <n v="101"/>
    <n v="6.1"/>
    <n v="23000000"/>
    <n v="12189514"/>
  </r>
  <r>
    <s v="Hoodwinked Too! Hood vs. Evil"/>
    <x v="730"/>
    <x v="3"/>
    <x v="0"/>
    <n v="86"/>
    <n v="4.8"/>
    <n v="30000000"/>
    <n v="10134754"/>
  </r>
  <r>
    <s v="An Unfinished Life"/>
    <x v="640"/>
    <x v="2"/>
    <x v="0"/>
    <n v="108"/>
    <n v="7"/>
    <n v="30000000"/>
    <n v="8535575"/>
  </r>
  <r>
    <s v="The Imaginarium of Doctor Parnassus"/>
    <x v="251"/>
    <x v="1"/>
    <x v="0"/>
    <n v="123"/>
    <n v="6.8"/>
    <n v="40000000"/>
    <n v="7689458"/>
  </r>
  <r>
    <s v="Barney's Version"/>
    <x v="731"/>
    <x v="4"/>
    <x v="0"/>
    <n v="134"/>
    <n v="7.3"/>
    <n v="20000000"/>
    <n v="7501404"/>
  </r>
  <r>
    <s v="Runner Runner"/>
    <x v="489"/>
    <x v="6"/>
    <x v="0"/>
    <n v="88"/>
    <n v="5.6"/>
    <n v="30000000"/>
    <n v="19316646"/>
  </r>
  <r>
    <s v="Antitrust"/>
    <x v="501"/>
    <x v="0"/>
    <x v="0"/>
    <n v="109"/>
    <n v="6.1"/>
    <n v="30000000"/>
    <n v="10965209"/>
  </r>
  <r>
    <s v="Glory"/>
    <x v="102"/>
    <x v="2"/>
    <x v="0"/>
    <n v="122"/>
    <n v="7.9"/>
    <n v="18000000"/>
    <n v="26830000"/>
  </r>
  <r>
    <s v="Once Upon a Time in America"/>
    <x v="732"/>
    <x v="6"/>
    <x v="0"/>
    <n v="251"/>
    <n v="8.4"/>
    <n v="30000000"/>
    <n v="5300000"/>
  </r>
  <r>
    <s v="Dead Man Down"/>
    <x v="733"/>
    <x v="0"/>
    <x v="0"/>
    <n v="118"/>
    <n v="6.5"/>
    <n v="30000000"/>
    <n v="10880926"/>
  </r>
  <r>
    <s v="The Merchant of Venice"/>
    <x v="734"/>
    <x v="2"/>
    <x v="0"/>
    <n v="131"/>
    <n v="7.1"/>
    <n v="18000000"/>
    <n v="3752725"/>
  </r>
  <r>
    <s v="The Good Thief"/>
    <x v="431"/>
    <x v="0"/>
    <x v="0"/>
    <n v="109"/>
    <n v="6.6"/>
    <n v="25000000"/>
    <n v="3517797"/>
  </r>
  <r>
    <s v="Supercross"/>
    <x v="735"/>
    <x v="0"/>
    <x v="0"/>
    <n v="80"/>
    <n v="4"/>
    <n v="20000000"/>
    <n v="3101301"/>
  </r>
  <r>
    <s v="Miss Potter"/>
    <x v="688"/>
    <x v="7"/>
    <x v="0"/>
    <n v="88"/>
    <n v="7"/>
    <n v="30000000"/>
    <n v="2975649"/>
  </r>
  <r>
    <s v="The Promise"/>
    <x v="736"/>
    <x v="0"/>
    <x v="3"/>
    <n v="103"/>
    <n v="5.6"/>
    <n v="60000000"/>
    <n v="668171"/>
  </r>
  <r>
    <s v="DOA: Dead or Alive"/>
    <x v="737"/>
    <x v="0"/>
    <x v="0"/>
    <n v="87"/>
    <n v="4.8"/>
    <n v="21000000"/>
    <n v="480314"/>
  </r>
  <r>
    <s v="The Assassination of Jesse James by the Coward Robert Ford"/>
    <x v="738"/>
    <x v="7"/>
    <x v="0"/>
    <n v="160"/>
    <n v="7.5"/>
    <n v="30000000"/>
    <n v="3904982"/>
  </r>
  <r>
    <s v="1911"/>
    <x v="739"/>
    <x v="0"/>
    <x v="3"/>
    <n v="121"/>
    <n v="6"/>
    <n v="18000000"/>
    <n v="127437"/>
  </r>
  <r>
    <s v="Little Nicholas"/>
    <x v="740"/>
    <x v="4"/>
    <x v="2"/>
    <n v="91"/>
    <n v="7.2"/>
    <n v="20000000"/>
    <n v="25078937"/>
  </r>
  <r>
    <s v="Wild Card"/>
    <x v="168"/>
    <x v="0"/>
    <x v="0"/>
    <n v="92"/>
    <n v="5.6"/>
    <n v="30000000"/>
    <n v="25078937"/>
  </r>
  <r>
    <s v="Machine Gun Preacher"/>
    <x v="11"/>
    <x v="0"/>
    <x v="0"/>
    <n v="129"/>
    <n v="6.8"/>
    <n v="30000000"/>
    <n v="537580"/>
  </r>
  <r>
    <s v="Animals United"/>
    <x v="741"/>
    <x v="3"/>
    <x v="13"/>
    <n v="93"/>
    <n v="4.9000000000000004"/>
    <n v="20000000"/>
    <n v="25078937"/>
  </r>
  <r>
    <s v="The Color of Freedom"/>
    <x v="645"/>
    <x v="7"/>
    <x v="0"/>
    <n v="118"/>
    <n v="7.1"/>
    <n v="30000000"/>
    <n v="25078937"/>
  </r>
  <r>
    <s v="United Passions"/>
    <x v="742"/>
    <x v="2"/>
    <x v="0"/>
    <n v="110"/>
    <n v="2"/>
    <n v="24000000"/>
    <n v="25078937"/>
  </r>
  <r>
    <s v="Grace of Monaco"/>
    <x v="743"/>
    <x v="7"/>
    <x v="0"/>
    <n v="103"/>
    <n v="5.7"/>
    <n v="30000000"/>
    <n v="25078937"/>
  </r>
  <r>
    <s v="A Warrior's Tail"/>
    <x v="744"/>
    <x v="1"/>
    <x v="8"/>
    <n v="85"/>
    <n v="4.0999999999999996"/>
    <n v="30000000"/>
    <n v="25078937"/>
  </r>
  <r>
    <s v="Ripley's Game"/>
    <x v="745"/>
    <x v="6"/>
    <x v="0"/>
    <n v="110"/>
    <n v="6.7"/>
    <n v="30000000"/>
    <n v="25078937"/>
  </r>
  <r>
    <s v="Sausage Party"/>
    <x v="746"/>
    <x v="1"/>
    <x v="0"/>
    <n v="89"/>
    <n v="7.5"/>
    <n v="19000000"/>
    <n v="25078937"/>
  </r>
  <r>
    <s v="Pitch Perfect 2"/>
    <x v="747"/>
    <x v="4"/>
    <x v="0"/>
    <n v="115"/>
    <n v="6.5"/>
    <n v="29000000"/>
    <n v="183436380"/>
  </r>
  <r>
    <s v="Walk the Line"/>
    <x v="138"/>
    <x v="7"/>
    <x v="0"/>
    <n v="153"/>
    <n v="7.9"/>
    <n v="28000000"/>
    <n v="119518352"/>
  </r>
  <r>
    <s v="Keeping the Faith"/>
    <x v="748"/>
    <x v="4"/>
    <x v="0"/>
    <n v="128"/>
    <n v="6.4"/>
    <n v="30000000"/>
    <n v="37036404"/>
  </r>
  <r>
    <s v="The Borrowers"/>
    <x v="437"/>
    <x v="1"/>
    <x v="0"/>
    <n v="89"/>
    <n v="5.8"/>
    <n v="29000000"/>
    <n v="22359293"/>
  </r>
  <r>
    <s v="Frost/Nixon"/>
    <x v="83"/>
    <x v="2"/>
    <x v="0"/>
    <n v="122"/>
    <n v="7.7"/>
    <n v="35000000"/>
    <n v="18593156"/>
  </r>
  <r>
    <s v="Confessions of a Dangerous Mind"/>
    <x v="295"/>
    <x v="7"/>
    <x v="0"/>
    <n v="113"/>
    <n v="7.1"/>
    <n v="29000000"/>
    <n v="25078937"/>
  </r>
  <r>
    <s v="Serving Sara"/>
    <x v="525"/>
    <x v="4"/>
    <x v="0"/>
    <n v="99"/>
    <n v="5.3"/>
    <n v="29000000"/>
    <n v="16930185"/>
  </r>
  <r>
    <s v="The Boss"/>
    <x v="749"/>
    <x v="4"/>
    <x v="0"/>
    <n v="99"/>
    <n v="5.3"/>
    <n v="29000000"/>
    <n v="63034755"/>
  </r>
  <r>
    <s v="Cry Freedom"/>
    <x v="750"/>
    <x v="7"/>
    <x v="0"/>
    <n v="147"/>
    <n v="7.5"/>
    <n v="29000000"/>
    <n v="5899797"/>
  </r>
  <r>
    <s v="Mumford"/>
    <x v="317"/>
    <x v="4"/>
    <x v="0"/>
    <n v="112"/>
    <n v="6.9"/>
    <n v="28000000"/>
    <n v="4554569"/>
  </r>
  <r>
    <s v="Seed of Chucky"/>
    <x v="751"/>
    <x v="4"/>
    <x v="0"/>
    <n v="88"/>
    <n v="4.9000000000000004"/>
    <n v="12000000"/>
    <n v="17016190"/>
  </r>
  <r>
    <s v="The Jacket"/>
    <x v="752"/>
    <x v="2"/>
    <x v="0"/>
    <n v="94"/>
    <n v="7.1"/>
    <n v="29000000"/>
    <n v="6301131"/>
  </r>
  <r>
    <s v="Aladdin"/>
    <x v="158"/>
    <x v="1"/>
    <x v="0"/>
    <n v="90"/>
    <n v="8"/>
    <n v="28000000"/>
    <n v="217350219"/>
  </r>
  <r>
    <s v="Straight Outta Compton"/>
    <x v="269"/>
    <x v="7"/>
    <x v="0"/>
    <n v="167"/>
    <n v="7.9"/>
    <n v="28000000"/>
    <n v="161029270"/>
  </r>
  <r>
    <s v="Indiana Jones and the Temple of Doom"/>
    <x v="37"/>
    <x v="0"/>
    <x v="0"/>
    <n v="118"/>
    <n v="7.6"/>
    <n v="28000000"/>
    <n v="179870271"/>
  </r>
  <r>
    <s v="The Rugrats Movie"/>
    <x v="753"/>
    <x v="1"/>
    <x v="0"/>
    <n v="83"/>
    <n v="5.9"/>
    <n v="24000000"/>
    <n v="100491683"/>
  </r>
  <r>
    <s v="Along Came a Spider"/>
    <x v="97"/>
    <x v="6"/>
    <x v="0"/>
    <n v="104"/>
    <n v="6.3"/>
    <n v="60000000"/>
    <n v="74058698"/>
  </r>
  <r>
    <s v="Florence Foster Jenkins"/>
    <x v="487"/>
    <x v="7"/>
    <x v="0"/>
    <n v="110"/>
    <n v="7.1"/>
    <n v="29000000"/>
    <n v="25078937"/>
  </r>
  <r>
    <s v="Once Upon a Time in Mexico"/>
    <x v="419"/>
    <x v="0"/>
    <x v="0"/>
    <n v="102"/>
    <n v="6.4"/>
    <n v="29000000"/>
    <n v="55845943"/>
  </r>
  <r>
    <s v="Die Hard"/>
    <x v="128"/>
    <x v="0"/>
    <x v="0"/>
    <n v="131"/>
    <n v="8.1999999999999993"/>
    <n v="28000000"/>
    <n v="81350242"/>
  </r>
  <r>
    <s v="Role Models"/>
    <x v="664"/>
    <x v="4"/>
    <x v="0"/>
    <n v="101"/>
    <n v="6.9"/>
    <n v="28000000"/>
    <n v="67266300"/>
  </r>
  <r>
    <s v="The Big Short"/>
    <x v="163"/>
    <x v="7"/>
    <x v="0"/>
    <n v="130"/>
    <n v="7.8"/>
    <n v="28000000"/>
    <n v="70235322"/>
  </r>
  <r>
    <s v="Taking Woodstock"/>
    <x v="105"/>
    <x v="4"/>
    <x v="0"/>
    <n v="120"/>
    <n v="6.7"/>
    <n v="30000000"/>
    <n v="7443007"/>
  </r>
  <r>
    <s v="Miracle"/>
    <x v="724"/>
    <x v="7"/>
    <x v="0"/>
    <n v="135"/>
    <n v="7.5"/>
    <n v="28000000"/>
    <n v="64371181"/>
  </r>
  <r>
    <s v="Dawn of the Dead"/>
    <x v="9"/>
    <x v="0"/>
    <x v="0"/>
    <n v="110"/>
    <n v="7.4"/>
    <n v="26000000"/>
    <n v="58885635"/>
  </r>
  <r>
    <s v="The Wedding Planner"/>
    <x v="235"/>
    <x v="4"/>
    <x v="0"/>
    <n v="103"/>
    <n v="5.2"/>
    <n v="35000000"/>
    <n v="60400856"/>
  </r>
  <r>
    <s v="Harlock: Space Pirate"/>
    <x v="754"/>
    <x v="1"/>
    <x v="1"/>
    <n v="115"/>
    <n v="6.5"/>
    <n v="30000000"/>
    <n v="25078937"/>
  </r>
  <r>
    <s v="The Royal Tenenbaums"/>
    <x v="466"/>
    <x v="4"/>
    <x v="0"/>
    <n v="110"/>
    <n v="7.6"/>
    <n v="21000000"/>
    <n v="52353636"/>
  </r>
  <r>
    <s v="Identity"/>
    <x v="138"/>
    <x v="5"/>
    <x v="0"/>
    <n v="91"/>
    <n v="7.3"/>
    <n v="30000000"/>
    <n v="51475962"/>
  </r>
  <r>
    <s v="Last Vegas"/>
    <x v="70"/>
    <x v="4"/>
    <x v="0"/>
    <n v="105"/>
    <n v="6.6"/>
    <n v="28000000"/>
    <n v="63910583"/>
  </r>
  <r>
    <s v="For Your Eyes Only"/>
    <x v="529"/>
    <x v="0"/>
    <x v="0"/>
    <n v="127"/>
    <n v="6.8"/>
    <n v="28000000"/>
    <n v="62300000"/>
  </r>
  <r>
    <s v="Serendipity"/>
    <x v="159"/>
    <x v="4"/>
    <x v="0"/>
    <n v="82"/>
    <n v="6.9"/>
    <n v="28000000"/>
    <n v="49968653"/>
  </r>
  <r>
    <s v="Timecop"/>
    <x v="173"/>
    <x v="0"/>
    <x v="0"/>
    <n v="99"/>
    <n v="5.8"/>
    <n v="27000000"/>
    <n v="44450000"/>
  </r>
  <r>
    <s v="Zoolander"/>
    <x v="198"/>
    <x v="4"/>
    <x v="0"/>
    <n v="90"/>
    <n v="6.6"/>
    <n v="28000000"/>
    <n v="45162741"/>
  </r>
  <r>
    <s v="Safe Haven"/>
    <x v="640"/>
    <x v="2"/>
    <x v="0"/>
    <n v="115"/>
    <n v="6.7"/>
    <n v="28000000"/>
    <n v="71346930"/>
  </r>
  <r>
    <s v="Hocus Pocus"/>
    <x v="349"/>
    <x v="4"/>
    <x v="0"/>
    <n v="96"/>
    <n v="6.7"/>
    <n v="28000000"/>
    <n v="39514713"/>
  </r>
  <r>
    <s v="No Reservations"/>
    <x v="611"/>
    <x v="4"/>
    <x v="0"/>
    <n v="104"/>
    <n v="6.3"/>
    <n v="28000000"/>
    <n v="43097652"/>
  </r>
  <r>
    <s v="Kick-Ass"/>
    <x v="68"/>
    <x v="0"/>
    <x v="0"/>
    <n v="117"/>
    <n v="7.7"/>
    <n v="30000000"/>
    <n v="48043505"/>
  </r>
  <r>
    <s v="30 Minutes or Less"/>
    <x v="365"/>
    <x v="0"/>
    <x v="0"/>
    <n v="83"/>
    <n v="6.1"/>
    <n v="28000000"/>
    <n v="37053924"/>
  </r>
  <r>
    <s v="Dracula 2000"/>
    <x v="476"/>
    <x v="0"/>
    <x v="0"/>
    <n v="99"/>
    <n v="4.9000000000000004"/>
    <n v="28000000"/>
    <n v="33000377"/>
  </r>
  <r>
    <s v="Alexander and the Terrible, Horrible, No Good, Very Bad Day"/>
    <x v="755"/>
    <x v="4"/>
    <x v="0"/>
    <n v="81"/>
    <n v="6.2"/>
    <n v="28000000"/>
    <n v="66950483"/>
  </r>
  <r>
    <s v="Pride &amp; Prejudice"/>
    <x v="95"/>
    <x v="2"/>
    <x v="0"/>
    <n v="135"/>
    <n v="7.8"/>
    <n v="28000000"/>
    <n v="38372662"/>
  </r>
  <r>
    <s v="Blade Runner"/>
    <x v="17"/>
    <x v="10"/>
    <x v="0"/>
    <n v="117"/>
    <n v="8.1999999999999993"/>
    <n v="28000000"/>
    <n v="27000000"/>
  </r>
  <r>
    <s v="Rob Roy"/>
    <x v="305"/>
    <x v="1"/>
    <x v="0"/>
    <n v="139"/>
    <n v="6.9"/>
    <n v="28000000"/>
    <n v="31600000"/>
  </r>
  <r>
    <s v="3 Days to Kill"/>
    <x v="31"/>
    <x v="0"/>
    <x v="0"/>
    <n v="123"/>
    <n v="6.2"/>
    <n v="28000000"/>
    <n v="30688364"/>
  </r>
  <r>
    <s v="We Own the Night"/>
    <x v="756"/>
    <x v="6"/>
    <x v="0"/>
    <n v="117"/>
    <n v="6.9"/>
    <n v="21000000"/>
    <n v="28563179"/>
  </r>
  <r>
    <s v="Lost Souls"/>
    <x v="757"/>
    <x v="2"/>
    <x v="0"/>
    <n v="97"/>
    <n v="4.8"/>
    <n v="28000000"/>
    <n v="16779636"/>
  </r>
  <r>
    <s v="Winged Migration"/>
    <x v="258"/>
    <x v="9"/>
    <x v="0"/>
    <n v="81"/>
    <n v="8"/>
    <n v="160000000"/>
    <n v="10762178"/>
  </r>
  <r>
    <s v="Just My Luck"/>
    <x v="368"/>
    <x v="4"/>
    <x v="0"/>
    <n v="103"/>
    <n v="5.3"/>
    <n v="28000000"/>
    <n v="17324744"/>
  </r>
  <r>
    <s v="Mystery, Alaska"/>
    <x v="186"/>
    <x v="4"/>
    <x v="0"/>
    <n v="119"/>
    <n v="6.7"/>
    <n v="28000000"/>
    <n v="8888143"/>
  </r>
  <r>
    <s v="The Spy Next Door"/>
    <x v="352"/>
    <x v="0"/>
    <x v="0"/>
    <n v="94"/>
    <n v="5.4"/>
    <n v="28000000"/>
    <n v="24268828"/>
  </r>
  <r>
    <s v="A Simple Wish"/>
    <x v="624"/>
    <x v="4"/>
    <x v="0"/>
    <n v="89"/>
    <n v="5.4"/>
    <n v="28000000"/>
    <n v="8119205"/>
  </r>
  <r>
    <s v="Ghosts of Mars"/>
    <x v="465"/>
    <x v="0"/>
    <x v="0"/>
    <n v="98"/>
    <n v="4.9000000000000004"/>
    <n v="28000000"/>
    <n v="8434601"/>
  </r>
  <r>
    <s v="Our Brand Is Crisis"/>
    <x v="469"/>
    <x v="4"/>
    <x v="0"/>
    <n v="107"/>
    <n v="6.1"/>
    <n v="28000000"/>
    <n v="6998324"/>
  </r>
  <r>
    <s v="Pride and Prejudice and Zombies"/>
    <x v="523"/>
    <x v="0"/>
    <x v="0"/>
    <n v="108"/>
    <n v="5.8"/>
    <n v="28000000"/>
    <n v="10907291"/>
  </r>
  <r>
    <s v="Kundun"/>
    <x v="47"/>
    <x v="7"/>
    <x v="0"/>
    <n v="134"/>
    <n v="7"/>
    <n v="28000000"/>
    <n v="5532301"/>
  </r>
  <r>
    <s v="How to Lose Friends &amp; Alienate People"/>
    <x v="758"/>
    <x v="4"/>
    <x v="0"/>
    <n v="110"/>
    <n v="6.5"/>
    <n v="27000000"/>
    <n v="2775593"/>
  </r>
  <r>
    <s v="Kick-Ass 2"/>
    <x v="759"/>
    <x v="0"/>
    <x v="0"/>
    <n v="103"/>
    <n v="6.6"/>
    <n v="28000000"/>
    <n v="28751715"/>
  </r>
  <r>
    <s v="Captain Alatriste: The Spanish Musketeer"/>
    <x v="760"/>
    <x v="1"/>
    <x v="5"/>
    <n v="145"/>
    <n v="6.1"/>
    <n v="24000000"/>
    <n v="25078937"/>
  </r>
  <r>
    <s v="Brick Mansions"/>
    <x v="761"/>
    <x v="0"/>
    <x v="0"/>
    <n v="100"/>
    <n v="5.7"/>
    <n v="28000000"/>
    <n v="20285518"/>
  </r>
  <r>
    <s v="Octopussy"/>
    <x v="529"/>
    <x v="0"/>
    <x v="0"/>
    <n v="131"/>
    <n v="6.6"/>
    <n v="27500000"/>
    <n v="67900000"/>
  </r>
  <r>
    <s v="Knocked Up"/>
    <x v="283"/>
    <x v="4"/>
    <x v="0"/>
    <n v="133"/>
    <n v="7"/>
    <n v="30000000"/>
    <n v="148734225"/>
  </r>
  <r>
    <s v="My Sister's Keeper"/>
    <x v="546"/>
    <x v="2"/>
    <x v="0"/>
    <n v="109"/>
    <n v="7.4"/>
    <n v="30000000"/>
    <n v="49185998"/>
  </r>
  <r>
    <s v="Welcome Home, Roscoe Jenkins"/>
    <x v="575"/>
    <x v="4"/>
    <x v="0"/>
    <n v="114"/>
    <n v="5.3"/>
    <n v="35000000"/>
    <n v="42168445"/>
  </r>
  <r>
    <s v="A Passage to India"/>
    <x v="762"/>
    <x v="1"/>
    <x v="0"/>
    <n v="164"/>
    <n v="7.4"/>
    <n v="16000000"/>
    <n v="26400000"/>
  </r>
  <r>
    <s v="Notes on a Scandal"/>
    <x v="763"/>
    <x v="6"/>
    <x v="0"/>
    <n v="92"/>
    <n v="7.4"/>
    <n v="15000000"/>
    <n v="17508670"/>
  </r>
  <r>
    <s v="Rendition"/>
    <x v="80"/>
    <x v="2"/>
    <x v="0"/>
    <n v="122"/>
    <n v="6.8"/>
    <n v="27500000"/>
    <n v="9664316"/>
  </r>
  <r>
    <s v="Star Trek VI: The Undiscovered Country"/>
    <x v="764"/>
    <x v="0"/>
    <x v="0"/>
    <n v="110"/>
    <n v="7.2"/>
    <n v="30000000"/>
    <n v="74888996"/>
  </r>
  <r>
    <s v="Divine Secrets of the Ya-Ya Sisterhood"/>
    <x v="765"/>
    <x v="2"/>
    <x v="0"/>
    <n v="116"/>
    <n v="6"/>
    <n v="27000000"/>
    <n v="69586544"/>
  </r>
  <r>
    <s v="Kiss the Girls"/>
    <x v="445"/>
    <x v="6"/>
    <x v="0"/>
    <n v="115"/>
    <n v="6.6"/>
    <n v="27000000"/>
    <n v="60491560"/>
  </r>
  <r>
    <s v="The Blues Brothers"/>
    <x v="455"/>
    <x v="0"/>
    <x v="0"/>
    <n v="148"/>
    <n v="7.9"/>
    <n v="27000000"/>
    <n v="54200000"/>
  </r>
  <r>
    <s v="The Sisterhood of the Traveling Pants 2"/>
    <x v="766"/>
    <x v="4"/>
    <x v="0"/>
    <n v="119"/>
    <n v="6.2"/>
    <n v="20000000"/>
    <n v="44087387"/>
  </r>
  <r>
    <s v="Joyful Noise"/>
    <x v="767"/>
    <x v="4"/>
    <x v="0"/>
    <n v="118"/>
    <n v="5.7"/>
    <n v="25000000"/>
    <n v="30920167"/>
  </r>
  <r>
    <s v="About a Boy"/>
    <x v="18"/>
    <x v="4"/>
    <x v="0"/>
    <n v="101"/>
    <n v="7.1"/>
    <n v="30000000"/>
    <n v="40566655"/>
  </r>
  <r>
    <s v="Lake Placid"/>
    <x v="597"/>
    <x v="0"/>
    <x v="0"/>
    <n v="82"/>
    <n v="5.6"/>
    <n v="27000000"/>
    <n v="31768374"/>
  </r>
  <r>
    <s v="Lucky Number Slevin"/>
    <x v="520"/>
    <x v="6"/>
    <x v="0"/>
    <n v="110"/>
    <n v="7.8"/>
    <n v="27000000"/>
    <n v="22494487"/>
  </r>
  <r>
    <s v="The Right Stuff"/>
    <x v="768"/>
    <x v="1"/>
    <x v="0"/>
    <n v="193"/>
    <n v="7.9"/>
    <n v="27000000"/>
    <n v="21500000"/>
  </r>
  <r>
    <s v="Anonymous"/>
    <x v="41"/>
    <x v="2"/>
    <x v="0"/>
    <n v="130"/>
    <n v="6.9"/>
    <n v="30000000"/>
    <n v="4463292"/>
  </r>
  <r>
    <s v="The NeverEnding Story"/>
    <x v="71"/>
    <x v="1"/>
    <x v="0"/>
    <n v="94"/>
    <n v="7.4"/>
    <n v="27000000"/>
    <n v="25078937"/>
  </r>
  <r>
    <s v="Dark City"/>
    <x v="103"/>
    <x v="0"/>
    <x v="0"/>
    <n v="111"/>
    <n v="7.7"/>
    <n v="27000000"/>
    <n v="14337579"/>
  </r>
  <r>
    <s v="The Duchess"/>
    <x v="769"/>
    <x v="7"/>
    <x v="0"/>
    <n v="110"/>
    <n v="6.9"/>
    <n v="13500000"/>
    <n v="13823741"/>
  </r>
  <r>
    <s v="Return to Oz"/>
    <x v="770"/>
    <x v="1"/>
    <x v="0"/>
    <n v="109"/>
    <n v="6.7"/>
    <n v="25000000"/>
    <n v="25078937"/>
  </r>
  <r>
    <s v="The Newton Boys"/>
    <x v="771"/>
    <x v="0"/>
    <x v="0"/>
    <n v="123"/>
    <n v="6"/>
    <n v="27000000"/>
    <n v="10297897"/>
  </r>
  <r>
    <s v="Case 39"/>
    <x v="578"/>
    <x v="11"/>
    <x v="0"/>
    <n v="109"/>
    <n v="6.2"/>
    <n v="27000000"/>
    <n v="13248477"/>
  </r>
  <r>
    <s v="Suspect Zero"/>
    <x v="772"/>
    <x v="6"/>
    <x v="0"/>
    <n v="99"/>
    <n v="5.9"/>
    <n v="27000000"/>
    <n v="8712564"/>
  </r>
  <r>
    <s v="Martian Child"/>
    <x v="773"/>
    <x v="4"/>
    <x v="0"/>
    <n v="106"/>
    <n v="6.8"/>
    <n v="27000000"/>
    <n v="7486906"/>
  </r>
  <r>
    <s v="Spy Kids: All the Time in the World in 4D"/>
    <x v="419"/>
    <x v="0"/>
    <x v="0"/>
    <n v="89"/>
    <n v="3.6"/>
    <n v="27000000"/>
    <n v="38536376"/>
  </r>
  <r>
    <s v="Money Monster"/>
    <x v="774"/>
    <x v="6"/>
    <x v="0"/>
    <n v="98"/>
    <n v="6.7"/>
    <n v="27000000"/>
    <n v="41008532"/>
  </r>
  <r>
    <s v="Formula 51"/>
    <x v="644"/>
    <x v="0"/>
    <x v="0"/>
    <n v="93"/>
    <n v="6.3"/>
    <n v="28000000"/>
    <n v="5204007"/>
  </r>
  <r>
    <s v="Flawless"/>
    <x v="130"/>
    <x v="4"/>
    <x v="0"/>
    <n v="112"/>
    <n v="6.4"/>
    <n v="15000000"/>
    <n v="4485485"/>
  </r>
  <r>
    <s v="Mindhunters"/>
    <x v="196"/>
    <x v="6"/>
    <x v="0"/>
    <n v="101"/>
    <n v="6.4"/>
    <n v="27000000"/>
    <n v="4476235"/>
  </r>
  <r>
    <s v="What Just Happened"/>
    <x v="273"/>
    <x v="4"/>
    <x v="0"/>
    <n v="104"/>
    <n v="5.7"/>
    <n v="25000000"/>
    <n v="1089365"/>
  </r>
  <r>
    <s v="The Statement"/>
    <x v="592"/>
    <x v="2"/>
    <x v="0"/>
    <n v="120"/>
    <n v="6.2"/>
    <n v="23000000"/>
    <n v="763044"/>
  </r>
  <r>
    <s v="The Magic Flute"/>
    <x v="84"/>
    <x v="2"/>
    <x v="0"/>
    <n v="135"/>
    <n v="6.6"/>
    <n v="27000000"/>
    <n v="25078937"/>
  </r>
  <r>
    <s v="Paul Blart: Mall Cop"/>
    <x v="284"/>
    <x v="0"/>
    <x v="0"/>
    <n v="91"/>
    <n v="5.2"/>
    <n v="26000000"/>
    <n v="20819129"/>
  </r>
  <r>
    <s v="Freaky Friday"/>
    <x v="193"/>
    <x v="4"/>
    <x v="0"/>
    <n v="97"/>
    <n v="6.1"/>
    <n v="26000000"/>
    <n v="110222438"/>
  </r>
  <r>
    <s v="The 40-Year-Old Virgin"/>
    <x v="283"/>
    <x v="4"/>
    <x v="0"/>
    <n v="133"/>
    <n v="7.1"/>
    <n v="26000000"/>
    <n v="109243478"/>
  </r>
  <r>
    <s v="Shakespeare in Love"/>
    <x v="393"/>
    <x v="4"/>
    <x v="0"/>
    <n v="123"/>
    <n v="7.2"/>
    <n v="25000000"/>
    <n v="100241322"/>
  </r>
  <r>
    <s v="A Walk Among the Tombstones"/>
    <x v="775"/>
    <x v="6"/>
    <x v="0"/>
    <n v="114"/>
    <n v="6.5"/>
    <n v="28000000"/>
    <n v="25977365"/>
  </r>
  <r>
    <s v="Kindergarten Cop"/>
    <x v="242"/>
    <x v="0"/>
    <x v="0"/>
    <n v="111"/>
    <n v="6"/>
    <n v="26000000"/>
    <n v="91457688"/>
  </r>
  <r>
    <s v="Pineapple Express"/>
    <x v="469"/>
    <x v="0"/>
    <x v="0"/>
    <n v="117"/>
    <n v="7"/>
    <n v="27000000"/>
    <n v="87341380"/>
  </r>
  <r>
    <s v="Ever After: A Cinderella Story"/>
    <x v="275"/>
    <x v="4"/>
    <x v="0"/>
    <n v="121"/>
    <n v="7"/>
    <n v="26000000"/>
    <n v="65703412"/>
  </r>
  <r>
    <s v="Open Range"/>
    <x v="256"/>
    <x v="2"/>
    <x v="0"/>
    <n v="139"/>
    <n v="7.5"/>
    <n v="22000000"/>
    <n v="58328680"/>
  </r>
  <r>
    <s v="Flatliners"/>
    <x v="130"/>
    <x v="2"/>
    <x v="0"/>
    <n v="115"/>
    <n v="6.6"/>
    <n v="26000000"/>
    <n v="61490000"/>
  </r>
  <r>
    <s v="A Bridge Too Far"/>
    <x v="750"/>
    <x v="2"/>
    <x v="0"/>
    <n v="175"/>
    <n v="7.4"/>
    <n v="26000000"/>
    <n v="50800000"/>
  </r>
  <r>
    <s v="Red Eye"/>
    <x v="544"/>
    <x v="5"/>
    <x v="0"/>
    <n v="85"/>
    <n v="6.5"/>
    <n v="26000000"/>
    <n v="57859105"/>
  </r>
  <r>
    <s v="Final Destination 2"/>
    <x v="500"/>
    <x v="11"/>
    <x v="0"/>
    <n v="90"/>
    <n v="6.2"/>
    <n v="26000000"/>
    <n v="46455802"/>
  </r>
  <r>
    <s v="O Brother, Where Art Thou?"/>
    <x v="371"/>
    <x v="1"/>
    <x v="0"/>
    <n v="107"/>
    <n v="7.8"/>
    <n v="26000000"/>
    <n v="45506619"/>
  </r>
  <r>
    <s v="Legion"/>
    <x v="374"/>
    <x v="0"/>
    <x v="0"/>
    <n v="100"/>
    <n v="5.2"/>
    <n v="26000000"/>
    <n v="40168080"/>
  </r>
  <r>
    <s v="Pain &amp; Gain"/>
    <x v="26"/>
    <x v="4"/>
    <x v="0"/>
    <n v="129"/>
    <n v="6.5"/>
    <n v="26000000"/>
    <n v="49874933"/>
  </r>
  <r>
    <s v="In Good Company"/>
    <x v="162"/>
    <x v="4"/>
    <x v="0"/>
    <n v="109"/>
    <n v="6.5"/>
    <n v="26000000"/>
    <n v="45489752"/>
  </r>
  <r>
    <s v="Clockstoppers"/>
    <x v="294"/>
    <x v="0"/>
    <x v="0"/>
    <n v="94"/>
    <n v="5.2"/>
    <n v="26000000"/>
    <n v="36985501"/>
  </r>
  <r>
    <s v="Silverado"/>
    <x v="317"/>
    <x v="0"/>
    <x v="0"/>
    <n v="133"/>
    <n v="7.2"/>
    <n v="26000000"/>
    <n v="33200000"/>
  </r>
  <r>
    <s v="Brothers"/>
    <x v="470"/>
    <x v="2"/>
    <x v="0"/>
    <n v="105"/>
    <n v="7.1"/>
    <n v="26000000"/>
    <n v="28501651"/>
  </r>
  <r>
    <s v="Agent Cody Banks 2: Destination London"/>
    <x v="776"/>
    <x v="0"/>
    <x v="0"/>
    <n v="100"/>
    <n v="4.5"/>
    <n v="26000000"/>
    <n v="23222861"/>
  </r>
  <r>
    <s v="New Year's Eve"/>
    <x v="289"/>
    <x v="4"/>
    <x v="0"/>
    <n v="113"/>
    <n v="5.7"/>
    <n v="56000000"/>
    <n v="54540525"/>
  </r>
  <r>
    <s v="Original Sin"/>
    <x v="777"/>
    <x v="2"/>
    <x v="0"/>
    <n v="118"/>
    <n v="6"/>
    <n v="42000000"/>
    <n v="16252765"/>
  </r>
  <r>
    <s v="The Raven"/>
    <x v="442"/>
    <x v="6"/>
    <x v="0"/>
    <n v="110"/>
    <n v="6.4"/>
    <n v="26000000"/>
    <n v="16005978"/>
  </r>
  <r>
    <s v="Welcome to Mooseport"/>
    <x v="368"/>
    <x v="4"/>
    <x v="0"/>
    <n v="110"/>
    <n v="5.2"/>
    <n v="26000000"/>
    <n v="14469428"/>
  </r>
  <r>
    <s v="Highlander: The Final Dimension"/>
    <x v="778"/>
    <x v="0"/>
    <x v="0"/>
    <n v="99"/>
    <n v="4.3"/>
    <n v="26000000"/>
    <n v="13829734"/>
  </r>
  <r>
    <s v="Blood and Wine"/>
    <x v="779"/>
    <x v="6"/>
    <x v="0"/>
    <n v="101"/>
    <n v="6.1"/>
    <n v="22000000"/>
    <n v="1075288"/>
  </r>
  <r>
    <s v="Snow White: A Tale of Terror"/>
    <x v="780"/>
    <x v="8"/>
    <x v="0"/>
    <n v="100"/>
    <n v="6.3"/>
    <n v="26000000"/>
    <n v="25078937"/>
  </r>
  <r>
    <s v="The Curse of the Jade Scorpion"/>
    <x v="691"/>
    <x v="4"/>
    <x v="0"/>
    <n v="103"/>
    <n v="6.8"/>
    <n v="26000000"/>
    <n v="7496522"/>
  </r>
  <r>
    <s v="Accidental Love"/>
    <x v="359"/>
    <x v="4"/>
    <x v="0"/>
    <n v="100"/>
    <n v="4"/>
    <n v="26000000"/>
    <n v="25078937"/>
  </r>
  <r>
    <s v="Flipper"/>
    <x v="781"/>
    <x v="1"/>
    <x v="0"/>
    <n v="95"/>
    <n v="5.2"/>
    <n v="25530000"/>
    <n v="20047715"/>
  </r>
  <r>
    <s v="Self/less"/>
    <x v="224"/>
    <x v="0"/>
    <x v="0"/>
    <n v="117"/>
    <n v="6.5"/>
    <n v="26000000"/>
    <n v="12276810"/>
  </r>
  <r>
    <s v="The Constant Gardener"/>
    <x v="782"/>
    <x v="2"/>
    <x v="0"/>
    <n v="129"/>
    <n v="7.5"/>
    <n v="15000000"/>
    <n v="33565375"/>
  </r>
  <r>
    <s v="The Passion of the Christ"/>
    <x v="285"/>
    <x v="2"/>
    <x v="14"/>
    <n v="120"/>
    <n v="7.1"/>
    <n v="30000000"/>
    <n v="499263"/>
  </r>
  <r>
    <s v="Mrs. Doubtfire"/>
    <x v="123"/>
    <x v="4"/>
    <x v="0"/>
    <n v="125"/>
    <n v="6.9"/>
    <n v="25000000"/>
    <n v="219200000"/>
  </r>
  <r>
    <s v="Rain Man"/>
    <x v="273"/>
    <x v="2"/>
    <x v="0"/>
    <n v="133"/>
    <n v="8"/>
    <n v="25000000"/>
    <n v="172825435"/>
  </r>
  <r>
    <s v="Gran Torino"/>
    <x v="322"/>
    <x v="2"/>
    <x v="0"/>
    <n v="116"/>
    <n v="8.1999999999999993"/>
    <n v="33000000"/>
    <n v="148085755"/>
  </r>
  <r>
    <s v="W."/>
    <x v="77"/>
    <x v="7"/>
    <x v="0"/>
    <n v="129"/>
    <n v="6.4"/>
    <n v="25100000"/>
    <n v="25517500"/>
  </r>
  <r>
    <s v="Taken"/>
    <x v="426"/>
    <x v="0"/>
    <x v="0"/>
    <n v="93"/>
    <n v="7.9"/>
    <n v="25000000"/>
    <n v="145000989"/>
  </r>
  <r>
    <s v="The Best of Me"/>
    <x v="783"/>
    <x v="2"/>
    <x v="0"/>
    <n v="118"/>
    <n v="6.7"/>
    <n v="26000000"/>
    <n v="26761283"/>
  </r>
  <r>
    <s v="The Bodyguard"/>
    <x v="206"/>
    <x v="0"/>
    <x v="0"/>
    <n v="129"/>
    <n v="6.1"/>
    <n v="25000000"/>
    <n v="121945720"/>
  </r>
  <r>
    <s v="Schindler's List"/>
    <x v="37"/>
    <x v="7"/>
    <x v="0"/>
    <n v="185"/>
    <n v="8.9"/>
    <n v="22000000"/>
    <n v="96067179"/>
  </r>
  <r>
    <s v="The Help"/>
    <x v="711"/>
    <x v="2"/>
    <x v="0"/>
    <n v="146"/>
    <n v="8.1"/>
    <n v="25000000"/>
    <n v="169705587"/>
  </r>
  <r>
    <s v="The Fifth Estate"/>
    <x v="110"/>
    <x v="7"/>
    <x v="0"/>
    <n v="128"/>
    <n v="6.2"/>
    <n v="28000000"/>
    <n v="3254172"/>
  </r>
  <r>
    <s v="Scooby-Doo 2: Monsters Unleashed"/>
    <x v="151"/>
    <x v="1"/>
    <x v="0"/>
    <n v="93"/>
    <n v="4.9000000000000004"/>
    <n v="80000000"/>
    <n v="84185387"/>
  </r>
  <r>
    <s v="Viy"/>
    <x v="784"/>
    <x v="1"/>
    <x v="8"/>
    <n v="107"/>
    <n v="5.4"/>
    <n v="26000000"/>
    <n v="25078937"/>
  </r>
  <r>
    <s v="Freddy vs. Jason"/>
    <x v="644"/>
    <x v="0"/>
    <x v="0"/>
    <n v="97"/>
    <n v="5.8"/>
    <n v="30000000"/>
    <n v="82163317"/>
  </r>
  <r>
    <s v="The Face of an Angel"/>
    <x v="785"/>
    <x v="2"/>
    <x v="0"/>
    <n v="101"/>
    <n v="4.7"/>
    <n v="20000000"/>
    <n v="25078937"/>
  </r>
  <r>
    <s v="Jimmy Neutron: Boy Genius"/>
    <x v="502"/>
    <x v="0"/>
    <x v="0"/>
    <n v="82"/>
    <n v="6"/>
    <n v="30000000"/>
    <n v="80920948"/>
  </r>
  <r>
    <s v="Cloverfield"/>
    <x v="56"/>
    <x v="0"/>
    <x v="0"/>
    <n v="85"/>
    <n v="7"/>
    <n v="25000000"/>
    <n v="80034302"/>
  </r>
  <r>
    <s v="Teenage Mutant Ninja Turtles II: The Secret of the Ooze"/>
    <x v="786"/>
    <x v="0"/>
    <x v="0"/>
    <n v="88"/>
    <n v="6"/>
    <n v="25000000"/>
    <n v="78656813"/>
  </r>
  <r>
    <s v="The Untouchables"/>
    <x v="205"/>
    <x v="6"/>
    <x v="0"/>
    <n v="119"/>
    <n v="7.9"/>
    <n v="25000000"/>
    <n v="76270454"/>
  </r>
  <r>
    <s v="No Country for Old Men"/>
    <x v="603"/>
    <x v="6"/>
    <x v="0"/>
    <n v="122"/>
    <n v="8.1"/>
    <n v="25000000"/>
    <n v="74273505"/>
  </r>
  <r>
    <s v="Ride Along"/>
    <x v="132"/>
    <x v="0"/>
    <x v="0"/>
    <n v="99"/>
    <n v="6.2"/>
    <n v="25000000"/>
    <n v="134141530"/>
  </r>
  <r>
    <s v="Bridget Jones's Diary"/>
    <x v="787"/>
    <x v="4"/>
    <x v="0"/>
    <n v="97"/>
    <n v="6.7"/>
    <n v="26000000"/>
    <n v="71500556"/>
  </r>
  <r>
    <s v="Chocolat"/>
    <x v="640"/>
    <x v="2"/>
    <x v="0"/>
    <n v="121"/>
    <n v="7.3"/>
    <n v="25000000"/>
    <n v="71309760"/>
  </r>
  <r>
    <s v="Legally Blonde 2: Red, White &amp; Blonde"/>
    <x v="788"/>
    <x v="4"/>
    <x v="0"/>
    <n v="95"/>
    <n v="4.5999999999999996"/>
    <n v="45000000"/>
    <n v="89808372"/>
  </r>
  <r>
    <s v="Parental Guidance"/>
    <x v="441"/>
    <x v="4"/>
    <x v="0"/>
    <n v="105"/>
    <n v="6.1"/>
    <n v="25000000"/>
    <n v="77264926"/>
  </r>
  <r>
    <s v="No Strings Attached"/>
    <x v="242"/>
    <x v="4"/>
    <x v="0"/>
    <n v="108"/>
    <n v="6.2"/>
    <n v="25000000"/>
    <n v="70625986"/>
  </r>
  <r>
    <s v="Tombstone"/>
    <x v="513"/>
    <x v="0"/>
    <x v="0"/>
    <n v="134"/>
    <n v="7.8"/>
    <n v="25000000"/>
    <n v="56505065"/>
  </r>
  <r>
    <s v="Romeo Must Die"/>
    <x v="297"/>
    <x v="0"/>
    <x v="0"/>
    <n v="115"/>
    <n v="6.1"/>
    <n v="25000000"/>
    <n v="55973336"/>
  </r>
  <r>
    <s v="The Omen"/>
    <x v="104"/>
    <x v="8"/>
    <x v="0"/>
    <n v="107"/>
    <n v="7.6"/>
    <n v="2800000"/>
    <n v="25078937"/>
  </r>
  <r>
    <s v="Final Destination 3"/>
    <x v="477"/>
    <x v="11"/>
    <x v="0"/>
    <n v="86"/>
    <n v="5.8"/>
    <n v="25000000"/>
    <n v="54098051"/>
  </r>
  <r>
    <s v="The Lucky One"/>
    <x v="611"/>
    <x v="2"/>
    <x v="0"/>
    <n v="101"/>
    <n v="6.5"/>
    <n v="25000000"/>
    <n v="60443237"/>
  </r>
  <r>
    <s v="Bridge to Terabithia"/>
    <x v="789"/>
    <x v="1"/>
    <x v="0"/>
    <n v="96"/>
    <n v="7.2"/>
    <n v="17000000"/>
    <n v="82234139"/>
  </r>
  <r>
    <s v="Finding Neverland"/>
    <x v="11"/>
    <x v="7"/>
    <x v="0"/>
    <n v="101"/>
    <n v="7.8"/>
    <n v="25000000"/>
    <n v="51676606"/>
  </r>
  <r>
    <s v="A Madea Christmas"/>
    <x v="790"/>
    <x v="4"/>
    <x v="0"/>
    <n v="100"/>
    <n v="4.7"/>
    <n v="25000000"/>
    <n v="52528330"/>
  </r>
  <r>
    <s v="The Grey"/>
    <x v="791"/>
    <x v="0"/>
    <x v="0"/>
    <n v="117"/>
    <n v="6.8"/>
    <n v="25000000"/>
    <n v="51533608"/>
  </r>
  <r>
    <s v="Hide and Seek"/>
    <x v="792"/>
    <x v="2"/>
    <x v="0"/>
    <n v="101"/>
    <n v="5.9"/>
    <n v="30000000"/>
    <n v="51097664"/>
  </r>
  <r>
    <s v="Anchorman: The Legend of Ron Burgundy"/>
    <x v="163"/>
    <x v="4"/>
    <x v="0"/>
    <n v="98"/>
    <n v="7.2"/>
    <n v="26000000"/>
    <n v="84136909"/>
  </r>
  <r>
    <s v="Goodfellas"/>
    <x v="47"/>
    <x v="7"/>
    <x v="0"/>
    <n v="146"/>
    <n v="8.6999999999999993"/>
    <n v="25000000"/>
    <n v="46836394"/>
  </r>
  <r>
    <s v="Agent Cody Banks"/>
    <x v="380"/>
    <x v="0"/>
    <x v="0"/>
    <n v="102"/>
    <n v="5"/>
    <n v="26000000"/>
    <n v="47285499"/>
  </r>
  <r>
    <s v="Nanny McPhee"/>
    <x v="602"/>
    <x v="4"/>
    <x v="0"/>
    <n v="97"/>
    <n v="6.6"/>
    <n v="25000000"/>
    <n v="47124400"/>
  </r>
  <r>
    <s v="Scarface"/>
    <x v="205"/>
    <x v="6"/>
    <x v="0"/>
    <n v="142"/>
    <n v="8.3000000000000007"/>
    <n v="25000000"/>
    <n v="44700000"/>
  </r>
  <r>
    <s v="Nothing to Lose"/>
    <x v="428"/>
    <x v="0"/>
    <x v="0"/>
    <n v="98"/>
    <n v="6.7"/>
    <n v="25000000"/>
    <n v="44455658"/>
  </r>
  <r>
    <s v="The Last Emperor"/>
    <x v="793"/>
    <x v="7"/>
    <x v="0"/>
    <n v="219"/>
    <n v="7.8"/>
    <n v="23000000"/>
    <n v="43984230"/>
  </r>
  <r>
    <s v="Contraband"/>
    <x v="333"/>
    <x v="0"/>
    <x v="0"/>
    <n v="109"/>
    <n v="6.5"/>
    <n v="25000000"/>
    <n v="66489425"/>
  </r>
  <r>
    <s v="Money Talks"/>
    <x v="24"/>
    <x v="0"/>
    <x v="0"/>
    <n v="97"/>
    <n v="6.1"/>
    <n v="25000000"/>
    <n v="41067398"/>
  </r>
  <r>
    <s v="There Will Be Blood"/>
    <x v="598"/>
    <x v="2"/>
    <x v="0"/>
    <n v="158"/>
    <n v="8.1"/>
    <n v="25000000"/>
    <n v="40218903"/>
  </r>
  <r>
    <s v="The Wild Thornberrys Movie"/>
    <x v="794"/>
    <x v="1"/>
    <x v="0"/>
    <n v="85"/>
    <n v="5.2"/>
    <n v="25000000"/>
    <n v="39880476"/>
  </r>
  <r>
    <s v="Rugrats Go Wild"/>
    <x v="795"/>
    <x v="1"/>
    <x v="0"/>
    <n v="80"/>
    <n v="5.6"/>
    <n v="25000000"/>
    <n v="39399750"/>
  </r>
  <r>
    <s v="Undercover Brother"/>
    <x v="575"/>
    <x v="0"/>
    <x v="0"/>
    <n v="86"/>
    <n v="5.8"/>
    <n v="25000000"/>
    <n v="38230435"/>
  </r>
  <r>
    <s v="The Sisterhood of the Traveling Pants"/>
    <x v="543"/>
    <x v="4"/>
    <x v="0"/>
    <n v="119"/>
    <n v="6.6"/>
    <n v="25000000"/>
    <n v="39008741"/>
  </r>
  <r>
    <s v="Kiss of the Dragon"/>
    <x v="796"/>
    <x v="0"/>
    <x v="0"/>
    <n v="98"/>
    <n v="6.6"/>
    <n v="25000000"/>
    <n v="36833473"/>
  </r>
  <r>
    <s v="The House Bunny"/>
    <x v="797"/>
    <x v="4"/>
    <x v="0"/>
    <n v="97"/>
    <n v="5.5"/>
    <n v="25000000"/>
    <n v="48237389"/>
  </r>
  <r>
    <s v="Beauty Shop"/>
    <x v="798"/>
    <x v="4"/>
    <x v="0"/>
    <n v="105"/>
    <n v="5.5"/>
    <n v="20000000"/>
    <n v="36310118"/>
  </r>
  <r>
    <s v="Million Dollar Arm"/>
    <x v="313"/>
    <x v="7"/>
    <x v="0"/>
    <n v="124"/>
    <n v="7"/>
    <n v="25000000"/>
    <n v="36447959"/>
  </r>
  <r>
    <s v="The Giver"/>
    <x v="118"/>
    <x v="2"/>
    <x v="0"/>
    <n v="97"/>
    <n v="6.5"/>
    <n v="25000000"/>
    <n v="45089048"/>
  </r>
  <r>
    <s v="What a Girl Wants"/>
    <x v="571"/>
    <x v="4"/>
    <x v="0"/>
    <n v="105"/>
    <n v="5.8"/>
    <n v="20000000"/>
    <n v="35990505"/>
  </r>
  <r>
    <s v="Jeepers Creepers II"/>
    <x v="799"/>
    <x v="11"/>
    <x v="0"/>
    <n v="104"/>
    <n v="5.6"/>
    <n v="17000000"/>
    <n v="35143332"/>
  </r>
  <r>
    <s v="Good Luck Chuck"/>
    <x v="800"/>
    <x v="4"/>
    <x v="0"/>
    <n v="101"/>
    <n v="5.6"/>
    <n v="25000000"/>
    <n v="35000629"/>
  </r>
  <r>
    <s v="Cradle 2 the Grave"/>
    <x v="297"/>
    <x v="0"/>
    <x v="0"/>
    <n v="101"/>
    <n v="5.8"/>
    <n v="30000000"/>
    <n v="34604054"/>
  </r>
  <r>
    <s v="The Hours"/>
    <x v="560"/>
    <x v="2"/>
    <x v="0"/>
    <n v="114"/>
    <n v="7.6"/>
    <n v="25000000"/>
    <n v="41597830"/>
  </r>
  <r>
    <s v="She's the Man"/>
    <x v="441"/>
    <x v="4"/>
    <x v="0"/>
    <n v="105"/>
    <n v="6.4"/>
    <n v="20000000"/>
    <n v="33687630"/>
  </r>
  <r>
    <s v="Mr. Bean's Holiday"/>
    <x v="801"/>
    <x v="4"/>
    <x v="0"/>
    <n v="90"/>
    <n v="6.3"/>
    <n v="25000000"/>
    <n v="32553210"/>
  </r>
  <r>
    <s v="Anacondas: The Hunt for the Blood Orchid"/>
    <x v="802"/>
    <x v="0"/>
    <x v="0"/>
    <n v="97"/>
    <n v="4.5999999999999996"/>
    <n v="25000000"/>
    <n v="31526393"/>
  </r>
  <r>
    <s v="Blood Ties"/>
    <x v="803"/>
    <x v="6"/>
    <x v="0"/>
    <n v="144"/>
    <n v="6.5"/>
    <n v="25500000"/>
    <n v="41229"/>
  </r>
  <r>
    <s v="August Rush"/>
    <x v="804"/>
    <x v="2"/>
    <x v="0"/>
    <n v="114"/>
    <n v="7.5"/>
    <n v="30000000"/>
    <n v="31655091"/>
  </r>
  <r>
    <s v="Elizabeth"/>
    <x v="409"/>
    <x v="7"/>
    <x v="0"/>
    <n v="124"/>
    <n v="7.5"/>
    <n v="25000000"/>
    <n v="30012990"/>
  </r>
  <r>
    <s v="Bride of Chucky"/>
    <x v="644"/>
    <x v="4"/>
    <x v="0"/>
    <n v="89"/>
    <n v="5.3"/>
    <n v="25000000"/>
    <n v="32368960"/>
  </r>
  <r>
    <s v="Tora! Tora! Tora!"/>
    <x v="805"/>
    <x v="0"/>
    <x v="0"/>
    <n v="160"/>
    <n v="7.5"/>
    <n v="25000000"/>
    <n v="14500000"/>
  </r>
  <r>
    <s v="Spice World"/>
    <x v="806"/>
    <x v="4"/>
    <x v="0"/>
    <n v="93"/>
    <n v="3.3"/>
    <n v="25000000"/>
    <n v="29247405"/>
  </r>
  <r>
    <s v="The Sitter"/>
    <x v="469"/>
    <x v="4"/>
    <x v="0"/>
    <n v="87"/>
    <n v="5.7"/>
    <n v="20000000"/>
    <n v="30538669"/>
  </r>
  <r>
    <s v="Dance Flick"/>
    <x v="807"/>
    <x v="0"/>
    <x v="0"/>
    <n v="88"/>
    <n v="3.5"/>
    <n v="25000000"/>
    <n v="25615792"/>
  </r>
  <r>
    <s v="The Shawshank Redemption"/>
    <x v="287"/>
    <x v="6"/>
    <x v="0"/>
    <n v="142"/>
    <n v="9.3000000000000007"/>
    <n v="25000000"/>
    <n v="28341469"/>
  </r>
  <r>
    <s v="Crocodile Dundee in Los Angeles"/>
    <x v="510"/>
    <x v="1"/>
    <x v="0"/>
    <n v="92"/>
    <n v="4.8"/>
    <n v="21150000"/>
    <n v="25590119"/>
  </r>
  <r>
    <s v="Kingpin"/>
    <x v="303"/>
    <x v="4"/>
    <x v="0"/>
    <n v="117"/>
    <n v="6.9"/>
    <n v="27000000"/>
    <n v="24944213"/>
  </r>
  <r>
    <s v="The Gambler"/>
    <x v="192"/>
    <x v="6"/>
    <x v="0"/>
    <n v="111"/>
    <n v="6"/>
    <n v="25000000"/>
    <n v="33631221"/>
  </r>
  <r>
    <s v="August: Osage County"/>
    <x v="808"/>
    <x v="2"/>
    <x v="0"/>
    <n v="121"/>
    <n v="7.3"/>
    <n v="25000000"/>
    <n v="37738400"/>
  </r>
  <r>
    <s v="Ice Princess"/>
    <x v="809"/>
    <x v="4"/>
    <x v="0"/>
    <n v="98"/>
    <n v="6"/>
    <n v="20000000"/>
    <n v="24381334"/>
  </r>
  <r>
    <s v="A Lot Like Love"/>
    <x v="810"/>
    <x v="4"/>
    <x v="0"/>
    <n v="107"/>
    <n v="6.6"/>
    <n v="30000000"/>
    <n v="21835784"/>
  </r>
  <r>
    <s v="Eddie the Eagle"/>
    <x v="811"/>
    <x v="7"/>
    <x v="0"/>
    <n v="106"/>
    <n v="7.5"/>
    <n v="23000000"/>
    <n v="15785632"/>
  </r>
  <r>
    <s v="He Got Game"/>
    <x v="433"/>
    <x v="2"/>
    <x v="0"/>
    <n v="136"/>
    <n v="6.9"/>
    <n v="25000000"/>
    <n v="21554585"/>
  </r>
  <r>
    <s v="Don Juan DeMarco"/>
    <x v="812"/>
    <x v="4"/>
    <x v="0"/>
    <n v="97"/>
    <n v="6.8"/>
    <n v="25000000"/>
    <n v="22200000"/>
  </r>
  <r>
    <s v="Dear John"/>
    <x v="640"/>
    <x v="2"/>
    <x v="0"/>
    <n v="108"/>
    <n v="6.3"/>
    <n v="25000000"/>
    <n v="80014842"/>
  </r>
  <r>
    <s v="The Losers"/>
    <x v="813"/>
    <x v="0"/>
    <x v="0"/>
    <n v="97"/>
    <n v="6.4"/>
    <n v="25000000"/>
    <n v="23527955"/>
  </r>
  <r>
    <s v="Don't Be Afraid of the Dark"/>
    <x v="814"/>
    <x v="8"/>
    <x v="0"/>
    <n v="99"/>
    <n v="5.6"/>
    <n v="25000000"/>
    <n v="24042490"/>
  </r>
  <r>
    <s v="War"/>
    <x v="815"/>
    <x v="0"/>
    <x v="0"/>
    <n v="103"/>
    <n v="6.3"/>
    <n v="25000000"/>
    <n v="22466994"/>
  </r>
  <r>
    <s v="Punch-Drunk Love"/>
    <x v="598"/>
    <x v="4"/>
    <x v="0"/>
    <n v="95"/>
    <n v="7.3"/>
    <n v="25000000"/>
    <n v="17791031"/>
  </r>
  <r>
    <s v="EuroTrip"/>
    <x v="816"/>
    <x v="4"/>
    <x v="0"/>
    <n v="93"/>
    <n v="6.6"/>
    <n v="25000000"/>
    <n v="17718223"/>
  </r>
  <r>
    <s v="Half Past Dead"/>
    <x v="817"/>
    <x v="0"/>
    <x v="0"/>
    <n v="98"/>
    <n v="4.5999999999999996"/>
    <n v="13000000"/>
    <n v="15361537"/>
  </r>
  <r>
    <s v="Unaccompanied Minors"/>
    <x v="98"/>
    <x v="1"/>
    <x v="0"/>
    <n v="90"/>
    <n v="5.0999999999999996"/>
    <n v="26000000"/>
    <n v="16647384"/>
  </r>
  <r>
    <s v="Bright Lights, Big City"/>
    <x v="818"/>
    <x v="2"/>
    <x v="0"/>
    <n v="107"/>
    <n v="5.6"/>
    <n v="25000000"/>
    <n v="16118077"/>
  </r>
  <r>
    <s v="The Adventures of Pinocchio"/>
    <x v="819"/>
    <x v="1"/>
    <x v="15"/>
    <n v="90"/>
    <n v="5.3"/>
    <n v="25000000"/>
    <n v="15091542"/>
  </r>
  <r>
    <s v="The Greatest Game Ever Played"/>
    <x v="820"/>
    <x v="2"/>
    <x v="0"/>
    <n v="120"/>
    <n v="7.5"/>
    <n v="20000000"/>
    <n v="15331289"/>
  </r>
  <r>
    <s v="The Box"/>
    <x v="821"/>
    <x v="2"/>
    <x v="0"/>
    <n v="115"/>
    <n v="5.6"/>
    <n v="16000000"/>
    <n v="15045676"/>
  </r>
  <r>
    <s v="The Ruins"/>
    <x v="822"/>
    <x v="11"/>
    <x v="0"/>
    <n v="93"/>
    <n v="5.9"/>
    <n v="8000000"/>
    <n v="17427926"/>
  </r>
  <r>
    <s v="The Next Best Thing"/>
    <x v="823"/>
    <x v="4"/>
    <x v="0"/>
    <n v="99"/>
    <n v="4.7"/>
    <n v="25000000"/>
    <n v="14983572"/>
  </r>
  <r>
    <s v="My Soul to Take"/>
    <x v="544"/>
    <x v="11"/>
    <x v="0"/>
    <n v="107"/>
    <n v="4.8"/>
    <n v="25000000"/>
    <n v="14637490"/>
  </r>
  <r>
    <s v="The Girl Next Door"/>
    <x v="622"/>
    <x v="4"/>
    <x v="0"/>
    <n v="110"/>
    <n v="6.8"/>
    <n v="25000000"/>
    <n v="14589444"/>
  </r>
  <r>
    <s v="Maximum Risk"/>
    <x v="824"/>
    <x v="0"/>
    <x v="0"/>
    <n v="101"/>
    <n v="5.4"/>
    <n v="25000000"/>
    <n v="14095303"/>
  </r>
  <r>
    <s v="Stealing Harvard"/>
    <x v="825"/>
    <x v="4"/>
    <x v="0"/>
    <n v="85"/>
    <n v="5.0999999999999996"/>
    <n v="25000000"/>
    <n v="13973532"/>
  </r>
  <r>
    <s v="Legend"/>
    <x v="434"/>
    <x v="7"/>
    <x v="0"/>
    <n v="132"/>
    <n v="7"/>
    <n v="30000000"/>
    <n v="1865774"/>
  </r>
  <r>
    <s v="Hot Rod"/>
    <x v="405"/>
    <x v="4"/>
    <x v="0"/>
    <n v="88"/>
    <n v="6.7"/>
    <n v="20000000"/>
    <n v="13920741"/>
  </r>
  <r>
    <s v="Shark Night 3D"/>
    <x v="500"/>
    <x v="11"/>
    <x v="0"/>
    <n v="90"/>
    <n v="4"/>
    <n v="25000000"/>
    <n v="18860403"/>
  </r>
  <r>
    <s v="Angela's Ashes"/>
    <x v="402"/>
    <x v="2"/>
    <x v="0"/>
    <n v="145"/>
    <n v="7.3"/>
    <n v="25000000"/>
    <n v="13038660"/>
  </r>
  <r>
    <s v="Draft Day"/>
    <x v="242"/>
    <x v="2"/>
    <x v="0"/>
    <n v="110"/>
    <n v="6.8"/>
    <n v="25000000"/>
    <n v="28831145"/>
  </r>
  <r>
    <s v="Lifeforce"/>
    <x v="620"/>
    <x v="0"/>
    <x v="0"/>
    <n v="101"/>
    <n v="6.1"/>
    <n v="25000000"/>
    <n v="25078937"/>
  </r>
  <r>
    <s v="The Conspirator"/>
    <x v="347"/>
    <x v="6"/>
    <x v="0"/>
    <n v="122"/>
    <n v="7"/>
    <n v="25000000"/>
    <n v="11538204"/>
  </r>
  <r>
    <s v="Lords of Dogtown"/>
    <x v="530"/>
    <x v="7"/>
    <x v="0"/>
    <n v="107"/>
    <n v="7.1"/>
    <n v="25000000"/>
    <n v="11008432"/>
  </r>
  <r>
    <s v="The 33"/>
    <x v="826"/>
    <x v="7"/>
    <x v="0"/>
    <n v="127"/>
    <n v="6.9"/>
    <n v="26000000"/>
    <n v="12188642"/>
  </r>
  <r>
    <s v="Big Trouble in Little China"/>
    <x v="465"/>
    <x v="0"/>
    <x v="0"/>
    <n v="99"/>
    <n v="7.3"/>
    <n v="25000000"/>
    <n v="11100000"/>
  </r>
  <r>
    <s v="A Perfect Plan"/>
    <x v="827"/>
    <x v="4"/>
    <x v="2"/>
    <n v="104"/>
    <n v="6.3"/>
    <n v="17000000"/>
    <n v="25078937"/>
  </r>
  <r>
    <s v="Warrior"/>
    <x v="724"/>
    <x v="2"/>
    <x v="0"/>
    <n v="140"/>
    <n v="8.1999999999999993"/>
    <n v="25000000"/>
    <n v="13651662"/>
  </r>
  <r>
    <s v="Michael Collins"/>
    <x v="431"/>
    <x v="7"/>
    <x v="0"/>
    <n v="133"/>
    <n v="7.1"/>
    <n v="28000000"/>
    <n v="11030963"/>
  </r>
  <r>
    <s v="Gettysburg"/>
    <x v="411"/>
    <x v="2"/>
    <x v="0"/>
    <n v="271"/>
    <n v="7.7"/>
    <n v="25000000"/>
    <n v="10769960"/>
  </r>
  <r>
    <s v="Stop-Loss"/>
    <x v="704"/>
    <x v="2"/>
    <x v="0"/>
    <n v="112"/>
    <n v="6.5"/>
    <n v="25000000"/>
    <n v="10911750"/>
  </r>
  <r>
    <s v="Abandon"/>
    <x v="448"/>
    <x v="2"/>
    <x v="0"/>
    <n v="99"/>
    <n v="4.9000000000000004"/>
    <n v="25000000"/>
    <n v="10719367"/>
  </r>
  <r>
    <s v="Brokedown Palace"/>
    <x v="828"/>
    <x v="2"/>
    <x v="0"/>
    <n v="100"/>
    <n v="6.4"/>
    <n v="25000000"/>
    <n v="10114315"/>
  </r>
  <r>
    <s v="The Possession"/>
    <x v="829"/>
    <x v="11"/>
    <x v="0"/>
    <n v="92"/>
    <n v="5.9"/>
    <n v="14000000"/>
    <n v="49122319"/>
  </r>
  <r>
    <s v="Mrs. Winterbourne"/>
    <x v="830"/>
    <x v="4"/>
    <x v="0"/>
    <n v="105"/>
    <n v="6.2"/>
    <n v="25000000"/>
    <n v="10070000"/>
  </r>
  <r>
    <s v="Straw Dogs"/>
    <x v="377"/>
    <x v="0"/>
    <x v="0"/>
    <n v="110"/>
    <n v="5.8"/>
    <n v="25000000"/>
    <n v="10324441"/>
  </r>
  <r>
    <s v="The Hoax"/>
    <x v="640"/>
    <x v="4"/>
    <x v="0"/>
    <n v="116"/>
    <n v="6.7"/>
    <n v="25000000"/>
    <n v="7156933"/>
  </r>
  <r>
    <s v="Stone Cold"/>
    <x v="831"/>
    <x v="0"/>
    <x v="0"/>
    <n v="88"/>
    <n v="5.9"/>
    <n v="17000000"/>
    <n v="9286314"/>
  </r>
  <r>
    <s v="The Road"/>
    <x v="832"/>
    <x v="1"/>
    <x v="0"/>
    <n v="111"/>
    <n v="7.3"/>
    <n v="25000000"/>
    <n v="56692"/>
  </r>
  <r>
    <s v="Sheena"/>
    <x v="833"/>
    <x v="1"/>
    <x v="0"/>
    <n v="117"/>
    <n v="4.8"/>
    <n v="25000000"/>
    <n v="25078937"/>
  </r>
  <r>
    <s v="Underclassman"/>
    <x v="834"/>
    <x v="0"/>
    <x v="0"/>
    <n v="95"/>
    <n v="4.0999999999999996"/>
    <n v="25000000"/>
    <n v="5654777"/>
  </r>
  <r>
    <s v="Say It Isn't So"/>
    <x v="679"/>
    <x v="4"/>
    <x v="0"/>
    <n v="95"/>
    <n v="4.9000000000000004"/>
    <n v="25000000"/>
    <n v="5516708"/>
  </r>
  <r>
    <s v="The World's Fastest Indian"/>
    <x v="143"/>
    <x v="7"/>
    <x v="0"/>
    <n v="127"/>
    <n v="7.9"/>
    <n v="25000000"/>
    <n v="5128124"/>
  </r>
  <r>
    <s v="Tank Girl"/>
    <x v="835"/>
    <x v="0"/>
    <x v="0"/>
    <n v="104"/>
    <n v="5.2"/>
    <n v="25000000"/>
    <n v="4064333"/>
  </r>
  <r>
    <s v="King's Ransom"/>
    <x v="836"/>
    <x v="4"/>
    <x v="0"/>
    <n v="95"/>
    <n v="4.0999999999999996"/>
    <n v="15000000"/>
    <n v="4006906"/>
  </r>
  <r>
    <s v="Blindness"/>
    <x v="782"/>
    <x v="2"/>
    <x v="0"/>
    <n v="121"/>
    <n v="6.6"/>
    <n v="25000000"/>
    <n v="3073392"/>
  </r>
  <r>
    <s v="BloodRayne"/>
    <x v="384"/>
    <x v="0"/>
    <x v="0"/>
    <n v="92"/>
    <n v="2.9"/>
    <n v="25000000"/>
    <n v="1550000"/>
  </r>
  <r>
    <s v="Carnage"/>
    <x v="331"/>
    <x v="4"/>
    <x v="0"/>
    <n v="80"/>
    <n v="7.2"/>
    <n v="25000000"/>
    <n v="25078937"/>
  </r>
  <r>
    <s v="Where the Truth Lies"/>
    <x v="837"/>
    <x v="6"/>
    <x v="0"/>
    <n v="107"/>
    <n v="6.5"/>
    <n v="25000000"/>
    <n v="871527"/>
  </r>
  <r>
    <s v="Cirque du Soleil: Worlds Away"/>
    <x v="12"/>
    <x v="8"/>
    <x v="0"/>
    <n v="91"/>
    <n v="6.8"/>
    <n v="20000000"/>
    <n v="12495865"/>
  </r>
  <r>
    <s v="Without Limits"/>
    <x v="838"/>
    <x v="7"/>
    <x v="0"/>
    <n v="117"/>
    <n v="7.2"/>
    <n v="25000000"/>
    <n v="777423"/>
  </r>
  <r>
    <s v="Me and Orson Welles"/>
    <x v="771"/>
    <x v="2"/>
    <x v="0"/>
    <n v="107"/>
    <n v="6.8"/>
    <n v="25000000"/>
    <n v="1186957"/>
  </r>
  <r>
    <s v="The Best Offer"/>
    <x v="839"/>
    <x v="6"/>
    <x v="0"/>
    <n v="131"/>
    <n v="7.8"/>
    <n v="13500000"/>
    <n v="85433"/>
  </r>
  <r>
    <s v="Bad Lieutenant: Port of Call New Orleans"/>
    <x v="840"/>
    <x v="6"/>
    <x v="0"/>
    <n v="122"/>
    <n v="6.7"/>
    <n v="20000000"/>
    <n v="1697956"/>
  </r>
  <r>
    <s v="A Turtle's Tale: Sammy's Adventures"/>
    <x v="841"/>
    <x v="1"/>
    <x v="0"/>
    <n v="88"/>
    <n v="6.1"/>
    <n v="20000000"/>
    <n v="25078937"/>
  </r>
  <r>
    <s v="Little White Lies"/>
    <x v="803"/>
    <x v="4"/>
    <x v="2"/>
    <n v="134"/>
    <n v="7.1"/>
    <n v="25000000"/>
    <n v="183662"/>
  </r>
  <r>
    <s v="Love Ranch"/>
    <x v="328"/>
    <x v="4"/>
    <x v="0"/>
    <n v="117"/>
    <n v="5.7"/>
    <n v="25000000"/>
    <n v="134904"/>
  </r>
  <r>
    <s v="The True Story of Puss'N Boots"/>
    <x v="842"/>
    <x v="1"/>
    <x v="0"/>
    <n v="80"/>
    <n v="2.9"/>
    <n v="25000000"/>
    <n v="25078937"/>
  </r>
  <r>
    <s v="Space Dogs"/>
    <x v="843"/>
    <x v="1"/>
    <x v="8"/>
    <n v="85"/>
    <n v="5.2"/>
    <n v="25000000"/>
    <n v="25078937"/>
  </r>
  <r>
    <s v="The Counselor"/>
    <x v="17"/>
    <x v="6"/>
    <x v="0"/>
    <n v="138"/>
    <n v="5.3"/>
    <n v="25000000"/>
    <n v="16969390"/>
  </r>
  <r>
    <s v="Ironclad"/>
    <x v="844"/>
    <x v="0"/>
    <x v="0"/>
    <n v="121"/>
    <n v="6.2"/>
    <n v="25000000"/>
    <n v="25078937"/>
  </r>
  <r>
    <s v="Waterloo"/>
    <x v="845"/>
    <x v="0"/>
    <x v="0"/>
    <n v="134"/>
    <n v="7.3"/>
    <n v="25000000"/>
    <n v="25078937"/>
  </r>
  <r>
    <s v="Kung Fu Killer"/>
    <x v="846"/>
    <x v="0"/>
    <x v="12"/>
    <n v="100"/>
    <n v="6.5"/>
    <n v="25000000"/>
    <n v="129115"/>
  </r>
  <r>
    <s v="Red Sky"/>
    <x v="847"/>
    <x v="0"/>
    <x v="0"/>
    <n v="100"/>
    <n v="4.0999999999999996"/>
    <n v="25000000"/>
    <n v="25078937"/>
  </r>
  <r>
    <s v="Dangerous Liaisons"/>
    <x v="487"/>
    <x v="2"/>
    <x v="0"/>
    <n v="119"/>
    <n v="7.7"/>
    <n v="14000000"/>
    <n v="34700000"/>
  </r>
  <r>
    <s v="On the Road"/>
    <x v="381"/>
    <x v="1"/>
    <x v="0"/>
    <n v="137"/>
    <n v="6.1"/>
    <n v="25000000"/>
    <n v="717753"/>
  </r>
  <r>
    <s v="Star Trek IV: The Voyage Home"/>
    <x v="848"/>
    <x v="1"/>
    <x v="0"/>
    <n v="119"/>
    <n v="7.3"/>
    <n v="25000000"/>
    <n v="109713132"/>
  </r>
  <r>
    <s v="Rocky Balboa"/>
    <x v="230"/>
    <x v="2"/>
    <x v="0"/>
    <n v="139"/>
    <n v="7.2"/>
    <n v="24000000"/>
    <n v="70269171"/>
  </r>
  <r>
    <s v="Scream 2"/>
    <x v="544"/>
    <x v="11"/>
    <x v="0"/>
    <n v="120"/>
    <n v="6.1"/>
    <n v="24000000"/>
    <n v="101334374"/>
  </r>
  <r>
    <s v="Jane Got a Gun"/>
    <x v="724"/>
    <x v="0"/>
    <x v="0"/>
    <n v="98"/>
    <n v="5.8"/>
    <n v="25000000"/>
    <n v="1512815"/>
  </r>
  <r>
    <s v="Think Like a Man Too"/>
    <x v="132"/>
    <x v="4"/>
    <x v="0"/>
    <n v="106"/>
    <n v="5.7"/>
    <n v="24000000"/>
    <n v="65182182"/>
  </r>
  <r>
    <s v="The Whole Nine Yards"/>
    <x v="588"/>
    <x v="4"/>
    <x v="0"/>
    <n v="98"/>
    <n v="6.7"/>
    <n v="24000000"/>
    <n v="57262492"/>
  </r>
  <r>
    <s v="Footloose"/>
    <x v="849"/>
    <x v="2"/>
    <x v="0"/>
    <n v="107"/>
    <n v="6.5"/>
    <n v="8200000"/>
    <n v="80000000"/>
  </r>
  <r>
    <s v="Old School"/>
    <x v="231"/>
    <x v="4"/>
    <x v="0"/>
    <n v="88"/>
    <n v="7.2"/>
    <n v="24000000"/>
    <n v="74608545"/>
  </r>
  <r>
    <s v="The Fisher King"/>
    <x v="251"/>
    <x v="4"/>
    <x v="0"/>
    <n v="137"/>
    <n v="7.6"/>
    <n v="24000000"/>
    <n v="41895491"/>
  </r>
  <r>
    <s v="I Still Know What You Did Last Summer"/>
    <x v="660"/>
    <x v="11"/>
    <x v="0"/>
    <n v="100"/>
    <n v="4.5999999999999996"/>
    <n v="24000000"/>
    <n v="39989008"/>
  </r>
  <r>
    <s v="Return to Me"/>
    <x v="850"/>
    <x v="4"/>
    <x v="0"/>
    <n v="115"/>
    <n v="6.9"/>
    <n v="24000000"/>
    <n v="32662299"/>
  </r>
  <r>
    <s v="Zack and Miri Make a Porno"/>
    <x v="605"/>
    <x v="4"/>
    <x v="0"/>
    <n v="101"/>
    <n v="6.6"/>
    <n v="24000000"/>
    <n v="31452765"/>
  </r>
  <r>
    <s v="Nurse Betty"/>
    <x v="851"/>
    <x v="4"/>
    <x v="0"/>
    <n v="110"/>
    <n v="6.3"/>
    <n v="24000000"/>
    <n v="25167270"/>
  </r>
  <r>
    <s v="The Men Who Stare at Goats"/>
    <x v="852"/>
    <x v="4"/>
    <x v="0"/>
    <n v="94"/>
    <n v="6.2"/>
    <n v="25000000"/>
    <n v="32416109"/>
  </r>
  <r>
    <s v="Double Take"/>
    <x v="853"/>
    <x v="0"/>
    <x v="0"/>
    <n v="88"/>
    <n v="5.3"/>
    <n v="24000000"/>
    <n v="20218"/>
  </r>
  <r>
    <s v="Girl, Interrupted"/>
    <x v="138"/>
    <x v="7"/>
    <x v="0"/>
    <n v="127"/>
    <n v="7.3"/>
    <n v="24000000"/>
    <n v="28871190"/>
  </r>
  <r>
    <s v="Win a Date with Tad Hamilton!"/>
    <x v="271"/>
    <x v="4"/>
    <x v="0"/>
    <n v="95"/>
    <n v="5.6"/>
    <n v="24000000"/>
    <n v="16964743"/>
  </r>
  <r>
    <s v="Muppets from Space"/>
    <x v="340"/>
    <x v="1"/>
    <x v="0"/>
    <n v="87"/>
    <n v="6.2"/>
    <n v="24000000"/>
    <n v="16290976"/>
  </r>
  <r>
    <s v="The Wiz"/>
    <x v="854"/>
    <x v="1"/>
    <x v="0"/>
    <n v="118"/>
    <n v="5.2"/>
    <n v="24000000"/>
    <n v="13000000"/>
  </r>
  <r>
    <s v="Ready to Rumble"/>
    <x v="351"/>
    <x v="4"/>
    <x v="0"/>
    <n v="107"/>
    <n v="5.3"/>
    <n v="24000000"/>
    <n v="12372410"/>
  </r>
  <r>
    <s v="Play It to the Bone"/>
    <x v="278"/>
    <x v="4"/>
    <x v="0"/>
    <n v="124"/>
    <n v="5.4"/>
    <n v="24000000"/>
    <n v="8427204"/>
  </r>
  <r>
    <s v="I Don't Know How She Does It"/>
    <x v="855"/>
    <x v="4"/>
    <x v="0"/>
    <n v="89"/>
    <n v="4.9000000000000004"/>
    <n v="24000000"/>
    <n v="9639242"/>
  </r>
  <r>
    <s v="Piranha 3D"/>
    <x v="626"/>
    <x v="4"/>
    <x v="0"/>
    <n v="88"/>
    <n v="5.5"/>
    <n v="24000000"/>
    <n v="25003072"/>
  </r>
  <r>
    <s v="Beyond the Sea"/>
    <x v="856"/>
    <x v="7"/>
    <x v="0"/>
    <n v="118"/>
    <n v="6.7"/>
    <n v="23000000"/>
    <n v="6144806"/>
  </r>
  <r>
    <s v="Meet the Deedles"/>
    <x v="735"/>
    <x v="4"/>
    <x v="0"/>
    <n v="93"/>
    <n v="3.9"/>
    <n v="24000000"/>
    <n v="4308981"/>
  </r>
  <r>
    <s v="The Princess and the Cobbler"/>
    <x v="857"/>
    <x v="0"/>
    <x v="0"/>
    <n v="80"/>
    <n v="7.2"/>
    <n v="28000000"/>
    <n v="669276"/>
  </r>
  <r>
    <s v="The Bridge of San Luis Rey"/>
    <x v="858"/>
    <x v="2"/>
    <x v="0"/>
    <n v="120"/>
    <n v="5.0999999999999996"/>
    <n v="24000000"/>
    <n v="42880"/>
  </r>
  <r>
    <s v="Faster"/>
    <x v="652"/>
    <x v="0"/>
    <x v="0"/>
    <n v="98"/>
    <n v="6.5"/>
    <n v="24000000"/>
    <n v="23225911"/>
  </r>
  <r>
    <s v="Howl's Moving Castle"/>
    <x v="651"/>
    <x v="1"/>
    <x v="1"/>
    <n v="119"/>
    <n v="8.1999999999999993"/>
    <n v="24000000"/>
    <n v="4710455"/>
  </r>
  <r>
    <s v="Zombieland"/>
    <x v="365"/>
    <x v="1"/>
    <x v="0"/>
    <n v="88"/>
    <n v="7.7"/>
    <n v="23600000"/>
    <n v="75590286"/>
  </r>
  <r>
    <s v="The Waterboy"/>
    <x v="155"/>
    <x v="4"/>
    <x v="0"/>
    <n v="90"/>
    <n v="6.1"/>
    <n v="20000000"/>
    <n v="161487252"/>
  </r>
  <r>
    <s v="Star Wars: Episode V - The Empire Strikes Back"/>
    <x v="609"/>
    <x v="0"/>
    <x v="0"/>
    <n v="127"/>
    <n v="8.8000000000000007"/>
    <n v="18000000"/>
    <n v="290158751"/>
  </r>
  <r>
    <s v="Bad Boys"/>
    <x v="26"/>
    <x v="0"/>
    <x v="0"/>
    <n v="119"/>
    <n v="6.8"/>
    <n v="19000000"/>
    <n v="65807024"/>
  </r>
  <r>
    <s v="The Naked Gun 2½: The Smell of Fear"/>
    <x v="491"/>
    <x v="4"/>
    <x v="0"/>
    <n v="85"/>
    <n v="6.8"/>
    <n v="23000000"/>
    <n v="86930411"/>
  </r>
  <r>
    <s v="Final Destination"/>
    <x v="477"/>
    <x v="11"/>
    <x v="0"/>
    <n v="98"/>
    <n v="6.7"/>
    <n v="23000000"/>
    <n v="53302314"/>
  </r>
  <r>
    <s v="The Ides of March"/>
    <x v="295"/>
    <x v="2"/>
    <x v="0"/>
    <n v="101"/>
    <n v="7.1"/>
    <n v="12500000"/>
    <n v="40962534"/>
  </r>
  <r>
    <s v="Pitch Black"/>
    <x v="135"/>
    <x v="11"/>
    <x v="0"/>
    <n v="112"/>
    <n v="7.1"/>
    <n v="23000000"/>
    <n v="39235088"/>
  </r>
  <r>
    <s v="Someone Like You..."/>
    <x v="859"/>
    <x v="4"/>
    <x v="0"/>
    <n v="97"/>
    <n v="6.1"/>
    <n v="23000000"/>
    <n v="27338033"/>
  </r>
  <r>
    <s v="Her"/>
    <x v="170"/>
    <x v="2"/>
    <x v="0"/>
    <n v="126"/>
    <n v="8"/>
    <n v="23000000"/>
    <n v="25556065"/>
  </r>
  <r>
    <s v="Joy Ride"/>
    <x v="386"/>
    <x v="5"/>
    <x v="0"/>
    <n v="97"/>
    <n v="6.6"/>
    <n v="23000000"/>
    <n v="21973182"/>
  </r>
  <r>
    <s v="The Adventurer: The Curse of the Midas Box"/>
    <x v="860"/>
    <x v="1"/>
    <x v="0"/>
    <n v="100"/>
    <n v="5.4"/>
    <n v="25000000"/>
    <n v="4756"/>
  </r>
  <r>
    <s v="Anywhere But Here"/>
    <x v="398"/>
    <x v="4"/>
    <x v="0"/>
    <n v="114"/>
    <n v="6.1"/>
    <n v="23000000"/>
    <n v="18653615"/>
  </r>
  <r>
    <s v="The Crew"/>
    <x v="861"/>
    <x v="4"/>
    <x v="0"/>
    <n v="88"/>
    <n v="5.6"/>
    <n v="23000000"/>
    <n v="13019253"/>
  </r>
  <r>
    <s v="Haywire"/>
    <x v="148"/>
    <x v="0"/>
    <x v="0"/>
    <n v="93"/>
    <n v="5.8"/>
    <n v="23000000"/>
    <n v="18934858"/>
  </r>
  <r>
    <s v="Jaws: The Revenge"/>
    <x v="862"/>
    <x v="1"/>
    <x v="0"/>
    <n v="92"/>
    <n v="2.8"/>
    <n v="23000000"/>
    <n v="20763013"/>
  </r>
  <r>
    <s v="Marvin's Room"/>
    <x v="863"/>
    <x v="2"/>
    <x v="0"/>
    <n v="98"/>
    <n v="6.7"/>
    <n v="23000000"/>
    <n v="12782508"/>
  </r>
  <r>
    <s v="The Longshots"/>
    <x v="864"/>
    <x v="7"/>
    <x v="0"/>
    <n v="94"/>
    <n v="5.0999999999999996"/>
    <n v="23000000"/>
    <n v="11508423"/>
  </r>
  <r>
    <s v="The End of the Affair"/>
    <x v="431"/>
    <x v="2"/>
    <x v="0"/>
    <n v="102"/>
    <n v="7.2"/>
    <n v="23000000"/>
    <n v="10660147"/>
  </r>
  <r>
    <s v="Harley Davidson and the Marlboro Man"/>
    <x v="510"/>
    <x v="0"/>
    <x v="0"/>
    <n v="98"/>
    <n v="6"/>
    <n v="23000000"/>
    <n v="7434726"/>
  </r>
  <r>
    <s v="In the Valley of Elah"/>
    <x v="716"/>
    <x v="6"/>
    <x v="0"/>
    <n v="121"/>
    <n v="7.2"/>
    <n v="20000000"/>
    <n v="6777589"/>
  </r>
  <r>
    <s v="Coco Before Chanel"/>
    <x v="865"/>
    <x v="7"/>
    <x v="2"/>
    <n v="111"/>
    <n v="6.7"/>
    <n v="19430000"/>
    <n v="6109075"/>
  </r>
  <r>
    <s v="Forsaken"/>
    <x v="866"/>
    <x v="2"/>
    <x v="0"/>
    <n v="90"/>
    <n v="6.3"/>
    <n v="11000000"/>
    <n v="25078937"/>
  </r>
  <r>
    <s v="Chéri"/>
    <x v="487"/>
    <x v="4"/>
    <x v="0"/>
    <n v="100"/>
    <n v="6.2"/>
    <n v="23000000"/>
    <n v="2708188"/>
  </r>
  <r>
    <s v="Vanity Fair"/>
    <x v="867"/>
    <x v="2"/>
    <x v="0"/>
    <n v="141"/>
    <n v="6.2"/>
    <n v="23000000"/>
    <n v="16123851"/>
  </r>
  <r>
    <s v="Bodyguards and Assassins"/>
    <x v="846"/>
    <x v="0"/>
    <x v="3"/>
    <n v="139"/>
    <n v="6.9"/>
    <n v="23000000"/>
    <n v="25078937"/>
  </r>
  <r>
    <s v="1408"/>
    <x v="306"/>
    <x v="8"/>
    <x v="0"/>
    <n v="114"/>
    <n v="6.8"/>
    <n v="25000000"/>
    <n v="71975611"/>
  </r>
  <r>
    <s v="Spaceballs"/>
    <x v="868"/>
    <x v="1"/>
    <x v="0"/>
    <n v="96"/>
    <n v="7.1"/>
    <n v="22700000"/>
    <n v="38119483"/>
  </r>
  <r>
    <s v="The Water Diviner"/>
    <x v="869"/>
    <x v="2"/>
    <x v="0"/>
    <n v="111"/>
    <n v="7.1"/>
    <n v="22500000"/>
    <n v="4190530"/>
  </r>
  <r>
    <s v="Ghost"/>
    <x v="274"/>
    <x v="2"/>
    <x v="0"/>
    <n v="127"/>
    <n v="7"/>
    <n v="22000000"/>
    <n v="217631306"/>
  </r>
  <r>
    <s v="There's Something About Mary"/>
    <x v="303"/>
    <x v="4"/>
    <x v="0"/>
    <n v="107"/>
    <n v="7.1"/>
    <n v="23000000"/>
    <n v="176483808"/>
  </r>
  <r>
    <s v="The Santa Clause"/>
    <x v="364"/>
    <x v="4"/>
    <x v="0"/>
    <n v="97"/>
    <n v="6.4"/>
    <n v="22000000"/>
    <n v="144833357"/>
  </r>
  <r>
    <s v="The Rookie"/>
    <x v="195"/>
    <x v="2"/>
    <x v="0"/>
    <n v="127"/>
    <n v="7"/>
    <n v="20000000"/>
    <n v="75597042"/>
  </r>
  <r>
    <s v="The Game Plan"/>
    <x v="441"/>
    <x v="4"/>
    <x v="0"/>
    <n v="110"/>
    <n v="6.2"/>
    <n v="22000000"/>
    <n v="90636983"/>
  </r>
  <r>
    <s v="The Bridges of Madison County"/>
    <x v="322"/>
    <x v="2"/>
    <x v="0"/>
    <n v="135"/>
    <n v="7.5"/>
    <n v="35000000"/>
    <n v="70960517"/>
  </r>
  <r>
    <s v="The Animal"/>
    <x v="622"/>
    <x v="4"/>
    <x v="0"/>
    <n v="84"/>
    <n v="4.8"/>
    <n v="22000000"/>
    <n v="55762229"/>
  </r>
  <r>
    <s v="Gandhi"/>
    <x v="750"/>
    <x v="7"/>
    <x v="0"/>
    <n v="240"/>
    <n v="8.1"/>
    <n v="22000000"/>
    <n v="25078937"/>
  </r>
  <r>
    <s v="The Hundred-Foot Journey"/>
    <x v="640"/>
    <x v="4"/>
    <x v="0"/>
    <n v="122"/>
    <n v="7.3"/>
    <n v="22000000"/>
    <n v="54235441"/>
  </r>
  <r>
    <s v="The Net"/>
    <x v="565"/>
    <x v="0"/>
    <x v="0"/>
    <n v="114"/>
    <n v="5.8"/>
    <n v="22000000"/>
    <n v="50728000"/>
  </r>
  <r>
    <s v="I Am Sam"/>
    <x v="870"/>
    <x v="2"/>
    <x v="0"/>
    <n v="132"/>
    <n v="7.6"/>
    <n v="22000000"/>
    <n v="40270895"/>
  </r>
  <r>
    <s v="Son of God"/>
    <x v="871"/>
    <x v="7"/>
    <x v="0"/>
    <n v="170"/>
    <n v="5.6"/>
    <n v="22000000"/>
    <n v="59696176"/>
  </r>
  <r>
    <s v="Underworld"/>
    <x v="154"/>
    <x v="0"/>
    <x v="0"/>
    <n v="133"/>
    <n v="7"/>
    <n v="22000000"/>
    <n v="51483949"/>
  </r>
  <r>
    <s v="Derailed"/>
    <x v="306"/>
    <x v="2"/>
    <x v="0"/>
    <n v="112"/>
    <n v="6.6"/>
    <n v="22000000"/>
    <n v="36020063"/>
  </r>
  <r>
    <s v="The Informant!"/>
    <x v="148"/>
    <x v="4"/>
    <x v="0"/>
    <n v="108"/>
    <n v="6.5"/>
    <n v="21000000"/>
    <n v="33313582"/>
  </r>
  <r>
    <s v="Shadowlands"/>
    <x v="750"/>
    <x v="7"/>
    <x v="0"/>
    <n v="115"/>
    <n v="7.4"/>
    <n v="22000000"/>
    <n v="25842000"/>
  </r>
  <r>
    <s v="Deuce Bigalow: European Gigolo"/>
    <x v="872"/>
    <x v="4"/>
    <x v="0"/>
    <n v="83"/>
    <n v="4.5999999999999996"/>
    <n v="22000000"/>
    <n v="22264487"/>
  </r>
  <r>
    <s v="Delivery Man"/>
    <x v="649"/>
    <x v="4"/>
    <x v="0"/>
    <n v="105"/>
    <n v="6.4"/>
    <n v="26000000"/>
    <n v="30659817"/>
  </r>
  <r>
    <s v="Our Kind of Traitor"/>
    <x v="631"/>
    <x v="13"/>
    <x v="0"/>
    <n v="108"/>
    <n v="6.4"/>
    <n v="20000000"/>
    <n v="3108216"/>
  </r>
  <r>
    <s v="Saving Silverman"/>
    <x v="202"/>
    <x v="4"/>
    <x v="0"/>
    <n v="96"/>
    <n v="5.9"/>
    <n v="22000000"/>
    <n v="19351569"/>
  </r>
  <r>
    <s v="Diary of a Wimpy Kid: Dog Days"/>
    <x v="94"/>
    <x v="4"/>
    <x v="0"/>
    <n v="94"/>
    <n v="6.4"/>
    <n v="22000000"/>
    <n v="49002815"/>
  </r>
  <r>
    <s v="Summer of Sam"/>
    <x v="433"/>
    <x v="6"/>
    <x v="0"/>
    <n v="142"/>
    <n v="6.6"/>
    <n v="22000000"/>
    <n v="19283782"/>
  </r>
  <r>
    <s v="Jay and Silent Bob Strike Back"/>
    <x v="605"/>
    <x v="4"/>
    <x v="0"/>
    <n v="104"/>
    <n v="6.9"/>
    <n v="22000000"/>
    <n v="30059386"/>
  </r>
  <r>
    <s v="The Glass House"/>
    <x v="873"/>
    <x v="6"/>
    <x v="0"/>
    <n v="106"/>
    <n v="5.8"/>
    <n v="30000000"/>
    <n v="17951431"/>
  </r>
  <r>
    <s v="Hail, Caesar!"/>
    <x v="603"/>
    <x v="4"/>
    <x v="0"/>
    <n v="106"/>
    <n v="6.4"/>
    <n v="22000000"/>
    <n v="29997095"/>
  </r>
  <r>
    <s v="Josie and the Pussycats"/>
    <x v="874"/>
    <x v="4"/>
    <x v="0"/>
    <n v="98"/>
    <n v="5.3"/>
    <n v="22000000"/>
    <n v="14252830"/>
  </r>
  <r>
    <s v="Homefront"/>
    <x v="445"/>
    <x v="0"/>
    <x v="0"/>
    <n v="100"/>
    <n v="6.5"/>
    <n v="22000000"/>
    <n v="19783777"/>
  </r>
  <r>
    <s v="The Little Vampire"/>
    <x v="875"/>
    <x v="1"/>
    <x v="0"/>
    <n v="95"/>
    <n v="5.7"/>
    <n v="22000000"/>
    <n v="13555988"/>
  </r>
  <r>
    <s v="I Heart Huckabees"/>
    <x v="359"/>
    <x v="4"/>
    <x v="0"/>
    <n v="107"/>
    <n v="6.7"/>
    <n v="22000000"/>
    <n v="12784713"/>
  </r>
  <r>
    <s v="RoboCop 3"/>
    <x v="876"/>
    <x v="0"/>
    <x v="0"/>
    <n v="104"/>
    <n v="3.9"/>
    <n v="23500000"/>
    <n v="10696210"/>
  </r>
  <r>
    <s v="Megiddo: The Omega Code 2"/>
    <x v="877"/>
    <x v="0"/>
    <x v="0"/>
    <n v="104"/>
    <n v="4.0999999999999996"/>
    <n v="22000000"/>
    <n v="5974653"/>
  </r>
  <r>
    <s v="Darling Lili"/>
    <x v="878"/>
    <x v="4"/>
    <x v="0"/>
    <n v="143"/>
    <n v="6.2"/>
    <n v="25000000"/>
    <n v="5000000"/>
  </r>
  <r>
    <s v="Dudley Do-Right"/>
    <x v="628"/>
    <x v="4"/>
    <x v="0"/>
    <n v="77"/>
    <n v="3.8"/>
    <n v="22000000"/>
    <n v="9694105"/>
  </r>
  <r>
    <s v="The Transporter Refueled"/>
    <x v="761"/>
    <x v="0"/>
    <x v="0"/>
    <n v="96"/>
    <n v="5.0999999999999996"/>
    <n v="25000000"/>
    <n v="16027866"/>
  </r>
  <r>
    <s v="The Libertine"/>
    <x v="879"/>
    <x v="2"/>
    <x v="0"/>
    <n v="114"/>
    <n v="6.4"/>
    <n v="20000000"/>
    <n v="4829497"/>
  </r>
  <r>
    <s v="Black Book"/>
    <x v="127"/>
    <x v="2"/>
    <x v="16"/>
    <n v="145"/>
    <n v="7.8"/>
    <n v="21000000"/>
    <n v="4398392"/>
  </r>
  <r>
    <s v="Joyeux Noel"/>
    <x v="880"/>
    <x v="2"/>
    <x v="2"/>
    <n v="116"/>
    <n v="7.8"/>
    <n v="22000000"/>
    <n v="1050445"/>
  </r>
  <r>
    <s v="Hit and Run"/>
    <x v="881"/>
    <x v="0"/>
    <x v="0"/>
    <n v="100"/>
    <n v="6.1"/>
    <n v="2000000"/>
    <n v="13746550"/>
  </r>
  <r>
    <s v="Mad Money"/>
    <x v="765"/>
    <x v="4"/>
    <x v="0"/>
    <n v="104"/>
    <n v="5.8"/>
    <n v="22000000"/>
    <n v="20668843"/>
  </r>
  <r>
    <s v="Before I Go to Sleep"/>
    <x v="882"/>
    <x v="2"/>
    <x v="0"/>
    <n v="92"/>
    <n v="6.3"/>
    <n v="22000000"/>
    <n v="2963012"/>
  </r>
  <r>
    <s v="Sorcerer"/>
    <x v="406"/>
    <x v="1"/>
    <x v="0"/>
    <n v="92"/>
    <n v="7.7"/>
    <n v="12000000"/>
    <n v="25078937"/>
  </r>
  <r>
    <s v="Stone"/>
    <x v="883"/>
    <x v="2"/>
    <x v="0"/>
    <n v="105"/>
    <n v="5.4"/>
    <n v="22000000"/>
    <n v="1796024"/>
  </r>
  <r>
    <s v="Molière"/>
    <x v="740"/>
    <x v="4"/>
    <x v="2"/>
    <n v="120"/>
    <n v="7.3"/>
    <n v="16000000"/>
    <n v="634277"/>
  </r>
  <r>
    <s v="Out of the Furnace"/>
    <x v="418"/>
    <x v="6"/>
    <x v="0"/>
    <n v="116"/>
    <n v="6.8"/>
    <n v="22000000"/>
    <n v="11326836"/>
  </r>
  <r>
    <s v="Michael Clayton"/>
    <x v="129"/>
    <x v="6"/>
    <x v="0"/>
    <n v="119"/>
    <n v="7.3"/>
    <n v="25000000"/>
    <n v="49024969"/>
  </r>
  <r>
    <s v="My Fellow Americans"/>
    <x v="227"/>
    <x v="1"/>
    <x v="0"/>
    <n v="101"/>
    <n v="6.5"/>
    <n v="21500000"/>
    <n v="22294341"/>
  </r>
  <r>
    <s v="Arlington Road"/>
    <x v="528"/>
    <x v="6"/>
    <x v="0"/>
    <n v="117"/>
    <n v="7.2"/>
    <n v="21500000"/>
    <n v="24362501"/>
  </r>
  <r>
    <s v="Underdogs"/>
    <x v="884"/>
    <x v="1"/>
    <x v="5"/>
    <n v="106"/>
    <n v="6.7"/>
    <n v="22000000"/>
    <n v="25078937"/>
  </r>
  <r>
    <s v="To Rome with Love"/>
    <x v="691"/>
    <x v="4"/>
    <x v="0"/>
    <n v="112"/>
    <n v="6.3"/>
    <n v="17000000"/>
    <n v="16684352"/>
  </r>
  <r>
    <s v="Firefox"/>
    <x v="322"/>
    <x v="0"/>
    <x v="0"/>
    <n v="136"/>
    <n v="5.9"/>
    <n v="21000000"/>
    <n v="46700000"/>
  </r>
  <r>
    <s v="South Park: Bigger Longer &amp; Uncut"/>
    <x v="885"/>
    <x v="3"/>
    <x v="0"/>
    <n v="81"/>
    <n v="7.8"/>
    <n v="21000000"/>
    <n v="52008288"/>
  </r>
  <r>
    <s v="Death at a Funeral"/>
    <x v="185"/>
    <x v="4"/>
    <x v="0"/>
    <n v="87"/>
    <n v="7.4"/>
    <n v="9000000"/>
    <n v="8579684"/>
  </r>
  <r>
    <s v="Teenage Mutant Ninja Turtles III"/>
    <x v="886"/>
    <x v="0"/>
    <x v="0"/>
    <n v="96"/>
    <n v="4.8"/>
    <n v="17000000"/>
    <n v="42660000"/>
  </r>
  <r>
    <s v="Hardball"/>
    <x v="351"/>
    <x v="2"/>
    <x v="0"/>
    <n v="106"/>
    <n v="6.3"/>
    <n v="21000000"/>
    <n v="40219708"/>
  </r>
  <r>
    <s v="Silver Linings Playbook"/>
    <x v="359"/>
    <x v="4"/>
    <x v="0"/>
    <n v="122"/>
    <n v="7.8"/>
    <n v="21000000"/>
    <n v="132088910"/>
  </r>
  <r>
    <s v="Freedom Writers"/>
    <x v="473"/>
    <x v="7"/>
    <x v="0"/>
    <n v="123"/>
    <n v="7.5"/>
    <n v="21000000"/>
    <n v="36581633"/>
  </r>
  <r>
    <s v="For Colored Girls"/>
    <x v="790"/>
    <x v="2"/>
    <x v="0"/>
    <n v="133"/>
    <n v="6"/>
    <n v="20000000"/>
    <n v="37721949"/>
  </r>
  <r>
    <s v="The Transporter"/>
    <x v="111"/>
    <x v="0"/>
    <x v="0"/>
    <n v="92"/>
    <n v="6.8"/>
    <n v="21000000"/>
    <n v="25296447"/>
  </r>
  <r>
    <s v="Never Back Down"/>
    <x v="759"/>
    <x v="0"/>
    <x v="0"/>
    <n v="110"/>
    <n v="6.6"/>
    <n v="20000000"/>
    <n v="24848292"/>
  </r>
  <r>
    <s v="The Rage: Carrie 2"/>
    <x v="887"/>
    <x v="11"/>
    <x v="0"/>
    <n v="104"/>
    <n v="4.5999999999999996"/>
    <n v="21000000"/>
    <n v="17757087"/>
  </r>
  <r>
    <s v="Away We Go"/>
    <x v="2"/>
    <x v="4"/>
    <x v="0"/>
    <n v="98"/>
    <n v="7.1"/>
    <n v="17000000"/>
    <n v="9430988"/>
  </r>
  <r>
    <s v="Swing Vote"/>
    <x v="888"/>
    <x v="4"/>
    <x v="0"/>
    <n v="120"/>
    <n v="6.1"/>
    <n v="21000000"/>
    <n v="16284360"/>
  </r>
  <r>
    <s v="Moonlight Mile"/>
    <x v="176"/>
    <x v="2"/>
    <x v="0"/>
    <n v="112"/>
    <n v="6.7"/>
    <n v="21000000"/>
    <n v="6830957"/>
  </r>
  <r>
    <s v="Tinker Tailor Soldier Spy"/>
    <x v="889"/>
    <x v="2"/>
    <x v="0"/>
    <n v="127"/>
    <n v="7.1"/>
    <n v="20000000"/>
    <n v="24104113"/>
  </r>
  <r>
    <s v="Molly"/>
    <x v="890"/>
    <x v="4"/>
    <x v="0"/>
    <n v="102"/>
    <n v="5.8"/>
    <n v="21000000"/>
    <n v="15593"/>
  </r>
  <r>
    <s v="The Beaver"/>
    <x v="774"/>
    <x v="2"/>
    <x v="0"/>
    <n v="91"/>
    <n v="6.7"/>
    <n v="21000000"/>
    <n v="958319"/>
  </r>
  <r>
    <s v="The Best Little Whorehouse in Texas"/>
    <x v="891"/>
    <x v="4"/>
    <x v="0"/>
    <n v="114"/>
    <n v="5.8"/>
    <n v="35000000"/>
    <n v="69700000"/>
  </r>
  <r>
    <s v="eXistenZ"/>
    <x v="467"/>
    <x v="11"/>
    <x v="0"/>
    <n v="115"/>
    <n v="6.8"/>
    <n v="31000000"/>
    <n v="2840417"/>
  </r>
  <r>
    <s v="Raiders of the Lost Ark"/>
    <x v="37"/>
    <x v="0"/>
    <x v="0"/>
    <n v="115"/>
    <n v="8.5"/>
    <n v="18000000"/>
    <n v="242374454"/>
  </r>
  <r>
    <s v="Home Alone 2: Lost in New York"/>
    <x v="123"/>
    <x v="1"/>
    <x v="0"/>
    <n v="120"/>
    <n v="6.6"/>
    <n v="18000000"/>
    <n v="173585516"/>
  </r>
  <r>
    <s v="Close Encounters of the Third Kind"/>
    <x v="37"/>
    <x v="2"/>
    <x v="0"/>
    <n v="135"/>
    <n v="7.7"/>
    <n v="19400870"/>
    <n v="128300000"/>
  </r>
  <r>
    <s v="Pulse"/>
    <x v="892"/>
    <x v="2"/>
    <x v="0"/>
    <n v="90"/>
    <n v="4.7"/>
    <n v="20000000"/>
    <n v="20259297"/>
  </r>
  <r>
    <s v="Beverly Hills Cop II"/>
    <x v="161"/>
    <x v="0"/>
    <x v="0"/>
    <n v="100"/>
    <n v="6.4"/>
    <n v="28000000"/>
    <n v="153665036"/>
  </r>
  <r>
    <s v="Bringing Down the House"/>
    <x v="235"/>
    <x v="4"/>
    <x v="0"/>
    <n v="105"/>
    <n v="5.5"/>
    <n v="33000000"/>
    <n v="132541238"/>
  </r>
  <r>
    <s v="The Silence of the Lambs"/>
    <x v="246"/>
    <x v="6"/>
    <x v="0"/>
    <n v="138"/>
    <n v="8.6"/>
    <n v="19000000"/>
    <n v="130727000"/>
  </r>
  <r>
    <s v="Wayne's World"/>
    <x v="893"/>
    <x v="4"/>
    <x v="0"/>
    <n v="94"/>
    <n v="7"/>
    <n v="20000000"/>
    <n v="121697350"/>
  </r>
  <r>
    <s v="Jackass 3D"/>
    <x v="894"/>
    <x v="0"/>
    <x v="0"/>
    <n v="101"/>
    <n v="7.1"/>
    <n v="20000000"/>
    <n v="117224271"/>
  </r>
  <r>
    <s v="Jaws 2"/>
    <x v="895"/>
    <x v="1"/>
    <x v="0"/>
    <n v="131"/>
    <n v="5.7"/>
    <n v="20000000"/>
    <n v="102922376"/>
  </r>
  <r>
    <s v="Beverly Hills Chihuahua"/>
    <x v="151"/>
    <x v="1"/>
    <x v="0"/>
    <n v="91"/>
    <n v="3.7"/>
    <n v="20000000"/>
    <n v="94497271"/>
  </r>
  <r>
    <s v="The Conjuring"/>
    <x v="32"/>
    <x v="11"/>
    <x v="0"/>
    <n v="112"/>
    <n v="7.5"/>
    <n v="20000000"/>
    <n v="137387272"/>
  </r>
  <r>
    <s v="Are We There Yet?"/>
    <x v="352"/>
    <x v="1"/>
    <x v="0"/>
    <n v="95"/>
    <n v="4.5999999999999996"/>
    <n v="32000000"/>
    <n v="82301521"/>
  </r>
  <r>
    <s v="Tammy"/>
    <x v="749"/>
    <x v="4"/>
    <x v="0"/>
    <n v="100"/>
    <n v="4.9000000000000004"/>
    <n v="20000000"/>
    <n v="84518155"/>
  </r>
  <r>
    <s v="School of Rock"/>
    <x v="771"/>
    <x v="4"/>
    <x v="0"/>
    <n v="108"/>
    <n v="7.1"/>
    <n v="35000000"/>
    <n v="81257845"/>
  </r>
  <r>
    <s v="Mortal Kombat"/>
    <x v="212"/>
    <x v="0"/>
    <x v="0"/>
    <n v="101"/>
    <n v="5.8"/>
    <n v="18000000"/>
    <n v="70360285"/>
  </r>
  <r>
    <s v="White Chicks"/>
    <x v="335"/>
    <x v="4"/>
    <x v="0"/>
    <n v="109"/>
    <n v="5.4"/>
    <n v="37000000"/>
    <n v="69148997"/>
  </r>
  <r>
    <s v="The Descendants"/>
    <x v="685"/>
    <x v="4"/>
    <x v="0"/>
    <n v="115"/>
    <n v="7.3"/>
    <n v="20000000"/>
    <n v="82624961"/>
  </r>
  <r>
    <s v="Holes"/>
    <x v="222"/>
    <x v="1"/>
    <x v="0"/>
    <n v="117"/>
    <n v="7.1"/>
    <n v="20000000"/>
    <n v="67325559"/>
  </r>
  <r>
    <s v="The Last Song"/>
    <x v="533"/>
    <x v="2"/>
    <x v="0"/>
    <n v="107"/>
    <n v="5.8"/>
    <n v="20000000"/>
    <n v="62933793"/>
  </r>
  <r>
    <s v="12 Years a Slave"/>
    <x v="896"/>
    <x v="7"/>
    <x v="0"/>
    <n v="134"/>
    <n v="8.1"/>
    <n v="20000000"/>
    <n v="56667870"/>
  </r>
  <r>
    <s v="Drumline"/>
    <x v="715"/>
    <x v="4"/>
    <x v="0"/>
    <n v="118"/>
    <n v="5.7"/>
    <n v="20000000"/>
    <n v="56398162"/>
  </r>
  <r>
    <s v="Why Did I Get Married Too?"/>
    <x v="790"/>
    <x v="4"/>
    <x v="0"/>
    <n v="121"/>
    <n v="4.4000000000000004"/>
    <n v="20000000"/>
    <n v="60072596"/>
  </r>
  <r>
    <s v="Edward Scissorhands"/>
    <x v="23"/>
    <x v="8"/>
    <x v="0"/>
    <n v="105"/>
    <n v="7.9"/>
    <n v="20000000"/>
    <n v="56362352"/>
  </r>
  <r>
    <s v="Me Before You"/>
    <x v="897"/>
    <x v="2"/>
    <x v="0"/>
    <n v="110"/>
    <n v="7.6"/>
    <n v="20000000"/>
    <n v="56154094"/>
  </r>
  <r>
    <s v="Madea's Witness Protection"/>
    <x v="790"/>
    <x v="4"/>
    <x v="0"/>
    <n v="114"/>
    <n v="4.8"/>
    <n v="20000000"/>
    <n v="65623128"/>
  </r>
  <r>
    <s v="The French Connection"/>
    <x v="406"/>
    <x v="0"/>
    <x v="0"/>
    <n v="104"/>
    <n v="7.8"/>
    <n v="1800000"/>
    <n v="25078937"/>
  </r>
  <r>
    <s v="Bad Moms"/>
    <x v="898"/>
    <x v="4"/>
    <x v="0"/>
    <n v="100"/>
    <n v="6.7"/>
    <n v="20000000"/>
    <n v="55461307"/>
  </r>
  <r>
    <s v="Date Movie"/>
    <x v="899"/>
    <x v="4"/>
    <x v="0"/>
    <n v="85"/>
    <n v="2.7"/>
    <n v="20000000"/>
    <n v="48546578"/>
  </r>
  <r>
    <s v="Return to Never Land"/>
    <x v="900"/>
    <x v="1"/>
    <x v="0"/>
    <n v="72"/>
    <n v="5.8"/>
    <n v="20000000"/>
    <n v="48423368"/>
  </r>
  <r>
    <s v="Selma"/>
    <x v="901"/>
    <x v="7"/>
    <x v="0"/>
    <n v="128"/>
    <n v="7.5"/>
    <n v="20000000"/>
    <n v="52066000"/>
  </r>
  <r>
    <s v="The Jungle Book 2"/>
    <x v="902"/>
    <x v="1"/>
    <x v="0"/>
    <n v="72"/>
    <n v="5.4"/>
    <n v="20000000"/>
    <n v="47887943"/>
  </r>
  <r>
    <s v="Boogeyman"/>
    <x v="568"/>
    <x v="2"/>
    <x v="0"/>
    <n v="89"/>
    <n v="4.0999999999999996"/>
    <n v="20000000"/>
    <n v="46363118"/>
  </r>
  <r>
    <s v="Premonition"/>
    <x v="903"/>
    <x v="2"/>
    <x v="0"/>
    <n v="96"/>
    <n v="5.9"/>
    <n v="20000000"/>
    <n v="47852604"/>
  </r>
  <r>
    <s v="The Tigger Movie"/>
    <x v="904"/>
    <x v="3"/>
    <x v="0"/>
    <n v="77"/>
    <n v="6.3"/>
    <n v="30000000"/>
    <n v="45542421"/>
  </r>
  <r>
    <s v="Orphan"/>
    <x v="440"/>
    <x v="11"/>
    <x v="0"/>
    <n v="123"/>
    <n v="7"/>
    <n v="20000000"/>
    <n v="41573740"/>
  </r>
  <r>
    <s v="Max"/>
    <x v="661"/>
    <x v="1"/>
    <x v="0"/>
    <n v="111"/>
    <n v="6.8"/>
    <n v="20000000"/>
    <n v="42652003"/>
  </r>
  <r>
    <s v="Epic Movie"/>
    <x v="700"/>
    <x v="1"/>
    <x v="0"/>
    <n v="93"/>
    <n v="2.2999999999999998"/>
    <n v="20000000"/>
    <n v="39737645"/>
  </r>
  <r>
    <s v="Spotlight"/>
    <x v="905"/>
    <x v="7"/>
    <x v="0"/>
    <n v="128"/>
    <n v="8.1"/>
    <n v="20000000"/>
    <n v="44988180"/>
  </r>
  <r>
    <s v="Lakeview Terrace"/>
    <x v="851"/>
    <x v="6"/>
    <x v="0"/>
    <n v="110"/>
    <n v="6.1"/>
    <n v="22000000"/>
    <n v="39263506"/>
  </r>
  <r>
    <s v="The Grudge 2"/>
    <x v="906"/>
    <x v="11"/>
    <x v="0"/>
    <n v="137"/>
    <n v="5"/>
    <n v="20000000"/>
    <n v="39143839"/>
  </r>
  <r>
    <s v="How Stella Got Her Groove Back"/>
    <x v="615"/>
    <x v="4"/>
    <x v="0"/>
    <n v="124"/>
    <n v="5.5"/>
    <n v="20000000"/>
    <n v="37672350"/>
  </r>
  <r>
    <s v="Bill &amp; Ted's Bogus Journey"/>
    <x v="437"/>
    <x v="1"/>
    <x v="0"/>
    <n v="93"/>
    <n v="6.2"/>
    <n v="20000000"/>
    <n v="38037513"/>
  </r>
  <r>
    <s v="Man of the Year"/>
    <x v="273"/>
    <x v="4"/>
    <x v="0"/>
    <n v="115"/>
    <n v="6.2"/>
    <n v="20000000"/>
    <n v="37442180"/>
  </r>
  <r>
    <s v="The Black Hole"/>
    <x v="907"/>
    <x v="0"/>
    <x v="0"/>
    <n v="98"/>
    <n v="5.9"/>
    <n v="20000000"/>
    <n v="25078937"/>
  </r>
  <r>
    <s v="The American"/>
    <x v="908"/>
    <x v="6"/>
    <x v="0"/>
    <n v="105"/>
    <n v="6.3"/>
    <n v="20000000"/>
    <n v="35596227"/>
  </r>
  <r>
    <s v="Selena"/>
    <x v="909"/>
    <x v="7"/>
    <x v="0"/>
    <n v="127"/>
    <n v="6.7"/>
    <n v="20000000"/>
    <n v="35422828"/>
  </r>
  <r>
    <s v="Vampires Suck"/>
    <x v="700"/>
    <x v="4"/>
    <x v="0"/>
    <n v="82"/>
    <n v="3.5"/>
    <n v="20000000"/>
    <n v="36658108"/>
  </r>
  <r>
    <s v="Babel"/>
    <x v="112"/>
    <x v="2"/>
    <x v="0"/>
    <n v="143"/>
    <n v="7.5"/>
    <n v="25000000"/>
    <n v="34300771"/>
  </r>
  <r>
    <s v="This Is Where I Leave You"/>
    <x v="79"/>
    <x v="4"/>
    <x v="0"/>
    <n v="103"/>
    <n v="6.6"/>
    <n v="19800000"/>
    <n v="34290142"/>
  </r>
  <r>
    <s v="Doubt"/>
    <x v="910"/>
    <x v="2"/>
    <x v="0"/>
    <n v="104"/>
    <n v="7.5"/>
    <n v="20000000"/>
    <n v="33422556"/>
  </r>
  <r>
    <s v="Team America: World Police"/>
    <x v="885"/>
    <x v="0"/>
    <x v="0"/>
    <n v="98"/>
    <n v="7.2"/>
    <n v="30000000"/>
    <n v="32774834"/>
  </r>
  <r>
    <s v="Texas Chainsaw 3D"/>
    <x v="667"/>
    <x v="11"/>
    <x v="0"/>
    <n v="92"/>
    <n v="4.8"/>
    <n v="11000000"/>
    <n v="34334256"/>
  </r>
  <r>
    <s v="Copycat"/>
    <x v="226"/>
    <x v="6"/>
    <x v="0"/>
    <n v="123"/>
    <n v="6.6"/>
    <n v="20000000"/>
    <n v="32051917"/>
  </r>
  <r>
    <s v="Scary Movie 5"/>
    <x v="575"/>
    <x v="4"/>
    <x v="0"/>
    <n v="88"/>
    <n v="3.5"/>
    <n v="20000000"/>
    <n v="32014289"/>
  </r>
  <r>
    <s v="Paint Your Wagon"/>
    <x v="911"/>
    <x v="4"/>
    <x v="0"/>
    <n v="158"/>
    <n v="6.7"/>
    <n v="20000000"/>
    <n v="25078937"/>
  </r>
  <r>
    <s v="Milk"/>
    <x v="521"/>
    <x v="7"/>
    <x v="0"/>
    <n v="128"/>
    <n v="7.6"/>
    <n v="20000000"/>
    <n v="31838002"/>
  </r>
  <r>
    <s v="Risen"/>
    <x v="52"/>
    <x v="0"/>
    <x v="0"/>
    <n v="107"/>
    <n v="6.3"/>
    <n v="20000000"/>
    <n v="36874745"/>
  </r>
  <r>
    <s v="Ghost Ship"/>
    <x v="912"/>
    <x v="11"/>
    <x v="0"/>
    <n v="91"/>
    <n v="5.5"/>
    <n v="35000000"/>
    <n v="30079316"/>
  </r>
  <r>
    <s v="A Very Harold &amp; Kumar 3D Christmas"/>
    <x v="913"/>
    <x v="1"/>
    <x v="0"/>
    <n v="90"/>
    <n v="6.3"/>
    <n v="19000000"/>
    <n v="35033759"/>
  </r>
  <r>
    <s v="Wild Things"/>
    <x v="914"/>
    <x v="6"/>
    <x v="0"/>
    <n v="115"/>
    <n v="6.5"/>
    <n v="20000000"/>
    <n v="29753944"/>
  </r>
  <r>
    <s v="The Stepfather"/>
    <x v="915"/>
    <x v="6"/>
    <x v="0"/>
    <n v="101"/>
    <n v="5.6"/>
    <n v="20000000"/>
    <n v="29062561"/>
  </r>
  <r>
    <s v="The Debt"/>
    <x v="393"/>
    <x v="2"/>
    <x v="0"/>
    <n v="113"/>
    <n v="6.9"/>
    <n v="20000000"/>
    <n v="31146570"/>
  </r>
  <r>
    <s v="High Fidelity"/>
    <x v="487"/>
    <x v="4"/>
    <x v="0"/>
    <n v="113"/>
    <n v="7.6"/>
    <n v="20000000"/>
    <n v="27277055"/>
  </r>
  <r>
    <s v="One Missed Call"/>
    <x v="916"/>
    <x v="11"/>
    <x v="0"/>
    <n v="87"/>
    <n v="3.9"/>
    <n v="27000000"/>
    <n v="26876529"/>
  </r>
  <r>
    <s v="Eye for an Eye"/>
    <x v="823"/>
    <x v="6"/>
    <x v="0"/>
    <n v="101"/>
    <n v="6.1"/>
    <n v="20000000"/>
    <n v="53146000"/>
  </r>
  <r>
    <s v="The Bank Job"/>
    <x v="143"/>
    <x v="6"/>
    <x v="0"/>
    <n v="111"/>
    <n v="7.3"/>
    <n v="20000000"/>
    <n v="30028592"/>
  </r>
  <r>
    <s v="Eternal Sunshine of the Spotless Mind"/>
    <x v="149"/>
    <x v="2"/>
    <x v="0"/>
    <n v="108"/>
    <n v="8.3000000000000007"/>
    <n v="20000000"/>
    <n v="34126138"/>
  </r>
  <r>
    <s v="You Again"/>
    <x v="441"/>
    <x v="4"/>
    <x v="0"/>
    <n v="105"/>
    <n v="5.8"/>
    <n v="20000000"/>
    <n v="25677801"/>
  </r>
  <r>
    <s v="Street Kings"/>
    <x v="49"/>
    <x v="0"/>
    <x v="0"/>
    <n v="109"/>
    <n v="6.8"/>
    <n v="20000000"/>
    <n v="26415649"/>
  </r>
  <r>
    <s v="The World's End"/>
    <x v="225"/>
    <x v="0"/>
    <x v="0"/>
    <n v="109"/>
    <n v="7"/>
    <n v="20000000"/>
    <n v="26003149"/>
  </r>
  <r>
    <s v="Nancy Drew"/>
    <x v="917"/>
    <x v="4"/>
    <x v="0"/>
    <n v="99"/>
    <n v="5.9"/>
    <n v="20000000"/>
    <n v="25584685"/>
  </r>
  <r>
    <s v="Daybreakers"/>
    <x v="918"/>
    <x v="0"/>
    <x v="0"/>
    <n v="98"/>
    <n v="6.5"/>
    <n v="20000000"/>
    <n v="29975979"/>
  </r>
  <r>
    <s v="She's Out of My League"/>
    <x v="919"/>
    <x v="4"/>
    <x v="0"/>
    <n v="104"/>
    <n v="6.4"/>
    <n v="20000000"/>
    <n v="31584722"/>
  </r>
  <r>
    <s v="Monte Carlo"/>
    <x v="920"/>
    <x v="1"/>
    <x v="0"/>
    <n v="109"/>
    <n v="5.8"/>
    <n v="20000000"/>
    <n v="23179303"/>
  </r>
  <r>
    <s v="Stay Alive"/>
    <x v="921"/>
    <x v="11"/>
    <x v="0"/>
    <n v="75"/>
    <n v="5.0999999999999996"/>
    <n v="9000000"/>
    <n v="23078294"/>
  </r>
  <r>
    <s v="Quigley Down Under"/>
    <x v="510"/>
    <x v="0"/>
    <x v="0"/>
    <n v="119"/>
    <n v="6.8"/>
    <n v="20000000"/>
    <n v="21413105"/>
  </r>
  <r>
    <s v="Alpha and Omega"/>
    <x v="922"/>
    <x v="1"/>
    <x v="0"/>
    <n v="90"/>
    <n v="5.3"/>
    <n v="20000000"/>
    <n v="25077977"/>
  </r>
  <r>
    <s v="The Covenant"/>
    <x v="196"/>
    <x v="0"/>
    <x v="0"/>
    <n v="97"/>
    <n v="5.3"/>
    <n v="20000000"/>
    <n v="23292105"/>
  </r>
  <r>
    <s v="Stick It"/>
    <x v="923"/>
    <x v="4"/>
    <x v="0"/>
    <n v="103"/>
    <n v="6.4"/>
    <n v="20000000"/>
    <n v="26870825"/>
  </r>
  <r>
    <s v="Shorts"/>
    <x v="419"/>
    <x v="4"/>
    <x v="0"/>
    <n v="89"/>
    <n v="4.9000000000000004"/>
    <n v="40000000"/>
    <n v="20916309"/>
  </r>
  <r>
    <s v="To Die For"/>
    <x v="521"/>
    <x v="4"/>
    <x v="0"/>
    <n v="106"/>
    <n v="6.8"/>
    <n v="20000000"/>
    <n v="21200000"/>
  </r>
  <r>
    <s v="Nerve"/>
    <x v="924"/>
    <x v="1"/>
    <x v="0"/>
    <n v="96"/>
    <n v="7.1"/>
    <n v="20000000"/>
    <n v="28876924"/>
  </r>
  <r>
    <s v="Appaloosa"/>
    <x v="925"/>
    <x v="6"/>
    <x v="0"/>
    <n v="115"/>
    <n v="6.8"/>
    <n v="20000000"/>
    <n v="20207003"/>
  </r>
  <r>
    <s v="Vampires"/>
    <x v="465"/>
    <x v="0"/>
    <x v="0"/>
    <n v="104"/>
    <n v="6.1"/>
    <n v="20000000"/>
    <n v="20241395"/>
  </r>
  <r>
    <s v="Psycho"/>
    <x v="926"/>
    <x v="11"/>
    <x v="0"/>
    <n v="108"/>
    <n v="8.5"/>
    <n v="806947"/>
    <n v="32000000"/>
  </r>
  <r>
    <s v="My Best Friend's Girl"/>
    <x v="452"/>
    <x v="4"/>
    <x v="0"/>
    <n v="112"/>
    <n v="5.9"/>
    <n v="40000000"/>
    <n v="19151864"/>
  </r>
  <r>
    <s v="Endless Love"/>
    <x v="927"/>
    <x v="2"/>
    <x v="0"/>
    <n v="104"/>
    <n v="6.3"/>
    <n v="20000000"/>
    <n v="23393765"/>
  </r>
  <r>
    <s v="Georgia Rule"/>
    <x v="289"/>
    <x v="4"/>
    <x v="0"/>
    <n v="113"/>
    <n v="5.9"/>
    <n v="20000000"/>
    <n v="18882880"/>
  </r>
  <r>
    <s v="Under the Rainbow"/>
    <x v="928"/>
    <x v="4"/>
    <x v="0"/>
    <n v="98"/>
    <n v="5.4"/>
    <n v="20000000"/>
    <n v="8500000"/>
  </r>
  <r>
    <s v="Ladyhawke"/>
    <x v="104"/>
    <x v="1"/>
    <x v="0"/>
    <n v="121"/>
    <n v="7"/>
    <n v="20000000"/>
    <n v="25078937"/>
  </r>
  <r>
    <s v="Simon Birch"/>
    <x v="133"/>
    <x v="4"/>
    <x v="0"/>
    <n v="114"/>
    <n v="6.9"/>
    <n v="30000000"/>
    <n v="18252684"/>
  </r>
  <r>
    <s v="Reign Over Me"/>
    <x v="929"/>
    <x v="2"/>
    <x v="0"/>
    <n v="124"/>
    <n v="7.5"/>
    <n v="20000000"/>
    <n v="19661987"/>
  </r>
  <r>
    <s v="Into the Wild"/>
    <x v="508"/>
    <x v="1"/>
    <x v="0"/>
    <n v="148"/>
    <n v="8.1999999999999993"/>
    <n v="15000000"/>
    <n v="18352454"/>
  </r>
  <r>
    <s v="School for Scoundrels"/>
    <x v="231"/>
    <x v="4"/>
    <x v="0"/>
    <n v="108"/>
    <n v="5.9"/>
    <n v="20000000"/>
    <n v="17803796"/>
  </r>
  <r>
    <s v="Silent Hill: Revelation 3D"/>
    <x v="930"/>
    <x v="1"/>
    <x v="0"/>
    <n v="95"/>
    <n v="5"/>
    <n v="20000000"/>
    <n v="17529157"/>
  </r>
  <r>
    <s v="From Dusk Till Dawn"/>
    <x v="419"/>
    <x v="6"/>
    <x v="0"/>
    <n v="108"/>
    <n v="7.3"/>
    <n v="19000000"/>
    <n v="25753840"/>
  </r>
  <r>
    <s v="Pooh's Heffalump Movie"/>
    <x v="931"/>
    <x v="3"/>
    <x v="0"/>
    <n v="68"/>
    <n v="6.4"/>
    <n v="20000000"/>
    <n v="18081626"/>
  </r>
  <r>
    <s v="Home for the Holidays"/>
    <x v="774"/>
    <x v="4"/>
    <x v="0"/>
    <n v="103"/>
    <n v="6.6"/>
    <n v="20000000"/>
    <n v="17518220"/>
  </r>
  <r>
    <s v="Kung Fu Hustle"/>
    <x v="932"/>
    <x v="0"/>
    <x v="12"/>
    <n v="99"/>
    <n v="7.8"/>
    <n v="20000000"/>
    <n v="17104669"/>
  </r>
  <r>
    <s v="The Country Bears"/>
    <x v="933"/>
    <x v="4"/>
    <x v="0"/>
    <n v="88"/>
    <n v="4"/>
    <n v="35000000"/>
    <n v="16988996"/>
  </r>
  <r>
    <s v="The Kite Runner"/>
    <x v="11"/>
    <x v="2"/>
    <x v="17"/>
    <n v="128"/>
    <n v="7.6"/>
    <n v="20000000"/>
    <n v="15797907"/>
  </r>
  <r>
    <s v="21 Grams"/>
    <x v="112"/>
    <x v="2"/>
    <x v="0"/>
    <n v="124"/>
    <n v="7.7"/>
    <n v="20000000"/>
    <n v="16248701"/>
  </r>
  <r>
    <s v="Paparazzi"/>
    <x v="934"/>
    <x v="0"/>
    <x v="0"/>
    <n v="84"/>
    <n v="5.8"/>
    <n v="20000000"/>
    <n v="15712072"/>
  </r>
  <r>
    <s v="A Guy Thing"/>
    <x v="935"/>
    <x v="4"/>
    <x v="0"/>
    <n v="101"/>
    <n v="5.6"/>
    <n v="20000000"/>
    <n v="15408822"/>
  </r>
  <r>
    <s v="Loser"/>
    <x v="936"/>
    <x v="4"/>
    <x v="0"/>
    <n v="98"/>
    <n v="5.3"/>
    <n v="20000000"/>
    <n v="15464026"/>
  </r>
  <r>
    <s v="Capitalism: A Love Story"/>
    <x v="937"/>
    <x v="6"/>
    <x v="0"/>
    <n v="105"/>
    <n v="7.4"/>
    <n v="20000000"/>
    <n v="14359793"/>
  </r>
  <r>
    <s v="The Greatest Story Ever Told"/>
    <x v="938"/>
    <x v="7"/>
    <x v="0"/>
    <n v="225"/>
    <n v="6.6"/>
    <n v="20000000"/>
    <n v="8000000"/>
  </r>
  <r>
    <s v="Secret in Their Eyes"/>
    <x v="939"/>
    <x v="6"/>
    <x v="0"/>
    <n v="111"/>
    <n v="6.2"/>
    <n v="19500000"/>
    <n v="25078937"/>
  </r>
  <r>
    <s v="Disaster Movie"/>
    <x v="700"/>
    <x v="4"/>
    <x v="0"/>
    <n v="88"/>
    <n v="1.9"/>
    <n v="25000000"/>
    <n v="14174654"/>
  </r>
  <r>
    <s v="Armored"/>
    <x v="550"/>
    <x v="0"/>
    <x v="0"/>
    <n v="88"/>
    <n v="5.7"/>
    <n v="27000000"/>
    <n v="15988876"/>
  </r>
  <r>
    <s v="The Man Who Knew Too Little"/>
    <x v="226"/>
    <x v="0"/>
    <x v="0"/>
    <n v="94"/>
    <n v="6.6"/>
    <n v="20000000"/>
    <n v="13801755"/>
  </r>
  <r>
    <s v="What's Your Number?"/>
    <x v="940"/>
    <x v="4"/>
    <x v="0"/>
    <n v="117"/>
    <n v="6"/>
    <n v="20000000"/>
    <n v="13987482"/>
  </r>
  <r>
    <s v="Lockout"/>
    <x v="941"/>
    <x v="0"/>
    <x v="0"/>
    <n v="95"/>
    <n v="6.1"/>
    <n v="20000000"/>
    <n v="14291570"/>
  </r>
  <r>
    <s v="Envy"/>
    <x v="273"/>
    <x v="4"/>
    <x v="0"/>
    <n v="99"/>
    <n v="4.8"/>
    <n v="40000000"/>
    <n v="12181484"/>
  </r>
  <r>
    <s v="Crank: High Voltage"/>
    <x v="392"/>
    <x v="0"/>
    <x v="0"/>
    <n v="96"/>
    <n v="6.2"/>
    <n v="20000000"/>
    <n v="13630226"/>
  </r>
  <r>
    <s v="Bullets Over Broadway"/>
    <x v="691"/>
    <x v="4"/>
    <x v="0"/>
    <n v="98"/>
    <n v="7.5"/>
    <n v="20000000"/>
    <n v="13383737"/>
  </r>
  <r>
    <s v="One Night with the King"/>
    <x v="942"/>
    <x v="7"/>
    <x v="0"/>
    <n v="123"/>
    <n v="6.3"/>
    <n v="20000000"/>
    <n v="13391174"/>
  </r>
  <r>
    <s v="The Quiet American"/>
    <x v="118"/>
    <x v="2"/>
    <x v="0"/>
    <n v="101"/>
    <n v="7.1"/>
    <n v="30000000"/>
    <n v="12987647"/>
  </r>
  <r>
    <s v="The Weather Man"/>
    <x v="1"/>
    <x v="4"/>
    <x v="0"/>
    <n v="102"/>
    <n v="6.6"/>
    <n v="22000000"/>
    <n v="12469811"/>
  </r>
  <r>
    <s v="Undisputed"/>
    <x v="378"/>
    <x v="0"/>
    <x v="0"/>
    <n v="94"/>
    <n v="6.1"/>
    <n v="20000000"/>
    <n v="12398628"/>
  </r>
  <r>
    <s v="Ghost Town"/>
    <x v="383"/>
    <x v="4"/>
    <x v="0"/>
    <n v="102"/>
    <n v="6.7"/>
    <n v="20000000"/>
    <n v="13214030"/>
  </r>
  <r>
    <s v="12 Rounds"/>
    <x v="196"/>
    <x v="0"/>
    <x v="0"/>
    <n v="108"/>
    <n v="5.6"/>
    <n v="22000000"/>
    <n v="12232937"/>
  </r>
  <r>
    <s v="Let Me In"/>
    <x v="56"/>
    <x v="2"/>
    <x v="0"/>
    <n v="116"/>
    <n v="7.2"/>
    <n v="20000000"/>
    <n v="12134420"/>
  </r>
  <r>
    <s v="3 Ninjas Kick Back"/>
    <x v="943"/>
    <x v="0"/>
    <x v="0"/>
    <n v="93"/>
    <n v="4.3"/>
    <n v="20000000"/>
    <n v="11784000"/>
  </r>
  <r>
    <s v="Be Kind Rewind"/>
    <x v="149"/>
    <x v="4"/>
    <x v="0"/>
    <n v="102"/>
    <n v="6.4"/>
    <n v="20000000"/>
    <n v="11169531"/>
  </r>
  <r>
    <s v="Mrs Henderson Presents"/>
    <x v="487"/>
    <x v="4"/>
    <x v="0"/>
    <n v="103"/>
    <n v="7.1"/>
    <n v="20000000"/>
    <n v="11034436"/>
  </r>
  <r>
    <s v="Triple 9"/>
    <x v="832"/>
    <x v="0"/>
    <x v="0"/>
    <n v="115"/>
    <n v="6.3"/>
    <n v="20000000"/>
    <n v="12626905"/>
  </r>
  <r>
    <s v="Deconstructing Harry"/>
    <x v="691"/>
    <x v="4"/>
    <x v="0"/>
    <n v="96"/>
    <n v="7.4"/>
    <n v="20000000"/>
    <n v="10569071"/>
  </r>
  <r>
    <s v="Three to Tango"/>
    <x v="944"/>
    <x v="4"/>
    <x v="0"/>
    <n v="98"/>
    <n v="6.1"/>
    <n v="20000000"/>
    <n v="10544143"/>
  </r>
  <r>
    <s v="Burnt"/>
    <x v="808"/>
    <x v="4"/>
    <x v="0"/>
    <n v="101"/>
    <n v="6.6"/>
    <n v="20000000"/>
    <n v="13650738"/>
  </r>
  <r>
    <s v="We're No Angels"/>
    <x v="431"/>
    <x v="4"/>
    <x v="0"/>
    <n v="106"/>
    <n v="6"/>
    <n v="20000000"/>
    <n v="10555348"/>
  </r>
  <r>
    <s v="Everyone Says I Love You"/>
    <x v="691"/>
    <x v="4"/>
    <x v="0"/>
    <n v="101"/>
    <n v="6.8"/>
    <n v="20000000"/>
    <n v="9714482"/>
  </r>
  <r>
    <s v="Death Sentence"/>
    <x v="32"/>
    <x v="0"/>
    <x v="0"/>
    <n v="111"/>
    <n v="6.8"/>
    <n v="20000000"/>
    <n v="9525276"/>
  </r>
  <r>
    <s v="Everybody's Fine"/>
    <x v="602"/>
    <x v="1"/>
    <x v="0"/>
    <n v="99"/>
    <n v="7.2"/>
    <n v="21000000"/>
    <n v="8855646"/>
  </r>
  <r>
    <s v="Superbabies: Baby Geniuses 2"/>
    <x v="945"/>
    <x v="4"/>
    <x v="0"/>
    <n v="88"/>
    <n v="1.9"/>
    <n v="20000000"/>
    <n v="9109322"/>
  </r>
  <r>
    <s v="The Man"/>
    <x v="239"/>
    <x v="0"/>
    <x v="0"/>
    <n v="83"/>
    <n v="5.5"/>
    <n v="33000000"/>
    <n v="8326035"/>
  </r>
  <r>
    <s v="Code Name: The Cleaner"/>
    <x v="239"/>
    <x v="0"/>
    <x v="0"/>
    <n v="91"/>
    <n v="4.5"/>
    <n v="20000000"/>
    <n v="8104069"/>
  </r>
  <r>
    <s v="Connie and Carla"/>
    <x v="318"/>
    <x v="4"/>
    <x v="0"/>
    <n v="108"/>
    <n v="6.3"/>
    <n v="20000000"/>
    <n v="8054280"/>
  </r>
  <r>
    <s v="Sweet Charity"/>
    <x v="223"/>
    <x v="4"/>
    <x v="0"/>
    <n v="154"/>
    <n v="7"/>
    <n v="20000000"/>
    <n v="25078937"/>
  </r>
  <r>
    <s v="Inherent Vice"/>
    <x v="598"/>
    <x v="4"/>
    <x v="0"/>
    <n v="148"/>
    <n v="6.7"/>
    <n v="20000000"/>
    <n v="8093318"/>
  </r>
  <r>
    <s v="Doogal"/>
    <x v="946"/>
    <x v="1"/>
    <x v="0"/>
    <n v="77"/>
    <n v="2.8"/>
    <n v="20000000"/>
    <n v="7382993"/>
  </r>
  <r>
    <s v="Battle of the Year"/>
    <x v="947"/>
    <x v="2"/>
    <x v="0"/>
    <n v="110"/>
    <n v="5"/>
    <n v="20000000"/>
    <n v="8888355"/>
  </r>
  <r>
    <s v="An American Carol"/>
    <x v="491"/>
    <x v="4"/>
    <x v="0"/>
    <n v="83"/>
    <n v="4.3"/>
    <n v="12000000"/>
    <n v="7001720"/>
  </r>
  <r>
    <s v="Machete Kills"/>
    <x v="419"/>
    <x v="0"/>
    <x v="0"/>
    <n v="107"/>
    <n v="5.6"/>
    <n v="20000000"/>
    <n v="7268659"/>
  </r>
  <r>
    <s v="Willard"/>
    <x v="948"/>
    <x v="2"/>
    <x v="0"/>
    <n v="100"/>
    <n v="6.2"/>
    <n v="22000000"/>
    <n v="6852144"/>
  </r>
  <r>
    <s v="Strange Wilderness"/>
    <x v="797"/>
    <x v="1"/>
    <x v="0"/>
    <n v="87"/>
    <n v="5.3"/>
    <n v="20000000"/>
    <n v="6563357"/>
  </r>
  <r>
    <s v="Topsy-Turvy"/>
    <x v="949"/>
    <x v="7"/>
    <x v="0"/>
    <n v="154"/>
    <n v="7.4"/>
    <n v="10000000"/>
    <n v="6201757"/>
  </r>
  <r>
    <s v="Little Boy"/>
    <x v="950"/>
    <x v="2"/>
    <x v="0"/>
    <n v="106"/>
    <n v="7.4"/>
    <n v="20000000"/>
    <n v="6420319"/>
  </r>
  <r>
    <s v="A Dangerous Method"/>
    <x v="467"/>
    <x v="7"/>
    <x v="0"/>
    <n v="99"/>
    <n v="6.5"/>
    <n v="15000000"/>
    <n v="5702083"/>
  </r>
  <r>
    <s v="A Scanner Darkly"/>
    <x v="771"/>
    <x v="3"/>
    <x v="0"/>
    <n v="100"/>
    <n v="7.1"/>
    <n v="8700000"/>
    <n v="5480996"/>
  </r>
  <r>
    <s v="Chasing Mavericks"/>
    <x v="76"/>
    <x v="7"/>
    <x v="0"/>
    <n v="116"/>
    <n v="7.2"/>
    <n v="20000000"/>
    <n v="6002756"/>
  </r>
  <r>
    <s v="Alone in the Dark"/>
    <x v="384"/>
    <x v="11"/>
    <x v="0"/>
    <n v="94"/>
    <n v="2.2999999999999998"/>
    <n v="20000000"/>
    <n v="5132655"/>
  </r>
  <r>
    <s v="Bandslam"/>
    <x v="767"/>
    <x v="4"/>
    <x v="0"/>
    <n v="111"/>
    <n v="6.4"/>
    <n v="20000000"/>
    <n v="5205343"/>
  </r>
  <r>
    <s v="Birth"/>
    <x v="951"/>
    <x v="2"/>
    <x v="0"/>
    <n v="100"/>
    <n v="6.1"/>
    <n v="20000000"/>
    <n v="5005883"/>
  </r>
  <r>
    <s v="A Most Violent Year"/>
    <x v="952"/>
    <x v="0"/>
    <x v="0"/>
    <n v="125"/>
    <n v="7"/>
    <n v="20000000"/>
    <n v="5749134"/>
  </r>
  <r>
    <s v="Passchendaele"/>
    <x v="953"/>
    <x v="2"/>
    <x v="0"/>
    <n v="114"/>
    <n v="6.5"/>
    <n v="20000000"/>
    <n v="25078937"/>
  </r>
  <r>
    <s v="Flash of Genius"/>
    <x v="954"/>
    <x v="7"/>
    <x v="0"/>
    <n v="119"/>
    <n v="7"/>
    <n v="20000000"/>
    <n v="4234040"/>
  </r>
  <r>
    <s v="I'm Not There."/>
    <x v="955"/>
    <x v="7"/>
    <x v="0"/>
    <n v="135"/>
    <n v="7"/>
    <n v="20000000"/>
    <n v="4001121"/>
  </r>
  <r>
    <s v="The Cold Light of Day"/>
    <x v="956"/>
    <x v="0"/>
    <x v="0"/>
    <n v="93"/>
    <n v="4.9000000000000004"/>
    <n v="20000000"/>
    <n v="3749061"/>
  </r>
  <r>
    <s v="The Brothers Bloom"/>
    <x v="687"/>
    <x v="1"/>
    <x v="0"/>
    <n v="114"/>
    <n v="6.9"/>
    <n v="20000000"/>
    <n v="3519627"/>
  </r>
  <r>
    <s v="Synecdoche, New York"/>
    <x v="957"/>
    <x v="4"/>
    <x v="0"/>
    <n v="124"/>
    <n v="7.5"/>
    <n v="21000000"/>
    <n v="3081925"/>
  </r>
  <r>
    <s v="Princess Mononoke"/>
    <x v="651"/>
    <x v="1"/>
    <x v="1"/>
    <n v="134"/>
    <n v="8.4"/>
    <n v="2400000000"/>
    <n v="2298191"/>
  </r>
  <r>
    <s v="Bon voyage"/>
    <x v="647"/>
    <x v="4"/>
    <x v="2"/>
    <n v="114"/>
    <n v="6.9"/>
    <n v="20000000"/>
    <n v="2353728"/>
  </r>
  <r>
    <s v="Can't Stop the Music"/>
    <x v="958"/>
    <x v="7"/>
    <x v="0"/>
    <n v="124"/>
    <n v="4.5"/>
    <n v="20000000"/>
    <n v="2000000"/>
  </r>
  <r>
    <s v="The Proposition"/>
    <x v="832"/>
    <x v="6"/>
    <x v="0"/>
    <n v="104"/>
    <n v="7.4"/>
    <n v="2000000"/>
    <n v="1900725"/>
  </r>
  <r>
    <s v="Courage"/>
    <x v="959"/>
    <x v="7"/>
    <x v="0"/>
    <n v="118"/>
    <n v="7"/>
    <n v="20000000"/>
    <n v="2246000"/>
  </r>
  <r>
    <s v="Marci X"/>
    <x v="830"/>
    <x v="4"/>
    <x v="0"/>
    <n v="80"/>
    <n v="2.8"/>
    <n v="20000000"/>
    <n v="1646664"/>
  </r>
  <r>
    <s v="Equilibrium"/>
    <x v="717"/>
    <x v="0"/>
    <x v="0"/>
    <n v="107"/>
    <n v="7.5"/>
    <n v="20000000"/>
    <n v="1190018"/>
  </r>
  <r>
    <s v="The Children of Huang Shi"/>
    <x v="147"/>
    <x v="2"/>
    <x v="0"/>
    <n v="125"/>
    <n v="7.1"/>
    <n v="40000000"/>
    <n v="1027749"/>
  </r>
  <r>
    <s v="The Yards"/>
    <x v="756"/>
    <x v="6"/>
    <x v="0"/>
    <n v="115"/>
    <n v="6.4"/>
    <n v="24000000"/>
    <n v="882710"/>
  </r>
  <r>
    <s v="The Oogieloves in the Big Balloon Adventure"/>
    <x v="960"/>
    <x v="1"/>
    <x v="0"/>
    <n v="88"/>
    <n v="6.7"/>
    <n v="20000000"/>
    <n v="1064277"/>
  </r>
  <r>
    <s v="By the Sea"/>
    <x v="321"/>
    <x v="2"/>
    <x v="0"/>
    <n v="122"/>
    <n v="5.3"/>
    <n v="10000000"/>
    <n v="531009"/>
  </r>
  <r>
    <s v="Steamboy"/>
    <x v="961"/>
    <x v="0"/>
    <x v="1"/>
    <n v="103"/>
    <n v="6.9"/>
    <n v="2127519898"/>
    <n v="410388"/>
  </r>
  <r>
    <s v="The Game of Their Lives"/>
    <x v="962"/>
    <x v="2"/>
    <x v="0"/>
    <n v="101"/>
    <n v="6.2"/>
    <n v="20000000"/>
    <n v="375474"/>
  </r>
  <r>
    <s v="All Good Things"/>
    <x v="963"/>
    <x v="6"/>
    <x v="0"/>
    <n v="101"/>
    <n v="6.3"/>
    <n v="20000000"/>
    <n v="578382"/>
  </r>
  <r>
    <s v="Rapa Nui"/>
    <x v="52"/>
    <x v="0"/>
    <x v="0"/>
    <n v="107"/>
    <n v="6.4"/>
    <n v="20000000"/>
    <n v="305070"/>
  </r>
  <r>
    <s v="CJ7"/>
    <x v="932"/>
    <x v="4"/>
    <x v="12"/>
    <n v="86"/>
    <n v="6.5"/>
    <n v="20000000"/>
    <n v="206678"/>
  </r>
  <r>
    <s v="Les couloirs du temps: Les visiteurs II"/>
    <x v="579"/>
    <x v="4"/>
    <x v="2"/>
    <n v="118"/>
    <n v="6"/>
    <n v="140000000"/>
    <n v="146072"/>
  </r>
  <r>
    <s v="Dylan Dog: Dead of Night"/>
    <x v="616"/>
    <x v="0"/>
    <x v="0"/>
    <n v="107"/>
    <n v="5.0999999999999996"/>
    <n v="20000000"/>
    <n v="1183354"/>
  </r>
  <r>
    <s v="People I Know"/>
    <x v="964"/>
    <x v="6"/>
    <x v="0"/>
    <n v="100"/>
    <n v="5.5"/>
    <n v="22000000"/>
    <n v="121972"/>
  </r>
  <r>
    <s v="The Tempest"/>
    <x v="504"/>
    <x v="4"/>
    <x v="0"/>
    <n v="110"/>
    <n v="5.4"/>
    <n v="20000000"/>
    <n v="263365"/>
  </r>
  <r>
    <s v="Regression"/>
    <x v="311"/>
    <x v="6"/>
    <x v="0"/>
    <n v="106"/>
    <n v="5.7"/>
    <n v="20000000"/>
    <n v="54734"/>
  </r>
  <r>
    <s v="The Touch"/>
    <x v="965"/>
    <x v="12"/>
    <x v="0"/>
    <n v="7"/>
    <n v="5.2"/>
    <n v="13000"/>
    <n v="25078937"/>
  </r>
  <r>
    <s v="Three Kingdoms: Resurrection of the Dragon"/>
    <x v="334"/>
    <x v="0"/>
    <x v="3"/>
    <n v="102"/>
    <n v="6.2"/>
    <n v="25000000"/>
    <n v="25078937"/>
  </r>
  <r>
    <s v="Shattered"/>
    <x v="966"/>
    <x v="6"/>
    <x v="0"/>
    <n v="98"/>
    <n v="6.7"/>
    <n v="20000000"/>
    <n v="25078937"/>
  </r>
  <r>
    <s v="Zambezia"/>
    <x v="967"/>
    <x v="1"/>
    <x v="0"/>
    <n v="83"/>
    <n v="5.8"/>
    <n v="20000000"/>
    <n v="25078937"/>
  </r>
  <r>
    <s v="Ramanujan"/>
    <x v="968"/>
    <x v="7"/>
    <x v="0"/>
    <n v="153"/>
    <n v="7"/>
    <n v="20000000"/>
    <n v="25078937"/>
  </r>
  <r>
    <s v="Dwegons and Leprechauns"/>
    <x v="969"/>
    <x v="3"/>
    <x v="0"/>
    <n v="98"/>
    <n v="4.8"/>
    <n v="20000000"/>
    <n v="25078937"/>
  </r>
  <r>
    <s v="Hands of Stone"/>
    <x v="970"/>
    <x v="0"/>
    <x v="0"/>
    <n v="105"/>
    <n v="7.2"/>
    <n v="20000000"/>
    <n v="25078937"/>
  </r>
  <r>
    <s v="Survivor"/>
    <x v="442"/>
    <x v="0"/>
    <x v="0"/>
    <n v="96"/>
    <n v="5.6"/>
    <n v="20000000"/>
    <n v="25078937"/>
  </r>
  <r>
    <s v="The Frozen Ground"/>
    <x v="971"/>
    <x v="6"/>
    <x v="0"/>
    <n v="105"/>
    <n v="6.4"/>
    <n v="27220000"/>
    <n v="25078937"/>
  </r>
  <r>
    <s v="The Painted Veil"/>
    <x v="883"/>
    <x v="2"/>
    <x v="3"/>
    <n v="125"/>
    <n v="7.5"/>
    <n v="19400000"/>
    <n v="8047690"/>
  </r>
  <r>
    <s v="The Baader Meinhof Complex"/>
    <x v="875"/>
    <x v="0"/>
    <x v="13"/>
    <n v="184"/>
    <n v="7.4"/>
    <n v="20000000"/>
    <n v="476270"/>
  </r>
  <r>
    <s v="Dances with Wolves"/>
    <x v="256"/>
    <x v="1"/>
    <x v="0"/>
    <n v="236"/>
    <n v="8"/>
    <n v="22000000"/>
    <n v="184208848"/>
  </r>
  <r>
    <s v="Bad Teacher"/>
    <x v="557"/>
    <x v="4"/>
    <x v="0"/>
    <n v="97"/>
    <n v="5.7"/>
    <n v="20000000"/>
    <n v="100292856"/>
  </r>
  <r>
    <s v="Sea of Love"/>
    <x v="373"/>
    <x v="6"/>
    <x v="0"/>
    <n v="113"/>
    <n v="6.8"/>
    <n v="19000000"/>
    <n v="58571513"/>
  </r>
  <r>
    <s v="A Cinderella Story"/>
    <x v="972"/>
    <x v="4"/>
    <x v="0"/>
    <n v="95"/>
    <n v="5.9"/>
    <n v="20000000"/>
    <n v="51431160"/>
  </r>
  <r>
    <s v="Scream"/>
    <x v="544"/>
    <x v="11"/>
    <x v="0"/>
    <n v="103"/>
    <n v="7.2"/>
    <n v="15000000"/>
    <n v="103001286"/>
  </r>
  <r>
    <s v="Thir13en Ghosts"/>
    <x v="912"/>
    <x v="11"/>
    <x v="0"/>
    <n v="91"/>
    <n v="5.5"/>
    <n v="20000000"/>
    <n v="41867960"/>
  </r>
  <r>
    <s v="The Shining"/>
    <x v="324"/>
    <x v="2"/>
    <x v="0"/>
    <n v="146"/>
    <n v="8.4"/>
    <n v="19000000"/>
    <n v="25078937"/>
  </r>
  <r>
    <s v="Back to the Future"/>
    <x v="42"/>
    <x v="1"/>
    <x v="0"/>
    <n v="116"/>
    <n v="8.5"/>
    <n v="19000000"/>
    <n v="210609762"/>
  </r>
  <r>
    <s v="House on Haunted Hill"/>
    <x v="574"/>
    <x v="11"/>
    <x v="0"/>
    <n v="93"/>
    <n v="5.6"/>
    <n v="19000000"/>
    <n v="40846082"/>
  </r>
  <r>
    <s v="I Can Do Bad All by Myself"/>
    <x v="790"/>
    <x v="4"/>
    <x v="0"/>
    <n v="113"/>
    <n v="4.0999999999999996"/>
    <n v="13000000"/>
    <n v="51697449"/>
  </r>
  <r>
    <s v="Fight Valley"/>
    <x v="973"/>
    <x v="0"/>
    <x v="0"/>
    <n v="90"/>
    <n v="5"/>
    <n v="27000000"/>
    <n v="25078937"/>
  </r>
  <r>
    <s v="The Switch"/>
    <x v="339"/>
    <x v="4"/>
    <x v="0"/>
    <n v="101"/>
    <n v="6.1"/>
    <n v="19000000"/>
    <n v="27758465"/>
  </r>
  <r>
    <s v="Just Married"/>
    <x v="79"/>
    <x v="4"/>
    <x v="0"/>
    <n v="95"/>
    <n v="5.4"/>
    <n v="18000000"/>
    <n v="56127162"/>
  </r>
  <r>
    <s v="The Devil's Double"/>
    <x v="97"/>
    <x v="7"/>
    <x v="0"/>
    <n v="109"/>
    <n v="7.1"/>
    <n v="15000000"/>
    <n v="1357042"/>
  </r>
  <r>
    <s v="Thomas and the Magic Railroad"/>
    <x v="974"/>
    <x v="1"/>
    <x v="0"/>
    <n v="85"/>
    <n v="3.6"/>
    <n v="19000000"/>
    <n v="15911333"/>
  </r>
  <r>
    <s v="The Crazies"/>
    <x v="107"/>
    <x v="11"/>
    <x v="0"/>
    <n v="101"/>
    <n v="6.5"/>
    <n v="20000000"/>
    <n v="39103378"/>
  </r>
  <r>
    <s v="Spirited Away"/>
    <x v="651"/>
    <x v="1"/>
    <x v="1"/>
    <n v="125"/>
    <n v="8.6"/>
    <n v="19000000"/>
    <n v="10049886"/>
  </r>
  <r>
    <s v="Firestorm"/>
    <x v="975"/>
    <x v="0"/>
    <x v="3"/>
    <n v="118"/>
    <n v="6.2"/>
    <n v="20000000"/>
    <n v="25078937"/>
  </r>
  <r>
    <s v="The Bounty"/>
    <x v="143"/>
    <x v="0"/>
    <x v="0"/>
    <n v="132"/>
    <n v="7"/>
    <n v="25000000"/>
    <n v="8600000"/>
  </r>
  <r>
    <s v="The Book Thief"/>
    <x v="976"/>
    <x v="2"/>
    <x v="0"/>
    <n v="131"/>
    <n v="7.6"/>
    <n v="19000000"/>
    <n v="21483154"/>
  </r>
  <r>
    <s v="Sex Drive"/>
    <x v="391"/>
    <x v="1"/>
    <x v="0"/>
    <n v="129"/>
    <n v="6.5"/>
    <n v="19000000"/>
    <n v="8396942"/>
  </r>
  <r>
    <s v="Leap Year"/>
    <x v="977"/>
    <x v="4"/>
    <x v="0"/>
    <n v="100"/>
    <n v="6.4"/>
    <n v="19000000"/>
    <n v="12561"/>
  </r>
  <r>
    <s v="The Fall of the Roman Empire"/>
    <x v="978"/>
    <x v="2"/>
    <x v="0"/>
    <n v="172"/>
    <n v="6.7"/>
    <n v="19000000"/>
    <n v="25078937"/>
  </r>
  <r>
    <s v="Take Me Home Tonight"/>
    <x v="979"/>
    <x v="4"/>
    <x v="0"/>
    <n v="97"/>
    <n v="6.3"/>
    <n v="23000000"/>
    <n v="6923891"/>
  </r>
  <r>
    <s v="Won't Back Down"/>
    <x v="980"/>
    <x v="2"/>
    <x v="0"/>
    <n v="121"/>
    <n v="6.4"/>
    <n v="20000000"/>
    <n v="5308553"/>
  </r>
  <r>
    <s v="The Nutcracker"/>
    <x v="981"/>
    <x v="14"/>
    <x v="0"/>
    <n v="92"/>
    <n v="5.7"/>
    <n v="19000000"/>
    <n v="2119994"/>
  </r>
  <r>
    <s v="Kansas City"/>
    <x v="982"/>
    <x v="6"/>
    <x v="0"/>
    <n v="116"/>
    <n v="6.3"/>
    <n v="19000000"/>
    <n v="1292527"/>
  </r>
  <r>
    <s v="Indignation"/>
    <x v="983"/>
    <x v="2"/>
    <x v="18"/>
    <n v="110"/>
    <n v="7.8"/>
    <n v="20000000"/>
    <n v="560512"/>
  </r>
  <r>
    <s v="The Amityville Horror"/>
    <x v="984"/>
    <x v="2"/>
    <x v="0"/>
    <n v="90"/>
    <n v="6"/>
    <n v="19000000"/>
    <n v="64255243"/>
  </r>
  <r>
    <s v="Adaptation."/>
    <x v="170"/>
    <x v="4"/>
    <x v="0"/>
    <n v="81"/>
    <n v="7.7"/>
    <n v="19000000"/>
    <n v="22245861"/>
  </r>
  <r>
    <s v="Land of the Dead"/>
    <x v="229"/>
    <x v="11"/>
    <x v="0"/>
    <n v="97"/>
    <n v="6.2"/>
    <n v="15000000"/>
    <n v="20433940"/>
  </r>
  <r>
    <s v="Out of Inferno"/>
    <x v="512"/>
    <x v="0"/>
    <x v="19"/>
    <n v="107"/>
    <n v="5.7"/>
    <n v="20000000"/>
    <n v="25078937"/>
  </r>
  <r>
    <s v="Fear and Loathing in Las Vegas"/>
    <x v="251"/>
    <x v="1"/>
    <x v="0"/>
    <n v="118"/>
    <n v="7.7"/>
    <n v="18500000"/>
    <n v="10562387"/>
  </r>
  <r>
    <s v="The Invention of Lying"/>
    <x v="985"/>
    <x v="4"/>
    <x v="0"/>
    <n v="100"/>
    <n v="6.4"/>
    <n v="18500000"/>
    <n v="18439082"/>
  </r>
  <r>
    <s v="Neighbors"/>
    <x v="547"/>
    <x v="4"/>
    <x v="0"/>
    <n v="97"/>
    <n v="6.4"/>
    <n v="18000000"/>
    <n v="150056505"/>
  </r>
  <r>
    <s v="The Mask"/>
    <x v="164"/>
    <x v="0"/>
    <x v="0"/>
    <n v="114"/>
    <n v="6.9"/>
    <n v="18000000"/>
    <n v="119938730"/>
  </r>
  <r>
    <s v="Big"/>
    <x v="483"/>
    <x v="4"/>
    <x v="0"/>
    <n v="130"/>
    <n v="7.3"/>
    <n v="18000000"/>
    <n v="114968774"/>
  </r>
  <r>
    <s v="Borat: Cultural Learnings of America for Make Benefit Glorious Nation of Kazakhstan"/>
    <x v="323"/>
    <x v="4"/>
    <x v="0"/>
    <n v="82"/>
    <n v="7.3"/>
    <n v="18000000"/>
    <n v="128505958"/>
  </r>
  <r>
    <s v="Legally Blonde"/>
    <x v="271"/>
    <x v="4"/>
    <x v="0"/>
    <n v="96"/>
    <n v="6.2"/>
    <n v="18000000"/>
    <n v="95001351"/>
  </r>
  <r>
    <s v="Star Trek III: The Search for Spock"/>
    <x v="848"/>
    <x v="0"/>
    <x v="0"/>
    <n v="105"/>
    <n v="6.6"/>
    <n v="17000000"/>
    <n v="76400000"/>
  </r>
  <r>
    <s v="The Exorcism of Emily Rose"/>
    <x v="241"/>
    <x v="2"/>
    <x v="0"/>
    <n v="122"/>
    <n v="6.7"/>
    <n v="20000000"/>
    <n v="75072454"/>
  </r>
  <r>
    <s v="Deuce Bigalow: Male Gigolo"/>
    <x v="59"/>
    <x v="4"/>
    <x v="0"/>
    <n v="88"/>
    <n v="5.7"/>
    <n v="17000000"/>
    <n v="65535067"/>
  </r>
  <r>
    <s v="Left Behind"/>
    <x v="986"/>
    <x v="0"/>
    <x v="0"/>
    <n v="110"/>
    <n v="3.1"/>
    <n v="16000000"/>
    <n v="13998282"/>
  </r>
  <r>
    <s v="The Family Stone"/>
    <x v="920"/>
    <x v="4"/>
    <x v="0"/>
    <n v="103"/>
    <n v="6.3"/>
    <n v="17000000"/>
    <n v="6061759"/>
  </r>
  <r>
    <s v="Barbershop 2: Back in Business"/>
    <x v="615"/>
    <x v="4"/>
    <x v="0"/>
    <n v="106"/>
    <n v="5.7"/>
    <n v="18000000"/>
    <n v="64955956"/>
  </r>
  <r>
    <s v="Bad Santa"/>
    <x v="987"/>
    <x v="4"/>
    <x v="0"/>
    <n v="98"/>
    <n v="7.1"/>
    <n v="18000000"/>
    <n v="60057639"/>
  </r>
  <r>
    <s v="Austin Powers: International Man of Mystery"/>
    <x v="186"/>
    <x v="4"/>
    <x v="0"/>
    <n v="68"/>
    <n v="7"/>
    <n v="17000000"/>
    <n v="53868030"/>
  </r>
  <r>
    <s v="My Big Fat Greek Wedding 2"/>
    <x v="602"/>
    <x v="4"/>
    <x v="0"/>
    <n v="94"/>
    <n v="6.1"/>
    <n v="18000000"/>
    <n v="59573085"/>
  </r>
  <r>
    <s v="Diary of a Wimpy Kid: Rodrick Rules"/>
    <x v="94"/>
    <x v="4"/>
    <x v="0"/>
    <n v="99"/>
    <n v="6.6"/>
    <n v="21000000"/>
    <n v="52691009"/>
  </r>
  <r>
    <s v="Predator"/>
    <x v="128"/>
    <x v="0"/>
    <x v="0"/>
    <n v="107"/>
    <n v="7.8"/>
    <n v="15000000"/>
    <n v="59735548"/>
  </r>
  <r>
    <s v="Amadeus"/>
    <x v="425"/>
    <x v="7"/>
    <x v="0"/>
    <n v="180"/>
    <n v="8.3000000000000007"/>
    <n v="18000000"/>
    <n v="51600000"/>
  </r>
  <r>
    <s v="Prom Night"/>
    <x v="915"/>
    <x v="11"/>
    <x v="0"/>
    <n v="89"/>
    <n v="3.9"/>
    <n v="20000000"/>
    <n v="43818159"/>
  </r>
  <r>
    <s v="Mean Girls"/>
    <x v="193"/>
    <x v="4"/>
    <x v="0"/>
    <n v="97"/>
    <n v="7"/>
    <n v="17000000"/>
    <n v="86049418"/>
  </r>
  <r>
    <s v="Under the Tuscan Sun"/>
    <x v="988"/>
    <x v="4"/>
    <x v="0"/>
    <n v="113"/>
    <n v="6.7"/>
    <n v="18000000"/>
    <n v="43601508"/>
  </r>
  <r>
    <s v="Gosford Park"/>
    <x v="982"/>
    <x v="2"/>
    <x v="0"/>
    <n v="131"/>
    <n v="7.3"/>
    <n v="19800000"/>
    <n v="41300105"/>
  </r>
  <r>
    <s v="Peggy Sue Got Married"/>
    <x v="416"/>
    <x v="4"/>
    <x v="0"/>
    <n v="103"/>
    <n v="6.3"/>
    <n v="18000000"/>
    <n v="41382841"/>
  </r>
  <r>
    <s v="Birdman or (The Unexpected Virtue of Ignorance)"/>
    <x v="112"/>
    <x v="4"/>
    <x v="0"/>
    <n v="119"/>
    <n v="7.8"/>
    <n v="18000000"/>
    <n v="42335698"/>
  </r>
  <r>
    <s v="Blue Jasmine"/>
    <x v="691"/>
    <x v="2"/>
    <x v="0"/>
    <n v="98"/>
    <n v="7.3"/>
    <n v="18000000"/>
    <n v="33404871"/>
  </r>
  <r>
    <s v="United 93"/>
    <x v="114"/>
    <x v="2"/>
    <x v="0"/>
    <n v="111"/>
    <n v="7.6"/>
    <n v="15000000"/>
    <n v="31471430"/>
  </r>
  <r>
    <s v="Honey"/>
    <x v="798"/>
    <x v="2"/>
    <x v="0"/>
    <n v="94"/>
    <n v="5.3"/>
    <n v="25000000"/>
    <n v="30222640"/>
  </r>
  <r>
    <s v="Spy Hard"/>
    <x v="989"/>
    <x v="0"/>
    <x v="0"/>
    <n v="81"/>
    <n v="5.3"/>
    <n v="18000000"/>
    <n v="26906039"/>
  </r>
  <r>
    <s v="The Fog"/>
    <x v="465"/>
    <x v="8"/>
    <x v="0"/>
    <n v="89"/>
    <n v="6.8"/>
    <n v="1000000"/>
    <n v="21378000"/>
  </r>
  <r>
    <s v="Soul Surfer"/>
    <x v="990"/>
    <x v="7"/>
    <x v="0"/>
    <n v="106"/>
    <n v="7.1"/>
    <n v="18000000"/>
    <n v="43853424"/>
  </r>
  <r>
    <s v="Catch-22"/>
    <x v="268"/>
    <x v="4"/>
    <x v="0"/>
    <n v="122"/>
    <n v="7.2"/>
    <n v="18000000"/>
    <n v="25078937"/>
  </r>
  <r>
    <s v="Observe and Report"/>
    <x v="991"/>
    <x v="4"/>
    <x v="0"/>
    <n v="86"/>
    <n v="5.8"/>
    <n v="18000000"/>
    <n v="23993605"/>
  </r>
  <r>
    <s v="Conan the Destroyer"/>
    <x v="805"/>
    <x v="0"/>
    <x v="0"/>
    <n v="103"/>
    <n v="5.8"/>
    <n v="18000000"/>
    <n v="26400000"/>
  </r>
  <r>
    <s v="Raging Bull"/>
    <x v="47"/>
    <x v="7"/>
    <x v="0"/>
    <n v="121"/>
    <n v="8.3000000000000007"/>
    <n v="18000000"/>
    <n v="45250"/>
  </r>
  <r>
    <s v="Love Happens"/>
    <x v="992"/>
    <x v="2"/>
    <x v="0"/>
    <n v="109"/>
    <n v="5.6"/>
    <n v="18000000"/>
    <n v="22927390"/>
  </r>
  <r>
    <s v="Young Sherlock Holmes"/>
    <x v="273"/>
    <x v="1"/>
    <x v="0"/>
    <n v="109"/>
    <n v="6.8"/>
    <n v="18000000"/>
    <n v="4250320"/>
  </r>
  <r>
    <s v="Fame"/>
    <x v="993"/>
    <x v="4"/>
    <x v="0"/>
    <n v="123"/>
    <n v="5"/>
    <n v="18000000"/>
    <n v="22452209"/>
  </r>
  <r>
    <s v="127 Hours"/>
    <x v="460"/>
    <x v="1"/>
    <x v="0"/>
    <n v="94"/>
    <n v="7.6"/>
    <n v="18000000"/>
    <n v="18329466"/>
  </r>
  <r>
    <s v="Small Time Crooks"/>
    <x v="691"/>
    <x v="4"/>
    <x v="0"/>
    <n v="94"/>
    <n v="6.7"/>
    <n v="18000000"/>
    <n v="17071230"/>
  </r>
  <r>
    <s v="Center Stage"/>
    <x v="994"/>
    <x v="2"/>
    <x v="0"/>
    <n v="115"/>
    <n v="6.7"/>
    <n v="18000000"/>
    <n v="17174870"/>
  </r>
  <r>
    <s v="Love the Coopers"/>
    <x v="870"/>
    <x v="4"/>
    <x v="0"/>
    <n v="107"/>
    <n v="5.7"/>
    <n v="17000000"/>
    <n v="26284475"/>
  </r>
  <r>
    <s v="Catch That Kid"/>
    <x v="995"/>
    <x v="4"/>
    <x v="0"/>
    <n v="91"/>
    <n v="5.2"/>
    <n v="18000000"/>
    <n v="16702864"/>
  </r>
  <r>
    <s v="Life as a House"/>
    <x v="565"/>
    <x v="2"/>
    <x v="0"/>
    <n v="125"/>
    <n v="7.5"/>
    <n v="18000000"/>
    <n v="15561627"/>
  </r>
  <r>
    <s v="Steve Jobs"/>
    <x v="460"/>
    <x v="7"/>
    <x v="0"/>
    <n v="122"/>
    <n v="7.2"/>
    <n v="30000000"/>
    <n v="17750583"/>
  </r>
  <r>
    <s v="I Love You, Beth Cooper"/>
    <x v="123"/>
    <x v="4"/>
    <x v="0"/>
    <n v="102"/>
    <n v="5.3"/>
    <n v="18000000"/>
    <n v="14793904"/>
  </r>
  <r>
    <s v="Youth in Revolt"/>
    <x v="755"/>
    <x v="4"/>
    <x v="0"/>
    <n v="90"/>
    <n v="6.5"/>
    <n v="18000000"/>
    <n v="15281286"/>
  </r>
  <r>
    <s v="The Legend of the Lone Ranger"/>
    <x v="996"/>
    <x v="0"/>
    <x v="0"/>
    <n v="98"/>
    <n v="5"/>
    <n v="18000000"/>
    <n v="8000000"/>
  </r>
  <r>
    <s v="The Tailor of Panama"/>
    <x v="997"/>
    <x v="2"/>
    <x v="0"/>
    <n v="109"/>
    <n v="6.1"/>
    <n v="18000000"/>
    <n v="13491653"/>
  </r>
  <r>
    <s v="Blow Out"/>
    <x v="205"/>
    <x v="5"/>
    <x v="0"/>
    <n v="107"/>
    <n v="7.4"/>
    <n v="18000000"/>
    <n v="25078937"/>
  </r>
  <r>
    <s v="Getaway"/>
    <x v="998"/>
    <x v="0"/>
    <x v="0"/>
    <n v="90"/>
    <n v="4.4000000000000004"/>
    <n v="18000000"/>
    <n v="10494494"/>
  </r>
  <r>
    <s v="The Ice Storm"/>
    <x v="105"/>
    <x v="2"/>
    <x v="0"/>
    <n v="112"/>
    <n v="7.5"/>
    <n v="18000000"/>
    <n v="7837632"/>
  </r>
  <r>
    <s v="And So It Goes"/>
    <x v="336"/>
    <x v="4"/>
    <x v="0"/>
    <n v="94"/>
    <n v="5.7"/>
    <n v="18000000"/>
    <n v="15155772"/>
  </r>
  <r>
    <s v="Troop Beverly Hills"/>
    <x v="999"/>
    <x v="1"/>
    <x v="0"/>
    <n v="105"/>
    <n v="5.5"/>
    <n v="18000000"/>
    <n v="8508843"/>
  </r>
  <r>
    <s v="Being Julia"/>
    <x v="1000"/>
    <x v="4"/>
    <x v="0"/>
    <n v="104"/>
    <n v="7.1"/>
    <n v="18000000"/>
    <n v="7739049"/>
  </r>
  <r>
    <s v="9½ Weeks"/>
    <x v="447"/>
    <x v="2"/>
    <x v="0"/>
    <n v="112"/>
    <n v="5.9"/>
    <n v="17000000"/>
    <n v="6734844"/>
  </r>
  <r>
    <s v="Dragonslayer"/>
    <x v="1001"/>
    <x v="0"/>
    <x v="0"/>
    <n v="108"/>
    <n v="6.7"/>
    <n v="18000000"/>
    <n v="6000000"/>
  </r>
  <r>
    <s v="The Last Station"/>
    <x v="783"/>
    <x v="7"/>
    <x v="0"/>
    <n v="112"/>
    <n v="7"/>
    <n v="13000000"/>
    <n v="6615578"/>
  </r>
  <r>
    <s v="Ed Wood"/>
    <x v="23"/>
    <x v="7"/>
    <x v="0"/>
    <n v="127"/>
    <n v="7.9"/>
    <n v="18000000"/>
    <n v="5887457"/>
  </r>
  <r>
    <s v="Labor Day"/>
    <x v="684"/>
    <x v="2"/>
    <x v="0"/>
    <n v="111"/>
    <n v="6.9"/>
    <n v="18000000"/>
    <n v="13362308"/>
  </r>
  <r>
    <s v="Mongol: The Rise of Genghis Khan"/>
    <x v="190"/>
    <x v="1"/>
    <x v="20"/>
    <n v="126"/>
    <n v="7.3"/>
    <n v="20000000"/>
    <n v="5701643"/>
  </r>
  <r>
    <s v="RocknRolla"/>
    <x v="126"/>
    <x v="0"/>
    <x v="0"/>
    <n v="114"/>
    <n v="7.3"/>
    <n v="18000000"/>
    <n v="5694401"/>
  </r>
  <r>
    <s v="Megaforce"/>
    <x v="1002"/>
    <x v="0"/>
    <x v="0"/>
    <n v="99"/>
    <n v="3.5"/>
    <n v="20000000"/>
    <n v="5333658"/>
  </r>
  <r>
    <s v="Hamlet"/>
    <x v="84"/>
    <x v="2"/>
    <x v="0"/>
    <n v="150"/>
    <n v="7.8"/>
    <n v="18000000"/>
    <n v="4414535"/>
  </r>
  <r>
    <s v="Mao's Last Dancer"/>
    <x v="541"/>
    <x v="7"/>
    <x v="0"/>
    <n v="117"/>
    <n v="7.4"/>
    <n v="20000000"/>
    <n v="4806750"/>
  </r>
  <r>
    <s v="Midnight Special"/>
    <x v="1003"/>
    <x v="1"/>
    <x v="0"/>
    <n v="112"/>
    <n v="6.7"/>
    <n v="18000000"/>
    <n v="3707794"/>
  </r>
  <r>
    <s v="Anything Else"/>
    <x v="691"/>
    <x v="4"/>
    <x v="0"/>
    <n v="108"/>
    <n v="6.4"/>
    <n v="18000000"/>
    <n v="3203044"/>
  </r>
  <r>
    <s v="The Railway Man"/>
    <x v="1004"/>
    <x v="7"/>
    <x v="0"/>
    <n v="116"/>
    <n v="7.1"/>
    <n v="18000000"/>
    <n v="4435083"/>
  </r>
  <r>
    <s v="The White Ribbon"/>
    <x v="1005"/>
    <x v="2"/>
    <x v="13"/>
    <n v="144"/>
    <n v="7.8"/>
    <n v="12000000"/>
    <n v="2222647"/>
  </r>
  <r>
    <s v="Restoration"/>
    <x v="1006"/>
    <x v="11"/>
    <x v="0"/>
    <n v="92"/>
    <n v="4"/>
    <n v="20000000"/>
    <n v="25078937"/>
  </r>
  <r>
    <s v="The Wraith"/>
    <x v="1007"/>
    <x v="0"/>
    <x v="0"/>
    <n v="93"/>
    <n v="5.9"/>
    <n v="2700000"/>
    <n v="3500000"/>
  </r>
  <r>
    <s v="The Salton Sea"/>
    <x v="236"/>
    <x v="6"/>
    <x v="0"/>
    <n v="103"/>
    <n v="7.2"/>
    <n v="18000000"/>
    <n v="676698"/>
  </r>
  <r>
    <s v="Metallica Through the Never"/>
    <x v="550"/>
    <x v="15"/>
    <x v="0"/>
    <n v="93"/>
    <n v="7.2"/>
    <n v="20000000"/>
    <n v="3419967"/>
  </r>
  <r>
    <s v="The Informers"/>
    <x v="1008"/>
    <x v="6"/>
    <x v="0"/>
    <n v="98"/>
    <n v="5.0999999999999996"/>
    <n v="18000000"/>
    <n v="25078937"/>
  </r>
  <r>
    <s v="I Come with the Rain"/>
    <x v="1009"/>
    <x v="13"/>
    <x v="0"/>
    <n v="114"/>
    <n v="5.5"/>
    <n v="18000000"/>
    <n v="25078937"/>
  </r>
  <r>
    <s v="One Man's Hero"/>
    <x v="1010"/>
    <x v="0"/>
    <x v="0"/>
    <n v="121"/>
    <n v="6.2"/>
    <n v="11350000"/>
    <n v="229311"/>
  </r>
  <r>
    <s v="Day of the Dead"/>
    <x v="229"/>
    <x v="11"/>
    <x v="0"/>
    <n v="87"/>
    <n v="7.2"/>
    <n v="3500000"/>
    <n v="25078937"/>
  </r>
  <r>
    <s v="I Am Wrath"/>
    <x v="164"/>
    <x v="0"/>
    <x v="0"/>
    <n v="92"/>
    <n v="5.2"/>
    <n v="18000000"/>
    <n v="25078937"/>
  </r>
  <r>
    <s v="Renaissance"/>
    <x v="1011"/>
    <x v="0"/>
    <x v="0"/>
    <n v="105"/>
    <n v="6.7"/>
    <n v="14000000"/>
    <n v="63260"/>
  </r>
  <r>
    <s v="Red Sonja"/>
    <x v="805"/>
    <x v="0"/>
    <x v="0"/>
    <n v="89"/>
    <n v="5"/>
    <n v="17900000"/>
    <n v="25078937"/>
  </r>
  <r>
    <s v="Red Lights"/>
    <x v="1012"/>
    <x v="2"/>
    <x v="0"/>
    <n v="114"/>
    <n v="6.2"/>
    <n v="14000000"/>
    <n v="25078937"/>
  </r>
  <r>
    <s v="Superbad"/>
    <x v="556"/>
    <x v="4"/>
    <x v="0"/>
    <n v="119"/>
    <n v="7.6"/>
    <n v="20000000"/>
    <n v="121463226"/>
  </r>
  <r>
    <s v="Madea Goes to Jail"/>
    <x v="790"/>
    <x v="4"/>
    <x v="0"/>
    <n v="103"/>
    <n v="4.0999999999999996"/>
    <n v="20000000"/>
    <n v="90485233"/>
  </r>
  <r>
    <s v="Wolves"/>
    <x v="1013"/>
    <x v="0"/>
    <x v="0"/>
    <n v="91"/>
    <n v="5.3"/>
    <n v="18000000"/>
    <n v="25078937"/>
  </r>
  <r>
    <s v="Step Up 2: The Streets"/>
    <x v="106"/>
    <x v="2"/>
    <x v="0"/>
    <n v="98"/>
    <n v="6.2"/>
    <n v="23000000"/>
    <n v="58006147"/>
  </r>
  <r>
    <s v="Hoodwinked!"/>
    <x v="1014"/>
    <x v="0"/>
    <x v="0"/>
    <n v="80"/>
    <n v="6.5"/>
    <n v="17500000"/>
    <n v="51053787"/>
  </r>
  <r>
    <s v="Hotel Rwanda"/>
    <x v="1015"/>
    <x v="2"/>
    <x v="0"/>
    <n v="121"/>
    <n v="8.1"/>
    <n v="17500000"/>
    <n v="23472900"/>
  </r>
  <r>
    <s v="Hitman"/>
    <x v="1016"/>
    <x v="0"/>
    <x v="0"/>
    <n v="94"/>
    <n v="6.3"/>
    <n v="24000000"/>
    <n v="39687528"/>
  </r>
  <r>
    <s v="Black Nativity"/>
    <x v="1017"/>
    <x v="2"/>
    <x v="0"/>
    <n v="93"/>
    <n v="4.4000000000000004"/>
    <n v="17500000"/>
    <n v="7017178"/>
  </r>
  <r>
    <s v="The Prince"/>
    <x v="1018"/>
    <x v="0"/>
    <x v="0"/>
    <n v="93"/>
    <n v="4.5999999999999996"/>
    <n v="18000000"/>
    <n v="25078937"/>
  </r>
  <r>
    <s v="City of Ghosts"/>
    <x v="1019"/>
    <x v="6"/>
    <x v="0"/>
    <n v="116"/>
    <n v="6"/>
    <n v="17500000"/>
    <n v="325491"/>
  </r>
  <r>
    <s v="The Others"/>
    <x v="311"/>
    <x v="8"/>
    <x v="0"/>
    <n v="101"/>
    <n v="7.6"/>
    <n v="17000000"/>
    <n v="96471845"/>
  </r>
  <r>
    <s v="Aliens"/>
    <x v="0"/>
    <x v="0"/>
    <x v="0"/>
    <n v="154"/>
    <n v="8.4"/>
    <n v="18500000"/>
    <n v="85200000"/>
  </r>
  <r>
    <s v="My Fair Lady"/>
    <x v="1020"/>
    <x v="2"/>
    <x v="0"/>
    <n v="170"/>
    <n v="7.9"/>
    <n v="17000000"/>
    <n v="72000000"/>
  </r>
  <r>
    <s v="I Know What You Did Last Summer"/>
    <x v="415"/>
    <x v="11"/>
    <x v="0"/>
    <n v="99"/>
    <n v="5.6"/>
    <n v="17000000"/>
    <n v="72219395"/>
  </r>
  <r>
    <s v="Let's Be Cops"/>
    <x v="622"/>
    <x v="4"/>
    <x v="0"/>
    <n v="104"/>
    <n v="6.5"/>
    <n v="17000000"/>
    <n v="82389560"/>
  </r>
  <r>
    <s v="Sideways"/>
    <x v="685"/>
    <x v="1"/>
    <x v="0"/>
    <n v="126"/>
    <n v="7.5"/>
    <n v="12000000"/>
    <n v="71502303"/>
  </r>
  <r>
    <s v="Beerfest"/>
    <x v="422"/>
    <x v="4"/>
    <x v="0"/>
    <n v="110"/>
    <n v="6.3"/>
    <n v="17500000"/>
    <n v="19179969"/>
  </r>
  <r>
    <s v="Halloween"/>
    <x v="465"/>
    <x v="11"/>
    <x v="0"/>
    <n v="101"/>
    <n v="7.9"/>
    <n v="300000"/>
    <n v="47000000"/>
  </r>
  <r>
    <s v="Good Boy!"/>
    <x v="1021"/>
    <x v="4"/>
    <x v="0"/>
    <n v="87"/>
    <n v="5.0999999999999996"/>
    <n v="17000000"/>
    <n v="37566230"/>
  </r>
  <r>
    <s v="The Best Man Holiday"/>
    <x v="575"/>
    <x v="4"/>
    <x v="0"/>
    <n v="123"/>
    <n v="6.7"/>
    <n v="17000000"/>
    <n v="70492685"/>
  </r>
  <r>
    <s v="Smokin' Aces"/>
    <x v="791"/>
    <x v="0"/>
    <x v="0"/>
    <n v="109"/>
    <n v="6.7"/>
    <n v="17000000"/>
    <n v="35635046"/>
  </r>
  <r>
    <s v="Saw 3D: The Final Chapter"/>
    <x v="1022"/>
    <x v="11"/>
    <x v="0"/>
    <n v="90"/>
    <n v="5.6"/>
    <n v="20000000"/>
    <n v="45670855"/>
  </r>
  <r>
    <s v="40 Days and 40 Nights"/>
    <x v="329"/>
    <x v="4"/>
    <x v="0"/>
    <n v="96"/>
    <n v="5.6"/>
    <n v="17000000"/>
    <n v="37939782"/>
  </r>
  <r>
    <s v="A Night at the Roxbury"/>
    <x v="1023"/>
    <x v="4"/>
    <x v="0"/>
    <n v="82"/>
    <n v="6.2"/>
    <n v="17000000"/>
    <n v="30324946"/>
  </r>
  <r>
    <s v="Beastly"/>
    <x v="980"/>
    <x v="2"/>
    <x v="0"/>
    <n v="86"/>
    <n v="5.6"/>
    <n v="17000000"/>
    <n v="27854896"/>
  </r>
  <r>
    <s v="The Hills Have Eyes"/>
    <x v="626"/>
    <x v="11"/>
    <x v="0"/>
    <n v="108"/>
    <n v="6.4"/>
    <n v="15000000"/>
    <n v="41777564"/>
  </r>
  <r>
    <s v="Dickie Roberts: Former Child Star"/>
    <x v="396"/>
    <x v="4"/>
    <x v="0"/>
    <n v="98"/>
    <n v="5.6"/>
    <n v="17000000"/>
    <n v="22734486"/>
  </r>
  <r>
    <s v="McFarland, USA"/>
    <x v="721"/>
    <x v="7"/>
    <x v="0"/>
    <n v="129"/>
    <n v="7.4"/>
    <n v="17000000"/>
    <n v="44469602"/>
  </r>
  <r>
    <s v="Lottery Ticket"/>
    <x v="1024"/>
    <x v="4"/>
    <x v="0"/>
    <n v="99"/>
    <n v="4.9000000000000004"/>
    <n v="20000000"/>
    <n v="24708699"/>
  </r>
  <r>
    <s v="ATL"/>
    <x v="1025"/>
    <x v="4"/>
    <x v="0"/>
    <n v="105"/>
    <n v="6"/>
    <n v="20000000"/>
    <n v="21160089"/>
  </r>
  <r>
    <s v="Pitch Perfect"/>
    <x v="1026"/>
    <x v="4"/>
    <x v="0"/>
    <n v="112"/>
    <n v="7.2"/>
    <n v="17000000"/>
    <n v="64998368"/>
  </r>
  <r>
    <s v="Summer Catch"/>
    <x v="617"/>
    <x v="4"/>
    <x v="0"/>
    <n v="108"/>
    <n v="4.9000000000000004"/>
    <n v="34000000"/>
    <n v="19693891"/>
  </r>
  <r>
    <s v="A Simple Plan"/>
    <x v="5"/>
    <x v="6"/>
    <x v="0"/>
    <n v="121"/>
    <n v="7.5"/>
    <n v="17000000"/>
    <n v="16311763"/>
  </r>
  <r>
    <s v="They"/>
    <x v="1027"/>
    <x v="11"/>
    <x v="0"/>
    <n v="89"/>
    <n v="4.8"/>
    <n v="17000000"/>
    <n v="12693621"/>
  </r>
  <r>
    <s v="Larry the Cable Guy: Health Inspector"/>
    <x v="1028"/>
    <x v="4"/>
    <x v="0"/>
    <n v="89"/>
    <n v="3.1"/>
    <n v="4000000"/>
    <n v="15655665"/>
  </r>
  <r>
    <s v="The Adventures of Elmo in Grouchland"/>
    <x v="1029"/>
    <x v="1"/>
    <x v="0"/>
    <n v="73"/>
    <n v="5.8"/>
    <n v="17000000"/>
    <n v="11634458"/>
  </r>
  <r>
    <s v="Brooklyn's Finest"/>
    <x v="270"/>
    <x v="6"/>
    <x v="0"/>
    <n v="132"/>
    <n v="6.7"/>
    <n v="17000000"/>
    <n v="27154426"/>
  </r>
  <r>
    <s v="55 Days at Peking"/>
    <x v="1030"/>
    <x v="0"/>
    <x v="0"/>
    <n v="154"/>
    <n v="6.8"/>
    <n v="9000000"/>
    <n v="25078937"/>
  </r>
  <r>
    <s v="Evil Dead"/>
    <x v="1031"/>
    <x v="11"/>
    <x v="0"/>
    <n v="96"/>
    <n v="6.5"/>
    <n v="17000000"/>
    <n v="54239856"/>
  </r>
  <r>
    <s v="My Life in Ruins"/>
    <x v="368"/>
    <x v="4"/>
    <x v="0"/>
    <n v="98"/>
    <n v="5.9"/>
    <n v="17000000"/>
    <n v="8662318"/>
  </r>
  <r>
    <s v="American Dreamz"/>
    <x v="162"/>
    <x v="4"/>
    <x v="0"/>
    <n v="107"/>
    <n v="5.5"/>
    <n v="19000000"/>
    <n v="7156725"/>
  </r>
  <r>
    <s v="Superman IV: The Quest for Peace"/>
    <x v="1032"/>
    <x v="0"/>
    <x v="0"/>
    <n v="134"/>
    <n v="3.6"/>
    <n v="17000000"/>
    <n v="15681020"/>
  </r>
  <r>
    <s v="How She Move"/>
    <x v="1033"/>
    <x v="2"/>
    <x v="0"/>
    <n v="94"/>
    <n v="3.3"/>
    <n v="20000000"/>
    <n v="7070459"/>
  </r>
  <r>
    <s v="Running Scared"/>
    <x v="1034"/>
    <x v="0"/>
    <x v="0"/>
    <n v="122"/>
    <n v="7.4"/>
    <n v="17000000"/>
    <n v="6855137"/>
  </r>
  <r>
    <s v="Bobby Jones: Stroke of Genius"/>
    <x v="1035"/>
    <x v="7"/>
    <x v="0"/>
    <n v="128"/>
    <n v="6.7"/>
    <n v="20000000"/>
    <n v="2694071"/>
  </r>
  <r>
    <s v="Shanghai Surprise"/>
    <x v="1036"/>
    <x v="1"/>
    <x v="0"/>
    <n v="97"/>
    <n v="3"/>
    <n v="17000000"/>
    <n v="2315683"/>
  </r>
  <r>
    <s v="The Illusionist"/>
    <x v="218"/>
    <x v="2"/>
    <x v="0"/>
    <n v="110"/>
    <n v="7.6"/>
    <n v="16000000"/>
    <n v="39825798"/>
  </r>
  <r>
    <s v="Roar"/>
    <x v="1037"/>
    <x v="1"/>
    <x v="0"/>
    <n v="102"/>
    <n v="6.4"/>
    <n v="17000000"/>
    <n v="2000000"/>
  </r>
  <r>
    <s v="Veronica Guerin"/>
    <x v="130"/>
    <x v="7"/>
    <x v="0"/>
    <n v="98"/>
    <n v="6.9"/>
    <n v="17000000"/>
    <n v="1569918"/>
  </r>
  <r>
    <s v="Escobar: Paradise Lost"/>
    <x v="1038"/>
    <x v="6"/>
    <x v="0"/>
    <n v="120"/>
    <n v="6.6"/>
    <n v="17000000"/>
    <n v="106869"/>
  </r>
  <r>
    <s v="Southland Tales"/>
    <x v="821"/>
    <x v="4"/>
    <x v="0"/>
    <n v="160"/>
    <n v="5.5"/>
    <n v="17000000"/>
    <n v="273420"/>
  </r>
  <r>
    <s v="Dragon Hunters"/>
    <x v="1039"/>
    <x v="1"/>
    <x v="2"/>
    <n v="80"/>
    <n v="6.6"/>
    <n v="11000000"/>
    <n v="25078937"/>
  </r>
  <r>
    <s v="Damnation Alley"/>
    <x v="1040"/>
    <x v="10"/>
    <x v="0"/>
    <n v="91"/>
    <n v="5.2"/>
    <n v="17000000"/>
    <n v="25078937"/>
  </r>
  <r>
    <s v="The Apparition"/>
    <x v="1041"/>
    <x v="11"/>
    <x v="0"/>
    <n v="83"/>
    <n v="4.0999999999999996"/>
    <n v="17000000"/>
    <n v="4930798"/>
  </r>
  <r>
    <s v="My Girl"/>
    <x v="1042"/>
    <x v="4"/>
    <x v="0"/>
    <n v="102"/>
    <n v="6.8"/>
    <n v="16500000"/>
    <n v="59847242"/>
  </r>
  <r>
    <s v="Fur: An Imaginary Portrait of Diane Arbus"/>
    <x v="1043"/>
    <x v="7"/>
    <x v="0"/>
    <n v="122"/>
    <n v="6.5"/>
    <n v="16800000"/>
    <n v="220914"/>
  </r>
  <r>
    <s v="Wall Street"/>
    <x v="77"/>
    <x v="6"/>
    <x v="0"/>
    <n v="126"/>
    <n v="7.4"/>
    <n v="15000000"/>
    <n v="43848100"/>
  </r>
  <r>
    <s v="Sense and Sensibility"/>
    <x v="105"/>
    <x v="2"/>
    <x v="0"/>
    <n v="136"/>
    <n v="7.7"/>
    <n v="16500000"/>
    <n v="42700000"/>
  </r>
  <r>
    <s v="Becoming Jane"/>
    <x v="1044"/>
    <x v="7"/>
    <x v="0"/>
    <n v="120"/>
    <n v="7.1"/>
    <n v="16500000"/>
    <n v="18663911"/>
  </r>
  <r>
    <s v="Sydney White"/>
    <x v="1045"/>
    <x v="4"/>
    <x v="0"/>
    <n v="108"/>
    <n v="6.3"/>
    <n v="16500000"/>
    <n v="11702090"/>
  </r>
  <r>
    <s v="House of Sand and Fog"/>
    <x v="1046"/>
    <x v="2"/>
    <x v="0"/>
    <n v="126"/>
    <n v="7.6"/>
    <n v="15000000"/>
    <n v="13005485"/>
  </r>
  <r>
    <s v="Dead Poets Society"/>
    <x v="109"/>
    <x v="4"/>
    <x v="0"/>
    <n v="128"/>
    <n v="8"/>
    <n v="16400000"/>
    <n v="95860116"/>
  </r>
  <r>
    <s v="Dumb &amp; Dumber"/>
    <x v="1047"/>
    <x v="4"/>
    <x v="0"/>
    <n v="113"/>
    <n v="7.3"/>
    <n v="16000000"/>
    <n v="127175354"/>
  </r>
  <r>
    <s v="When Harry Met Sally..."/>
    <x v="336"/>
    <x v="4"/>
    <x v="0"/>
    <n v="89"/>
    <n v="7.6"/>
    <n v="16000000"/>
    <n v="92823600"/>
  </r>
  <r>
    <s v="The Verdict"/>
    <x v="854"/>
    <x v="2"/>
    <x v="0"/>
    <n v="129"/>
    <n v="7.8"/>
    <n v="16000000"/>
    <n v="54000000"/>
  </r>
  <r>
    <s v="Road Trip"/>
    <x v="231"/>
    <x v="4"/>
    <x v="0"/>
    <n v="94"/>
    <n v="6.5"/>
    <n v="15600000"/>
    <n v="68525609"/>
  </r>
  <r>
    <s v="Varsity Blues"/>
    <x v="351"/>
    <x v="4"/>
    <x v="0"/>
    <n v="106"/>
    <n v="6.4"/>
    <n v="16000000"/>
    <n v="52885587"/>
  </r>
  <r>
    <s v="The Artist"/>
    <x v="1048"/>
    <x v="4"/>
    <x v="0"/>
    <n v="100"/>
    <n v="8"/>
    <n v="15000000"/>
    <n v="44667095"/>
  </r>
  <r>
    <s v="The Unborn"/>
    <x v="327"/>
    <x v="2"/>
    <x v="0"/>
    <n v="89"/>
    <n v="4.8"/>
    <n v="16000000"/>
    <n v="42638165"/>
  </r>
  <r>
    <s v="Moonrise Kingdom"/>
    <x v="466"/>
    <x v="1"/>
    <x v="0"/>
    <n v="94"/>
    <n v="7.8"/>
    <n v="16000000"/>
    <n v="45507053"/>
  </r>
  <r>
    <s v="The Texas Chainsaw Massacre: The Beginning"/>
    <x v="87"/>
    <x v="11"/>
    <x v="0"/>
    <n v="83"/>
    <n v="5.9"/>
    <n v="16000000"/>
    <n v="39511038"/>
  </r>
  <r>
    <s v="The Young Messiah"/>
    <x v="1049"/>
    <x v="2"/>
    <x v="0"/>
    <n v="111"/>
    <n v="5.4"/>
    <n v="18500000"/>
    <n v="6462576"/>
  </r>
  <r>
    <s v="The Master of Disguise"/>
    <x v="1050"/>
    <x v="4"/>
    <x v="0"/>
    <n v="80"/>
    <n v="3.3"/>
    <n v="16000000"/>
    <n v="40363530"/>
  </r>
  <r>
    <s v="Pan's Labyrinth"/>
    <x v="36"/>
    <x v="2"/>
    <x v="5"/>
    <n v="112"/>
    <n v="8.1999999999999993"/>
    <n v="13500000"/>
    <n v="37623143"/>
  </r>
  <r>
    <s v="See Spot Run"/>
    <x v="429"/>
    <x v="0"/>
    <x v="0"/>
    <n v="94"/>
    <n v="5.4"/>
    <n v="35000000"/>
    <n v="33357476"/>
  </r>
  <r>
    <s v="Baby Boy"/>
    <x v="261"/>
    <x v="6"/>
    <x v="0"/>
    <n v="130"/>
    <n v="6.4"/>
    <n v="16000000"/>
    <n v="28734552"/>
  </r>
  <r>
    <s v="The Roommate"/>
    <x v="1051"/>
    <x v="2"/>
    <x v="0"/>
    <n v="91"/>
    <n v="4.8"/>
    <n v="16000000"/>
    <n v="37300107"/>
  </r>
  <r>
    <s v="Joe Dirt"/>
    <x v="571"/>
    <x v="1"/>
    <x v="0"/>
    <n v="91"/>
    <n v="5.9"/>
    <n v="17700000"/>
    <n v="27087695"/>
  </r>
  <r>
    <s v="Double Impact"/>
    <x v="1052"/>
    <x v="0"/>
    <x v="0"/>
    <n v="110"/>
    <n v="5.5"/>
    <n v="15000000"/>
    <n v="30102717"/>
  </r>
  <r>
    <s v="Hot Fuzz"/>
    <x v="225"/>
    <x v="0"/>
    <x v="0"/>
    <n v="121"/>
    <n v="7.9"/>
    <n v="8000000"/>
    <n v="23618786"/>
  </r>
  <r>
    <s v="The Women"/>
    <x v="1053"/>
    <x v="4"/>
    <x v="0"/>
    <n v="114"/>
    <n v="4.9000000000000004"/>
    <n v="16500000"/>
    <n v="26896744"/>
  </r>
  <r>
    <s v="Vicky Cristina Barcelona"/>
    <x v="691"/>
    <x v="2"/>
    <x v="0"/>
    <n v="96"/>
    <n v="7.2"/>
    <n v="15500000"/>
    <n v="23213577"/>
  </r>
  <r>
    <s v="Arn: The Knight Templar"/>
    <x v="1054"/>
    <x v="0"/>
    <x v="21"/>
    <n v="270"/>
    <n v="6.6"/>
    <n v="25000000"/>
    <n v="25078937"/>
  </r>
  <r>
    <s v="Boys and Girls"/>
    <x v="1055"/>
    <x v="4"/>
    <x v="0"/>
    <n v="94"/>
    <n v="5.3"/>
    <n v="16000000"/>
    <n v="20627372"/>
  </r>
  <r>
    <s v="White Oleander"/>
    <x v="1056"/>
    <x v="2"/>
    <x v="0"/>
    <n v="109"/>
    <n v="7.2"/>
    <n v="16000000"/>
    <n v="16346122"/>
  </r>
  <r>
    <s v="Jennifer's Body"/>
    <x v="410"/>
    <x v="4"/>
    <x v="0"/>
    <n v="107"/>
    <n v="5.0999999999999996"/>
    <n v="16000000"/>
    <n v="16204793"/>
  </r>
  <r>
    <s v="Drowning Mona"/>
    <x v="1057"/>
    <x v="4"/>
    <x v="0"/>
    <n v="96"/>
    <n v="5.6"/>
    <n v="16000000"/>
    <n v="15427192"/>
  </r>
  <r>
    <s v="Radio Days"/>
    <x v="691"/>
    <x v="4"/>
    <x v="0"/>
    <n v="88"/>
    <n v="7.6"/>
    <n v="16000000"/>
    <n v="14792779"/>
  </r>
  <r>
    <s v="Remember Me"/>
    <x v="1058"/>
    <x v="2"/>
    <x v="0"/>
    <n v="113"/>
    <n v="7.2"/>
    <n v="16000000"/>
    <n v="19057024"/>
  </r>
  <r>
    <s v="How to Deal"/>
    <x v="1059"/>
    <x v="4"/>
    <x v="0"/>
    <n v="101"/>
    <n v="5.7"/>
    <n v="16000000"/>
    <n v="14108518"/>
  </r>
  <r>
    <s v="My Stepmother Is an Alien"/>
    <x v="830"/>
    <x v="4"/>
    <x v="0"/>
    <n v="105"/>
    <n v="5.2"/>
    <n v="20000000"/>
    <n v="13854000"/>
  </r>
  <r>
    <s v="Philadelphia"/>
    <x v="246"/>
    <x v="2"/>
    <x v="0"/>
    <n v="125"/>
    <n v="7.7"/>
    <n v="26000000"/>
    <n v="77324422"/>
  </r>
  <r>
    <s v="The Thirteenth Floor"/>
    <x v="1060"/>
    <x v="5"/>
    <x v="0"/>
    <n v="100"/>
    <n v="7"/>
    <n v="16000000"/>
    <n v="15500000"/>
  </r>
  <r>
    <s v="The Cookout"/>
    <x v="1061"/>
    <x v="4"/>
    <x v="0"/>
    <n v="97"/>
    <n v="3.6"/>
    <n v="20000000"/>
    <n v="11540112"/>
  </r>
  <r>
    <s v="Meteor"/>
    <x v="1062"/>
    <x v="0"/>
    <x v="0"/>
    <n v="108"/>
    <n v="4.9000000000000004"/>
    <n v="16000000"/>
    <n v="25078937"/>
  </r>
  <r>
    <s v="Duets"/>
    <x v="1063"/>
    <x v="4"/>
    <x v="0"/>
    <n v="112"/>
    <n v="6"/>
    <n v="15000000"/>
    <n v="4734235"/>
  </r>
  <r>
    <s v="Hollywood Ending"/>
    <x v="691"/>
    <x v="4"/>
    <x v="0"/>
    <n v="112"/>
    <n v="6.6"/>
    <n v="16000000"/>
    <n v="4839383"/>
  </r>
  <r>
    <s v="Detroit Rock City"/>
    <x v="1064"/>
    <x v="4"/>
    <x v="0"/>
    <n v="95"/>
    <n v="6.8"/>
    <n v="15000000"/>
    <n v="4193025"/>
  </r>
  <r>
    <s v="Highlander"/>
    <x v="499"/>
    <x v="0"/>
    <x v="0"/>
    <n v="110"/>
    <n v="7.2"/>
    <n v="16000000"/>
    <n v="5900000"/>
  </r>
  <r>
    <s v="Things We Lost in the Fire"/>
    <x v="1065"/>
    <x v="2"/>
    <x v="0"/>
    <n v="118"/>
    <n v="7.2"/>
    <n v="16000000"/>
    <n v="2849142"/>
  </r>
  <r>
    <s v="Steel"/>
    <x v="1066"/>
    <x v="0"/>
    <x v="0"/>
    <n v="97"/>
    <n v="2.8"/>
    <n v="16000000"/>
    <n v="1686429"/>
  </r>
  <r>
    <s v="The Immigrant"/>
    <x v="756"/>
    <x v="2"/>
    <x v="0"/>
    <n v="120"/>
    <n v="6.6"/>
    <n v="16000000"/>
    <n v="1984743"/>
  </r>
  <r>
    <s v="The White Countess"/>
    <x v="1067"/>
    <x v="2"/>
    <x v="0"/>
    <n v="135"/>
    <n v="6.7"/>
    <n v="16000000"/>
    <n v="1666262"/>
  </r>
  <r>
    <s v="Trance"/>
    <x v="460"/>
    <x v="6"/>
    <x v="0"/>
    <n v="101"/>
    <n v="7"/>
    <n v="20000000"/>
    <n v="2319187"/>
  </r>
  <r>
    <s v="Soul Plane"/>
    <x v="1068"/>
    <x v="4"/>
    <x v="0"/>
    <n v="92"/>
    <n v="4.4000000000000004"/>
    <n v="16000000"/>
    <n v="13922211"/>
  </r>
  <r>
    <s v="Welcome to the Sticks"/>
    <x v="1069"/>
    <x v="4"/>
    <x v="2"/>
    <n v="106"/>
    <n v="7.1"/>
    <n v="11000000"/>
    <n v="25078937"/>
  </r>
  <r>
    <s v="Good"/>
    <x v="1070"/>
    <x v="2"/>
    <x v="0"/>
    <n v="92"/>
    <n v="6.2"/>
    <n v="15000000"/>
    <n v="23091"/>
  </r>
  <r>
    <s v="Enter the Void"/>
    <x v="1071"/>
    <x v="2"/>
    <x v="0"/>
    <n v="161"/>
    <n v="7.3"/>
    <n v="13000000"/>
    <n v="336467"/>
  </r>
  <r>
    <s v="Vamps"/>
    <x v="936"/>
    <x v="4"/>
    <x v="0"/>
    <n v="92"/>
    <n v="5.0999999999999996"/>
    <n v="16000000"/>
    <n v="2964"/>
  </r>
  <r>
    <s v="Hachi: A Dog's Tale"/>
    <x v="640"/>
    <x v="2"/>
    <x v="0"/>
    <n v="93"/>
    <n v="8.1"/>
    <n v="16000000"/>
    <n v="25078937"/>
  </r>
  <r>
    <s v="Zulu"/>
    <x v="1072"/>
    <x v="6"/>
    <x v="0"/>
    <n v="110"/>
    <n v="6.7"/>
    <n v="16000000"/>
    <n v="25078937"/>
  </r>
  <r>
    <s v="The Homesman"/>
    <x v="1073"/>
    <x v="2"/>
    <x v="0"/>
    <n v="122"/>
    <n v="6.6"/>
    <n v="16000000"/>
    <n v="2428883"/>
  </r>
  <r>
    <s v="Juwanna Mann"/>
    <x v="1074"/>
    <x v="4"/>
    <x v="0"/>
    <n v="91"/>
    <n v="4.5"/>
    <n v="15600000"/>
    <n v="13571817"/>
  </r>
  <r>
    <s v="Ararat"/>
    <x v="837"/>
    <x v="2"/>
    <x v="0"/>
    <n v="115"/>
    <n v="6.6"/>
    <n v="20000000"/>
    <n v="1554566"/>
  </r>
  <r>
    <s v="Madison"/>
    <x v="1075"/>
    <x v="2"/>
    <x v="0"/>
    <n v="94"/>
    <n v="6.5"/>
    <n v="20000000"/>
    <n v="508867"/>
  </r>
  <r>
    <s v="Slow Burn"/>
    <x v="1076"/>
    <x v="2"/>
    <x v="0"/>
    <n v="93"/>
    <n v="5.9"/>
    <n v="15500000"/>
    <n v="1181197"/>
  </r>
  <r>
    <s v="Wasabi"/>
    <x v="1077"/>
    <x v="0"/>
    <x v="2"/>
    <n v="94"/>
    <n v="6.6"/>
    <n v="15300000"/>
    <n v="81525"/>
  </r>
  <r>
    <s v="Slither"/>
    <x v="65"/>
    <x v="4"/>
    <x v="0"/>
    <n v="95"/>
    <n v="6.5"/>
    <n v="15500000"/>
    <n v="7774730"/>
  </r>
  <r>
    <s v="Beverly Hills Cop"/>
    <x v="221"/>
    <x v="0"/>
    <x v="0"/>
    <n v="105"/>
    <n v="7.3"/>
    <n v="14000000"/>
    <n v="234760500"/>
  </r>
  <r>
    <s v="Home Alone"/>
    <x v="123"/>
    <x v="4"/>
    <x v="0"/>
    <n v="103"/>
    <n v="7.5"/>
    <n v="18000000"/>
    <n v="285761243"/>
  </r>
  <r>
    <s v="3 Men and a Baby"/>
    <x v="848"/>
    <x v="4"/>
    <x v="0"/>
    <n v="102"/>
    <n v="5.9"/>
    <n v="11000000"/>
    <n v="167780960"/>
  </r>
  <r>
    <s v="Tootsie"/>
    <x v="203"/>
    <x v="4"/>
    <x v="0"/>
    <n v="116"/>
    <n v="7.4"/>
    <n v="22000000"/>
    <n v="177200000"/>
  </r>
  <r>
    <s v="Top Gun"/>
    <x v="161"/>
    <x v="0"/>
    <x v="0"/>
    <n v="110"/>
    <n v="6.9"/>
    <n v="15000000"/>
    <n v="176781728"/>
  </r>
  <r>
    <s v="Crouching Tiger, Hidden Dragon"/>
    <x v="105"/>
    <x v="0"/>
    <x v="3"/>
    <n v="120"/>
    <n v="7.9"/>
    <n v="15000000"/>
    <n v="128067808"/>
  </r>
  <r>
    <s v="American Beauty"/>
    <x v="2"/>
    <x v="2"/>
    <x v="0"/>
    <n v="122"/>
    <n v="8.4"/>
    <n v="15000000"/>
    <n v="130058047"/>
  </r>
  <r>
    <s v="The King's Speech"/>
    <x v="319"/>
    <x v="7"/>
    <x v="0"/>
    <n v="118"/>
    <n v="8"/>
    <n v="15000000"/>
    <n v="138795342"/>
  </r>
  <r>
    <s v="Twins"/>
    <x v="242"/>
    <x v="4"/>
    <x v="0"/>
    <n v="107"/>
    <n v="6"/>
    <n v="15000000"/>
    <n v="111936400"/>
  </r>
  <r>
    <s v="The Yellow Handkerchief"/>
    <x v="1078"/>
    <x v="2"/>
    <x v="0"/>
    <n v="102"/>
    <n v="6.8"/>
    <n v="15500000"/>
    <n v="317040"/>
  </r>
  <r>
    <s v="The Color Purple"/>
    <x v="37"/>
    <x v="2"/>
    <x v="0"/>
    <n v="154"/>
    <n v="7.8"/>
    <n v="15000000"/>
    <n v="94175854"/>
  </r>
  <r>
    <s v="Tidal Wave"/>
    <x v="1079"/>
    <x v="0"/>
    <x v="22"/>
    <n v="103"/>
    <n v="5.7"/>
    <n v="20000000"/>
    <n v="25078937"/>
  </r>
  <r>
    <s v="The Imitation Game"/>
    <x v="1080"/>
    <x v="7"/>
    <x v="0"/>
    <n v="114"/>
    <n v="8.1"/>
    <n v="14000000"/>
    <n v="91121452"/>
  </r>
  <r>
    <s v="Private Benjamin"/>
    <x v="1042"/>
    <x v="4"/>
    <x v="0"/>
    <n v="109"/>
    <n v="6.1"/>
    <n v="10000000"/>
    <n v="69800000"/>
  </r>
  <r>
    <s v="Coal Miner's Daughter"/>
    <x v="76"/>
    <x v="7"/>
    <x v="0"/>
    <n v="124"/>
    <n v="7.5"/>
    <n v="20000000"/>
    <n v="79900000"/>
  </r>
  <r>
    <s v="Diary of a Wimpy Kid"/>
    <x v="204"/>
    <x v="4"/>
    <x v="0"/>
    <n v="94"/>
    <n v="6.2"/>
    <n v="15000000"/>
    <n v="64001297"/>
  </r>
  <r>
    <s v="Mama"/>
    <x v="1081"/>
    <x v="8"/>
    <x v="0"/>
    <n v="100"/>
    <n v="6.2"/>
    <n v="20000000"/>
    <n v="71588220"/>
  </r>
  <r>
    <s v="National Lampoon's Vacation"/>
    <x v="366"/>
    <x v="1"/>
    <x v="0"/>
    <n v="98"/>
    <n v="7.4"/>
    <n v="15000000"/>
    <n v="61400000"/>
  </r>
  <r>
    <s v="Bad Grandpa"/>
    <x v="894"/>
    <x v="4"/>
    <x v="0"/>
    <n v="102"/>
    <n v="6.6"/>
    <n v="15000000"/>
    <n v="101978840"/>
  </r>
  <r>
    <s v="The Queen"/>
    <x v="487"/>
    <x v="7"/>
    <x v="0"/>
    <n v="94"/>
    <n v="7.3"/>
    <n v="9800000"/>
    <n v="56437947"/>
  </r>
  <r>
    <s v="Beetlejuice"/>
    <x v="23"/>
    <x v="4"/>
    <x v="0"/>
    <n v="92"/>
    <n v="7.5"/>
    <n v="15000000"/>
    <n v="73326666"/>
  </r>
  <r>
    <s v="Why Did I Get Married?"/>
    <x v="790"/>
    <x v="4"/>
    <x v="0"/>
    <n v="113"/>
    <n v="5.6"/>
    <n v="15000000"/>
    <n v="55184721"/>
  </r>
  <r>
    <s v="Little Women"/>
    <x v="1082"/>
    <x v="2"/>
    <x v="0"/>
    <n v="115"/>
    <n v="7.3"/>
    <n v="15000000"/>
    <n v="50003300"/>
  </r>
  <r>
    <s v="The Woman in Black"/>
    <x v="1083"/>
    <x v="2"/>
    <x v="0"/>
    <n v="95"/>
    <n v="6.4"/>
    <n v="17000000"/>
    <n v="54322273"/>
  </r>
  <r>
    <s v="When a Stranger Calls"/>
    <x v="168"/>
    <x v="11"/>
    <x v="0"/>
    <n v="87"/>
    <n v="5"/>
    <n v="15000000"/>
    <n v="47860214"/>
  </r>
  <r>
    <s v="Big Fat Liar"/>
    <x v="79"/>
    <x v="1"/>
    <x v="0"/>
    <n v="88"/>
    <n v="5.4"/>
    <n v="15000000"/>
    <n v="47811275"/>
  </r>
  <r>
    <s v="The Deer Hunter"/>
    <x v="519"/>
    <x v="2"/>
    <x v="0"/>
    <n v="183"/>
    <n v="8.1999999999999993"/>
    <n v="15000000"/>
    <n v="25078937"/>
  </r>
  <r>
    <s v="Wag the Dog"/>
    <x v="273"/>
    <x v="4"/>
    <x v="0"/>
    <n v="97"/>
    <n v="7.1"/>
    <n v="15000000"/>
    <n v="43022524"/>
  </r>
  <r>
    <s v="The Lizzie McGuire Movie"/>
    <x v="1084"/>
    <x v="1"/>
    <x v="0"/>
    <n v="94"/>
    <n v="5.3"/>
    <n v="17000000"/>
    <n v="42672630"/>
  </r>
  <r>
    <s v="Snitch"/>
    <x v="1085"/>
    <x v="0"/>
    <x v="0"/>
    <n v="112"/>
    <n v="6.5"/>
    <n v="15000000"/>
    <n v="42919096"/>
  </r>
  <r>
    <s v="Krampus"/>
    <x v="1086"/>
    <x v="4"/>
    <x v="0"/>
    <n v="98"/>
    <n v="6.2"/>
    <n v="15000000"/>
    <n v="42592530"/>
  </r>
  <r>
    <s v="The Faculty"/>
    <x v="419"/>
    <x v="11"/>
    <x v="0"/>
    <n v="104"/>
    <n v="6.4"/>
    <n v="15000000"/>
    <n v="40064955"/>
  </r>
  <r>
    <s v="What's Love Got to Do with It"/>
    <x v="517"/>
    <x v="7"/>
    <x v="0"/>
    <n v="118"/>
    <n v="7.2"/>
    <n v="20000000"/>
    <n v="39100956"/>
  </r>
  <r>
    <s v="Cop Land"/>
    <x v="138"/>
    <x v="6"/>
    <x v="0"/>
    <n v="120"/>
    <n v="6.9"/>
    <n v="10000000"/>
    <n v="44886089"/>
  </r>
  <r>
    <s v="Not Another Teen Movie"/>
    <x v="1087"/>
    <x v="4"/>
    <x v="0"/>
    <n v="99"/>
    <n v="5.7"/>
    <n v="16000000"/>
    <n v="37882551"/>
  </r>
  <r>
    <s v="End of Watch"/>
    <x v="49"/>
    <x v="6"/>
    <x v="0"/>
    <n v="109"/>
    <n v="7.7"/>
    <n v="7000000"/>
    <n v="40983001"/>
  </r>
  <r>
    <s v="The Skulls"/>
    <x v="48"/>
    <x v="0"/>
    <x v="0"/>
    <n v="106"/>
    <n v="5.6"/>
    <n v="15000000"/>
    <n v="35007180"/>
  </r>
  <r>
    <s v="The Theory of Everything"/>
    <x v="1088"/>
    <x v="7"/>
    <x v="0"/>
    <n v="123"/>
    <n v="7.7"/>
    <n v="15000000"/>
    <n v="35887263"/>
  </r>
  <r>
    <s v="Malibu's Most Wanted"/>
    <x v="429"/>
    <x v="4"/>
    <x v="0"/>
    <n v="86"/>
    <n v="5.0999999999999996"/>
    <n v="16000000"/>
    <n v="34308901"/>
  </r>
  <r>
    <s v="Where the Heart Is"/>
    <x v="1089"/>
    <x v="4"/>
    <x v="0"/>
    <n v="120"/>
    <n v="6.8"/>
    <n v="15000000"/>
    <n v="33771174"/>
  </r>
  <r>
    <s v="Lawrence of Arabia"/>
    <x v="762"/>
    <x v="1"/>
    <x v="0"/>
    <n v="227"/>
    <n v="8.4"/>
    <n v="15000000"/>
    <n v="6000000"/>
  </r>
  <r>
    <s v="Halloween II"/>
    <x v="1090"/>
    <x v="11"/>
    <x v="0"/>
    <n v="119"/>
    <n v="4.9000000000000004"/>
    <n v="15000000"/>
    <n v="33386128"/>
  </r>
  <r>
    <s v="Wild"/>
    <x v="641"/>
    <x v="1"/>
    <x v="0"/>
    <n v="115"/>
    <n v="7.1"/>
    <n v="15000000"/>
    <n v="37877959"/>
  </r>
  <r>
    <s v="The Last House on the Left"/>
    <x v="1091"/>
    <x v="6"/>
    <x v="0"/>
    <n v="114"/>
    <n v="6.6"/>
    <n v="15000000"/>
    <n v="32721635"/>
  </r>
  <r>
    <s v="The Wedding Date"/>
    <x v="1059"/>
    <x v="4"/>
    <x v="0"/>
    <n v="90"/>
    <n v="6.1"/>
    <n v="15000000"/>
    <n v="31585300"/>
  </r>
  <r>
    <s v="Halloween: Resurrection"/>
    <x v="1092"/>
    <x v="4"/>
    <x v="0"/>
    <n v="94"/>
    <n v="4.0999999999999996"/>
    <n v="15000000"/>
    <n v="30259652"/>
  </r>
  <r>
    <s v="The Princess Bride"/>
    <x v="336"/>
    <x v="1"/>
    <x v="0"/>
    <n v="98"/>
    <n v="8.1"/>
    <n v="16000000"/>
    <n v="30857814"/>
  </r>
  <r>
    <s v="The Great Debaters"/>
    <x v="1093"/>
    <x v="7"/>
    <x v="0"/>
    <n v="126"/>
    <n v="7.6"/>
    <n v="15000000"/>
    <n v="30226144"/>
  </r>
  <r>
    <s v="Drive"/>
    <x v="1094"/>
    <x v="6"/>
    <x v="0"/>
    <n v="100"/>
    <n v="7.8"/>
    <n v="15000000"/>
    <n v="35054909"/>
  </r>
  <r>
    <s v="Confessions of a Teenage Drama Queen"/>
    <x v="1095"/>
    <x v="4"/>
    <x v="0"/>
    <n v="89"/>
    <n v="4.5999999999999996"/>
    <n v="15000000"/>
    <n v="29302097"/>
  </r>
  <r>
    <s v="The Object of My Affection"/>
    <x v="994"/>
    <x v="4"/>
    <x v="0"/>
    <n v="111"/>
    <n v="6"/>
    <n v="15000000"/>
    <n v="29106737"/>
  </r>
  <r>
    <s v="28 Weeks Later"/>
    <x v="1096"/>
    <x v="2"/>
    <x v="0"/>
    <n v="100"/>
    <n v="7"/>
    <n v="15000000"/>
    <n v="28637507"/>
  </r>
  <r>
    <s v="When the Game Stands Tall"/>
    <x v="493"/>
    <x v="2"/>
    <x v="0"/>
    <n v="115"/>
    <n v="6.7"/>
    <n v="15000000"/>
    <n v="30127963"/>
  </r>
  <r>
    <s v="Because of Winn-Dixie"/>
    <x v="398"/>
    <x v="4"/>
    <x v="0"/>
    <n v="106"/>
    <n v="6.4"/>
    <n v="14000000"/>
    <n v="32645546"/>
  </r>
  <r>
    <s v="Love &amp; Basketball"/>
    <x v="1097"/>
    <x v="2"/>
    <x v="0"/>
    <n v="124"/>
    <n v="7.2"/>
    <n v="15000000"/>
    <n v="27441122"/>
  </r>
  <r>
    <s v="Grosse Pointe Blank"/>
    <x v="475"/>
    <x v="0"/>
    <x v="0"/>
    <n v="107"/>
    <n v="7.4"/>
    <n v="15000000"/>
    <n v="28014536"/>
  </r>
  <r>
    <s v="All About Steve"/>
    <x v="1098"/>
    <x v="4"/>
    <x v="0"/>
    <n v="99"/>
    <n v="4.8"/>
    <n v="15000000"/>
    <n v="33860010"/>
  </r>
  <r>
    <s v="Book of Shadows: Blair Witch 2"/>
    <x v="1099"/>
    <x v="1"/>
    <x v="0"/>
    <n v="90"/>
    <n v="4"/>
    <n v="15000000"/>
    <n v="26421314"/>
  </r>
  <r>
    <s v="The Craft"/>
    <x v="917"/>
    <x v="2"/>
    <x v="0"/>
    <n v="101"/>
    <n v="6.2"/>
    <n v="15000000"/>
    <n v="24881000"/>
  </r>
  <r>
    <s v="Match Point"/>
    <x v="691"/>
    <x v="2"/>
    <x v="0"/>
    <n v="119"/>
    <n v="7.7"/>
    <n v="15000000"/>
    <n v="23089926"/>
  </r>
  <r>
    <s v="Ramona and Beezus"/>
    <x v="1100"/>
    <x v="1"/>
    <x v="0"/>
    <n v="103"/>
    <n v="6.7"/>
    <n v="15000000"/>
    <n v="26161406"/>
  </r>
  <r>
    <s v="The Remains of the Day"/>
    <x v="1067"/>
    <x v="2"/>
    <x v="0"/>
    <n v="134"/>
    <n v="7.9"/>
    <n v="11500000"/>
    <n v="22954968"/>
  </r>
  <r>
    <s v="Boogie Nights"/>
    <x v="598"/>
    <x v="2"/>
    <x v="0"/>
    <n v="155"/>
    <n v="7.9"/>
    <n v="15000000"/>
    <n v="26384919"/>
  </r>
  <r>
    <s v="Nowhere to Run"/>
    <x v="1027"/>
    <x v="0"/>
    <x v="0"/>
    <n v="94"/>
    <n v="5.5"/>
    <n v="15000000"/>
    <n v="22189039"/>
  </r>
  <r>
    <s v="Flicka"/>
    <x v="1101"/>
    <x v="1"/>
    <x v="0"/>
    <n v="95"/>
    <n v="6.2"/>
    <n v="15000000"/>
    <n v="20998709"/>
  </r>
  <r>
    <s v="The Hills Have Eyes II"/>
    <x v="1102"/>
    <x v="11"/>
    <x v="0"/>
    <n v="89"/>
    <n v="5.0999999999999996"/>
    <n v="15000000"/>
    <n v="20801344"/>
  </r>
  <r>
    <s v="Urban Legends: Final Cut"/>
    <x v="1103"/>
    <x v="11"/>
    <x v="0"/>
    <n v="97"/>
    <n v="4.0999999999999996"/>
    <n v="14000000"/>
    <n v="21468807"/>
  </r>
  <r>
    <s v="Tuck Everlasting"/>
    <x v="348"/>
    <x v="2"/>
    <x v="0"/>
    <n v="90"/>
    <n v="6.7"/>
    <n v="15000000"/>
    <n v="19158074"/>
  </r>
  <r>
    <s v="The Marine"/>
    <x v="1104"/>
    <x v="0"/>
    <x v="0"/>
    <n v="92"/>
    <n v="4.7"/>
    <n v="20000000"/>
    <n v="18843314"/>
  </r>
  <r>
    <s v="Keanu"/>
    <x v="1105"/>
    <x v="0"/>
    <x v="0"/>
    <n v="100"/>
    <n v="6.4"/>
    <n v="15000000"/>
    <n v="20566327"/>
  </r>
  <r>
    <s v="Country Strong"/>
    <x v="927"/>
    <x v="2"/>
    <x v="0"/>
    <n v="117"/>
    <n v="6.3"/>
    <n v="15000000"/>
    <n v="20218921"/>
  </r>
  <r>
    <s v="Disturbing Behavior"/>
    <x v="1106"/>
    <x v="11"/>
    <x v="0"/>
    <n v="84"/>
    <n v="5.5"/>
    <n v="15000000"/>
    <n v="17411331"/>
  </r>
  <r>
    <s v="The Place Beyond the Pines"/>
    <x v="1107"/>
    <x v="6"/>
    <x v="0"/>
    <n v="140"/>
    <n v="7.3"/>
    <n v="15000000"/>
    <n v="21383298"/>
  </r>
  <r>
    <s v="The November Man"/>
    <x v="143"/>
    <x v="0"/>
    <x v="0"/>
    <n v="108"/>
    <n v="6.3"/>
    <n v="15000000"/>
    <n v="24984868"/>
  </r>
  <r>
    <s v="Eye of the Beholder"/>
    <x v="1108"/>
    <x v="2"/>
    <x v="0"/>
    <n v="109"/>
    <n v="4.9000000000000004"/>
    <n v="15000000"/>
    <n v="16459004"/>
  </r>
  <r>
    <s v="The Hurt Locker"/>
    <x v="208"/>
    <x v="2"/>
    <x v="0"/>
    <n v="131"/>
    <n v="7.6"/>
    <n v="15000000"/>
    <n v="15700000"/>
  </r>
  <r>
    <s v="Firestarter"/>
    <x v="1109"/>
    <x v="0"/>
    <x v="0"/>
    <n v="114"/>
    <n v="6"/>
    <n v="15000000"/>
    <n v="15100000"/>
  </r>
  <r>
    <s v="Killing Them Softly"/>
    <x v="738"/>
    <x v="6"/>
    <x v="0"/>
    <n v="97"/>
    <n v="6.2"/>
    <n v="15000000"/>
    <n v="14938570"/>
  </r>
  <r>
    <s v="A Most Wanted Man"/>
    <x v="908"/>
    <x v="6"/>
    <x v="0"/>
    <n v="122"/>
    <n v="6.8"/>
    <n v="15000000"/>
    <n v="17237244"/>
  </r>
  <r>
    <s v="Freddy Got Fingered"/>
    <x v="1110"/>
    <x v="4"/>
    <x v="0"/>
    <n v="87"/>
    <n v="4.5"/>
    <n v="15000000"/>
    <n v="14249005"/>
  </r>
  <r>
    <s v="The Pirates Who Don't Do Anything: A VeggieTales Movie"/>
    <x v="1111"/>
    <x v="1"/>
    <x v="0"/>
    <n v="85"/>
    <n v="5.7"/>
    <n v="15000000"/>
    <n v="12701880"/>
  </r>
  <r>
    <s v="U2 3D"/>
    <x v="1112"/>
    <x v="9"/>
    <x v="0"/>
    <n v="85"/>
    <n v="8.4"/>
    <n v="20000000"/>
    <n v="10353690"/>
  </r>
  <r>
    <s v="Highlander: Endgame"/>
    <x v="1113"/>
    <x v="0"/>
    <x v="0"/>
    <n v="101"/>
    <n v="4.5999999999999996"/>
    <n v="15000000"/>
    <n v="12801190"/>
  </r>
  <r>
    <s v="Idlewild"/>
    <x v="1114"/>
    <x v="6"/>
    <x v="0"/>
    <n v="121"/>
    <n v="6.2"/>
    <n v="15000000"/>
    <n v="12549485"/>
  </r>
  <r>
    <s v="One Day"/>
    <x v="1115"/>
    <x v="2"/>
    <x v="0"/>
    <n v="107"/>
    <n v="7"/>
    <n v="15000000"/>
    <n v="13766014"/>
  </r>
  <r>
    <s v="Whip It"/>
    <x v="1116"/>
    <x v="2"/>
    <x v="0"/>
    <n v="111"/>
    <n v="6.9"/>
    <n v="15000000"/>
    <n v="13034417"/>
  </r>
  <r>
    <s v="Knockaround Guys"/>
    <x v="1117"/>
    <x v="6"/>
    <x v="0"/>
    <n v="92"/>
    <n v="6.1"/>
    <n v="20000000"/>
    <n v="11632420"/>
  </r>
  <r>
    <s v="Confidence"/>
    <x v="1118"/>
    <x v="6"/>
    <x v="0"/>
    <n v="97"/>
    <n v="6.7"/>
    <n v="15000000"/>
    <n v="12212417"/>
  </r>
  <r>
    <s v="The Muse"/>
    <x v="1119"/>
    <x v="4"/>
    <x v="0"/>
    <n v="97"/>
    <n v="5.6"/>
    <n v="15000000"/>
    <n v="11614236"/>
  </r>
  <r>
    <s v="De-Lovely"/>
    <x v="565"/>
    <x v="7"/>
    <x v="0"/>
    <n v="125"/>
    <n v="6.6"/>
    <n v="20000000"/>
    <n v="13337299"/>
  </r>
  <r>
    <s v="New York Stories"/>
    <x v="691"/>
    <x v="4"/>
    <x v="0"/>
    <n v="124"/>
    <n v="6.4"/>
    <n v="15000000"/>
    <n v="10763469"/>
  </r>
  <r>
    <s v="Barney's Great Adventure"/>
    <x v="1120"/>
    <x v="1"/>
    <x v="0"/>
    <n v="76"/>
    <n v="2.8"/>
    <n v="15000000"/>
    <n v="11144518"/>
  </r>
  <r>
    <s v="The Man with the Iron Fists"/>
    <x v="1121"/>
    <x v="0"/>
    <x v="0"/>
    <n v="107"/>
    <n v="5.4"/>
    <n v="15000000"/>
    <n v="15608545"/>
  </r>
  <r>
    <s v="Home Fries"/>
    <x v="101"/>
    <x v="4"/>
    <x v="0"/>
    <n v="91"/>
    <n v="5"/>
    <n v="15000000"/>
    <n v="10443316"/>
  </r>
  <r>
    <s v="Here on Earth"/>
    <x v="1122"/>
    <x v="2"/>
    <x v="0"/>
    <n v="96"/>
    <n v="5.0999999999999996"/>
    <n v="15000000"/>
    <n v="10494147"/>
  </r>
  <r>
    <s v="Brazil"/>
    <x v="251"/>
    <x v="2"/>
    <x v="0"/>
    <n v="142"/>
    <n v="8"/>
    <n v="15000000"/>
    <n v="9929000"/>
  </r>
  <r>
    <s v="Raise Your Voice"/>
    <x v="990"/>
    <x v="14"/>
    <x v="0"/>
    <n v="103"/>
    <n v="5.9"/>
    <n v="15000000"/>
    <n v="10411980"/>
  </r>
  <r>
    <s v="The Big Lebowski"/>
    <x v="371"/>
    <x v="4"/>
    <x v="0"/>
    <n v="117"/>
    <n v="8.1999999999999993"/>
    <n v="15000000"/>
    <n v="17439163"/>
  </r>
  <r>
    <s v="Black Snake Moan"/>
    <x v="1123"/>
    <x v="2"/>
    <x v="0"/>
    <n v="116"/>
    <n v="7"/>
    <n v="15000000"/>
    <n v="9396487"/>
  </r>
  <r>
    <s v="Dark Blue"/>
    <x v="278"/>
    <x v="6"/>
    <x v="0"/>
    <n v="118"/>
    <n v="6.6"/>
    <n v="15000000"/>
    <n v="9059588"/>
  </r>
  <r>
    <s v="A Mighty Heart"/>
    <x v="785"/>
    <x v="7"/>
    <x v="0"/>
    <n v="108"/>
    <n v="6.7"/>
    <n v="16000000"/>
    <n v="9172810"/>
  </r>
  <r>
    <s v="Whatever It Takes"/>
    <x v="1124"/>
    <x v="4"/>
    <x v="0"/>
    <n v="94"/>
    <n v="5.5"/>
    <n v="15000000"/>
    <n v="8735529"/>
  </r>
  <r>
    <s v="Boat Trip"/>
    <x v="1125"/>
    <x v="4"/>
    <x v="0"/>
    <n v="97"/>
    <n v="4.9000000000000004"/>
    <n v="20000000"/>
    <n v="8586376"/>
  </r>
  <r>
    <s v="The Importance of Being Earnest"/>
    <x v="514"/>
    <x v="4"/>
    <x v="0"/>
    <n v="97"/>
    <n v="6.9"/>
    <n v="15000000"/>
    <n v="8378141"/>
  </r>
  <r>
    <s v="The Love Letter"/>
    <x v="1126"/>
    <x v="8"/>
    <x v="0"/>
    <n v="99"/>
    <n v="7.4"/>
    <n v="20000000"/>
    <n v="25078937"/>
  </r>
  <r>
    <s v="Hoot"/>
    <x v="1127"/>
    <x v="1"/>
    <x v="0"/>
    <n v="91"/>
    <n v="5.6"/>
    <n v="15000000"/>
    <n v="8080116"/>
  </r>
  <r>
    <s v="In Bruges"/>
    <x v="1128"/>
    <x v="4"/>
    <x v="0"/>
    <n v="107"/>
    <n v="8"/>
    <n v="15000000"/>
    <n v="7757130"/>
  </r>
  <r>
    <s v="Peeples"/>
    <x v="1129"/>
    <x v="4"/>
    <x v="0"/>
    <n v="95"/>
    <n v="5.3"/>
    <n v="15000000"/>
    <n v="9123834"/>
  </r>
  <r>
    <s v="The Rocker"/>
    <x v="1130"/>
    <x v="4"/>
    <x v="0"/>
    <n v="102"/>
    <n v="6.2"/>
    <n v="15000000"/>
    <n v="6409206"/>
  </r>
  <r>
    <s v="Post Grad"/>
    <x v="1131"/>
    <x v="4"/>
    <x v="0"/>
    <n v="88"/>
    <n v="5.3"/>
    <n v="15000000"/>
    <n v="6373693"/>
  </r>
  <r>
    <s v="Promised Land"/>
    <x v="521"/>
    <x v="2"/>
    <x v="0"/>
    <n v="106"/>
    <n v="6.6"/>
    <n v="15000000"/>
    <n v="7556708"/>
  </r>
  <r>
    <s v="Whatever Works"/>
    <x v="691"/>
    <x v="4"/>
    <x v="0"/>
    <n v="92"/>
    <n v="7.2"/>
    <n v="15000000"/>
    <n v="5306447"/>
  </r>
  <r>
    <s v="The In Crowd"/>
    <x v="1132"/>
    <x v="2"/>
    <x v="0"/>
    <n v="105"/>
    <n v="4.5999999999999996"/>
    <n v="15000000"/>
    <n v="5217498"/>
  </r>
  <r>
    <s v="Three Burials"/>
    <x v="1073"/>
    <x v="1"/>
    <x v="0"/>
    <n v="107"/>
    <n v="7.5"/>
    <n v="15000000"/>
    <n v="5023275"/>
  </r>
  <r>
    <s v="Jakob the Liar"/>
    <x v="1133"/>
    <x v="2"/>
    <x v="0"/>
    <n v="120"/>
    <n v="6.5"/>
    <n v="15000000"/>
    <n v="4956401"/>
  </r>
  <r>
    <s v="Kiss Kiss Bang Bang"/>
    <x v="22"/>
    <x v="4"/>
    <x v="0"/>
    <n v="103"/>
    <n v="7.6"/>
    <n v="15000000"/>
    <n v="4235837"/>
  </r>
  <r>
    <s v="Idle Hands"/>
    <x v="1134"/>
    <x v="4"/>
    <x v="0"/>
    <n v="92"/>
    <n v="6.2"/>
    <n v="20000000"/>
    <n v="4002955"/>
  </r>
  <r>
    <s v="Mulholland Drive"/>
    <x v="503"/>
    <x v="2"/>
    <x v="0"/>
    <n v="147"/>
    <n v="8"/>
    <n v="15000000"/>
    <n v="7219578"/>
  </r>
  <r>
    <s v="Blood and Chocolate"/>
    <x v="1135"/>
    <x v="2"/>
    <x v="0"/>
    <n v="98"/>
    <n v="5.5"/>
    <n v="20000000"/>
    <n v="3525161"/>
  </r>
  <r>
    <s v="You Will Meet a Tall Dark Stranger"/>
    <x v="691"/>
    <x v="4"/>
    <x v="0"/>
    <n v="98"/>
    <n v="6.3"/>
    <n v="22000000"/>
    <n v="3247816"/>
  </r>
  <r>
    <s v="Never Let Me Go"/>
    <x v="1136"/>
    <x v="2"/>
    <x v="0"/>
    <n v="103"/>
    <n v="7.2"/>
    <n v="15000000"/>
    <n v="2412045"/>
  </r>
  <r>
    <s v="Transsiberian"/>
    <x v="1137"/>
    <x v="6"/>
    <x v="0"/>
    <n v="111"/>
    <n v="6.7"/>
    <n v="15000000"/>
    <n v="2203641"/>
  </r>
  <r>
    <s v="The Clan of the Cave Bear"/>
    <x v="1138"/>
    <x v="1"/>
    <x v="0"/>
    <n v="98"/>
    <n v="5.3"/>
    <n v="15000000"/>
    <n v="1953732"/>
  </r>
  <r>
    <s v="Crazy in Alabama"/>
    <x v="1139"/>
    <x v="4"/>
    <x v="0"/>
    <n v="111"/>
    <n v="6.3"/>
    <n v="15000000"/>
    <n v="1954202"/>
  </r>
  <r>
    <s v="Funny Games"/>
    <x v="1005"/>
    <x v="6"/>
    <x v="0"/>
    <n v="111"/>
    <n v="6.5"/>
    <n v="15000000"/>
    <n v="1294640"/>
  </r>
  <r>
    <s v="Listening"/>
    <x v="1140"/>
    <x v="2"/>
    <x v="0"/>
    <n v="100"/>
    <n v="5.6"/>
    <n v="20000000"/>
    <n v="25078937"/>
  </r>
  <r>
    <s v="Felicia's Journey"/>
    <x v="837"/>
    <x v="2"/>
    <x v="0"/>
    <n v="116"/>
    <n v="7"/>
    <n v="20000000"/>
    <n v="819852"/>
  </r>
  <r>
    <s v="Metropolis"/>
    <x v="1141"/>
    <x v="2"/>
    <x v="13"/>
    <n v="145"/>
    <n v="8.3000000000000007"/>
    <n v="6000000"/>
    <n v="26435"/>
  </r>
  <r>
    <s v="District B13"/>
    <x v="426"/>
    <x v="0"/>
    <x v="2"/>
    <n v="84"/>
    <n v="7.2"/>
    <n v="12000000"/>
    <n v="1197786"/>
  </r>
  <r>
    <s v="Things to Do in Denver When You're Dead"/>
    <x v="445"/>
    <x v="6"/>
    <x v="0"/>
    <n v="115"/>
    <n v="6.8"/>
    <n v="7000000"/>
    <n v="529766"/>
  </r>
  <r>
    <s v="The Assassin"/>
    <x v="1142"/>
    <x v="0"/>
    <x v="3"/>
    <n v="105"/>
    <n v="6.4"/>
    <n v="15000000"/>
    <n v="613556"/>
  </r>
  <r>
    <s v="Buffalo Soldiers"/>
    <x v="1008"/>
    <x v="4"/>
    <x v="0"/>
    <n v="98"/>
    <n v="6.9"/>
    <n v="15000000"/>
    <n v="353743"/>
  </r>
  <r>
    <s v="The Return"/>
    <x v="1143"/>
    <x v="2"/>
    <x v="8"/>
    <n v="99"/>
    <n v="8"/>
    <n v="20000000"/>
    <n v="502028"/>
  </r>
  <r>
    <s v="Ong-bak 2"/>
    <x v="1144"/>
    <x v="0"/>
    <x v="23"/>
    <n v="110"/>
    <n v="6.2"/>
    <n v="300000000"/>
    <n v="102055"/>
  </r>
  <r>
    <s v="Centurion"/>
    <x v="663"/>
    <x v="0"/>
    <x v="0"/>
    <n v="97"/>
    <n v="6.4"/>
    <n v="20000000"/>
    <n v="122288"/>
  </r>
  <r>
    <s v="Silent Trigger"/>
    <x v="499"/>
    <x v="0"/>
    <x v="0"/>
    <n v="88"/>
    <n v="5.6"/>
    <n v="9000000"/>
    <n v="25078937"/>
  </r>
  <r>
    <s v="The Midnight Meat Train"/>
    <x v="1145"/>
    <x v="8"/>
    <x v="0"/>
    <n v="103"/>
    <n v="6.1"/>
    <n v="15000000"/>
    <n v="73548"/>
  </r>
  <r>
    <s v="Winnie Mandela"/>
    <x v="1146"/>
    <x v="7"/>
    <x v="0"/>
    <n v="104"/>
    <n v="6"/>
    <n v="15000000"/>
    <n v="25078937"/>
  </r>
  <r>
    <s v="The Son of No One"/>
    <x v="1147"/>
    <x v="6"/>
    <x v="0"/>
    <n v="90"/>
    <n v="5.0999999999999996"/>
    <n v="15000000"/>
    <n v="28870"/>
  </r>
  <r>
    <s v="All the Queen's Men"/>
    <x v="1148"/>
    <x v="0"/>
    <x v="0"/>
    <n v="105"/>
    <n v="4.5"/>
    <n v="25000000"/>
    <n v="22723"/>
  </r>
  <r>
    <s v="The Good Night"/>
    <x v="1149"/>
    <x v="4"/>
    <x v="0"/>
    <n v="93"/>
    <n v="5.9"/>
    <n v="15000000"/>
    <n v="20380"/>
  </r>
  <r>
    <s v="Bathory: Countess of Blood"/>
    <x v="1150"/>
    <x v="7"/>
    <x v="0"/>
    <n v="141"/>
    <n v="6"/>
    <n v="20000000"/>
    <n v="25078937"/>
  </r>
  <r>
    <s v="Khumba"/>
    <x v="1151"/>
    <x v="1"/>
    <x v="0"/>
    <n v="85"/>
    <n v="5.8"/>
    <n v="20000000"/>
    <n v="25078937"/>
  </r>
  <r>
    <s v="Automata"/>
    <x v="1152"/>
    <x v="0"/>
    <x v="0"/>
    <n v="109"/>
    <n v="6.1"/>
    <n v="7000000"/>
    <n v="25078937"/>
  </r>
  <r>
    <s v="Dungeons &amp; Dragons: Wrath of the Dragon God"/>
    <x v="1153"/>
    <x v="0"/>
    <x v="0"/>
    <n v="105"/>
    <n v="4.9000000000000004"/>
    <n v="15000000"/>
    <n v="25078937"/>
  </r>
  <r>
    <s v="Chiamatemi Francesco - Il Papa della gente"/>
    <x v="1154"/>
    <x v="7"/>
    <x v="5"/>
    <n v="98"/>
    <n v="5.7"/>
    <n v="15000000"/>
    <n v="25078937"/>
  </r>
  <r>
    <s v="Shinjuku Incident"/>
    <x v="1155"/>
    <x v="0"/>
    <x v="3"/>
    <n v="119"/>
    <n v="7.1"/>
    <n v="15000000"/>
    <n v="25078937"/>
  </r>
  <r>
    <s v="Pandaemonium"/>
    <x v="1156"/>
    <x v="7"/>
    <x v="0"/>
    <n v="124"/>
    <n v="6.6"/>
    <n v="15000000"/>
    <n v="25078937"/>
  </r>
  <r>
    <s v="Groundhog Day"/>
    <x v="366"/>
    <x v="4"/>
    <x v="0"/>
    <n v="101"/>
    <n v="8.1"/>
    <n v="14600000"/>
    <n v="70906973"/>
  </r>
  <r>
    <s v="Magic Mike XXL"/>
    <x v="1157"/>
    <x v="4"/>
    <x v="0"/>
    <n v="115"/>
    <n v="5.7"/>
    <n v="14800000"/>
    <n v="66009973"/>
  </r>
  <r>
    <s v="Romeo + Juliet"/>
    <x v="34"/>
    <x v="2"/>
    <x v="0"/>
    <n v="120"/>
    <n v="6.8"/>
    <n v="14500000"/>
    <n v="46338728"/>
  </r>
  <r>
    <s v="Sarah's Key"/>
    <x v="1158"/>
    <x v="2"/>
    <x v="2"/>
    <n v="111"/>
    <n v="7.5"/>
    <n v="10000000"/>
    <n v="7691700"/>
  </r>
  <r>
    <s v="Freedom"/>
    <x v="1159"/>
    <x v="2"/>
    <x v="0"/>
    <n v="94"/>
    <n v="6.2"/>
    <n v="14500000"/>
    <n v="25078937"/>
  </r>
  <r>
    <s v="Unforgiven"/>
    <x v="322"/>
    <x v="2"/>
    <x v="0"/>
    <n v="131"/>
    <n v="8.3000000000000007"/>
    <n v="14400000"/>
    <n v="101157447"/>
  </r>
  <r>
    <s v="Manderlay"/>
    <x v="1160"/>
    <x v="2"/>
    <x v="0"/>
    <n v="139"/>
    <n v="7.4"/>
    <n v="14200000"/>
    <n v="74205"/>
  </r>
  <r>
    <s v="Slumdog Millionaire"/>
    <x v="460"/>
    <x v="2"/>
    <x v="0"/>
    <n v="120"/>
    <n v="8"/>
    <n v="15000000"/>
    <n v="141319195"/>
  </r>
  <r>
    <s v="Fatal Attraction"/>
    <x v="447"/>
    <x v="2"/>
    <x v="0"/>
    <n v="119"/>
    <n v="6.9"/>
    <n v="14000000"/>
    <n v="156645693"/>
  </r>
  <r>
    <s v="Pretty Woman"/>
    <x v="289"/>
    <x v="4"/>
    <x v="0"/>
    <n v="125"/>
    <n v="6.9"/>
    <n v="14000000"/>
    <n v="178406268"/>
  </r>
  <r>
    <s v="Towering Inferno"/>
    <x v="1161"/>
    <x v="4"/>
    <x v="0"/>
    <n v="65"/>
    <n v="9.5"/>
    <n v="20000000"/>
    <n v="25078937"/>
  </r>
  <r>
    <s v="Crocodile Dundee II"/>
    <x v="1162"/>
    <x v="0"/>
    <x v="0"/>
    <n v="108"/>
    <n v="5.5"/>
    <n v="15800000"/>
    <n v="109306210"/>
  </r>
  <r>
    <s v="Broken Horses"/>
    <x v="1163"/>
    <x v="0"/>
    <x v="0"/>
    <n v="101"/>
    <n v="5.7"/>
    <n v="15000000"/>
    <n v="25078937"/>
  </r>
  <r>
    <s v="Born on the Fourth of July"/>
    <x v="77"/>
    <x v="7"/>
    <x v="0"/>
    <n v="145"/>
    <n v="7.2"/>
    <n v="14000000"/>
    <n v="70001698"/>
  </r>
  <r>
    <s v="Cool Runnings"/>
    <x v="70"/>
    <x v="1"/>
    <x v="0"/>
    <n v="98"/>
    <n v="6.9"/>
    <n v="15000000"/>
    <n v="68856263"/>
  </r>
  <r>
    <s v="My Bloody Valentine"/>
    <x v="476"/>
    <x v="11"/>
    <x v="0"/>
    <n v="101"/>
    <n v="5.5"/>
    <n v="15000000"/>
    <n v="51527787"/>
  </r>
  <r>
    <s v="Stomp the Yard"/>
    <x v="813"/>
    <x v="2"/>
    <x v="0"/>
    <n v="109"/>
    <n v="5.2"/>
    <n v="14000000"/>
    <n v="61356221"/>
  </r>
  <r>
    <s v="The Spy Who Loved Me"/>
    <x v="677"/>
    <x v="0"/>
    <x v="0"/>
    <n v="123"/>
    <n v="7.1"/>
    <n v="14000000"/>
    <n v="46800000"/>
  </r>
  <r>
    <s v="Urban Legend"/>
    <x v="1164"/>
    <x v="11"/>
    <x v="0"/>
    <n v="99"/>
    <n v="5.5"/>
    <n v="14000000"/>
    <n v="38048637"/>
  </r>
  <r>
    <s v="Good Deeds"/>
    <x v="790"/>
    <x v="4"/>
    <x v="0"/>
    <n v="110"/>
    <n v="5.4"/>
    <n v="20000000"/>
    <n v="35010192"/>
  </r>
  <r>
    <s v="White Fang"/>
    <x v="1165"/>
    <x v="1"/>
    <x v="0"/>
    <n v="107"/>
    <n v="6.7"/>
    <n v="14000000"/>
    <n v="34793160"/>
  </r>
  <r>
    <s v="Superstar"/>
    <x v="825"/>
    <x v="4"/>
    <x v="0"/>
    <n v="81"/>
    <n v="5"/>
    <n v="14000000"/>
    <n v="30628981"/>
  </r>
  <r>
    <s v="The Iron Lady"/>
    <x v="421"/>
    <x v="7"/>
    <x v="0"/>
    <n v="105"/>
    <n v="6.4"/>
    <n v="13000000"/>
    <n v="29959436"/>
  </r>
  <r>
    <s v="Jonah: A VeggieTales Movie"/>
    <x v="1111"/>
    <x v="1"/>
    <x v="0"/>
    <n v="82"/>
    <n v="6.6"/>
    <n v="14000000"/>
    <n v="25571351"/>
  </r>
  <r>
    <s v="Poetic Justice"/>
    <x v="261"/>
    <x v="2"/>
    <x v="0"/>
    <n v="109"/>
    <n v="5.9"/>
    <n v="14000000"/>
    <n v="27515786"/>
  </r>
  <r>
    <s v="All About the Benjamins"/>
    <x v="394"/>
    <x v="0"/>
    <x v="0"/>
    <n v="95"/>
    <n v="5.7"/>
    <n v="14000000"/>
    <n v="25482931"/>
  </r>
  <r>
    <s v="Vampire in Brooklyn"/>
    <x v="544"/>
    <x v="4"/>
    <x v="0"/>
    <n v="100"/>
    <n v="4.5"/>
    <n v="20000000"/>
    <n v="19900000"/>
  </r>
  <r>
    <s v="Exorcist II: The Heretic"/>
    <x v="997"/>
    <x v="11"/>
    <x v="0"/>
    <n v="118"/>
    <n v="3.7"/>
    <n v="14000000"/>
    <n v="25078937"/>
  </r>
  <r>
    <s v="An American Haunting"/>
    <x v="998"/>
    <x v="11"/>
    <x v="0"/>
    <n v="91"/>
    <n v="5"/>
    <n v="14000000"/>
    <n v="16298046"/>
  </r>
  <r>
    <s v="My Boss's Daughter"/>
    <x v="491"/>
    <x v="4"/>
    <x v="0"/>
    <n v="90"/>
    <n v="4.5999999999999996"/>
    <n v="14000000"/>
    <n v="15549702"/>
  </r>
  <r>
    <s v="A Perfect Getaway"/>
    <x v="135"/>
    <x v="1"/>
    <x v="0"/>
    <n v="108"/>
    <n v="6.5"/>
    <n v="14000000"/>
    <n v="15483540"/>
  </r>
  <r>
    <s v="Our Family Wedding"/>
    <x v="1166"/>
    <x v="4"/>
    <x v="0"/>
    <n v="103"/>
    <n v="4.9000000000000004"/>
    <n v="14000000"/>
    <n v="20246959"/>
  </r>
  <r>
    <s v="Dead Man on Campus"/>
    <x v="1167"/>
    <x v="4"/>
    <x v="0"/>
    <n v="96"/>
    <n v="6"/>
    <n v="14000000"/>
    <n v="15062898"/>
  </r>
  <r>
    <s v="Tea with Mussolini"/>
    <x v="1168"/>
    <x v="4"/>
    <x v="0"/>
    <n v="117"/>
    <n v="6.9"/>
    <n v="12000000"/>
    <n v="14348123"/>
  </r>
  <r>
    <s v="Thinner"/>
    <x v="1169"/>
    <x v="8"/>
    <x v="0"/>
    <n v="93"/>
    <n v="5.7"/>
    <n v="8500000"/>
    <n v="15171475"/>
  </r>
  <r>
    <s v="New York, New York"/>
    <x v="47"/>
    <x v="2"/>
    <x v="0"/>
    <n v="136"/>
    <n v="6.7"/>
    <n v="14000000"/>
    <n v="25078937"/>
  </r>
  <r>
    <s v="Crooklyn"/>
    <x v="433"/>
    <x v="4"/>
    <x v="0"/>
    <n v="115"/>
    <n v="6.9"/>
    <n v="14000000"/>
    <n v="13640000"/>
  </r>
  <r>
    <s v="I Think I Love My Wife"/>
    <x v="612"/>
    <x v="4"/>
    <x v="0"/>
    <n v="94"/>
    <n v="5.5"/>
    <n v="20000000"/>
    <n v="12550242"/>
  </r>
  <r>
    <s v="Jason X"/>
    <x v="1170"/>
    <x v="0"/>
    <x v="0"/>
    <n v="85"/>
    <n v="4.4000000000000004"/>
    <n v="11000000"/>
    <n v="12610731"/>
  </r>
  <r>
    <s v="Bobby"/>
    <x v="1171"/>
    <x v="2"/>
    <x v="0"/>
    <n v="112"/>
    <n v="7"/>
    <n v="14000000"/>
    <n v="11204499"/>
  </r>
  <r>
    <s v="Head Over Heels"/>
    <x v="193"/>
    <x v="4"/>
    <x v="0"/>
    <n v="86"/>
    <n v="5.4"/>
    <n v="14000000"/>
    <n v="10397365"/>
  </r>
  <r>
    <s v="Fun Size"/>
    <x v="1172"/>
    <x v="1"/>
    <x v="0"/>
    <n v="86"/>
    <n v="5.4"/>
    <n v="14000000"/>
    <n v="9402410"/>
  </r>
  <r>
    <s v="The Diving Bell and the Butterfly"/>
    <x v="1173"/>
    <x v="7"/>
    <x v="2"/>
    <n v="112"/>
    <n v="8"/>
    <n v="20000000"/>
    <n v="5990075"/>
  </r>
  <r>
    <s v="Little Children"/>
    <x v="1174"/>
    <x v="2"/>
    <x v="0"/>
    <n v="137"/>
    <n v="7.6"/>
    <n v="26000000"/>
    <n v="5459824"/>
  </r>
  <r>
    <s v="Gossip"/>
    <x v="1175"/>
    <x v="2"/>
    <x v="0"/>
    <n v="90"/>
    <n v="5.9"/>
    <n v="24000000"/>
    <n v="5108820"/>
  </r>
  <r>
    <s v="A Walk on the Moon"/>
    <x v="859"/>
    <x v="2"/>
    <x v="0"/>
    <n v="107"/>
    <n v="6.6"/>
    <n v="14000000"/>
    <n v="4741987"/>
  </r>
  <r>
    <s v="Catch a Fire"/>
    <x v="118"/>
    <x v="7"/>
    <x v="0"/>
    <n v="98"/>
    <n v="6.7"/>
    <n v="14000000"/>
    <n v="4291965"/>
  </r>
  <r>
    <s v="Soul Survivors"/>
    <x v="1176"/>
    <x v="2"/>
    <x v="0"/>
    <n v="84"/>
    <n v="3.9"/>
    <n v="14000000"/>
    <n v="3100650"/>
  </r>
  <r>
    <s v="Jefferson in Paris"/>
    <x v="1067"/>
    <x v="7"/>
    <x v="0"/>
    <n v="139"/>
    <n v="5.7"/>
    <n v="14000000"/>
    <n v="2474000"/>
  </r>
  <r>
    <s v="Easy Virtue"/>
    <x v="1108"/>
    <x v="4"/>
    <x v="0"/>
    <n v="97"/>
    <n v="6.7"/>
    <n v="20000000"/>
    <n v="2656324"/>
  </r>
  <r>
    <s v="Caravans"/>
    <x v="1177"/>
    <x v="0"/>
    <x v="0"/>
    <n v="127"/>
    <n v="6.5"/>
    <n v="14000000"/>
    <n v="1000000"/>
  </r>
  <r>
    <s v="Mr. Turner"/>
    <x v="949"/>
    <x v="7"/>
    <x v="0"/>
    <n v="150"/>
    <n v="6.8"/>
    <n v="8200000"/>
    <n v="3958500"/>
  </r>
  <r>
    <s v="Wild Grass"/>
    <x v="1178"/>
    <x v="2"/>
    <x v="2"/>
    <n v="104"/>
    <n v="6.3"/>
    <n v="20000000"/>
    <n v="403649"/>
  </r>
  <r>
    <s v="Amen."/>
    <x v="471"/>
    <x v="7"/>
    <x v="0"/>
    <n v="132"/>
    <n v="7.3"/>
    <n v="103000000"/>
    <n v="274299"/>
  </r>
  <r>
    <s v="Reign of Assassins"/>
    <x v="1179"/>
    <x v="0"/>
    <x v="3"/>
    <n v="117"/>
    <n v="6.9"/>
    <n v="12000000"/>
    <n v="25078937"/>
  </r>
  <r>
    <s v="The Lucky Ones"/>
    <x v="218"/>
    <x v="4"/>
    <x v="0"/>
    <n v="115"/>
    <n v="7"/>
    <n v="15000000"/>
    <n v="183088"/>
  </r>
  <r>
    <s v="Margaret"/>
    <x v="1180"/>
    <x v="2"/>
    <x v="0"/>
    <n v="186"/>
    <n v="6.5"/>
    <n v="14000000"/>
    <n v="46495"/>
  </r>
  <r>
    <s v="Stan Helsing"/>
    <x v="1181"/>
    <x v="4"/>
    <x v="0"/>
    <n v="90"/>
    <n v="3.6"/>
    <n v="20000000"/>
    <n v="25078937"/>
  </r>
  <r>
    <s v="Flipped"/>
    <x v="336"/>
    <x v="4"/>
    <x v="0"/>
    <n v="90"/>
    <n v="7.7"/>
    <n v="14000000"/>
    <n v="1752214"/>
  </r>
  <r>
    <s v="Brokeback Mountain"/>
    <x v="105"/>
    <x v="2"/>
    <x v="0"/>
    <n v="134"/>
    <n v="7.7"/>
    <n v="14000000"/>
    <n v="83025853"/>
  </r>
  <r>
    <s v="Clueless"/>
    <x v="936"/>
    <x v="4"/>
    <x v="0"/>
    <n v="97"/>
    <n v="6.8"/>
    <n v="12000000"/>
    <n v="56631572"/>
  </r>
  <r>
    <s v="Far from Heaven"/>
    <x v="955"/>
    <x v="2"/>
    <x v="0"/>
    <n v="107"/>
    <n v="7.4"/>
    <n v="13500000"/>
    <n v="15854988"/>
  </r>
  <r>
    <s v="Hot Tub Time Machine 2"/>
    <x v="610"/>
    <x v="4"/>
    <x v="0"/>
    <n v="99"/>
    <n v="5.0999999999999996"/>
    <n v="14000000"/>
    <n v="12282677"/>
  </r>
  <r>
    <s v="Quills"/>
    <x v="768"/>
    <x v="7"/>
    <x v="0"/>
    <n v="124"/>
    <n v="7.4"/>
    <n v="13500000"/>
    <n v="7060876"/>
  </r>
  <r>
    <s v="Seven Psychopaths"/>
    <x v="1128"/>
    <x v="4"/>
    <x v="0"/>
    <n v="110"/>
    <n v="7.2"/>
    <n v="15000000"/>
    <n v="14989761"/>
  </r>
  <r>
    <s v="The Caveman's Valentine"/>
    <x v="1017"/>
    <x v="6"/>
    <x v="0"/>
    <n v="105"/>
    <n v="6"/>
    <n v="20000000"/>
    <n v="687081"/>
  </r>
  <r>
    <s v="Downfall"/>
    <x v="262"/>
    <x v="7"/>
    <x v="13"/>
    <n v="178"/>
    <n v="8.3000000000000007"/>
    <n v="13500000"/>
    <n v="5501940"/>
  </r>
  <r>
    <s v="The Sea Inside"/>
    <x v="311"/>
    <x v="7"/>
    <x v="5"/>
    <n v="125"/>
    <n v="8.1"/>
    <n v="10000000"/>
    <n v="2086345"/>
  </r>
  <r>
    <s v="Under the Skin"/>
    <x v="951"/>
    <x v="2"/>
    <x v="0"/>
    <n v="108"/>
    <n v="6.3"/>
    <n v="20000000"/>
    <n v="2605039"/>
  </r>
  <r>
    <s v="Good Morning, Vietnam"/>
    <x v="273"/>
    <x v="7"/>
    <x v="0"/>
    <n v="121"/>
    <n v="7.3"/>
    <n v="13000000"/>
    <n v="123922370"/>
  </r>
  <r>
    <s v="The Last Godfather"/>
    <x v="671"/>
    <x v="4"/>
    <x v="0"/>
    <n v="100"/>
    <n v="3.6"/>
    <n v="13400000"/>
    <n v="163591"/>
  </r>
  <r>
    <s v="Justin Bieber: Never Say Never"/>
    <x v="106"/>
    <x v="9"/>
    <x v="0"/>
    <n v="115"/>
    <n v="1.6"/>
    <n v="13000000"/>
    <n v="73000942"/>
  </r>
  <r>
    <s v="Black Swan"/>
    <x v="119"/>
    <x v="2"/>
    <x v="0"/>
    <n v="108"/>
    <n v="8"/>
    <n v="13000000"/>
    <n v="106952327"/>
  </r>
  <r>
    <s v="The Godfather: Part II"/>
    <x v="416"/>
    <x v="6"/>
    <x v="0"/>
    <n v="220"/>
    <n v="9"/>
    <n v="13000000"/>
    <n v="57300000"/>
  </r>
  <r>
    <s v="Save the Last Dance"/>
    <x v="493"/>
    <x v="2"/>
    <x v="0"/>
    <n v="112"/>
    <n v="6.1"/>
    <n v="13000000"/>
    <n v="91038276"/>
  </r>
  <r>
    <s v="A Nightmare on Elm Street 4: The Dream Master"/>
    <x v="196"/>
    <x v="8"/>
    <x v="0"/>
    <n v="99"/>
    <n v="5.7"/>
    <n v="7000000"/>
    <n v="49369900"/>
  </r>
  <r>
    <s v="Miracles from Heaven"/>
    <x v="826"/>
    <x v="2"/>
    <x v="0"/>
    <n v="109"/>
    <n v="6.8"/>
    <n v="13000000"/>
    <n v="61693523"/>
  </r>
  <r>
    <s v="Dude, Where's My Car?"/>
    <x v="1182"/>
    <x v="4"/>
    <x v="0"/>
    <n v="83"/>
    <n v="5.5"/>
    <n v="13000000"/>
    <n v="46729374"/>
  </r>
  <r>
    <s v="Young Guns"/>
    <x v="1183"/>
    <x v="0"/>
    <x v="0"/>
    <n v="107"/>
    <n v="6.8"/>
    <n v="13000000"/>
    <n v="44726644"/>
  </r>
  <r>
    <s v="St. Vincent"/>
    <x v="1184"/>
    <x v="4"/>
    <x v="0"/>
    <n v="102"/>
    <n v="7.3"/>
    <n v="13000000"/>
    <n v="44134898"/>
  </r>
  <r>
    <s v="About Last Night"/>
    <x v="610"/>
    <x v="4"/>
    <x v="0"/>
    <n v="100"/>
    <n v="6.1"/>
    <n v="12500000"/>
    <n v="48637684"/>
  </r>
  <r>
    <s v="10 Things I Hate About You"/>
    <x v="623"/>
    <x v="4"/>
    <x v="0"/>
    <n v="97"/>
    <n v="7.2"/>
    <n v="16000000"/>
    <n v="38176108"/>
  </r>
  <r>
    <s v="The New Guy"/>
    <x v="1185"/>
    <x v="4"/>
    <x v="0"/>
    <n v="92"/>
    <n v="5.9"/>
    <n v="13000000"/>
    <n v="28972187"/>
  </r>
  <r>
    <s v="Loaded Weapon 1"/>
    <x v="1186"/>
    <x v="0"/>
    <x v="0"/>
    <n v="84"/>
    <n v="6.1"/>
    <n v="8200000"/>
    <n v="27979400"/>
  </r>
  <r>
    <s v="The Shallows"/>
    <x v="440"/>
    <x v="2"/>
    <x v="0"/>
    <n v="86"/>
    <n v="6.8"/>
    <n v="17000000"/>
    <n v="54257433"/>
  </r>
  <r>
    <s v="The Butterfly Effect"/>
    <x v="1187"/>
    <x v="10"/>
    <x v="0"/>
    <n v="120"/>
    <n v="7.7"/>
    <n v="13000000"/>
    <n v="23947"/>
  </r>
  <r>
    <s v="Snow Day"/>
    <x v="935"/>
    <x v="1"/>
    <x v="0"/>
    <n v="89"/>
    <n v="4.9000000000000004"/>
    <n v="13000000"/>
    <n v="60008303"/>
  </r>
  <r>
    <s v="This Christmas"/>
    <x v="1188"/>
    <x v="4"/>
    <x v="0"/>
    <n v="117"/>
    <n v="6.1"/>
    <n v="13000000"/>
    <n v="49121934"/>
  </r>
  <r>
    <s v="Baby Geniuses"/>
    <x v="945"/>
    <x v="4"/>
    <x v="0"/>
    <n v="97"/>
    <n v="2.5"/>
    <n v="18000000"/>
    <n v="27141959"/>
  </r>
  <r>
    <s v="The Big Hit"/>
    <x v="1189"/>
    <x v="0"/>
    <x v="0"/>
    <n v="91"/>
    <n v="6.1"/>
    <n v="13000000"/>
    <n v="27052167"/>
  </r>
  <r>
    <s v="Harriet the Spy"/>
    <x v="1190"/>
    <x v="4"/>
    <x v="0"/>
    <n v="100"/>
    <n v="5.9"/>
    <n v="13000000"/>
    <n v="26539321"/>
  </r>
  <r>
    <s v="Child's Play 2"/>
    <x v="1191"/>
    <x v="8"/>
    <x v="0"/>
    <n v="72"/>
    <n v="5.7"/>
    <n v="13000000"/>
    <n v="28501605"/>
  </r>
  <r>
    <s v="No Good Deed"/>
    <x v="1192"/>
    <x v="6"/>
    <x v="0"/>
    <n v="84"/>
    <n v="5.6"/>
    <n v="13200000"/>
    <n v="52543632"/>
  </r>
  <r>
    <s v="The Mist"/>
    <x v="287"/>
    <x v="11"/>
    <x v="0"/>
    <n v="126"/>
    <n v="7.2"/>
    <n v="18000000"/>
    <n v="25592632"/>
  </r>
  <r>
    <s v="Ex Machina"/>
    <x v="1193"/>
    <x v="2"/>
    <x v="0"/>
    <n v="108"/>
    <n v="7.7"/>
    <n v="15000000"/>
    <n v="25440971"/>
  </r>
  <r>
    <s v="Being John Malkovich"/>
    <x v="170"/>
    <x v="4"/>
    <x v="0"/>
    <n v="112"/>
    <n v="7.8"/>
    <n v="13000000"/>
    <n v="22858926"/>
  </r>
  <r>
    <s v="Two Can Play That Game"/>
    <x v="1194"/>
    <x v="4"/>
    <x v="0"/>
    <n v="90"/>
    <n v="6.1"/>
    <n v="6000000"/>
    <n v="22235901"/>
  </r>
  <r>
    <s v="Earth to Echo"/>
    <x v="144"/>
    <x v="1"/>
    <x v="0"/>
    <n v="91"/>
    <n v="5.8"/>
    <n v="13000000"/>
    <n v="38916903"/>
  </r>
  <r>
    <s v="Crazy/Beautiful"/>
    <x v="468"/>
    <x v="2"/>
    <x v="0"/>
    <n v="135"/>
    <n v="6.5"/>
    <n v="14000000"/>
    <n v="16929123"/>
  </r>
  <r>
    <s v="Letters from Iwo Jima"/>
    <x v="322"/>
    <x v="2"/>
    <x v="1"/>
    <n v="141"/>
    <n v="7.9"/>
    <n v="19000000"/>
    <n v="13753931"/>
  </r>
  <r>
    <s v="The Astronaut Farmer"/>
    <x v="1195"/>
    <x v="1"/>
    <x v="0"/>
    <n v="104"/>
    <n v="6.3"/>
    <n v="13000000"/>
    <n v="10996440"/>
  </r>
  <r>
    <s v="Woo"/>
    <x v="1196"/>
    <x v="4"/>
    <x v="0"/>
    <n v="84"/>
    <n v="3.8"/>
    <n v="13000000"/>
    <n v="8026971"/>
  </r>
  <r>
    <s v="Room"/>
    <x v="1197"/>
    <x v="2"/>
    <x v="0"/>
    <n v="118"/>
    <n v="8.3000000000000007"/>
    <n v="13000000"/>
    <n v="14677654"/>
  </r>
  <r>
    <s v="Dirty Work"/>
    <x v="1198"/>
    <x v="4"/>
    <x v="0"/>
    <n v="82"/>
    <n v="6.4"/>
    <n v="13000000"/>
    <n v="9975684"/>
  </r>
  <r>
    <s v="Serial Mom"/>
    <x v="1199"/>
    <x v="4"/>
    <x v="0"/>
    <n v="95"/>
    <n v="6.7"/>
    <n v="13000000"/>
    <n v="7881335"/>
  </r>
  <r>
    <s v="Dick"/>
    <x v="917"/>
    <x v="4"/>
    <x v="0"/>
    <n v="94"/>
    <n v="6.1"/>
    <n v="13000000"/>
    <n v="6241697"/>
  </r>
  <r>
    <s v="Del 1 - Män som hatar kvinnor"/>
    <x v="733"/>
    <x v="0"/>
    <x v="21"/>
    <n v="88"/>
    <n v="8.1"/>
    <n v="20000000"/>
    <n v="25078937"/>
  </r>
  <r>
    <s v="Light It Up"/>
    <x v="1200"/>
    <x v="2"/>
    <x v="0"/>
    <n v="99"/>
    <n v="6"/>
    <n v="13000000"/>
    <n v="5871603"/>
  </r>
  <r>
    <s v="54"/>
    <x v="1201"/>
    <x v="2"/>
    <x v="0"/>
    <n v="121"/>
    <n v="5.8"/>
    <n v="13000000"/>
    <n v="16574731"/>
  </r>
  <r>
    <s v="Bubble Boy"/>
    <x v="1202"/>
    <x v="1"/>
    <x v="0"/>
    <n v="84"/>
    <n v="5.6"/>
    <n v="13000000"/>
    <n v="5002310"/>
  </r>
  <r>
    <s v="Birthday Girl"/>
    <x v="1203"/>
    <x v="4"/>
    <x v="0"/>
    <n v="93"/>
    <n v="6.1"/>
    <n v="13000000"/>
    <n v="4919896"/>
  </r>
  <r>
    <s v="21 &amp; Over"/>
    <x v="898"/>
    <x v="4"/>
    <x v="0"/>
    <n v="93"/>
    <n v="5.9"/>
    <n v="13000000"/>
    <n v="25675765"/>
  </r>
  <r>
    <s v="Paris, je t'aime"/>
    <x v="1204"/>
    <x v="4"/>
    <x v="2"/>
    <n v="120"/>
    <n v="7.3"/>
    <n v="13000000"/>
    <n v="4857376"/>
  </r>
  <r>
    <s v="Resurrecting the Champ"/>
    <x v="377"/>
    <x v="2"/>
    <x v="0"/>
    <n v="112"/>
    <n v="6.8"/>
    <n v="13000000"/>
    <n v="3169424"/>
  </r>
  <r>
    <s v="Admission"/>
    <x v="162"/>
    <x v="4"/>
    <x v="0"/>
    <n v="107"/>
    <n v="5.7"/>
    <n v="13000000"/>
    <n v="18004225"/>
  </r>
  <r>
    <s v="The Widow of Saint-Pierre"/>
    <x v="1205"/>
    <x v="2"/>
    <x v="2"/>
    <n v="112"/>
    <n v="7.3"/>
    <n v="100000000"/>
    <n v="3058380"/>
  </r>
  <r>
    <s v="Chloe"/>
    <x v="837"/>
    <x v="2"/>
    <x v="0"/>
    <n v="96"/>
    <n v="6.3"/>
    <n v="11000000"/>
    <n v="3074838"/>
  </r>
  <r>
    <s v="Faithful"/>
    <x v="1206"/>
    <x v="4"/>
    <x v="0"/>
    <n v="91"/>
    <n v="5.9"/>
    <n v="13000000"/>
    <n v="2104000"/>
  </r>
  <r>
    <s v="Find Me Guilty"/>
    <x v="854"/>
    <x v="7"/>
    <x v="0"/>
    <n v="125"/>
    <n v="7.1"/>
    <n v="13000000"/>
    <n v="1172769"/>
  </r>
  <r>
    <s v="The Perks of Being a Wallflower"/>
    <x v="1207"/>
    <x v="2"/>
    <x v="0"/>
    <n v="102"/>
    <n v="8"/>
    <n v="13000000"/>
    <n v="17738570"/>
  </r>
  <r>
    <s v="Excessive Force"/>
    <x v="1208"/>
    <x v="0"/>
    <x v="0"/>
    <n v="87"/>
    <n v="5.0999999999999996"/>
    <n v="3000000"/>
    <n v="1200000"/>
  </r>
  <r>
    <s v="Infamous"/>
    <x v="855"/>
    <x v="7"/>
    <x v="0"/>
    <n v="118"/>
    <n v="7.1"/>
    <n v="13000000"/>
    <n v="1150403"/>
  </r>
  <r>
    <s v="The Claim"/>
    <x v="785"/>
    <x v="2"/>
    <x v="0"/>
    <n v="115"/>
    <n v="6.5"/>
    <n v="20000000"/>
    <n v="403932"/>
  </r>
  <r>
    <s v="The Vatican Tapes"/>
    <x v="392"/>
    <x v="11"/>
    <x v="0"/>
    <n v="91"/>
    <n v="4.5"/>
    <n v="8495000"/>
    <n v="1712111"/>
  </r>
  <r>
    <s v="Attack the Block"/>
    <x v="1209"/>
    <x v="0"/>
    <x v="0"/>
    <n v="88"/>
    <n v="6.6"/>
    <n v="13000000"/>
    <n v="1024175"/>
  </r>
  <r>
    <s v="In the Land of Blood and Honey"/>
    <x v="321"/>
    <x v="2"/>
    <x v="24"/>
    <n v="127"/>
    <n v="4.3"/>
    <n v="13000000"/>
    <n v="301305"/>
  </r>
  <r>
    <s v="The Call"/>
    <x v="1137"/>
    <x v="6"/>
    <x v="0"/>
    <n v="94"/>
    <n v="6.7"/>
    <n v="13000000"/>
    <n v="51872378"/>
  </r>
  <r>
    <s v="Operation Chromite"/>
    <x v="1210"/>
    <x v="0"/>
    <x v="0"/>
    <n v="115"/>
    <n v="6.8"/>
    <n v="12620000"/>
    <n v="31662"/>
  </r>
  <r>
    <s v="The Crocodile Hunter: Collision Course"/>
    <x v="1211"/>
    <x v="0"/>
    <x v="0"/>
    <n v="90"/>
    <n v="5.4"/>
    <n v="13000000"/>
    <n v="28399192"/>
  </r>
  <r>
    <s v="I Love You Phillip Morris"/>
    <x v="326"/>
    <x v="7"/>
    <x v="0"/>
    <n v="102"/>
    <n v="6.6"/>
    <n v="13000000"/>
    <n v="2035566"/>
  </r>
  <r>
    <s v="Antwone Fisher"/>
    <x v="1093"/>
    <x v="7"/>
    <x v="0"/>
    <n v="117"/>
    <n v="7.3"/>
    <n v="12500000"/>
    <n v="21078145"/>
  </r>
  <r>
    <s v="The Emperor's Club"/>
    <x v="783"/>
    <x v="2"/>
    <x v="0"/>
    <n v="109"/>
    <n v="6.9"/>
    <n v="12500000"/>
    <n v="14060950"/>
  </r>
  <r>
    <s v="True Romance"/>
    <x v="161"/>
    <x v="0"/>
    <x v="0"/>
    <n v="121"/>
    <n v="8"/>
    <n v="13000000"/>
    <n v="12281500"/>
  </r>
  <r>
    <s v="Womb"/>
    <x v="1212"/>
    <x v="2"/>
    <x v="0"/>
    <n v="111"/>
    <n v="6.4"/>
    <n v="3660000"/>
    <n v="25078937"/>
  </r>
  <r>
    <s v="Glengarry Glen Ross"/>
    <x v="1118"/>
    <x v="6"/>
    <x v="0"/>
    <n v="100"/>
    <n v="7.8"/>
    <n v="12500000"/>
    <n v="10725228"/>
  </r>
  <r>
    <s v="The Killer Inside Me"/>
    <x v="785"/>
    <x v="6"/>
    <x v="0"/>
    <n v="109"/>
    <n v="6.1"/>
    <n v="13000000"/>
    <n v="214966"/>
  </r>
  <r>
    <s v="Cat People"/>
    <x v="1213"/>
    <x v="8"/>
    <x v="0"/>
    <n v="93"/>
    <n v="6.1"/>
    <n v="18000000"/>
    <n v="25078937"/>
  </r>
  <r>
    <s v="Sorority Row"/>
    <x v="1214"/>
    <x v="11"/>
    <x v="0"/>
    <n v="101"/>
    <n v="5.0999999999999996"/>
    <n v="16000000"/>
    <n v="11956207"/>
  </r>
  <r>
    <s v="The Prisoner of Zenda"/>
    <x v="1215"/>
    <x v="1"/>
    <x v="0"/>
    <n v="101"/>
    <n v="7.8"/>
    <n v="20000000"/>
    <n v="25078937"/>
  </r>
  <r>
    <s v="Lars and the Real Girl"/>
    <x v="313"/>
    <x v="4"/>
    <x v="0"/>
    <n v="106"/>
    <n v="7.4"/>
    <n v="12000000"/>
    <n v="5949693"/>
  </r>
  <r>
    <s v="The Boy in the Striped Pajamas"/>
    <x v="1216"/>
    <x v="2"/>
    <x v="0"/>
    <n v="94"/>
    <n v="7.8"/>
    <n v="12500000"/>
    <n v="9030581"/>
  </r>
  <r>
    <s v="Dancer in the Dark"/>
    <x v="1160"/>
    <x v="6"/>
    <x v="0"/>
    <n v="140"/>
    <n v="8"/>
    <n v="12800000"/>
    <n v="4157491"/>
  </r>
  <r>
    <s v="Oscar and Lucinda"/>
    <x v="1082"/>
    <x v="2"/>
    <x v="0"/>
    <n v="132"/>
    <n v="6.7"/>
    <n v="16000000"/>
    <n v="1508689"/>
  </r>
  <r>
    <s v="The Funeral"/>
    <x v="1217"/>
    <x v="6"/>
    <x v="0"/>
    <n v="99"/>
    <n v="6.6"/>
    <n v="12500000"/>
    <n v="1227324"/>
  </r>
  <r>
    <s v="Solitary Man"/>
    <x v="1117"/>
    <x v="4"/>
    <x v="0"/>
    <n v="90"/>
    <n v="6.4"/>
    <n v="15000000"/>
    <n v="4360548"/>
  </r>
  <r>
    <s v="Machete"/>
    <x v="1218"/>
    <x v="0"/>
    <x v="0"/>
    <n v="105"/>
    <n v="6.7"/>
    <n v="10500000"/>
    <n v="26589953"/>
  </r>
  <r>
    <s v="Casino Jack"/>
    <x v="1219"/>
    <x v="7"/>
    <x v="0"/>
    <n v="108"/>
    <n v="6.2"/>
    <n v="15000000"/>
    <n v="1039869"/>
  </r>
  <r>
    <s v="The Land Before Time"/>
    <x v="277"/>
    <x v="1"/>
    <x v="0"/>
    <n v="69"/>
    <n v="7.3"/>
    <n v="12500000"/>
    <n v="48092846"/>
  </r>
  <r>
    <s v="Tae Guk Gi: The Brotherhood of War"/>
    <x v="1220"/>
    <x v="0"/>
    <x v="22"/>
    <n v="148"/>
    <n v="8.1"/>
    <n v="12800000"/>
    <n v="1110186"/>
  </r>
  <r>
    <s v="The Perfect Game"/>
    <x v="1221"/>
    <x v="4"/>
    <x v="0"/>
    <n v="118"/>
    <n v="7"/>
    <n v="12500000"/>
    <n v="1089445"/>
  </r>
  <r>
    <s v="The Exorcist"/>
    <x v="406"/>
    <x v="11"/>
    <x v="0"/>
    <n v="132"/>
    <n v="8"/>
    <n v="8000000"/>
    <n v="204565000"/>
  </r>
  <r>
    <s v="Jaws"/>
    <x v="37"/>
    <x v="1"/>
    <x v="0"/>
    <n v="130"/>
    <n v="8"/>
    <n v="8000000"/>
    <n v="260000000"/>
  </r>
  <r>
    <s v="American Pie"/>
    <x v="162"/>
    <x v="4"/>
    <x v="0"/>
    <n v="95"/>
    <n v="7"/>
    <n v="11000000"/>
    <n v="101736215"/>
  </r>
  <r>
    <s v="Ernest &amp; Celestine"/>
    <x v="1222"/>
    <x v="3"/>
    <x v="2"/>
    <n v="80"/>
    <n v="7.9"/>
    <n v="9600000"/>
    <n v="71442"/>
  </r>
  <r>
    <s v="The Golden Child"/>
    <x v="624"/>
    <x v="0"/>
    <x v="0"/>
    <n v="94"/>
    <n v="5.9"/>
    <n v="25000000"/>
    <n v="79817937"/>
  </r>
  <r>
    <s v="Think Like a Man"/>
    <x v="132"/>
    <x v="4"/>
    <x v="0"/>
    <n v="122"/>
    <n v="6.6"/>
    <n v="12000000"/>
    <n v="91547205"/>
  </r>
  <r>
    <s v="Barbershop"/>
    <x v="132"/>
    <x v="4"/>
    <x v="0"/>
    <n v="102"/>
    <n v="6.3"/>
    <n v="12000000"/>
    <n v="75074950"/>
  </r>
  <r>
    <s v="Star Trek II: The Wrath of Khan"/>
    <x v="764"/>
    <x v="0"/>
    <x v="0"/>
    <n v="116"/>
    <n v="7.7"/>
    <n v="11000000"/>
    <n v="78900000"/>
  </r>
  <r>
    <s v="Ace Ventura: Pet Detective"/>
    <x v="50"/>
    <x v="4"/>
    <x v="0"/>
    <n v="78"/>
    <n v="6.9"/>
    <n v="12000000"/>
    <n v="72217000"/>
  </r>
  <r>
    <s v="WarGames"/>
    <x v="1223"/>
    <x v="10"/>
    <x v="0"/>
    <n v="114"/>
    <n v="7.1"/>
    <n v="12000000"/>
    <n v="79568000"/>
  </r>
  <r>
    <s v="Witness"/>
    <x v="109"/>
    <x v="6"/>
    <x v="0"/>
    <n v="112"/>
    <n v="7.4"/>
    <n v="12000000"/>
    <n v="65500000"/>
  </r>
  <r>
    <s v="Act of Valor"/>
    <x v="1224"/>
    <x v="0"/>
    <x v="0"/>
    <n v="110"/>
    <n v="6.5"/>
    <n v="12000000"/>
    <n v="70011073"/>
  </r>
  <r>
    <s v="Step Up"/>
    <x v="540"/>
    <x v="6"/>
    <x v="0"/>
    <n v="104"/>
    <n v="6.5"/>
    <n v="12000000"/>
    <n v="65269010"/>
  </r>
  <r>
    <s v="Beavis and Butt-Head Do America"/>
    <x v="1225"/>
    <x v="1"/>
    <x v="0"/>
    <n v="81"/>
    <n v="6.8"/>
    <n v="12000000"/>
    <n v="63071133"/>
  </r>
  <r>
    <s v="Jackie Brown"/>
    <x v="165"/>
    <x v="6"/>
    <x v="0"/>
    <n v="154"/>
    <n v="7.5"/>
    <n v="12000000"/>
    <n v="39647595"/>
  </r>
  <r>
    <s v="Harold &amp; Kumar Escape from Guantanamo Bay"/>
    <x v="453"/>
    <x v="1"/>
    <x v="0"/>
    <n v="102"/>
    <n v="6.6"/>
    <n v="12000000"/>
    <n v="38087366"/>
  </r>
  <r>
    <s v="Chronicle"/>
    <x v="145"/>
    <x v="2"/>
    <x v="0"/>
    <n v="89"/>
    <n v="7.1"/>
    <n v="12000000"/>
    <n v="64572496"/>
  </r>
  <r>
    <s v="Yentl"/>
    <x v="527"/>
    <x v="2"/>
    <x v="0"/>
    <n v="132"/>
    <n v="6.6"/>
    <n v="12000000"/>
    <n v="30400000"/>
  </r>
  <r>
    <s v="Time Bandits"/>
    <x v="251"/>
    <x v="1"/>
    <x v="0"/>
    <n v="103"/>
    <n v="7"/>
    <n v="5000000"/>
    <n v="42365600"/>
  </r>
  <r>
    <s v="Crossroads"/>
    <x v="1226"/>
    <x v="4"/>
    <x v="0"/>
    <n v="93"/>
    <n v="3.3"/>
    <n v="12000000"/>
    <n v="37188667"/>
  </r>
  <r>
    <s v="Project X"/>
    <x v="1227"/>
    <x v="4"/>
    <x v="0"/>
    <n v="93"/>
    <n v="6.7"/>
    <n v="12000000"/>
    <n v="54724272"/>
  </r>
  <r>
    <s v="Patton"/>
    <x v="1228"/>
    <x v="7"/>
    <x v="0"/>
    <n v="172"/>
    <n v="8"/>
    <n v="12000000"/>
    <n v="25078937"/>
  </r>
  <r>
    <s v="One Hour Photo"/>
    <x v="1136"/>
    <x v="2"/>
    <x v="0"/>
    <n v="96"/>
    <n v="6.8"/>
    <n v="12000000"/>
    <n v="31597131"/>
  </r>
  <r>
    <s v="Quarantine"/>
    <x v="1229"/>
    <x v="11"/>
    <x v="0"/>
    <n v="89"/>
    <n v="6"/>
    <n v="12000000"/>
    <n v="31691811"/>
  </r>
  <r>
    <s v="The Eye"/>
    <x v="1230"/>
    <x v="11"/>
    <x v="0"/>
    <n v="92"/>
    <n v="5.4"/>
    <n v="12000000"/>
    <n v="31397498"/>
  </r>
  <r>
    <s v="Johnson Family Vacation"/>
    <x v="1231"/>
    <x v="4"/>
    <x v="0"/>
    <n v="97"/>
    <n v="4.3"/>
    <n v="12000000"/>
    <n v="31179516"/>
  </r>
  <r>
    <s v="How High"/>
    <x v="397"/>
    <x v="4"/>
    <x v="0"/>
    <n v="93"/>
    <n v="6.2"/>
    <n v="12000000"/>
    <n v="31155435"/>
  </r>
  <r>
    <s v="The Muppet Christmas Carol"/>
    <x v="1232"/>
    <x v="4"/>
    <x v="0"/>
    <n v="89"/>
    <n v="7.7"/>
    <n v="12000000"/>
    <n v="27281507"/>
  </r>
  <r>
    <s v="Frida"/>
    <x v="504"/>
    <x v="7"/>
    <x v="0"/>
    <n v="123"/>
    <n v="7.4"/>
    <n v="12000000"/>
    <n v="25776062"/>
  </r>
  <r>
    <s v="Katy Perry: Part of Me"/>
    <x v="1233"/>
    <x v="9"/>
    <x v="0"/>
    <n v="93"/>
    <n v="5.9"/>
    <n v="12000000"/>
    <n v="25240988"/>
  </r>
  <r>
    <s v="The Fault in Our Stars"/>
    <x v="1234"/>
    <x v="2"/>
    <x v="0"/>
    <n v="133"/>
    <n v="7.8"/>
    <n v="12000000"/>
    <n v="124868837"/>
  </r>
  <r>
    <s v="Rounders"/>
    <x v="386"/>
    <x v="6"/>
    <x v="0"/>
    <n v="121"/>
    <n v="7.4"/>
    <n v="12000000"/>
    <n v="22905674"/>
  </r>
  <r>
    <s v="Top Five"/>
    <x v="612"/>
    <x v="4"/>
    <x v="0"/>
    <n v="102"/>
    <n v="6.5"/>
    <n v="12000000"/>
    <n v="25277561"/>
  </r>
  <r>
    <s v="Prophecy"/>
    <x v="403"/>
    <x v="11"/>
    <x v="0"/>
    <n v="102"/>
    <n v="5.4"/>
    <n v="12000000"/>
    <n v="25078937"/>
  </r>
  <r>
    <s v="Stir of Echoes"/>
    <x v="383"/>
    <x v="11"/>
    <x v="0"/>
    <n v="99"/>
    <n v="7"/>
    <n v="12000000"/>
    <n v="21133087"/>
  </r>
  <r>
    <s v="Philomena"/>
    <x v="487"/>
    <x v="7"/>
    <x v="0"/>
    <n v="98"/>
    <n v="7.6"/>
    <n v="12000000"/>
    <n v="37707719"/>
  </r>
  <r>
    <s v="The Upside of Anger"/>
    <x v="929"/>
    <x v="4"/>
    <x v="0"/>
    <n v="118"/>
    <n v="6.9"/>
    <n v="9000000"/>
    <n v="18761993"/>
  </r>
  <r>
    <s v="The Boys from Brazil"/>
    <x v="1228"/>
    <x v="2"/>
    <x v="0"/>
    <n v="125"/>
    <n v="7"/>
    <n v="12000000"/>
    <n v="25078937"/>
  </r>
  <r>
    <s v="Aquamarine"/>
    <x v="1100"/>
    <x v="4"/>
    <x v="0"/>
    <n v="104"/>
    <n v="5.3"/>
    <n v="12000000"/>
    <n v="18595716"/>
  </r>
  <r>
    <s v="Paper Towns"/>
    <x v="1235"/>
    <x v="2"/>
    <x v="0"/>
    <n v="109"/>
    <n v="6.4"/>
    <n v="12000000"/>
    <n v="31990064"/>
  </r>
  <r>
    <s v="My Baby's Daddy"/>
    <x v="1236"/>
    <x v="4"/>
    <x v="0"/>
    <n v="86"/>
    <n v="4.5"/>
    <n v="20000000"/>
    <n v="17321573"/>
  </r>
  <r>
    <s v="Nebraska"/>
    <x v="685"/>
    <x v="1"/>
    <x v="0"/>
    <n v="115"/>
    <n v="7.8"/>
    <n v="12000000"/>
    <n v="17613460"/>
  </r>
  <r>
    <s v="Tales from the Crypt: Demon Knight"/>
    <x v="1237"/>
    <x v="0"/>
    <x v="0"/>
    <n v="92"/>
    <n v="6.7"/>
    <n v="13000000"/>
    <n v="21088568"/>
  </r>
  <r>
    <s v="Max Keeble's Big Move"/>
    <x v="340"/>
    <x v="4"/>
    <x v="0"/>
    <n v="91"/>
    <n v="5.3"/>
    <n v="12000000"/>
    <n v="17292381"/>
  </r>
  <r>
    <s v="Young Adult"/>
    <x v="684"/>
    <x v="4"/>
    <x v="0"/>
    <n v="94"/>
    <n v="6.3"/>
    <n v="12000000"/>
    <n v="16300302"/>
  </r>
  <r>
    <s v="Crank"/>
    <x v="392"/>
    <x v="0"/>
    <x v="0"/>
    <n v="93"/>
    <n v="7"/>
    <n v="12000000"/>
    <n v="27829874"/>
  </r>
  <r>
    <s v="How to Be a Player"/>
    <x v="1238"/>
    <x v="4"/>
    <x v="0"/>
    <n v="93"/>
    <n v="5.3"/>
    <n v="20000000"/>
    <n v="13960203"/>
  </r>
  <r>
    <s v="Living Out Loud"/>
    <x v="473"/>
    <x v="4"/>
    <x v="0"/>
    <n v="100"/>
    <n v="6.6"/>
    <n v="12000000"/>
    <n v="12902790"/>
  </r>
  <r>
    <s v="Just Wright"/>
    <x v="766"/>
    <x v="4"/>
    <x v="0"/>
    <n v="100"/>
    <n v="5.8"/>
    <n v="20000000"/>
    <n v="21520719"/>
  </r>
  <r>
    <s v="Rachel Getting Married"/>
    <x v="246"/>
    <x v="2"/>
    <x v="0"/>
    <n v="113"/>
    <n v="6.7"/>
    <n v="20000000"/>
    <n v="12796277"/>
  </r>
  <r>
    <s v="The Postman Always Rings Twice"/>
    <x v="779"/>
    <x v="6"/>
    <x v="0"/>
    <n v="122"/>
    <n v="6.6"/>
    <n v="12000000"/>
    <n v="25078937"/>
  </r>
  <r>
    <s v="Girl with a Pearl Earring"/>
    <x v="463"/>
    <x v="7"/>
    <x v="0"/>
    <n v="100"/>
    <n v="7"/>
    <n v="20000000"/>
    <n v="11634362"/>
  </r>
  <r>
    <s v="Das Boot"/>
    <x v="71"/>
    <x v="1"/>
    <x v="13"/>
    <n v="293"/>
    <n v="8.4"/>
    <n v="14000000"/>
    <n v="11433134"/>
  </r>
  <r>
    <s v="Sorority Boys"/>
    <x v="1239"/>
    <x v="4"/>
    <x v="0"/>
    <n v="93"/>
    <n v="5.4"/>
    <n v="12000000"/>
    <n v="10198766"/>
  </r>
  <r>
    <s v="About Time"/>
    <x v="478"/>
    <x v="2"/>
    <x v="0"/>
    <n v="123"/>
    <n v="7.8"/>
    <n v="12000000"/>
    <n v="15294553"/>
  </r>
  <r>
    <s v="House of Flying Daggers"/>
    <x v="183"/>
    <x v="0"/>
    <x v="3"/>
    <n v="119"/>
    <n v="7.6"/>
    <n v="100000000"/>
    <n v="11041228"/>
  </r>
  <r>
    <s v="Arbitrage"/>
    <x v="1240"/>
    <x v="2"/>
    <x v="0"/>
    <n v="107"/>
    <n v="6.6"/>
    <n v="12000000"/>
    <n v="7918283"/>
  </r>
  <r>
    <s v="Project Almanac"/>
    <x v="1241"/>
    <x v="10"/>
    <x v="0"/>
    <n v="106"/>
    <n v="6.4"/>
    <n v="12000000"/>
    <n v="22331028"/>
  </r>
  <r>
    <s v="Cadillac Records"/>
    <x v="1242"/>
    <x v="7"/>
    <x v="0"/>
    <n v="109"/>
    <n v="7"/>
    <n v="12000000"/>
    <n v="8134217"/>
  </r>
  <r>
    <s v="Screwed"/>
    <x v="1243"/>
    <x v="4"/>
    <x v="0"/>
    <n v="81"/>
    <n v="5.7"/>
    <n v="10000000"/>
    <n v="6982680"/>
  </r>
  <r>
    <s v="Fortress"/>
    <x v="1244"/>
    <x v="0"/>
    <x v="0"/>
    <n v="95"/>
    <n v="5.9"/>
    <n v="8000000"/>
    <n v="6739141"/>
  </r>
  <r>
    <s v="For Your Consideration"/>
    <x v="1245"/>
    <x v="4"/>
    <x v="0"/>
    <n v="86"/>
    <n v="6.3"/>
    <n v="12000000"/>
    <n v="5542025"/>
  </r>
  <r>
    <s v="Celebrity"/>
    <x v="691"/>
    <x v="4"/>
    <x v="0"/>
    <n v="113"/>
    <n v="6.3"/>
    <n v="12000000"/>
    <n v="5032496"/>
  </r>
  <r>
    <s v="Running with Scissors"/>
    <x v="346"/>
    <x v="4"/>
    <x v="0"/>
    <n v="122"/>
    <n v="6.2"/>
    <n v="12000000"/>
    <n v="6754898"/>
  </r>
  <r>
    <s v="From Justin to Kelly"/>
    <x v="1055"/>
    <x v="4"/>
    <x v="0"/>
    <n v="90"/>
    <n v="2.1"/>
    <n v="12000000"/>
    <n v="4922166"/>
  </r>
  <r>
    <s v="Girl 6"/>
    <x v="433"/>
    <x v="4"/>
    <x v="0"/>
    <n v="108"/>
    <n v="5"/>
    <n v="12000000"/>
    <n v="4903000"/>
  </r>
  <r>
    <s v="In the Cut"/>
    <x v="1246"/>
    <x v="5"/>
    <x v="0"/>
    <n v="113"/>
    <n v="5.3"/>
    <n v="12000000"/>
    <n v="4717455"/>
  </r>
  <r>
    <s v="Two Lovers"/>
    <x v="756"/>
    <x v="2"/>
    <x v="0"/>
    <n v="110"/>
    <n v="7.1"/>
    <n v="12000000"/>
    <n v="3148482"/>
  </r>
  <r>
    <s v="Last Orders"/>
    <x v="1247"/>
    <x v="2"/>
    <x v="0"/>
    <n v="109"/>
    <n v="7"/>
    <n v="12000000"/>
    <n v="2326407"/>
  </r>
  <r>
    <s v="The Pursuit of D.B. Cooper"/>
    <x v="147"/>
    <x v="1"/>
    <x v="0"/>
    <n v="100"/>
    <n v="5.7"/>
    <n v="12000000"/>
    <n v="25078937"/>
  </r>
  <r>
    <s v="Ravenous"/>
    <x v="1248"/>
    <x v="8"/>
    <x v="0"/>
    <n v="101"/>
    <n v="7.1"/>
    <n v="12000000"/>
    <n v="2060953"/>
  </r>
  <r>
    <s v="Charlie Bartlett"/>
    <x v="1249"/>
    <x v="4"/>
    <x v="0"/>
    <n v="97"/>
    <n v="7"/>
    <n v="12000000"/>
    <n v="3950294"/>
  </r>
  <r>
    <s v="The Great Beauty"/>
    <x v="1250"/>
    <x v="2"/>
    <x v="15"/>
    <n v="172"/>
    <n v="7.7"/>
    <n v="9200000"/>
    <n v="2835886"/>
  </r>
  <r>
    <s v="The Dangerous Lives of Altar Boys"/>
    <x v="1251"/>
    <x v="4"/>
    <x v="0"/>
    <n v="104"/>
    <n v="7.1"/>
    <n v="12000000"/>
    <n v="1779284"/>
  </r>
  <r>
    <s v="Stoker"/>
    <x v="1252"/>
    <x v="2"/>
    <x v="0"/>
    <n v="99"/>
    <n v="6.8"/>
    <n v="12000000"/>
    <n v="1702277"/>
  </r>
  <r>
    <s v="2046"/>
    <x v="590"/>
    <x v="2"/>
    <x v="12"/>
    <n v="129"/>
    <n v="7.5"/>
    <n v="12000000"/>
    <n v="261481"/>
  </r>
  <r>
    <s v="Married Life"/>
    <x v="1253"/>
    <x v="6"/>
    <x v="0"/>
    <n v="91"/>
    <n v="6.3"/>
    <n v="12000000"/>
    <n v="1506998"/>
  </r>
  <r>
    <s v="Duma"/>
    <x v="1254"/>
    <x v="1"/>
    <x v="0"/>
    <n v="100"/>
    <n v="7.3"/>
    <n v="12000000"/>
    <n v="860002"/>
  </r>
  <r>
    <s v="Ondine"/>
    <x v="431"/>
    <x v="2"/>
    <x v="0"/>
    <n v="111"/>
    <n v="6.8"/>
    <n v="12000000"/>
    <n v="548934"/>
  </r>
  <r>
    <s v="Brother"/>
    <x v="1255"/>
    <x v="6"/>
    <x v="0"/>
    <n v="114"/>
    <n v="7.2"/>
    <n v="10000000"/>
    <n v="447750"/>
  </r>
  <r>
    <s v="Welcome to Collinwood"/>
    <x v="19"/>
    <x v="4"/>
    <x v="0"/>
    <n v="86"/>
    <n v="6.4"/>
    <n v="12000000"/>
    <n v="333976"/>
  </r>
  <r>
    <s v="Critical Care"/>
    <x v="854"/>
    <x v="4"/>
    <x v="0"/>
    <n v="107"/>
    <n v="6"/>
    <n v="12000000"/>
    <n v="141853"/>
  </r>
  <r>
    <s v="The Life Before Her Eyes"/>
    <x v="1046"/>
    <x v="2"/>
    <x v="0"/>
    <n v="90"/>
    <n v="6.4"/>
    <n v="8000000"/>
    <n v="303439"/>
  </r>
  <r>
    <s v="Darling Companion"/>
    <x v="317"/>
    <x v="4"/>
    <x v="0"/>
    <n v="103"/>
    <n v="5.0999999999999996"/>
    <n v="20000000"/>
    <n v="793352"/>
  </r>
  <r>
    <s v="Trade"/>
    <x v="1256"/>
    <x v="6"/>
    <x v="0"/>
    <n v="120"/>
    <n v="7.5"/>
    <n v="12000000"/>
    <n v="214202"/>
  </r>
  <r>
    <s v="Fateless"/>
    <x v="1257"/>
    <x v="2"/>
    <x v="25"/>
    <n v="134"/>
    <n v="7.1"/>
    <n v="2500000000"/>
    <n v="195888"/>
  </r>
  <r>
    <s v="Breakfast of Champions"/>
    <x v="1258"/>
    <x v="4"/>
    <x v="0"/>
    <n v="110"/>
    <n v="4.5999999999999996"/>
    <n v="12000000"/>
    <n v="175370"/>
  </r>
  <r>
    <s v="A Woman, a Gun and a Noodle Shop"/>
    <x v="183"/>
    <x v="4"/>
    <x v="3"/>
    <n v="95"/>
    <n v="5.7"/>
    <n v="20000000"/>
    <n v="190666"/>
  </r>
  <r>
    <s v="Cypher"/>
    <x v="722"/>
    <x v="5"/>
    <x v="0"/>
    <n v="95"/>
    <n v="6.8"/>
    <n v="7500000"/>
    <n v="25078937"/>
  </r>
  <r>
    <s v="City of Life and Death"/>
    <x v="1259"/>
    <x v="2"/>
    <x v="3"/>
    <n v="132"/>
    <n v="7.7"/>
    <n v="12000000"/>
    <n v="119922"/>
  </r>
  <r>
    <s v="Legend of Kung Fu Rabbit"/>
    <x v="1260"/>
    <x v="0"/>
    <x v="3"/>
    <n v="89"/>
    <n v="3.2"/>
    <n v="20000000"/>
    <n v="25078937"/>
  </r>
  <r>
    <s v="Space Battleship Yamato"/>
    <x v="1261"/>
    <x v="0"/>
    <x v="1"/>
    <n v="138"/>
    <n v="6.1"/>
    <n v="12000000"/>
    <n v="25078937"/>
  </r>
  <r>
    <s v="5 Days of War"/>
    <x v="196"/>
    <x v="0"/>
    <x v="0"/>
    <n v="113"/>
    <n v="5.6"/>
    <n v="20000000"/>
    <n v="17149"/>
  </r>
  <r>
    <s v="Triangle"/>
    <x v="1262"/>
    <x v="8"/>
    <x v="0"/>
    <n v="99"/>
    <n v="6.9"/>
    <n v="12000000"/>
    <n v="25078937"/>
  </r>
  <r>
    <s v="10 Days in a Madhouse"/>
    <x v="1263"/>
    <x v="2"/>
    <x v="0"/>
    <n v="111"/>
    <n v="7.5"/>
    <n v="12000000"/>
    <n v="14616"/>
  </r>
  <r>
    <s v="Heaven Is for Real"/>
    <x v="293"/>
    <x v="7"/>
    <x v="0"/>
    <n v="99"/>
    <n v="5.8"/>
    <n v="12000000"/>
    <n v="91443253"/>
  </r>
  <r>
    <s v="Snatch"/>
    <x v="126"/>
    <x v="4"/>
    <x v="0"/>
    <n v="104"/>
    <n v="8.3000000000000007"/>
    <n v="6000000"/>
    <n v="30093107"/>
  </r>
  <r>
    <s v="Dancin' It's On"/>
    <x v="1264"/>
    <x v="14"/>
    <x v="0"/>
    <n v="89"/>
    <n v="2.8"/>
    <n v="12000000"/>
    <n v="25078937"/>
  </r>
  <r>
    <s v="Pet Sematary"/>
    <x v="1132"/>
    <x v="8"/>
    <x v="0"/>
    <n v="103"/>
    <n v="6.6"/>
    <n v="11500000"/>
    <n v="57469179"/>
  </r>
  <r>
    <s v="Madadayo"/>
    <x v="1265"/>
    <x v="2"/>
    <x v="1"/>
    <n v="134"/>
    <n v="7.5"/>
    <n v="11900000"/>
    <n v="48856"/>
  </r>
  <r>
    <s v="The Cry of the Owl"/>
    <x v="1266"/>
    <x v="2"/>
    <x v="0"/>
    <n v="100"/>
    <n v="6"/>
    <n v="11500000"/>
    <n v="25078937"/>
  </r>
  <r>
    <s v="A Tale of Three Cities"/>
    <x v="1267"/>
    <x v="2"/>
    <x v="19"/>
    <n v="130"/>
    <n v="6.2"/>
    <n v="12000000"/>
    <n v="25078937"/>
  </r>
  <r>
    <s v="Gremlins"/>
    <x v="255"/>
    <x v="4"/>
    <x v="0"/>
    <n v="106"/>
    <n v="7.2"/>
    <n v="11000000"/>
    <n v="148170000"/>
  </r>
  <r>
    <s v="Star Wars: Episode IV - A New Hope"/>
    <x v="139"/>
    <x v="0"/>
    <x v="0"/>
    <n v="125"/>
    <n v="8.6999999999999993"/>
    <n v="11000000"/>
    <n v="460935665"/>
  </r>
  <r>
    <s v="Dirty Grandpa"/>
    <x v="1268"/>
    <x v="4"/>
    <x v="0"/>
    <n v="109"/>
    <n v="6"/>
    <n v="11500000"/>
    <n v="35537564"/>
  </r>
  <r>
    <s v="Doctor Zhivago"/>
    <x v="762"/>
    <x v="2"/>
    <x v="0"/>
    <n v="200"/>
    <n v="8"/>
    <n v="11000000"/>
    <n v="111722000"/>
  </r>
  <r>
    <s v="Trash"/>
    <x v="560"/>
    <x v="1"/>
    <x v="26"/>
    <n v="114"/>
    <n v="7.2"/>
    <n v="20000000"/>
    <n v="10230"/>
  </r>
  <r>
    <s v="High School Musical 3: Senior Year"/>
    <x v="349"/>
    <x v="4"/>
    <x v="0"/>
    <n v="112"/>
    <n v="4.5"/>
    <n v="11000000"/>
    <n v="90556401"/>
  </r>
  <r>
    <s v="The Fighter"/>
    <x v="359"/>
    <x v="7"/>
    <x v="0"/>
    <n v="116"/>
    <n v="7.9"/>
    <n v="25000000"/>
    <n v="93571803"/>
  </r>
  <r>
    <s v="Jackass Number Two"/>
    <x v="894"/>
    <x v="0"/>
    <x v="0"/>
    <n v="92"/>
    <n v="7.1"/>
    <n v="20000000"/>
    <n v="72755517"/>
  </r>
  <r>
    <s v="My Cousin Vinny"/>
    <x v="588"/>
    <x v="4"/>
    <x v="0"/>
    <n v="120"/>
    <n v="7.5"/>
    <n v="11000000"/>
    <n v="52929168"/>
  </r>
  <r>
    <s v="If I Stay"/>
    <x v="1269"/>
    <x v="2"/>
    <x v="0"/>
    <n v="107"/>
    <n v="6.8"/>
    <n v="11000000"/>
    <n v="50461335"/>
  </r>
  <r>
    <s v="Drive Hard"/>
    <x v="877"/>
    <x v="0"/>
    <x v="0"/>
    <n v="92"/>
    <n v="4.3"/>
    <n v="12000000"/>
    <n v="25078937"/>
  </r>
  <r>
    <s v="Major League"/>
    <x v="1270"/>
    <x v="4"/>
    <x v="0"/>
    <n v="107"/>
    <n v="7.2"/>
    <n v="11000000"/>
    <n v="49797148"/>
  </r>
  <r>
    <s v="St. Trinian's"/>
    <x v="514"/>
    <x v="4"/>
    <x v="0"/>
    <n v="100"/>
    <n v="5.8"/>
    <n v="13500000"/>
    <n v="25078937"/>
  </r>
  <r>
    <s v="Phone Booth"/>
    <x v="130"/>
    <x v="6"/>
    <x v="0"/>
    <n v="81"/>
    <n v="7.1"/>
    <n v="13000000"/>
    <n v="46563158"/>
  </r>
  <r>
    <s v="A Walk to Remember"/>
    <x v="235"/>
    <x v="2"/>
    <x v="0"/>
    <n v="101"/>
    <n v="7.4"/>
    <n v="11000000"/>
    <n v="41227069"/>
  </r>
  <r>
    <s v="Dead Man Walking"/>
    <x v="673"/>
    <x v="6"/>
    <x v="0"/>
    <n v="122"/>
    <n v="7.6"/>
    <n v="11000000"/>
    <n v="39025000"/>
  </r>
  <r>
    <s v="Cruel Intentions"/>
    <x v="522"/>
    <x v="2"/>
    <x v="0"/>
    <n v="97"/>
    <n v="6.9"/>
    <n v="10500000"/>
    <n v="38201895"/>
  </r>
  <r>
    <s v="Saw VI"/>
    <x v="1022"/>
    <x v="11"/>
    <x v="0"/>
    <n v="92"/>
    <n v="6"/>
    <n v="11000000"/>
    <n v="27669413"/>
  </r>
  <r>
    <s v="History of the World: Part I"/>
    <x v="868"/>
    <x v="4"/>
    <x v="0"/>
    <n v="92"/>
    <n v="6.9"/>
    <n v="11000000"/>
    <n v="25078937"/>
  </r>
  <r>
    <s v="The Secret Life of Bees"/>
    <x v="1097"/>
    <x v="2"/>
    <x v="0"/>
    <n v="110"/>
    <n v="7.3"/>
    <n v="11000000"/>
    <n v="37766350"/>
  </r>
  <r>
    <s v="Corky Romano"/>
    <x v="1271"/>
    <x v="4"/>
    <x v="0"/>
    <n v="86"/>
    <n v="4.5999999999999996"/>
    <n v="11000000"/>
    <n v="23978402"/>
  </r>
  <r>
    <s v="Raising Cain"/>
    <x v="205"/>
    <x v="6"/>
    <x v="0"/>
    <n v="91"/>
    <n v="6"/>
    <n v="12000000"/>
    <n v="21370057"/>
  </r>
  <r>
    <s v="F.I.S.T."/>
    <x v="592"/>
    <x v="2"/>
    <x v="0"/>
    <n v="145"/>
    <n v="6.4"/>
    <n v="11000000"/>
    <n v="25078937"/>
  </r>
  <r>
    <s v="Invaders from Mars"/>
    <x v="620"/>
    <x v="11"/>
    <x v="0"/>
    <n v="100"/>
    <n v="5.5"/>
    <n v="12000000"/>
    <n v="4884663"/>
  </r>
  <r>
    <s v="Brooklyn"/>
    <x v="1272"/>
    <x v="2"/>
    <x v="0"/>
    <n v="111"/>
    <n v="7.5"/>
    <n v="11000000"/>
    <n v="38317535"/>
  </r>
  <r>
    <s v="Barry Lyndon"/>
    <x v="324"/>
    <x v="1"/>
    <x v="0"/>
    <n v="184"/>
    <n v="8.1"/>
    <n v="11000000"/>
    <n v="25078937"/>
  </r>
  <r>
    <s v="Out Cold"/>
    <x v="1273"/>
    <x v="4"/>
    <x v="0"/>
    <n v="89"/>
    <n v="6.3"/>
    <n v="11000000"/>
    <n v="13903262"/>
  </r>
  <r>
    <s v="The Ladies Man"/>
    <x v="525"/>
    <x v="4"/>
    <x v="0"/>
    <n v="84"/>
    <n v="5.0999999999999996"/>
    <n v="11000000"/>
    <n v="13592872"/>
  </r>
  <r>
    <s v="Quartet"/>
    <x v="1274"/>
    <x v="4"/>
    <x v="0"/>
    <n v="98"/>
    <n v="6.8"/>
    <n v="11000000"/>
    <n v="18381787"/>
  </r>
  <r>
    <s v="Tomcats"/>
    <x v="1275"/>
    <x v="4"/>
    <x v="0"/>
    <n v="95"/>
    <n v="5.3"/>
    <n v="11000000"/>
    <n v="13558739"/>
  </r>
  <r>
    <s v="Frailty"/>
    <x v="820"/>
    <x v="6"/>
    <x v="0"/>
    <n v="100"/>
    <n v="7.3"/>
    <n v="11000000"/>
    <n v="13103828"/>
  </r>
  <r>
    <s v="Woman in Gold"/>
    <x v="1276"/>
    <x v="7"/>
    <x v="0"/>
    <n v="109"/>
    <n v="7.3"/>
    <n v="11000000"/>
    <n v="33305037"/>
  </r>
  <r>
    <s v="Kinsey"/>
    <x v="110"/>
    <x v="7"/>
    <x v="0"/>
    <n v="118"/>
    <n v="7.1"/>
    <n v="11000000"/>
    <n v="10214647"/>
  </r>
  <r>
    <s v="Army of Darkness"/>
    <x v="5"/>
    <x v="4"/>
    <x v="0"/>
    <n v="88"/>
    <n v="7.6"/>
    <n v="13000000"/>
    <n v="11501093"/>
  </r>
  <r>
    <s v="Slackers"/>
    <x v="1277"/>
    <x v="4"/>
    <x v="0"/>
    <n v="86"/>
    <n v="5.3"/>
    <n v="11000000"/>
    <n v="4814244"/>
  </r>
  <r>
    <s v="What's Eating Gilbert Grape"/>
    <x v="640"/>
    <x v="2"/>
    <x v="0"/>
    <n v="118"/>
    <n v="7.8"/>
    <n v="11000000"/>
    <n v="9170214"/>
  </r>
  <r>
    <s v="The Visual Bible: The Gospel of John"/>
    <x v="1278"/>
    <x v="7"/>
    <x v="0"/>
    <n v="125"/>
    <n v="7.7"/>
    <n v="17000000"/>
    <n v="4068087"/>
  </r>
  <r>
    <s v="Vera Drake"/>
    <x v="949"/>
    <x v="6"/>
    <x v="0"/>
    <n v="125"/>
    <n v="7.7"/>
    <n v="11000000"/>
    <n v="3753806"/>
  </r>
  <r>
    <s v="The Guru"/>
    <x v="1196"/>
    <x v="4"/>
    <x v="0"/>
    <n v="94"/>
    <n v="5.4"/>
    <n v="11000000"/>
    <n v="3034181"/>
  </r>
  <r>
    <s v="The Perez Family"/>
    <x v="867"/>
    <x v="4"/>
    <x v="0"/>
    <n v="113"/>
    <n v="6.2"/>
    <n v="11000000"/>
    <n v="2832826"/>
  </r>
  <r>
    <s v="Inside Llewyn Davis"/>
    <x v="603"/>
    <x v="2"/>
    <x v="0"/>
    <n v="104"/>
    <n v="7.4"/>
    <n v="11000000"/>
    <n v="13214255"/>
  </r>
  <r>
    <s v="O"/>
    <x v="1279"/>
    <x v="2"/>
    <x v="0"/>
    <n v="95"/>
    <n v="6.2"/>
    <n v="5000000"/>
    <n v="16017403"/>
  </r>
  <r>
    <s v="Return to the Blue Lagoon"/>
    <x v="1280"/>
    <x v="1"/>
    <x v="0"/>
    <n v="102"/>
    <n v="5.0999999999999996"/>
    <n v="11000000"/>
    <n v="2807854"/>
  </r>
  <r>
    <s v="The Molly Maguires"/>
    <x v="1281"/>
    <x v="2"/>
    <x v="0"/>
    <n v="124"/>
    <n v="6.9"/>
    <n v="11000000"/>
    <n v="25078937"/>
  </r>
  <r>
    <s v="Romance &amp; Cigarettes"/>
    <x v="1282"/>
    <x v="4"/>
    <x v="0"/>
    <n v="105"/>
    <n v="6.3"/>
    <n v="20000000"/>
    <n v="540085"/>
  </r>
  <r>
    <s v="Copying Beethoven"/>
    <x v="1283"/>
    <x v="7"/>
    <x v="0"/>
    <n v="104"/>
    <n v="6.8"/>
    <n v="11000000"/>
    <n v="352786"/>
  </r>
  <r>
    <s v="Brighton Rock"/>
    <x v="882"/>
    <x v="6"/>
    <x v="0"/>
    <n v="111"/>
    <n v="5.7"/>
    <n v="12000000"/>
    <n v="25078937"/>
  </r>
  <r>
    <s v="Saw V"/>
    <x v="1284"/>
    <x v="11"/>
    <x v="0"/>
    <n v="95"/>
    <n v="5.8"/>
    <n v="10800000"/>
    <n v="56729973"/>
  </r>
  <r>
    <s v="Machine Gun McCain"/>
    <x v="1285"/>
    <x v="6"/>
    <x v="0"/>
    <n v="96"/>
    <n v="6.2"/>
    <n v="20000000"/>
    <n v="25078937"/>
  </r>
  <r>
    <s v="LOL"/>
    <x v="1286"/>
    <x v="4"/>
    <x v="0"/>
    <n v="97"/>
    <n v="4.3"/>
    <n v="11000000"/>
    <n v="25078937"/>
  </r>
  <r>
    <s v="Jindabyne"/>
    <x v="1287"/>
    <x v="6"/>
    <x v="0"/>
    <n v="118"/>
    <n v="6.4"/>
    <n v="15000000"/>
    <n v="399879"/>
  </r>
  <r>
    <s v="Kabhi Alvida Naa Kehna"/>
    <x v="1288"/>
    <x v="2"/>
    <x v="7"/>
    <n v="193"/>
    <n v="6"/>
    <n v="700000000"/>
    <n v="3275443"/>
  </r>
  <r>
    <s v="An Ideal Husband"/>
    <x v="514"/>
    <x v="4"/>
    <x v="0"/>
    <n v="97"/>
    <n v="6.9"/>
    <n v="14000000"/>
    <n v="18535191"/>
  </r>
  <r>
    <s v="The Last Days on Mars"/>
    <x v="1289"/>
    <x v="11"/>
    <x v="0"/>
    <n v="98"/>
    <n v="5.5"/>
    <n v="7000000"/>
    <n v="23838"/>
  </r>
  <r>
    <s v="Darkness"/>
    <x v="1290"/>
    <x v="11"/>
    <x v="0"/>
    <n v="103"/>
    <n v="5.4"/>
    <n v="10600000"/>
    <n v="22160085"/>
  </r>
  <r>
    <s v="2001: A Space Odyssey"/>
    <x v="324"/>
    <x v="1"/>
    <x v="0"/>
    <n v="161"/>
    <n v="8.3000000000000007"/>
    <n v="12000000"/>
    <n v="56715371"/>
  </r>
  <r>
    <s v="E.T. the Extra-Terrestrial"/>
    <x v="37"/>
    <x v="14"/>
    <x v="0"/>
    <n v="120"/>
    <n v="7.9"/>
    <n v="10500000"/>
    <n v="434949459"/>
  </r>
  <r>
    <s v="In the Land of Women"/>
    <x v="1291"/>
    <x v="4"/>
    <x v="0"/>
    <n v="97"/>
    <n v="6.5"/>
    <n v="10000000"/>
    <n v="11043445"/>
  </r>
  <r>
    <s v="The Blue Butterfly"/>
    <x v="1292"/>
    <x v="1"/>
    <x v="0"/>
    <n v="97"/>
    <n v="6.3"/>
    <n v="12500000"/>
    <n v="25078937"/>
  </r>
  <r>
    <s v="There Goes My Baby"/>
    <x v="1293"/>
    <x v="4"/>
    <x v="0"/>
    <n v="99"/>
    <n v="6.4"/>
    <n v="10500000"/>
    <n v="125169"/>
  </r>
  <r>
    <s v="Housefull"/>
    <x v="1294"/>
    <x v="4"/>
    <x v="7"/>
    <n v="144"/>
    <n v="5.3"/>
    <n v="20000000"/>
    <n v="1165104"/>
  </r>
  <r>
    <s v="For Greater Glory: The True Story of Cristiada"/>
    <x v="1295"/>
    <x v="2"/>
    <x v="5"/>
    <n v="145"/>
    <n v="6.6"/>
    <n v="10818775"/>
    <n v="5669081"/>
  </r>
  <r>
    <s v="La Famille Bélier"/>
    <x v="1296"/>
    <x v="4"/>
    <x v="2"/>
    <n v="106"/>
    <n v="7.4"/>
    <n v="11000000"/>
    <n v="25078937"/>
  </r>
  <r>
    <s v="Good Will Hunting"/>
    <x v="521"/>
    <x v="2"/>
    <x v="0"/>
    <n v="126"/>
    <n v="8.3000000000000007"/>
    <n v="10000000"/>
    <n v="138339411"/>
  </r>
  <r>
    <s v="Misconduct"/>
    <x v="1297"/>
    <x v="2"/>
    <x v="0"/>
    <n v="106"/>
    <n v="5.3"/>
    <n v="11000000"/>
    <n v="25078937"/>
  </r>
  <r>
    <s v="Saw III"/>
    <x v="1298"/>
    <x v="11"/>
    <x v="0"/>
    <n v="121"/>
    <n v="6.2"/>
    <n v="10000000"/>
    <n v="80150343"/>
  </r>
  <r>
    <s v="Stripes"/>
    <x v="242"/>
    <x v="0"/>
    <x v="0"/>
    <n v="117"/>
    <n v="6.9"/>
    <n v="10000000"/>
    <n v="85300000"/>
  </r>
  <r>
    <s v="Bring It On"/>
    <x v="116"/>
    <x v="4"/>
    <x v="0"/>
    <n v="98"/>
    <n v="5.9"/>
    <n v="10000000"/>
    <n v="68353550"/>
  </r>
  <r>
    <s v="The Purge: Election Year"/>
    <x v="1299"/>
    <x v="0"/>
    <x v="0"/>
    <n v="109"/>
    <n v="6.1"/>
    <n v="10000000"/>
    <n v="78845130"/>
  </r>
  <r>
    <s v="She's All That"/>
    <x v="1055"/>
    <x v="4"/>
    <x v="0"/>
    <n v="95"/>
    <n v="5.8"/>
    <n v="10000000"/>
    <n v="63319509"/>
  </r>
  <r>
    <s v="Saw IV"/>
    <x v="1298"/>
    <x v="11"/>
    <x v="0"/>
    <n v="96"/>
    <n v="5.9"/>
    <n v="10000000"/>
    <n v="63270259"/>
  </r>
  <r>
    <s v="White Noise"/>
    <x v="581"/>
    <x v="2"/>
    <x v="0"/>
    <n v="101"/>
    <n v="5.5"/>
    <n v="10000000"/>
    <n v="55865715"/>
  </r>
  <r>
    <s v="Madea's Family Reunion"/>
    <x v="790"/>
    <x v="4"/>
    <x v="0"/>
    <n v="107"/>
    <n v="5"/>
    <n v="6000000"/>
    <n v="63231524"/>
  </r>
  <r>
    <s v="The Color of Money"/>
    <x v="47"/>
    <x v="2"/>
    <x v="0"/>
    <n v="119"/>
    <n v="7"/>
    <n v="13800000"/>
    <n v="52293982"/>
  </r>
  <r>
    <s v="The Longest Day"/>
    <x v="1300"/>
    <x v="0"/>
    <x v="0"/>
    <n v="178"/>
    <n v="7.8"/>
    <n v="10000000"/>
    <n v="25078937"/>
  </r>
  <r>
    <s v="The Mighty Ducks"/>
    <x v="388"/>
    <x v="4"/>
    <x v="0"/>
    <n v="100"/>
    <n v="6.4"/>
    <n v="10000000"/>
    <n v="50752337"/>
  </r>
  <r>
    <s v="The Grudge"/>
    <x v="906"/>
    <x v="11"/>
    <x v="0"/>
    <n v="98"/>
    <n v="5.9"/>
    <n v="10000000"/>
    <n v="110175871"/>
  </r>
  <r>
    <s v="Happy Gilmore"/>
    <x v="202"/>
    <x v="4"/>
    <x v="0"/>
    <n v="92"/>
    <n v="7"/>
    <n v="12000000"/>
    <n v="38624000"/>
  </r>
  <r>
    <s v="Jeepers Creepers"/>
    <x v="799"/>
    <x v="11"/>
    <x v="0"/>
    <n v="90"/>
    <n v="6.1"/>
    <n v="10000000"/>
    <n v="37470017"/>
  </r>
  <r>
    <s v="Bill &amp; Ted's Excellent Adventure"/>
    <x v="388"/>
    <x v="1"/>
    <x v="0"/>
    <n v="90"/>
    <n v="6.9"/>
    <n v="10000000"/>
    <n v="40485039"/>
  </r>
  <r>
    <s v="Oliver!"/>
    <x v="1301"/>
    <x v="2"/>
    <x v="0"/>
    <n v="153"/>
    <n v="7.5"/>
    <n v="10000000"/>
    <n v="16800000"/>
  </r>
  <r>
    <s v="The Best Exotic Marigold Hotel"/>
    <x v="393"/>
    <x v="4"/>
    <x v="0"/>
    <n v="124"/>
    <n v="7.3"/>
    <n v="10000000"/>
    <n v="46377022"/>
  </r>
  <r>
    <s v="Recess: School's Out"/>
    <x v="1302"/>
    <x v="3"/>
    <x v="0"/>
    <n v="82"/>
    <n v="6.5"/>
    <n v="23000000"/>
    <n v="36696761"/>
  </r>
  <r>
    <s v="Mad Max Beyond Thunderdome"/>
    <x v="82"/>
    <x v="0"/>
    <x v="0"/>
    <n v="107"/>
    <n v="6.2"/>
    <n v="12305523"/>
    <n v="36200000"/>
  </r>
  <r>
    <s v="Commando"/>
    <x v="1109"/>
    <x v="0"/>
    <x v="0"/>
    <n v="75"/>
    <n v="6.7"/>
    <n v="10000000"/>
    <n v="25078937"/>
  </r>
  <r>
    <s v="The Boy"/>
    <x v="921"/>
    <x v="11"/>
    <x v="0"/>
    <n v="97"/>
    <n v="6"/>
    <n v="10000000"/>
    <n v="35794166"/>
  </r>
  <r>
    <s v="Devil"/>
    <x v="1229"/>
    <x v="11"/>
    <x v="0"/>
    <n v="80"/>
    <n v="6.3"/>
    <n v="10000000"/>
    <n v="33583175"/>
  </r>
  <r>
    <s v="Friday After Next"/>
    <x v="1303"/>
    <x v="4"/>
    <x v="0"/>
    <n v="85"/>
    <n v="5.8"/>
    <n v="20000000"/>
    <n v="32983713"/>
  </r>
  <r>
    <s v="Insidious: Chapter 3"/>
    <x v="1304"/>
    <x v="8"/>
    <x v="0"/>
    <n v="97"/>
    <n v="6.1"/>
    <n v="10000000"/>
    <n v="52200504"/>
  </r>
  <r>
    <s v="The Last Dragon"/>
    <x v="1305"/>
    <x v="0"/>
    <x v="0"/>
    <n v="109"/>
    <n v="6.9"/>
    <n v="10000000"/>
    <n v="33000000"/>
  </r>
  <r>
    <s v="The Lawnmower Man"/>
    <x v="712"/>
    <x v="11"/>
    <x v="0"/>
    <n v="140"/>
    <n v="5.4"/>
    <n v="10000000"/>
    <n v="32101000"/>
  </r>
  <r>
    <s v="Nick and Norah's Infinite Playlist"/>
    <x v="1306"/>
    <x v="4"/>
    <x v="0"/>
    <n v="90"/>
    <n v="6.7"/>
    <n v="9000000"/>
    <n v="31487293"/>
  </r>
  <r>
    <s v="Dogma"/>
    <x v="605"/>
    <x v="1"/>
    <x v="0"/>
    <n v="130"/>
    <n v="7.4"/>
    <n v="10000000"/>
    <n v="30651422"/>
  </r>
  <r>
    <s v="The Banger Sisters"/>
    <x v="1307"/>
    <x v="4"/>
    <x v="0"/>
    <n v="98"/>
    <n v="5.6"/>
    <n v="10000000"/>
    <n v="30306281"/>
  </r>
  <r>
    <s v="Twilight Zone: The Movie"/>
    <x v="255"/>
    <x v="8"/>
    <x v="0"/>
    <n v="101"/>
    <n v="6.5"/>
    <n v="10000000"/>
    <n v="29500000"/>
  </r>
  <r>
    <s v="Road House"/>
    <x v="1035"/>
    <x v="0"/>
    <x v="0"/>
    <n v="114"/>
    <n v="6.5"/>
    <n v="17000000"/>
    <n v="30050028"/>
  </r>
  <r>
    <s v="A Low Down Dirty Shame"/>
    <x v="335"/>
    <x v="0"/>
    <x v="0"/>
    <n v="100"/>
    <n v="5.8"/>
    <n v="10000000"/>
    <n v="29392418"/>
  </r>
  <r>
    <s v="Swimfan"/>
    <x v="792"/>
    <x v="2"/>
    <x v="0"/>
    <n v="85"/>
    <n v="5"/>
    <n v="8500000"/>
    <n v="28563926"/>
  </r>
  <r>
    <s v="Employee of the Month"/>
    <x v="1308"/>
    <x v="4"/>
    <x v="0"/>
    <n v="103"/>
    <n v="5.5"/>
    <n v="12000000"/>
    <n v="28435406"/>
  </r>
  <r>
    <s v="Can't Hardly Wait"/>
    <x v="874"/>
    <x v="4"/>
    <x v="0"/>
    <n v="100"/>
    <n v="6.5"/>
    <n v="10000000"/>
    <n v="25339117"/>
  </r>
  <r>
    <s v="The Outsiders"/>
    <x v="416"/>
    <x v="6"/>
    <x v="0"/>
    <n v="114"/>
    <n v="7.2"/>
    <n v="10000000"/>
    <n v="25600000"/>
  </r>
  <r>
    <s v="Pete's Dragon"/>
    <x v="1309"/>
    <x v="1"/>
    <x v="0"/>
    <n v="102"/>
    <n v="7.3"/>
    <n v="65000000"/>
    <n v="25078937"/>
  </r>
  <r>
    <s v="The Dead Zone"/>
    <x v="467"/>
    <x v="11"/>
    <x v="0"/>
    <n v="103"/>
    <n v="7.2"/>
    <n v="10000000"/>
    <n v="25078937"/>
  </r>
  <r>
    <s v="Sinister 2"/>
    <x v="1310"/>
    <x v="11"/>
    <x v="0"/>
    <n v="97"/>
    <n v="5.2"/>
    <n v="10000000"/>
    <n v="27736779"/>
  </r>
  <r>
    <s v="Sparkle"/>
    <x v="1311"/>
    <x v="2"/>
    <x v="0"/>
    <n v="116"/>
    <n v="5.7"/>
    <n v="17000000"/>
    <n v="24397469"/>
  </r>
  <r>
    <s v="Valentine"/>
    <x v="1164"/>
    <x v="11"/>
    <x v="0"/>
    <n v="96"/>
    <n v="4.7"/>
    <n v="10000000"/>
    <n v="20384136"/>
  </r>
  <r>
    <s v="The Fourth Kind"/>
    <x v="1312"/>
    <x v="5"/>
    <x v="0"/>
    <n v="98"/>
    <n v="5.9"/>
    <n v="10000000"/>
    <n v="25464480"/>
  </r>
  <r>
    <s v="A Prairie Home Companion"/>
    <x v="982"/>
    <x v="4"/>
    <x v="0"/>
    <n v="105"/>
    <n v="6.8"/>
    <n v="10000000"/>
    <n v="20338609"/>
  </r>
  <r>
    <s v="Sugar Hill"/>
    <x v="1313"/>
    <x v="2"/>
    <x v="0"/>
    <n v="123"/>
    <n v="5.9"/>
    <n v="10000000"/>
    <n v="18272447"/>
  </r>
  <r>
    <s v="Invasion U.S.A."/>
    <x v="1314"/>
    <x v="0"/>
    <x v="0"/>
    <n v="107"/>
    <n v="5.3"/>
    <n v="10000000"/>
    <n v="25078937"/>
  </r>
  <r>
    <s v="Roll Bounce"/>
    <x v="575"/>
    <x v="4"/>
    <x v="0"/>
    <n v="112"/>
    <n v="6"/>
    <n v="20000000"/>
    <n v="17378977"/>
  </r>
  <r>
    <s v="Rushmore"/>
    <x v="466"/>
    <x v="4"/>
    <x v="0"/>
    <n v="93"/>
    <n v="7.7"/>
    <n v="9000000"/>
    <n v="17096053"/>
  </r>
  <r>
    <s v="Skyline"/>
    <x v="554"/>
    <x v="0"/>
    <x v="0"/>
    <n v="97"/>
    <n v="4.4000000000000004"/>
    <n v="10000000"/>
    <n v="21371425"/>
  </r>
  <r>
    <s v="The Second Best Exotic Marigold Hotel"/>
    <x v="393"/>
    <x v="4"/>
    <x v="0"/>
    <n v="122"/>
    <n v="6.6"/>
    <n v="10000000"/>
    <n v="33071558"/>
  </r>
  <r>
    <s v="Kit Kittredge: An American Girl"/>
    <x v="1315"/>
    <x v="2"/>
    <x v="0"/>
    <n v="101"/>
    <n v="6.7"/>
    <n v="10000000"/>
    <n v="17655201"/>
  </r>
  <r>
    <s v="The Perfect Man"/>
    <x v="972"/>
    <x v="4"/>
    <x v="0"/>
    <n v="100"/>
    <n v="5.5"/>
    <n v="25000000"/>
    <n v="16247775"/>
  </r>
  <r>
    <s v="Mo' Better Blues"/>
    <x v="433"/>
    <x v="2"/>
    <x v="0"/>
    <n v="129"/>
    <n v="6.5"/>
    <n v="10000000"/>
    <n v="16153600"/>
  </r>
  <r>
    <s v="Kung Pow: Enter the Fist"/>
    <x v="428"/>
    <x v="0"/>
    <x v="0"/>
    <n v="81"/>
    <n v="6.2"/>
    <n v="10000000"/>
    <n v="16033556"/>
  </r>
  <r>
    <s v="Tremors"/>
    <x v="180"/>
    <x v="4"/>
    <x v="0"/>
    <n v="96"/>
    <n v="7.1"/>
    <n v="11000000"/>
    <n v="16667084"/>
  </r>
  <r>
    <s v="Wrong Turn"/>
    <x v="1316"/>
    <x v="11"/>
    <x v="0"/>
    <n v="84"/>
    <n v="6.1"/>
    <n v="12600000"/>
    <n v="15417771"/>
  </r>
  <r>
    <s v="The Long Riders"/>
    <x v="378"/>
    <x v="16"/>
    <x v="0"/>
    <n v="100"/>
    <n v="7.1"/>
    <n v="10000000"/>
    <n v="25078937"/>
  </r>
  <r>
    <s v="The Corruptor"/>
    <x v="1118"/>
    <x v="0"/>
    <x v="0"/>
    <n v="110"/>
    <n v="6"/>
    <n v="30000000"/>
    <n v="15156200"/>
  </r>
  <r>
    <s v="Mud"/>
    <x v="1003"/>
    <x v="2"/>
    <x v="0"/>
    <n v="130"/>
    <n v="7.4"/>
    <n v="10000000"/>
    <n v="21589307"/>
  </r>
  <r>
    <s v="Reno 911!: Miami"/>
    <x v="1317"/>
    <x v="4"/>
    <x v="0"/>
    <n v="84"/>
    <n v="5.9"/>
    <n v="10000000"/>
    <n v="20339754"/>
  </r>
  <r>
    <s v="One Direction: This Is Us"/>
    <x v="1318"/>
    <x v="9"/>
    <x v="0"/>
    <n v="106"/>
    <n v="4.0999999999999996"/>
    <n v="10000000"/>
    <n v="28873374"/>
  </r>
  <r>
    <s v="The Goods: Live Hard, Sell Hard"/>
    <x v="1319"/>
    <x v="4"/>
    <x v="0"/>
    <n v="89"/>
    <n v="5.8"/>
    <n v="20000000"/>
    <n v="15102127"/>
  </r>
  <r>
    <s v="Hey Arnold! The Movie"/>
    <x v="1320"/>
    <x v="1"/>
    <x v="0"/>
    <n v="76"/>
    <n v="5.9"/>
    <n v="3000000"/>
    <n v="13684949"/>
  </r>
  <r>
    <s v="My Week with Marilyn"/>
    <x v="1276"/>
    <x v="7"/>
    <x v="0"/>
    <n v="99"/>
    <n v="7"/>
    <n v="6400000"/>
    <n v="14597405"/>
  </r>
  <r>
    <s v="The Matador"/>
    <x v="582"/>
    <x v="4"/>
    <x v="0"/>
    <n v="96"/>
    <n v="6.8"/>
    <n v="10000000"/>
    <n v="12570442"/>
  </r>
  <r>
    <s v="Love Jones"/>
    <x v="1321"/>
    <x v="2"/>
    <x v="0"/>
    <n v="104"/>
    <n v="7.4"/>
    <n v="10000000"/>
    <n v="12514138"/>
  </r>
  <r>
    <s v="The Gift"/>
    <x v="1322"/>
    <x v="5"/>
    <x v="0"/>
    <n v="108"/>
    <n v="7.1"/>
    <n v="5000000"/>
    <n v="43771291"/>
  </r>
  <r>
    <s v="End of the Spear"/>
    <x v="1323"/>
    <x v="1"/>
    <x v="0"/>
    <n v="108"/>
    <n v="7"/>
    <n v="10000000"/>
    <n v="11703287"/>
  </r>
  <r>
    <s v="Get Over It"/>
    <x v="633"/>
    <x v="4"/>
    <x v="0"/>
    <n v="87"/>
    <n v="5.8"/>
    <n v="22000000"/>
    <n v="11560259"/>
  </r>
  <r>
    <s v="Office Space"/>
    <x v="1225"/>
    <x v="4"/>
    <x v="0"/>
    <n v="89"/>
    <n v="7.8"/>
    <n v="10000000"/>
    <n v="10824921"/>
  </r>
  <r>
    <s v="Drop Dead Gorgeous"/>
    <x v="1324"/>
    <x v="4"/>
    <x v="0"/>
    <n v="97"/>
    <n v="6.5"/>
    <n v="10000000"/>
    <n v="10561238"/>
  </r>
  <r>
    <s v="Big Eyes"/>
    <x v="23"/>
    <x v="7"/>
    <x v="0"/>
    <n v="106"/>
    <n v="7"/>
    <n v="10000000"/>
    <n v="14479776"/>
  </r>
  <r>
    <s v="Very Bad Things"/>
    <x v="20"/>
    <x v="4"/>
    <x v="0"/>
    <n v="100"/>
    <n v="6.3"/>
    <n v="10000000"/>
    <n v="9801782"/>
  </r>
  <r>
    <s v="Sleepover"/>
    <x v="1045"/>
    <x v="4"/>
    <x v="0"/>
    <n v="89"/>
    <n v="5.3"/>
    <n v="10000000"/>
    <n v="8070311"/>
  </r>
  <r>
    <s v="Body Double"/>
    <x v="205"/>
    <x v="5"/>
    <x v="0"/>
    <n v="114"/>
    <n v="6.8"/>
    <n v="10000000"/>
    <n v="25078937"/>
  </r>
  <r>
    <s v="MacGruber"/>
    <x v="1325"/>
    <x v="0"/>
    <x v="0"/>
    <n v="95"/>
    <n v="5.5"/>
    <n v="10000000"/>
    <n v="8460995"/>
  </r>
  <r>
    <s v="Dirty Pretty Things"/>
    <x v="487"/>
    <x v="6"/>
    <x v="0"/>
    <n v="97"/>
    <n v="7.4"/>
    <n v="10000000"/>
    <n v="8111360"/>
  </r>
  <r>
    <s v="Movie 43"/>
    <x v="747"/>
    <x v="4"/>
    <x v="0"/>
    <n v="94"/>
    <n v="4.3"/>
    <n v="6000000"/>
    <n v="8828771"/>
  </r>
  <r>
    <s v="Over Her Dead Body"/>
    <x v="1326"/>
    <x v="4"/>
    <x v="0"/>
    <n v="95"/>
    <n v="5.2"/>
    <n v="10000000"/>
    <n v="7563670"/>
  </r>
  <r>
    <s v="Seeking a Friend for the End of the World"/>
    <x v="1327"/>
    <x v="1"/>
    <x v="0"/>
    <n v="101"/>
    <n v="6.7"/>
    <n v="10000000"/>
    <n v="6619173"/>
  </r>
  <r>
    <s v="Cedar Rapids"/>
    <x v="755"/>
    <x v="4"/>
    <x v="0"/>
    <n v="87"/>
    <n v="6.3"/>
    <n v="20000000"/>
    <n v="6857503"/>
  </r>
  <r>
    <s v="American History X"/>
    <x v="1328"/>
    <x v="6"/>
    <x v="0"/>
    <n v="101"/>
    <n v="8.6"/>
    <n v="7500000"/>
    <n v="6712241"/>
  </r>
  <r>
    <s v="The Collection"/>
    <x v="1329"/>
    <x v="0"/>
    <x v="0"/>
    <n v="82"/>
    <n v="6.1"/>
    <n v="10000000"/>
    <n v="6842058"/>
  </r>
  <r>
    <s v="Teacher's Pet"/>
    <x v="1330"/>
    <x v="3"/>
    <x v="0"/>
    <n v="74"/>
    <n v="5.8"/>
    <n v="10000000"/>
    <n v="6491350"/>
  </r>
  <r>
    <s v="The Red Violin"/>
    <x v="1331"/>
    <x v="2"/>
    <x v="2"/>
    <n v="130"/>
    <n v="7.7"/>
    <n v="10000000"/>
    <n v="9473382"/>
  </r>
  <r>
    <s v="The Straight Story"/>
    <x v="503"/>
    <x v="7"/>
    <x v="0"/>
    <n v="112"/>
    <n v="8"/>
    <n v="10000000"/>
    <n v="6197866"/>
  </r>
  <r>
    <s v="Deuces Wild"/>
    <x v="1332"/>
    <x v="0"/>
    <x v="0"/>
    <n v="96"/>
    <n v="5.6"/>
    <n v="10000000"/>
    <n v="6044618"/>
  </r>
  <r>
    <s v="Bad Words"/>
    <x v="1333"/>
    <x v="4"/>
    <x v="0"/>
    <n v="89"/>
    <n v="6.7"/>
    <n v="10000000"/>
    <n v="7764027"/>
  </r>
  <r>
    <s v="Run, Fatboy, Run"/>
    <x v="1334"/>
    <x v="4"/>
    <x v="0"/>
    <n v="100"/>
    <n v="6.6"/>
    <n v="20000000"/>
    <n v="5998971"/>
  </r>
  <r>
    <s v="Heartbeeps"/>
    <x v="1335"/>
    <x v="4"/>
    <x v="0"/>
    <n v="78"/>
    <n v="4.2"/>
    <n v="10000000"/>
    <n v="25078937"/>
  </r>
  <r>
    <s v="Black or White"/>
    <x v="929"/>
    <x v="2"/>
    <x v="0"/>
    <n v="121"/>
    <n v="6.6"/>
    <n v="9000000"/>
    <n v="21569041"/>
  </r>
  <r>
    <s v="On the Line"/>
    <x v="1336"/>
    <x v="4"/>
    <x v="0"/>
    <n v="85"/>
    <n v="4.0999999999999996"/>
    <n v="16000000"/>
    <n v="4356743"/>
  </r>
  <r>
    <s v="Rescue Dawn"/>
    <x v="840"/>
    <x v="1"/>
    <x v="0"/>
    <n v="120"/>
    <n v="7.3"/>
    <n v="10000000"/>
    <n v="5484375"/>
  </r>
  <r>
    <s v="Danny Collins"/>
    <x v="1337"/>
    <x v="4"/>
    <x v="0"/>
    <n v="106"/>
    <n v="7.1"/>
    <n v="10000000"/>
    <n v="5348317"/>
  </r>
  <r>
    <s v="Jeff, Who Lives at Home"/>
    <x v="1338"/>
    <x v="4"/>
    <x v="0"/>
    <n v="83"/>
    <n v="6.5"/>
    <n v="10000000"/>
    <n v="4244155"/>
  </r>
  <r>
    <s v="I Am Love"/>
    <x v="1339"/>
    <x v="2"/>
    <x v="15"/>
    <n v="120"/>
    <n v="7"/>
    <n v="10000000"/>
    <n v="5004648"/>
  </r>
  <r>
    <s v="Atlas Shrugged II: The Strike"/>
    <x v="1340"/>
    <x v="2"/>
    <x v="0"/>
    <n v="111"/>
    <n v="5.5"/>
    <n v="10000000"/>
    <n v="3333823"/>
  </r>
  <r>
    <s v="Romeo Is Bleeding"/>
    <x v="1341"/>
    <x v="0"/>
    <x v="0"/>
    <n v="100"/>
    <n v="6.6"/>
    <n v="11500000"/>
    <n v="3275585"/>
  </r>
  <r>
    <s v="The Limey"/>
    <x v="148"/>
    <x v="6"/>
    <x v="0"/>
    <n v="89"/>
    <n v="7.1"/>
    <n v="9000000"/>
    <n v="3193102"/>
  </r>
  <r>
    <s v="Crash"/>
    <x v="716"/>
    <x v="6"/>
    <x v="0"/>
    <n v="115"/>
    <n v="7.9"/>
    <n v="6500000"/>
    <n v="54557348"/>
  </r>
  <r>
    <s v="The House of Mirth"/>
    <x v="1342"/>
    <x v="2"/>
    <x v="0"/>
    <n v="135"/>
    <n v="7.1"/>
    <n v="10000000"/>
    <n v="3041803"/>
  </r>
  <r>
    <s v="Malone"/>
    <x v="1343"/>
    <x v="0"/>
    <x v="0"/>
    <n v="92"/>
    <n v="5.6"/>
    <n v="10000000"/>
    <n v="3060858"/>
  </r>
  <r>
    <s v="Peaceful Warrior"/>
    <x v="799"/>
    <x v="2"/>
    <x v="0"/>
    <n v="120"/>
    <n v="7.3"/>
    <n v="10000000"/>
    <n v="1055654"/>
  </r>
  <r>
    <s v="Bucky Larson: Born to Be a Star"/>
    <x v="1344"/>
    <x v="4"/>
    <x v="0"/>
    <n v="97"/>
    <n v="3.3"/>
    <n v="10000000"/>
    <n v="2331318"/>
  </r>
  <r>
    <s v="Bamboozled"/>
    <x v="433"/>
    <x v="4"/>
    <x v="0"/>
    <n v="135"/>
    <n v="6.5"/>
    <n v="10000000"/>
    <n v="2185266"/>
  </r>
  <r>
    <s v="The Forest"/>
    <x v="1345"/>
    <x v="11"/>
    <x v="0"/>
    <n v="93"/>
    <n v="4.8"/>
    <n v="10000000"/>
    <n v="26583369"/>
  </r>
  <r>
    <s v="Sphinx"/>
    <x v="1228"/>
    <x v="1"/>
    <x v="0"/>
    <n v="118"/>
    <n v="5.2"/>
    <n v="14000000"/>
    <n v="800000"/>
  </r>
  <r>
    <s v="While We're Young"/>
    <x v="1346"/>
    <x v="4"/>
    <x v="0"/>
    <n v="97"/>
    <n v="6.3"/>
    <n v="10000000"/>
    <n v="7574066"/>
  </r>
  <r>
    <s v="A Better Life"/>
    <x v="18"/>
    <x v="2"/>
    <x v="0"/>
    <n v="98"/>
    <n v="7.2"/>
    <n v="10000000"/>
    <n v="1754319"/>
  </r>
  <r>
    <s v="Spider"/>
    <x v="467"/>
    <x v="2"/>
    <x v="0"/>
    <n v="98"/>
    <n v="6.8"/>
    <n v="8000000"/>
    <n v="1641788"/>
  </r>
  <r>
    <s v="Gun Shy"/>
    <x v="1347"/>
    <x v="4"/>
    <x v="0"/>
    <n v="101"/>
    <n v="5.7"/>
    <n v="10000000"/>
    <n v="1631839"/>
  </r>
  <r>
    <s v="Nicholas Nickleby"/>
    <x v="855"/>
    <x v="2"/>
    <x v="0"/>
    <n v="132"/>
    <n v="7.2"/>
    <n v="10000000"/>
    <n v="1309849"/>
  </r>
  <r>
    <s v="The Iceman"/>
    <x v="676"/>
    <x v="7"/>
    <x v="0"/>
    <n v="106"/>
    <n v="6.9"/>
    <n v="10000000"/>
    <n v="1939441"/>
  </r>
  <r>
    <s v="Krrish"/>
    <x v="1348"/>
    <x v="0"/>
    <x v="7"/>
    <n v="168"/>
    <n v="6.3"/>
    <n v="10000000"/>
    <n v="25078937"/>
  </r>
  <r>
    <s v="Cecil B. DeMented"/>
    <x v="1199"/>
    <x v="4"/>
    <x v="0"/>
    <n v="87"/>
    <n v="6.2"/>
    <n v="10000000"/>
    <n v="1276984"/>
  </r>
  <r>
    <s v="Killer Joe"/>
    <x v="406"/>
    <x v="6"/>
    <x v="0"/>
    <n v="98"/>
    <n v="6.7"/>
    <n v="11000000"/>
    <n v="1987762"/>
  </r>
  <r>
    <s v="The Joneses"/>
    <x v="1349"/>
    <x v="4"/>
    <x v="0"/>
    <n v="96"/>
    <n v="6.5"/>
    <n v="5000000"/>
    <n v="1474508"/>
  </r>
  <r>
    <s v="Owning Mahowny"/>
    <x v="1350"/>
    <x v="6"/>
    <x v="0"/>
    <n v="104"/>
    <n v="7.2"/>
    <n v="10000000"/>
    <n v="1011054"/>
  </r>
  <r>
    <s v="The Brothers Solomon"/>
    <x v="1351"/>
    <x v="4"/>
    <x v="0"/>
    <n v="93"/>
    <n v="5.3"/>
    <n v="10000000"/>
    <n v="900926"/>
  </r>
  <r>
    <s v="My Blueberry Nights"/>
    <x v="590"/>
    <x v="2"/>
    <x v="0"/>
    <n v="95"/>
    <n v="6.7"/>
    <n v="10000000"/>
    <n v="866778"/>
  </r>
  <r>
    <s v="Illuminata"/>
    <x v="1282"/>
    <x v="2"/>
    <x v="0"/>
    <n v="119"/>
    <n v="6.2"/>
    <n v="20000000"/>
    <n v="836641"/>
  </r>
  <r>
    <s v="Swept Away"/>
    <x v="126"/>
    <x v="4"/>
    <x v="0"/>
    <n v="89"/>
    <n v="3.6"/>
    <n v="10000000"/>
    <n v="598645"/>
  </r>
  <r>
    <s v="War, Inc."/>
    <x v="1352"/>
    <x v="0"/>
    <x v="0"/>
    <n v="107"/>
    <n v="5.7"/>
    <n v="10000000"/>
    <n v="578527"/>
  </r>
  <r>
    <s v="Shaolin Soccer"/>
    <x v="932"/>
    <x v="0"/>
    <x v="12"/>
    <n v="85"/>
    <n v="7.3"/>
    <n v="10000000"/>
    <n v="488872"/>
  </r>
  <r>
    <s v="The Brown Bunny"/>
    <x v="1353"/>
    <x v="2"/>
    <x v="0"/>
    <n v="93"/>
    <n v="5"/>
    <n v="10000000"/>
    <n v="365734"/>
  </r>
  <r>
    <s v="The Swindle"/>
    <x v="1354"/>
    <x v="4"/>
    <x v="2"/>
    <n v="101"/>
    <n v="6.6"/>
    <n v="60000000"/>
    <n v="231417"/>
  </r>
  <r>
    <s v="Rosewater"/>
    <x v="1355"/>
    <x v="7"/>
    <x v="0"/>
    <n v="103"/>
    <n v="6.6"/>
    <n v="5000000"/>
    <n v="3093491"/>
  </r>
  <r>
    <s v="The Chambermaid on the Titanic"/>
    <x v="1356"/>
    <x v="2"/>
    <x v="2"/>
    <n v="101"/>
    <n v="6.8"/>
    <n v="20000000"/>
    <n v="244465"/>
  </r>
  <r>
    <s v="Coriolanus"/>
    <x v="1357"/>
    <x v="2"/>
    <x v="0"/>
    <n v="123"/>
    <n v="6.2"/>
    <n v="20000000"/>
    <n v="756452"/>
  </r>
  <r>
    <s v="Imaginary Heroes"/>
    <x v="1358"/>
    <x v="4"/>
    <x v="0"/>
    <n v="111"/>
    <n v="7.3"/>
    <n v="4000000"/>
    <n v="228524"/>
  </r>
  <r>
    <s v="High Heels and Low Lifes"/>
    <x v="1359"/>
    <x v="0"/>
    <x v="0"/>
    <n v="86"/>
    <n v="6.2"/>
    <n v="10000000"/>
    <n v="226792"/>
  </r>
  <r>
    <s v="World's Greatest Dad"/>
    <x v="1360"/>
    <x v="4"/>
    <x v="0"/>
    <n v="99"/>
    <n v="6.9"/>
    <n v="20000000"/>
    <n v="221210"/>
  </r>
  <r>
    <s v="Severance"/>
    <x v="1262"/>
    <x v="4"/>
    <x v="0"/>
    <n v="90"/>
    <n v="6.6"/>
    <n v="5000000"/>
    <n v="136432"/>
  </r>
  <r>
    <s v="Edmond"/>
    <x v="1244"/>
    <x v="2"/>
    <x v="0"/>
    <n v="82"/>
    <n v="6.3"/>
    <n v="10000000"/>
    <n v="131617"/>
  </r>
  <r>
    <s v="Welcome to the Rileys"/>
    <x v="1361"/>
    <x v="2"/>
    <x v="0"/>
    <n v="110"/>
    <n v="7"/>
    <n v="20000000"/>
    <n v="152857"/>
  </r>
  <r>
    <s v="Police Academy: Mission to Moscow"/>
    <x v="1362"/>
    <x v="4"/>
    <x v="0"/>
    <n v="83"/>
    <n v="3.3"/>
    <n v="6200000"/>
    <n v="126247"/>
  </r>
  <r>
    <s v="Blood Done Sign My Name"/>
    <x v="596"/>
    <x v="2"/>
    <x v="0"/>
    <n v="128"/>
    <n v="6.7"/>
    <n v="20000000"/>
    <n v="82739"/>
  </r>
  <r>
    <s v="Cinco de Mayo, La Batalla"/>
    <x v="1363"/>
    <x v="2"/>
    <x v="5"/>
    <n v="125"/>
    <n v="6.2"/>
    <n v="10000000"/>
    <n v="169379"/>
  </r>
  <r>
    <s v="Elsa &amp; Fred"/>
    <x v="734"/>
    <x v="4"/>
    <x v="0"/>
    <n v="97"/>
    <n v="6.5"/>
    <n v="10000000"/>
    <n v="25078937"/>
  </r>
  <r>
    <s v="An Alan Smithee Film: Burn Hollywood Burn"/>
    <x v="1364"/>
    <x v="4"/>
    <x v="0"/>
    <n v="86"/>
    <n v="3.5"/>
    <n v="10000000"/>
    <n v="15447"/>
  </r>
  <r>
    <s v="The Open Road"/>
    <x v="1365"/>
    <x v="4"/>
    <x v="0"/>
    <n v="91"/>
    <n v="5.5"/>
    <n v="10000000"/>
    <n v="19348"/>
  </r>
  <r>
    <s v="The Good Guy"/>
    <x v="1366"/>
    <x v="4"/>
    <x v="0"/>
    <n v="90"/>
    <n v="5.9"/>
    <n v="8000000"/>
    <n v="100503"/>
  </r>
  <r>
    <s v="Motherhood"/>
    <x v="1367"/>
    <x v="4"/>
    <x v="0"/>
    <n v="90"/>
    <n v="4.7"/>
    <n v="5000000"/>
    <n v="92900"/>
  </r>
  <r>
    <s v="Free Style"/>
    <x v="1221"/>
    <x v="2"/>
    <x v="0"/>
    <n v="94"/>
    <n v="4.2"/>
    <n v="20000000"/>
    <n v="140987"/>
  </r>
  <r>
    <s v="Strangerland"/>
    <x v="1368"/>
    <x v="2"/>
    <x v="0"/>
    <n v="112"/>
    <n v="5.2"/>
    <n v="10000000"/>
    <n v="25078937"/>
  </r>
  <r>
    <s v="The Janky Promoters"/>
    <x v="1303"/>
    <x v="4"/>
    <x v="0"/>
    <n v="85"/>
    <n v="5.2"/>
    <n v="20000000"/>
    <n v="25078937"/>
  </r>
  <r>
    <s v="Blonde Ambition"/>
    <x v="1369"/>
    <x v="4"/>
    <x v="0"/>
    <n v="93"/>
    <n v="3.9"/>
    <n v="10000000"/>
    <n v="5561"/>
  </r>
  <r>
    <s v="The Oxford Murders"/>
    <x v="1370"/>
    <x v="6"/>
    <x v="0"/>
    <n v="104"/>
    <n v="6.1"/>
    <n v="10000000"/>
    <n v="3607"/>
  </r>
  <r>
    <s v="The Reef"/>
    <x v="1371"/>
    <x v="11"/>
    <x v="0"/>
    <n v="94"/>
    <n v="5.8"/>
    <n v="20000000"/>
    <n v="25078937"/>
  </r>
  <r>
    <s v="Eulogy"/>
    <x v="1372"/>
    <x v="4"/>
    <x v="0"/>
    <n v="85"/>
    <n v="6.7"/>
    <n v="6500000"/>
    <n v="70527"/>
  </r>
  <r>
    <s v="White Noise 2: The Light"/>
    <x v="476"/>
    <x v="2"/>
    <x v="0"/>
    <n v="99"/>
    <n v="5.7"/>
    <n v="10000000"/>
    <n v="25078937"/>
  </r>
  <r>
    <s v="You Got Served: Beat the World"/>
    <x v="1373"/>
    <x v="2"/>
    <x v="0"/>
    <n v="91"/>
    <n v="4.5"/>
    <n v="10000000"/>
    <n v="25078937"/>
  </r>
  <r>
    <s v="Fifty Dead Men Walking"/>
    <x v="1374"/>
    <x v="2"/>
    <x v="0"/>
    <n v="117"/>
    <n v="6.9"/>
    <n v="6000000"/>
    <n v="25078937"/>
  </r>
  <r>
    <s v="Jungle Shuffle"/>
    <x v="1375"/>
    <x v="1"/>
    <x v="0"/>
    <n v="85"/>
    <n v="4.8"/>
    <n v="10000000"/>
    <n v="25078937"/>
  </r>
  <r>
    <s v="Adam Resurrected"/>
    <x v="1213"/>
    <x v="2"/>
    <x v="0"/>
    <n v="106"/>
    <n v="6.3"/>
    <n v="10000000"/>
    <n v="25078937"/>
  </r>
  <r>
    <s v="Of Horses and Men"/>
    <x v="1376"/>
    <x v="4"/>
    <x v="27"/>
    <n v="81"/>
    <n v="6.9"/>
    <n v="10000000"/>
    <n v="11835"/>
  </r>
  <r>
    <s v="It's a Wonderful Afterlife"/>
    <x v="1377"/>
    <x v="4"/>
    <x v="0"/>
    <n v="100"/>
    <n v="5.4"/>
    <n v="10000000"/>
    <n v="25078937"/>
  </r>
  <r>
    <s v="The Devil's Tomb"/>
    <x v="1378"/>
    <x v="0"/>
    <x v="0"/>
    <n v="90"/>
    <n v="3.8"/>
    <n v="10000000"/>
    <n v="25078937"/>
  </r>
  <r>
    <s v="Partition"/>
    <x v="1379"/>
    <x v="2"/>
    <x v="0"/>
    <n v="116"/>
    <n v="7"/>
    <n v="10000000"/>
    <n v="25078937"/>
  </r>
  <r>
    <s v="Good Intentions"/>
    <x v="1380"/>
    <x v="4"/>
    <x v="0"/>
    <n v="84"/>
    <n v="5.2"/>
    <n v="10000000"/>
    <n v="25078937"/>
  </r>
  <r>
    <s v="The Good, the Bad, the Weird"/>
    <x v="727"/>
    <x v="0"/>
    <x v="22"/>
    <n v="135"/>
    <n v="7.3"/>
    <n v="10000000"/>
    <n v="128486"/>
  </r>
  <r>
    <s v="Nurse 3D"/>
    <x v="1113"/>
    <x v="11"/>
    <x v="0"/>
    <n v="84"/>
    <n v="4.5999999999999996"/>
    <n v="10000000"/>
    <n v="25078937"/>
  </r>
  <r>
    <s v="Gunless"/>
    <x v="1381"/>
    <x v="0"/>
    <x v="0"/>
    <n v="89"/>
    <n v="6.5"/>
    <n v="10000000"/>
    <n v="25078937"/>
  </r>
  <r>
    <s v="Adventureland"/>
    <x v="556"/>
    <x v="4"/>
    <x v="0"/>
    <n v="107"/>
    <n v="6.8"/>
    <n v="20000000"/>
    <n v="16025394"/>
  </r>
  <r>
    <s v="The Lost City"/>
    <x v="1382"/>
    <x v="2"/>
    <x v="0"/>
    <n v="144"/>
    <n v="6.7"/>
    <n v="9600000"/>
    <n v="2483955"/>
  </r>
  <r>
    <s v="Next Friday"/>
    <x v="284"/>
    <x v="4"/>
    <x v="0"/>
    <n v="98"/>
    <n v="6.1"/>
    <n v="9500000"/>
    <n v="57176582"/>
  </r>
  <r>
    <s v="American Heist"/>
    <x v="1383"/>
    <x v="0"/>
    <x v="0"/>
    <n v="94"/>
    <n v="5.2"/>
    <n v="10000000"/>
    <n v="25078937"/>
  </r>
  <r>
    <s v="You Only Live Twice"/>
    <x v="677"/>
    <x v="0"/>
    <x v="0"/>
    <n v="117"/>
    <n v="6.9"/>
    <n v="9500000"/>
    <n v="43100000"/>
  </r>
  <r>
    <s v="Plastic"/>
    <x v="1384"/>
    <x v="0"/>
    <x v="0"/>
    <n v="102"/>
    <n v="6"/>
    <n v="10000000"/>
    <n v="25078937"/>
  </r>
  <r>
    <s v="Amour"/>
    <x v="1005"/>
    <x v="2"/>
    <x v="2"/>
    <n v="127"/>
    <n v="7.9"/>
    <n v="8900000"/>
    <n v="225377"/>
  </r>
  <r>
    <s v="Poltergeist III"/>
    <x v="1385"/>
    <x v="11"/>
    <x v="0"/>
    <n v="98"/>
    <n v="4.5"/>
    <n v="10500000"/>
    <n v="14114488"/>
  </r>
  <r>
    <s v="Re-Kill"/>
    <x v="1386"/>
    <x v="0"/>
    <x v="0"/>
    <n v="88"/>
    <n v="5.0999999999999996"/>
    <n v="9500000"/>
    <n v="25078937"/>
  </r>
  <r>
    <s v="It's a Mad, Mad, Mad, Mad World"/>
    <x v="1387"/>
    <x v="0"/>
    <x v="0"/>
    <n v="197"/>
    <n v="7.6"/>
    <n v="9400000"/>
    <n v="46300000"/>
  </r>
  <r>
    <s v="Volver"/>
    <x v="1388"/>
    <x v="4"/>
    <x v="5"/>
    <n v="121"/>
    <n v="7.6"/>
    <n v="20000000"/>
    <n v="12899702"/>
  </r>
  <r>
    <s v="Heavy Metal"/>
    <x v="1389"/>
    <x v="1"/>
    <x v="0"/>
    <n v="90"/>
    <n v="6.7"/>
    <n v="9300000"/>
    <n v="25078937"/>
  </r>
  <r>
    <s v="Gentlemen Broncos"/>
    <x v="665"/>
    <x v="1"/>
    <x v="0"/>
    <n v="89"/>
    <n v="6.1"/>
    <n v="20000000"/>
    <n v="113155"/>
  </r>
  <r>
    <s v="Richard III"/>
    <x v="450"/>
    <x v="2"/>
    <x v="0"/>
    <n v="104"/>
    <n v="7.5"/>
    <n v="6000000"/>
    <n v="2600000"/>
  </r>
  <r>
    <s v="Into the Grizzly Maze"/>
    <x v="1284"/>
    <x v="0"/>
    <x v="0"/>
    <n v="94"/>
    <n v="5.3"/>
    <n v="10000000"/>
    <n v="25078937"/>
  </r>
  <r>
    <s v="Kites"/>
    <x v="1390"/>
    <x v="0"/>
    <x v="0"/>
    <n v="90"/>
    <n v="6"/>
    <n v="600000000"/>
    <n v="1602466"/>
  </r>
  <r>
    <s v="Melancholia"/>
    <x v="1160"/>
    <x v="2"/>
    <x v="0"/>
    <n v="130"/>
    <n v="7.1"/>
    <n v="7400000"/>
    <n v="3029870"/>
  </r>
  <r>
    <s v="Red Dog"/>
    <x v="1391"/>
    <x v="7"/>
    <x v="0"/>
    <n v="92"/>
    <n v="7.5"/>
    <n v="8500000"/>
    <n v="25078937"/>
  </r>
  <r>
    <s v="Jab Tak Hai Jaan"/>
    <x v="1392"/>
    <x v="2"/>
    <x v="7"/>
    <n v="176"/>
    <n v="6.9"/>
    <n v="7217600"/>
    <n v="3047539"/>
  </r>
  <r>
    <s v="Alien"/>
    <x v="17"/>
    <x v="11"/>
    <x v="0"/>
    <n v="116"/>
    <n v="8.5"/>
    <n v="11000000"/>
    <n v="78900000"/>
  </r>
  <r>
    <s v="The Texas Chain Saw Massacre"/>
    <x v="620"/>
    <x v="11"/>
    <x v="0"/>
    <n v="88"/>
    <n v="7.5"/>
    <n v="83532"/>
    <n v="30859000"/>
  </r>
  <r>
    <s v="The Runaways"/>
    <x v="1393"/>
    <x v="7"/>
    <x v="0"/>
    <n v="106"/>
    <n v="6.6"/>
    <n v="10000000"/>
    <n v="3571735"/>
  </r>
  <r>
    <s v="Fiddler on the Roof"/>
    <x v="592"/>
    <x v="2"/>
    <x v="0"/>
    <n v="181"/>
    <n v="8"/>
    <n v="9000000"/>
    <n v="50000000"/>
  </r>
  <r>
    <s v="Thunderball"/>
    <x v="490"/>
    <x v="0"/>
    <x v="0"/>
    <n v="130"/>
    <n v="7"/>
    <n v="9000000"/>
    <n v="63600000"/>
  </r>
  <r>
    <s v="Detention"/>
    <x v="566"/>
    <x v="4"/>
    <x v="0"/>
    <n v="93"/>
    <n v="5.8"/>
    <n v="10000000"/>
    <n v="25078937"/>
  </r>
  <r>
    <s v="Loose Cannons"/>
    <x v="1394"/>
    <x v="4"/>
    <x v="15"/>
    <n v="110"/>
    <n v="7.3"/>
    <n v="20000000"/>
    <n v="25078937"/>
  </r>
  <r>
    <s v="Set It Off"/>
    <x v="269"/>
    <x v="0"/>
    <x v="0"/>
    <n v="123"/>
    <n v="6.8"/>
    <n v="9000000"/>
    <n v="36049108"/>
  </r>
  <r>
    <s v="The Best Man"/>
    <x v="575"/>
    <x v="4"/>
    <x v="0"/>
    <n v="120"/>
    <n v="6.7"/>
    <n v="9000000"/>
    <n v="34074895"/>
  </r>
  <r>
    <s v="Child's Play"/>
    <x v="1169"/>
    <x v="8"/>
    <x v="0"/>
    <n v="87"/>
    <n v="6.5"/>
    <n v="9000000"/>
    <n v="33244684"/>
  </r>
  <r>
    <s v="Sicko"/>
    <x v="937"/>
    <x v="9"/>
    <x v="0"/>
    <n v="123"/>
    <n v="8"/>
    <n v="9000000"/>
    <n v="24530513"/>
  </r>
  <r>
    <s v="The Purge: Anarchy"/>
    <x v="1299"/>
    <x v="0"/>
    <x v="0"/>
    <n v="103"/>
    <n v="6.5"/>
    <n v="9000000"/>
    <n v="71519230"/>
  </r>
  <r>
    <s v="Down to You"/>
    <x v="1395"/>
    <x v="4"/>
    <x v="0"/>
    <n v="91"/>
    <n v="4.9000000000000004"/>
    <n v="9000000"/>
    <n v="20035310"/>
  </r>
  <r>
    <s v="Harold &amp; Kumar Go to White Castle"/>
    <x v="1182"/>
    <x v="1"/>
    <x v="0"/>
    <n v="88"/>
    <n v="7.1"/>
    <n v="9000000"/>
    <n v="18225165"/>
  </r>
  <r>
    <s v="The Contender"/>
    <x v="377"/>
    <x v="2"/>
    <x v="0"/>
    <n v="126"/>
    <n v="7"/>
    <n v="20000000"/>
    <n v="17804273"/>
  </r>
  <r>
    <s v="Boiler Room"/>
    <x v="1396"/>
    <x v="6"/>
    <x v="0"/>
    <n v="120"/>
    <n v="7"/>
    <n v="8000000"/>
    <n v="16938179"/>
  </r>
  <r>
    <s v="Trading Places"/>
    <x v="455"/>
    <x v="4"/>
    <x v="0"/>
    <n v="116"/>
    <n v="7.5"/>
    <n v="20000000"/>
    <n v="90400000"/>
  </r>
  <r>
    <s v="Black Christmas"/>
    <x v="948"/>
    <x v="11"/>
    <x v="0"/>
    <n v="94"/>
    <n v="4.5"/>
    <n v="9000000"/>
    <n v="16235293"/>
  </r>
  <r>
    <s v="Breakin' All the Rules"/>
    <x v="1397"/>
    <x v="4"/>
    <x v="0"/>
    <n v="85"/>
    <n v="5.5"/>
    <n v="20000000"/>
    <n v="11827301"/>
  </r>
  <r>
    <s v="Henry V"/>
    <x v="84"/>
    <x v="0"/>
    <x v="0"/>
    <n v="137"/>
    <n v="7.7"/>
    <n v="9000000"/>
    <n v="10161099"/>
  </r>
  <r>
    <s v="The Savages"/>
    <x v="1398"/>
    <x v="4"/>
    <x v="0"/>
    <n v="114"/>
    <n v="7.2"/>
    <n v="20000000"/>
    <n v="6610326"/>
  </r>
  <r>
    <s v="Chasing Papi"/>
    <x v="1399"/>
    <x v="4"/>
    <x v="0"/>
    <n v="76"/>
    <n v="4.8"/>
    <n v="20000000"/>
    <n v="6126237"/>
  </r>
  <r>
    <s v="The Way of the Gun"/>
    <x v="88"/>
    <x v="0"/>
    <x v="0"/>
    <n v="119"/>
    <n v="6.7"/>
    <n v="8500000"/>
    <n v="6047856"/>
  </r>
  <r>
    <s v="Igby Goes Down"/>
    <x v="523"/>
    <x v="4"/>
    <x v="0"/>
    <n v="99"/>
    <n v="7"/>
    <n v="9000000"/>
    <n v="4681503"/>
  </r>
  <r>
    <s v="PCU"/>
    <x v="1400"/>
    <x v="4"/>
    <x v="0"/>
    <n v="79"/>
    <n v="6.5"/>
    <n v="8000000"/>
    <n v="4350774"/>
  </r>
  <r>
    <s v="The Ultimate Gift"/>
    <x v="942"/>
    <x v="2"/>
    <x v="0"/>
    <n v="114"/>
    <n v="7.4"/>
    <n v="20000000"/>
    <n v="3420871"/>
  </r>
  <r>
    <s v="The Ice Pirates"/>
    <x v="1401"/>
    <x v="0"/>
    <x v="0"/>
    <n v="91"/>
    <n v="5.7"/>
    <n v="9000000"/>
    <n v="25078937"/>
  </r>
  <r>
    <s v="Gracie"/>
    <x v="1175"/>
    <x v="7"/>
    <x v="0"/>
    <n v="95"/>
    <n v="6.2"/>
    <n v="9000000"/>
    <n v="2955039"/>
  </r>
  <r>
    <s v="Trust the Man"/>
    <x v="995"/>
    <x v="4"/>
    <x v="0"/>
    <n v="103"/>
    <n v="5.7"/>
    <n v="9000000"/>
    <n v="1530535"/>
  </r>
  <r>
    <s v="Hamlet 2"/>
    <x v="917"/>
    <x v="4"/>
    <x v="0"/>
    <n v="92"/>
    <n v="6.4"/>
    <n v="9000000"/>
    <n v="4881867"/>
  </r>
  <r>
    <s v="Velvet Goldmine"/>
    <x v="955"/>
    <x v="2"/>
    <x v="0"/>
    <n v="124"/>
    <n v="7"/>
    <n v="20000000"/>
    <n v="1043487"/>
  </r>
  <r>
    <s v="The Wailing"/>
    <x v="1402"/>
    <x v="8"/>
    <x v="22"/>
    <n v="156"/>
    <n v="7.7"/>
    <n v="20000000"/>
    <n v="770629"/>
  </r>
  <r>
    <s v="Glee: The 3D Concert Movie"/>
    <x v="993"/>
    <x v="9"/>
    <x v="0"/>
    <n v="84"/>
    <n v="5.4"/>
    <n v="9000000"/>
    <n v="11860839"/>
  </r>
  <r>
    <s v="The Legend of Suriyothai"/>
    <x v="1403"/>
    <x v="0"/>
    <x v="23"/>
    <n v="300"/>
    <n v="6.6"/>
    <n v="400000000"/>
    <n v="454255"/>
  </r>
  <r>
    <s v="Two Evil Eyes"/>
    <x v="1404"/>
    <x v="11"/>
    <x v="0"/>
    <n v="120"/>
    <n v="6.1"/>
    <n v="9000000"/>
    <n v="349618"/>
  </r>
  <r>
    <s v="Barbecue"/>
    <x v="1405"/>
    <x v="4"/>
    <x v="2"/>
    <n v="98"/>
    <n v="6.1"/>
    <n v="20000000"/>
    <n v="25078937"/>
  </r>
  <r>
    <s v="All or Nothing"/>
    <x v="949"/>
    <x v="2"/>
    <x v="0"/>
    <n v="121"/>
    <n v="7.6"/>
    <n v="9000000"/>
    <n v="112935"/>
  </r>
  <r>
    <s v="Princess Kaiulani"/>
    <x v="1406"/>
    <x v="2"/>
    <x v="0"/>
    <n v="97"/>
    <n v="6.2"/>
    <n v="9000000"/>
    <n v="883887"/>
  </r>
  <r>
    <s v="Opal Dream"/>
    <x v="1130"/>
    <x v="2"/>
    <x v="0"/>
    <n v="86"/>
    <n v="6.6"/>
    <n v="11400000"/>
    <n v="13751"/>
  </r>
  <r>
    <s v="Flame and Citron"/>
    <x v="1407"/>
    <x v="2"/>
    <x v="28"/>
    <n v="45"/>
    <n v="7.3"/>
    <n v="45000000"/>
    <n v="145109"/>
  </r>
  <r>
    <s v="Undiscovered"/>
    <x v="1408"/>
    <x v="4"/>
    <x v="0"/>
    <n v="97"/>
    <n v="4.2"/>
    <n v="9000000"/>
    <n v="1046166"/>
  </r>
  <r>
    <s v="Red Riding: In the Year of Our Lord 1974"/>
    <x v="1044"/>
    <x v="6"/>
    <x v="0"/>
    <n v="102"/>
    <n v="7.1"/>
    <n v="20000000"/>
    <n v="25078937"/>
  </r>
  <r>
    <s v="The Girl on the Train"/>
    <x v="1409"/>
    <x v="2"/>
    <x v="2"/>
    <n v="105"/>
    <n v="6"/>
    <n v="20000000"/>
    <n v="2874"/>
  </r>
  <r>
    <s v="Veronika Decides to Die"/>
    <x v="1410"/>
    <x v="2"/>
    <x v="0"/>
    <n v="103"/>
    <n v="6.5"/>
    <n v="9000000"/>
    <n v="25078937"/>
  </r>
  <r>
    <s v="Crocodile Dundee"/>
    <x v="1411"/>
    <x v="1"/>
    <x v="0"/>
    <n v="93"/>
    <n v="6.5"/>
    <n v="8800000"/>
    <n v="174635000"/>
  </r>
  <r>
    <s v="Ultramarines: A Warhammer 40,000 Movie"/>
    <x v="1412"/>
    <x v="0"/>
    <x v="0"/>
    <n v="76"/>
    <n v="5.7"/>
    <n v="20000000"/>
    <n v="25078937"/>
  </r>
  <r>
    <s v="The I Inside"/>
    <x v="1413"/>
    <x v="5"/>
    <x v="0"/>
    <n v="90"/>
    <n v="6.1"/>
    <n v="8800000"/>
    <n v="25078937"/>
  </r>
  <r>
    <s v="Beneath Hill 60"/>
    <x v="1414"/>
    <x v="2"/>
    <x v="0"/>
    <n v="122"/>
    <n v="7.1"/>
    <n v="9000000"/>
    <n v="25078937"/>
  </r>
  <r>
    <s v="Polisse"/>
    <x v="1415"/>
    <x v="6"/>
    <x v="2"/>
    <n v="127"/>
    <n v="7.3"/>
    <n v="20000000"/>
    <n v="171320"/>
  </r>
  <r>
    <s v="Awake"/>
    <x v="1416"/>
    <x v="6"/>
    <x v="0"/>
    <n v="84"/>
    <n v="6.5"/>
    <n v="8600000"/>
    <n v="14373825"/>
  </r>
  <r>
    <s v="Skin Trade"/>
    <x v="1417"/>
    <x v="0"/>
    <x v="0"/>
    <n v="96"/>
    <n v="5.7"/>
    <n v="9000000"/>
    <n v="162"/>
  </r>
  <r>
    <s v="The Lost Boys"/>
    <x v="130"/>
    <x v="4"/>
    <x v="0"/>
    <n v="97"/>
    <n v="7.2"/>
    <n v="20000000"/>
    <n v="32222567"/>
  </r>
  <r>
    <s v="Crazy Heart"/>
    <x v="418"/>
    <x v="2"/>
    <x v="0"/>
    <n v="112"/>
    <n v="7.3"/>
    <n v="7000000"/>
    <n v="39462438"/>
  </r>
  <r>
    <s v="The Rose"/>
    <x v="1418"/>
    <x v="2"/>
    <x v="0"/>
    <n v="125"/>
    <n v="6.9"/>
    <n v="8500000"/>
    <n v="29200000"/>
  </r>
  <r>
    <s v="Baggage Claim"/>
    <x v="1419"/>
    <x v="4"/>
    <x v="0"/>
    <n v="96"/>
    <n v="5"/>
    <n v="8500000"/>
    <n v="21564616"/>
  </r>
  <r>
    <s v="Barbarella"/>
    <x v="1420"/>
    <x v="1"/>
    <x v="0"/>
    <n v="98"/>
    <n v="5.9"/>
    <n v="9000000"/>
    <n v="25078937"/>
  </r>
  <r>
    <s v="Shipwrecked"/>
    <x v="1421"/>
    <x v="1"/>
    <x v="0"/>
    <n v="92"/>
    <n v="6.7"/>
    <n v="60000000"/>
    <n v="25078937"/>
  </r>
  <r>
    <s v="Election"/>
    <x v="685"/>
    <x v="4"/>
    <x v="0"/>
    <n v="103"/>
    <n v="7.3"/>
    <n v="8000000"/>
    <n v="14879556"/>
  </r>
  <r>
    <s v="The Namesake"/>
    <x v="867"/>
    <x v="2"/>
    <x v="0"/>
    <n v="122"/>
    <n v="7.6"/>
    <n v="20000000"/>
    <n v="13569248"/>
  </r>
  <r>
    <s v="The DUFF"/>
    <x v="1422"/>
    <x v="4"/>
    <x v="0"/>
    <n v="101"/>
    <n v="6.5"/>
    <n v="8500000"/>
    <n v="34017854"/>
  </r>
  <r>
    <s v="Glitter"/>
    <x v="1423"/>
    <x v="2"/>
    <x v="0"/>
    <n v="104"/>
    <n v="2.1"/>
    <n v="22000000"/>
    <n v="4273372"/>
  </r>
  <r>
    <s v="The Haunting in Connecticut 2: Ghosts of Georgia"/>
    <x v="1424"/>
    <x v="2"/>
    <x v="0"/>
    <n v="101"/>
    <n v="5.3"/>
    <n v="9000000"/>
    <n v="25078937"/>
  </r>
  <r>
    <s v="Silmido"/>
    <x v="1425"/>
    <x v="0"/>
    <x v="22"/>
    <n v="135"/>
    <n v="7.2"/>
    <n v="8000000"/>
    <n v="25078937"/>
  </r>
  <r>
    <s v="Bright Star"/>
    <x v="1246"/>
    <x v="7"/>
    <x v="0"/>
    <n v="119"/>
    <n v="7"/>
    <n v="8500000"/>
    <n v="4440055"/>
  </r>
  <r>
    <s v="My Name Is Khan"/>
    <x v="1288"/>
    <x v="1"/>
    <x v="7"/>
    <n v="128"/>
    <n v="8"/>
    <n v="12000000"/>
    <n v="4018695"/>
  </r>
  <r>
    <s v="All Is Lost"/>
    <x v="952"/>
    <x v="0"/>
    <x v="0"/>
    <n v="106"/>
    <n v="6.9"/>
    <n v="9000000"/>
    <n v="6262942"/>
  </r>
  <r>
    <s v="Limbo"/>
    <x v="1426"/>
    <x v="1"/>
    <x v="0"/>
    <n v="126"/>
    <n v="7.1"/>
    <n v="8000000"/>
    <n v="1997807"/>
  </r>
  <r>
    <s v="Namastey London"/>
    <x v="1427"/>
    <x v="4"/>
    <x v="7"/>
    <n v="128"/>
    <n v="7.3"/>
    <n v="20000000"/>
    <n v="1207007"/>
  </r>
  <r>
    <s v="The Wind That Shakes the Barley"/>
    <x v="1428"/>
    <x v="2"/>
    <x v="0"/>
    <n v="127"/>
    <n v="7.5"/>
    <n v="20000000"/>
    <n v="1829142"/>
  </r>
  <r>
    <s v="Yeh Jawaani Hai Deewani"/>
    <x v="1429"/>
    <x v="4"/>
    <x v="7"/>
    <n v="160"/>
    <n v="6.9"/>
    <n v="20000000"/>
    <n v="3827466"/>
  </r>
  <r>
    <s v="Quo Vadis"/>
    <x v="1430"/>
    <x v="7"/>
    <x v="0"/>
    <n v="171"/>
    <n v="7.2"/>
    <n v="7623000"/>
    <n v="25078937"/>
  </r>
  <r>
    <s v="Repo! The Genetic Opera"/>
    <x v="1298"/>
    <x v="11"/>
    <x v="0"/>
    <n v="150"/>
    <n v="6.7"/>
    <n v="8500000"/>
    <n v="140244"/>
  </r>
  <r>
    <s v="Valley of the Wolves: Iraq"/>
    <x v="1431"/>
    <x v="0"/>
    <x v="29"/>
    <n v="122"/>
    <n v="6"/>
    <n v="8300000"/>
    <n v="25078937"/>
  </r>
  <r>
    <s v="Pulp Fiction"/>
    <x v="165"/>
    <x v="6"/>
    <x v="0"/>
    <n v="178"/>
    <n v="8.9"/>
    <n v="8000000"/>
    <n v="107930000"/>
  </r>
  <r>
    <s v="The Muppet Movie"/>
    <x v="1432"/>
    <x v="1"/>
    <x v="0"/>
    <n v="95"/>
    <n v="7.7"/>
    <n v="20000000"/>
    <n v="76657000"/>
  </r>
  <r>
    <s v="Nightcrawler"/>
    <x v="1433"/>
    <x v="6"/>
    <x v="0"/>
    <n v="117"/>
    <n v="7.9"/>
    <n v="8500000"/>
    <n v="32279955"/>
  </r>
  <r>
    <s v="Club Dread"/>
    <x v="422"/>
    <x v="4"/>
    <x v="0"/>
    <n v="119"/>
    <n v="5.6"/>
    <n v="8550000"/>
    <n v="4992159"/>
  </r>
  <r>
    <s v="The Sound of Music"/>
    <x v="614"/>
    <x v="7"/>
    <x v="0"/>
    <n v="174"/>
    <n v="8"/>
    <n v="8200000"/>
    <n v="163214286"/>
  </r>
  <r>
    <s v="Splash"/>
    <x v="83"/>
    <x v="4"/>
    <x v="0"/>
    <n v="111"/>
    <n v="6.2"/>
    <n v="8000000"/>
    <n v="69800000"/>
  </r>
  <r>
    <s v="Little Miss Sunshine"/>
    <x v="1434"/>
    <x v="4"/>
    <x v="0"/>
    <n v="101"/>
    <n v="7.9"/>
    <n v="8000000"/>
    <n v="59889948"/>
  </r>
  <r>
    <s v="Stand by Me"/>
    <x v="336"/>
    <x v="1"/>
    <x v="0"/>
    <n v="89"/>
    <n v="8.1"/>
    <n v="8000000"/>
    <n v="52287414"/>
  </r>
  <r>
    <s v="28 Days Later..."/>
    <x v="460"/>
    <x v="2"/>
    <x v="0"/>
    <n v="113"/>
    <n v="7.6"/>
    <n v="8000000"/>
    <n v="45063889"/>
  </r>
  <r>
    <s v="You Got Served"/>
    <x v="1435"/>
    <x v="2"/>
    <x v="0"/>
    <n v="95"/>
    <n v="3.5"/>
    <n v="8000000"/>
    <n v="40066497"/>
  </r>
  <r>
    <s v="Escape from Alcatraz"/>
    <x v="1436"/>
    <x v="7"/>
    <x v="0"/>
    <n v="112"/>
    <n v="7.6"/>
    <n v="8000000"/>
    <n v="36500000"/>
  </r>
  <r>
    <s v="Brown Sugar"/>
    <x v="1166"/>
    <x v="4"/>
    <x v="0"/>
    <n v="109"/>
    <n v="6.5"/>
    <n v="8000000"/>
    <n v="27362712"/>
  </r>
  <r>
    <s v="A Thin Line Between Love and Hate"/>
    <x v="1437"/>
    <x v="4"/>
    <x v="0"/>
    <n v="108"/>
    <n v="5.6"/>
    <n v="8000000"/>
    <n v="34746109"/>
  </r>
  <r>
    <s v="50/50"/>
    <x v="686"/>
    <x v="4"/>
    <x v="0"/>
    <n v="100"/>
    <n v="7.7"/>
    <n v="8000000"/>
    <n v="34963967"/>
  </r>
  <r>
    <s v="Shutter"/>
    <x v="1438"/>
    <x v="11"/>
    <x v="0"/>
    <n v="90"/>
    <n v="5.2"/>
    <n v="8000000"/>
    <n v="25926543"/>
  </r>
  <r>
    <s v="That Awkward Moment"/>
    <x v="1439"/>
    <x v="4"/>
    <x v="0"/>
    <n v="94"/>
    <n v="6.1"/>
    <n v="8000000"/>
    <n v="26049082"/>
  </r>
  <r>
    <s v="Modern Problems"/>
    <x v="1440"/>
    <x v="4"/>
    <x v="0"/>
    <n v="93"/>
    <n v="5"/>
    <n v="8000000"/>
    <n v="25078937"/>
  </r>
  <r>
    <s v="Kicks"/>
    <x v="1441"/>
    <x v="1"/>
    <x v="0"/>
    <n v="80"/>
    <n v="7.8"/>
    <n v="20000000"/>
    <n v="25078937"/>
  </r>
  <r>
    <s v="Much Ado About Nothing"/>
    <x v="84"/>
    <x v="4"/>
    <x v="0"/>
    <n v="111"/>
    <n v="7.4"/>
    <n v="8000000"/>
    <n v="22551000"/>
  </r>
  <r>
    <s v="On Her Majesty's Secret Service"/>
    <x v="1442"/>
    <x v="0"/>
    <x v="0"/>
    <n v="142"/>
    <n v="6.8"/>
    <n v="7000000"/>
    <n v="22800000"/>
  </r>
  <r>
    <s v="New Nightmare"/>
    <x v="544"/>
    <x v="8"/>
    <x v="0"/>
    <n v="107"/>
    <n v="6.4"/>
    <n v="8000000"/>
    <n v="18090181"/>
  </r>
  <r>
    <s v="Drive Me Crazy"/>
    <x v="507"/>
    <x v="4"/>
    <x v="0"/>
    <n v="91"/>
    <n v="5.7"/>
    <n v="8000000"/>
    <n v="17843379"/>
  </r>
  <r>
    <s v="Akeelah and the Bee"/>
    <x v="1443"/>
    <x v="2"/>
    <x v="0"/>
    <n v="112"/>
    <n v="7.5"/>
    <n v="20000000"/>
    <n v="18811135"/>
  </r>
  <r>
    <s v="Half Baked"/>
    <x v="1226"/>
    <x v="4"/>
    <x v="0"/>
    <n v="82"/>
    <n v="6.7"/>
    <n v="8000000"/>
    <n v="17278980"/>
  </r>
  <r>
    <s v="New in Town"/>
    <x v="1444"/>
    <x v="4"/>
    <x v="0"/>
    <n v="97"/>
    <n v="5.6"/>
    <n v="8000000"/>
    <n v="16699684"/>
  </r>
  <r>
    <s v="American Psycho"/>
    <x v="1445"/>
    <x v="6"/>
    <x v="0"/>
    <n v="102"/>
    <n v="7.6"/>
    <n v="7000000"/>
    <n v="15047419"/>
  </r>
  <r>
    <s v="The Good Girl"/>
    <x v="755"/>
    <x v="2"/>
    <x v="0"/>
    <n v="93"/>
    <n v="6.5"/>
    <n v="5000000"/>
    <n v="14015786"/>
  </r>
  <r>
    <s v="Bon Cop Bad Cop"/>
    <x v="1446"/>
    <x v="0"/>
    <x v="0"/>
    <n v="116"/>
    <n v="7"/>
    <n v="8000000"/>
    <n v="25078937"/>
  </r>
  <r>
    <s v="The Boondock Saints II: All Saints Day"/>
    <x v="1447"/>
    <x v="0"/>
    <x v="0"/>
    <n v="138"/>
    <n v="6.3"/>
    <n v="8000000"/>
    <n v="10269307"/>
  </r>
  <r>
    <s v="The City of Your Final Destination"/>
    <x v="1067"/>
    <x v="2"/>
    <x v="0"/>
    <n v="117"/>
    <n v="6.4"/>
    <n v="8300000"/>
    <n v="25078937"/>
  </r>
  <r>
    <s v="Enough Said"/>
    <x v="1448"/>
    <x v="4"/>
    <x v="0"/>
    <n v="93"/>
    <n v="7.1"/>
    <n v="8000000"/>
    <n v="17536788"/>
  </r>
  <r>
    <s v="Easy A"/>
    <x v="325"/>
    <x v="4"/>
    <x v="0"/>
    <n v="92"/>
    <n v="7.1"/>
    <n v="8000000"/>
    <n v="58401464"/>
  </r>
  <r>
    <s v="The Inkwell"/>
    <x v="1449"/>
    <x v="4"/>
    <x v="0"/>
    <n v="110"/>
    <n v="6.5"/>
    <n v="20000000"/>
    <n v="8880705"/>
  </r>
  <r>
    <s v="Shadow of the Vampire"/>
    <x v="772"/>
    <x v="2"/>
    <x v="0"/>
    <n v="92"/>
    <n v="6.9"/>
    <n v="8000000"/>
    <n v="8279017"/>
  </r>
  <r>
    <s v="Prom"/>
    <x v="1045"/>
    <x v="4"/>
    <x v="0"/>
    <n v="104"/>
    <n v="5.4"/>
    <n v="8000000"/>
    <n v="10106233"/>
  </r>
  <r>
    <s v="The Pallbearer"/>
    <x v="56"/>
    <x v="4"/>
    <x v="0"/>
    <n v="98"/>
    <n v="4.9000000000000004"/>
    <n v="8000000"/>
    <n v="25078937"/>
  </r>
  <r>
    <s v="Held Up"/>
    <x v="928"/>
    <x v="4"/>
    <x v="0"/>
    <n v="89"/>
    <n v="5.0999999999999996"/>
    <n v="8000000"/>
    <n v="4692814"/>
  </r>
  <r>
    <s v="Woman on Top"/>
    <x v="1450"/>
    <x v="4"/>
    <x v="0"/>
    <n v="92"/>
    <n v="5.3"/>
    <n v="8000000"/>
    <n v="5018450"/>
  </r>
  <r>
    <s v="Howards End"/>
    <x v="1067"/>
    <x v="2"/>
    <x v="0"/>
    <n v="140"/>
    <n v="7.5"/>
    <n v="20000000"/>
    <n v="25967000"/>
  </r>
  <r>
    <s v="Anomalisa"/>
    <x v="1451"/>
    <x v="3"/>
    <x v="0"/>
    <n v="90"/>
    <n v="7.3"/>
    <n v="8000000"/>
    <n v="3442820"/>
  </r>
  <r>
    <s v="Another Year"/>
    <x v="949"/>
    <x v="4"/>
    <x v="0"/>
    <n v="129"/>
    <n v="7.3"/>
    <n v="10000000"/>
    <n v="3205244"/>
  </r>
  <r>
    <s v="8 Women"/>
    <x v="1452"/>
    <x v="4"/>
    <x v="2"/>
    <n v="111"/>
    <n v="7.1"/>
    <n v="8000000"/>
    <n v="3076425"/>
  </r>
  <r>
    <s v="Showdown in Little Tokyo"/>
    <x v="1109"/>
    <x v="0"/>
    <x v="0"/>
    <n v="79"/>
    <n v="6"/>
    <n v="8000000"/>
    <n v="2275557"/>
  </r>
  <r>
    <s v="Clay Pigeons"/>
    <x v="424"/>
    <x v="4"/>
    <x v="0"/>
    <n v="104"/>
    <n v="6.6"/>
    <n v="8000000"/>
    <n v="1789892"/>
  </r>
  <r>
    <s v="It's Kind of a Funny Story"/>
    <x v="1453"/>
    <x v="4"/>
    <x v="0"/>
    <n v="101"/>
    <n v="7.2"/>
    <n v="8000000"/>
    <n v="6350058"/>
  </r>
  <r>
    <s v="Made in Dagenham"/>
    <x v="810"/>
    <x v="7"/>
    <x v="0"/>
    <n v="113"/>
    <n v="7.2"/>
    <n v="7200000"/>
    <n v="1094798"/>
  </r>
  <r>
    <s v="When Did You Last See Your Father?"/>
    <x v="977"/>
    <x v="7"/>
    <x v="0"/>
    <n v="92"/>
    <n v="6.9"/>
    <n v="8000000"/>
    <n v="1071240"/>
  </r>
  <r>
    <s v="Prefontaine"/>
    <x v="1454"/>
    <x v="7"/>
    <x v="0"/>
    <n v="106"/>
    <n v="6.8"/>
    <n v="8000000"/>
    <n v="532190"/>
  </r>
  <r>
    <s v="The Wicked Lady"/>
    <x v="1455"/>
    <x v="1"/>
    <x v="0"/>
    <n v="98"/>
    <n v="4"/>
    <n v="8000000"/>
    <n v="25078937"/>
  </r>
  <r>
    <s v="The Secret of Kells"/>
    <x v="1456"/>
    <x v="1"/>
    <x v="0"/>
    <n v="75"/>
    <n v="7.7"/>
    <n v="6500000"/>
    <n v="686383"/>
  </r>
  <r>
    <s v="Begin Again"/>
    <x v="1457"/>
    <x v="2"/>
    <x v="0"/>
    <n v="104"/>
    <n v="7.4"/>
    <n v="8000000"/>
    <n v="16168741"/>
  </r>
  <r>
    <s v="Down in the Valley"/>
    <x v="1458"/>
    <x v="2"/>
    <x v="0"/>
    <n v="108"/>
    <n v="6.5"/>
    <n v="8000000"/>
    <n v="568695"/>
  </r>
  <r>
    <s v="Brooklyn Rules"/>
    <x v="1459"/>
    <x v="6"/>
    <x v="0"/>
    <n v="99"/>
    <n v="6.4"/>
    <n v="8000000"/>
    <n v="398420"/>
  </r>
  <r>
    <s v="Restless"/>
    <x v="1460"/>
    <x v="2"/>
    <x v="0"/>
    <n v="180"/>
    <n v="7.2"/>
    <n v="20000000"/>
    <n v="25078937"/>
  </r>
  <r>
    <s v="The Singing Detective"/>
    <x v="1461"/>
    <x v="4"/>
    <x v="0"/>
    <n v="109"/>
    <n v="5.6"/>
    <n v="8000000"/>
    <n v="336456"/>
  </r>
  <r>
    <s v="The Land Girls"/>
    <x v="599"/>
    <x v="2"/>
    <x v="0"/>
    <n v="111"/>
    <n v="6.3"/>
    <n v="20000000"/>
    <n v="146083"/>
  </r>
  <r>
    <s v="Fido"/>
    <x v="1462"/>
    <x v="4"/>
    <x v="0"/>
    <n v="93"/>
    <n v="6.8"/>
    <n v="8000000"/>
    <n v="298110"/>
  </r>
  <r>
    <s v="The Wendell Baker Story"/>
    <x v="1463"/>
    <x v="4"/>
    <x v="0"/>
    <n v="99"/>
    <n v="5.5"/>
    <n v="8000000"/>
    <n v="127144"/>
  </r>
  <r>
    <s v="Wild Target"/>
    <x v="588"/>
    <x v="0"/>
    <x v="0"/>
    <n v="98"/>
    <n v="6.9"/>
    <n v="8000000"/>
    <n v="117190"/>
  </r>
  <r>
    <s v="Pathology"/>
    <x v="1464"/>
    <x v="6"/>
    <x v="0"/>
    <n v="95"/>
    <n v="6"/>
    <n v="8000000"/>
    <n v="108662"/>
  </r>
  <r>
    <s v="10th &amp; Wolf"/>
    <x v="1465"/>
    <x v="6"/>
    <x v="0"/>
    <n v="107"/>
    <n v="6.4"/>
    <n v="8000000"/>
    <n v="53481"/>
  </r>
  <r>
    <s v="Dear Wendy"/>
    <x v="1466"/>
    <x v="4"/>
    <x v="0"/>
    <n v="102"/>
    <n v="6.6"/>
    <n v="50000000"/>
    <n v="23106"/>
  </r>
  <r>
    <s v="Aloft"/>
    <x v="1467"/>
    <x v="2"/>
    <x v="0"/>
    <n v="97"/>
    <n v="5.3"/>
    <n v="8000000"/>
    <n v="52961"/>
  </r>
  <r>
    <s v="Akira"/>
    <x v="961"/>
    <x v="0"/>
    <x v="1"/>
    <n v="124"/>
    <n v="8.1"/>
    <n v="1100000000"/>
    <n v="439162"/>
  </r>
  <r>
    <s v="The Death and Life of Bobby Z"/>
    <x v="531"/>
    <x v="0"/>
    <x v="0"/>
    <n v="97"/>
    <n v="5.9"/>
    <n v="22000000"/>
    <n v="25078937"/>
  </r>
  <r>
    <s v="The Rocket: The Legend of Rocket Richard"/>
    <x v="1468"/>
    <x v="7"/>
    <x v="2"/>
    <n v="124"/>
    <n v="7.7"/>
    <n v="8000000"/>
    <n v="25078937"/>
  </r>
  <r>
    <s v="Swelter"/>
    <x v="1469"/>
    <x v="0"/>
    <x v="0"/>
    <n v="96"/>
    <n v="4.5999999999999996"/>
    <n v="8000000"/>
    <n v="25078937"/>
  </r>
  <r>
    <s v="My Lucky Star"/>
    <x v="571"/>
    <x v="0"/>
    <x v="19"/>
    <n v="114"/>
    <n v="5.0999999999999996"/>
    <n v="20000000"/>
    <n v="50000"/>
  </r>
  <r>
    <s v="Imagine Me &amp; You"/>
    <x v="1470"/>
    <x v="4"/>
    <x v="0"/>
    <n v="90"/>
    <n v="6.9"/>
    <n v="7900000"/>
    <n v="671240"/>
  </r>
  <r>
    <s v="Mr. Church"/>
    <x v="541"/>
    <x v="2"/>
    <x v="0"/>
    <n v="104"/>
    <n v="8"/>
    <n v="8000000"/>
    <n v="25078937"/>
  </r>
  <r>
    <s v="Swimming Pool"/>
    <x v="1452"/>
    <x v="6"/>
    <x v="0"/>
    <n v="102"/>
    <n v="6.8"/>
    <n v="20000000"/>
    <n v="10105505"/>
  </r>
  <r>
    <s v="Green Street 3: Never Back Down"/>
    <x v="1471"/>
    <x v="0"/>
    <x v="0"/>
    <n v="93"/>
    <n v="5.4"/>
    <n v="20000000"/>
    <n v="25078937"/>
  </r>
  <r>
    <s v="The Blood of Heroes"/>
    <x v="1472"/>
    <x v="0"/>
    <x v="0"/>
    <n v="90"/>
    <n v="6.5"/>
    <n v="10000000"/>
    <n v="882290"/>
  </r>
  <r>
    <s v="Code of Honor"/>
    <x v="1473"/>
    <x v="0"/>
    <x v="0"/>
    <n v="106"/>
    <n v="4.2"/>
    <n v="8000000"/>
    <n v="25078937"/>
  </r>
  <r>
    <s v="Driving Miss Daisy"/>
    <x v="541"/>
    <x v="4"/>
    <x v="0"/>
    <n v="99"/>
    <n v="7.4"/>
    <n v="7500000"/>
    <n v="106593296"/>
  </r>
  <r>
    <s v="Soul Food"/>
    <x v="652"/>
    <x v="4"/>
    <x v="0"/>
    <n v="115"/>
    <n v="6.9"/>
    <n v="7500000"/>
    <n v="43490057"/>
  </r>
  <r>
    <s v="Rumble in the Bronx"/>
    <x v="1474"/>
    <x v="0"/>
    <x v="12"/>
    <n v="89"/>
    <n v="6.7"/>
    <n v="7500000"/>
    <n v="32333860"/>
  </r>
  <r>
    <s v="Far from Men"/>
    <x v="1475"/>
    <x v="2"/>
    <x v="2"/>
    <n v="101"/>
    <n v="7.3"/>
    <n v="7700000"/>
    <n v="25078937"/>
  </r>
  <r>
    <s v="Thank You for Smoking"/>
    <x v="684"/>
    <x v="4"/>
    <x v="0"/>
    <n v="92"/>
    <n v="7.6"/>
    <n v="6500000"/>
    <n v="24792061"/>
  </r>
  <r>
    <s v="Hostel: Part II"/>
    <x v="1476"/>
    <x v="11"/>
    <x v="0"/>
    <n v="94"/>
    <n v="5.4"/>
    <n v="10000000"/>
    <n v="17544812"/>
  </r>
  <r>
    <s v="An Education"/>
    <x v="1115"/>
    <x v="2"/>
    <x v="0"/>
    <n v="100"/>
    <n v="7.3"/>
    <n v="4500000"/>
    <n v="12574715"/>
  </r>
  <r>
    <s v="Shopgirl"/>
    <x v="977"/>
    <x v="2"/>
    <x v="0"/>
    <n v="106"/>
    <n v="6.4"/>
    <n v="20000000"/>
    <n v="10281585"/>
  </r>
  <r>
    <s v="The Hotel New Hampshire"/>
    <x v="1477"/>
    <x v="4"/>
    <x v="0"/>
    <n v="109"/>
    <n v="6"/>
    <n v="7500000"/>
    <n v="5100000"/>
  </r>
  <r>
    <s v="Narc"/>
    <x v="791"/>
    <x v="6"/>
    <x v="0"/>
    <n v="105"/>
    <n v="7.2"/>
    <n v="7500000"/>
    <n v="10460089"/>
  </r>
  <r>
    <s v="Men with Brooms"/>
    <x v="953"/>
    <x v="4"/>
    <x v="0"/>
    <n v="102"/>
    <n v="6"/>
    <n v="7500000"/>
    <n v="4239767"/>
  </r>
  <r>
    <s v="Witless Protection"/>
    <x v="1478"/>
    <x v="4"/>
    <x v="0"/>
    <n v="97"/>
    <n v="3.1"/>
    <n v="7500000"/>
    <n v="4131640"/>
  </r>
  <r>
    <s v="The Work and the Glory"/>
    <x v="1479"/>
    <x v="2"/>
    <x v="0"/>
    <n v="118"/>
    <n v="6.9"/>
    <n v="7500000"/>
    <n v="3347439"/>
  </r>
  <r>
    <s v="Extract"/>
    <x v="1225"/>
    <x v="4"/>
    <x v="0"/>
    <n v="92"/>
    <n v="6.2"/>
    <n v="8000000"/>
    <n v="10814185"/>
  </r>
  <r>
    <s v="Masked and Anonymous"/>
    <x v="323"/>
    <x v="4"/>
    <x v="0"/>
    <n v="112"/>
    <n v="5.5"/>
    <n v="20000000"/>
    <n v="533344"/>
  </r>
  <r>
    <s v="Alias Betty"/>
    <x v="1480"/>
    <x v="4"/>
    <x v="2"/>
    <n v="103"/>
    <n v="6.9"/>
    <n v="50000000"/>
    <n v="206400"/>
  </r>
  <r>
    <s v="Code 46"/>
    <x v="785"/>
    <x v="2"/>
    <x v="0"/>
    <n v="93"/>
    <n v="6.3"/>
    <n v="7500000"/>
    <n v="197148"/>
  </r>
  <r>
    <s v="Outside Bet"/>
    <x v="1481"/>
    <x v="4"/>
    <x v="0"/>
    <n v="101"/>
    <n v="4.8"/>
    <n v="7500000"/>
    <n v="25078937"/>
  </r>
  <r>
    <s v="Albert Nobbs"/>
    <x v="1482"/>
    <x v="2"/>
    <x v="0"/>
    <n v="113"/>
    <n v="6.7"/>
    <n v="8000000"/>
    <n v="3014541"/>
  </r>
  <r>
    <s v="Black November"/>
    <x v="1483"/>
    <x v="0"/>
    <x v="0"/>
    <n v="95"/>
    <n v="5.6"/>
    <n v="7500000"/>
    <n v="25078937"/>
  </r>
  <r>
    <s v="Ta Ra Rum Pum"/>
    <x v="1484"/>
    <x v="4"/>
    <x v="7"/>
    <n v="153"/>
    <n v="5.4"/>
    <n v="6000000"/>
    <n v="872643"/>
  </r>
  <r>
    <s v="Persepolis"/>
    <x v="1485"/>
    <x v="3"/>
    <x v="2"/>
    <n v="89"/>
    <n v="8"/>
    <n v="7300000"/>
    <n v="4443403"/>
  </r>
  <r>
    <s v="The Hole"/>
    <x v="255"/>
    <x v="1"/>
    <x v="0"/>
    <n v="92"/>
    <n v="5.7"/>
    <n v="12000000"/>
    <n v="25078937"/>
  </r>
  <r>
    <s v="The Wave"/>
    <x v="1486"/>
    <x v="2"/>
    <x v="13"/>
    <n v="107"/>
    <n v="7.6"/>
    <n v="5000000"/>
    <n v="25078937"/>
  </r>
  <r>
    <s v="The Neon Demon"/>
    <x v="1094"/>
    <x v="11"/>
    <x v="0"/>
    <n v="118"/>
    <n v="7"/>
    <n v="7000000"/>
    <n v="1330827"/>
  </r>
  <r>
    <s v="Harry Brown"/>
    <x v="1487"/>
    <x v="0"/>
    <x v="0"/>
    <n v="97"/>
    <n v="7.2"/>
    <n v="7300000"/>
    <n v="1818681"/>
  </r>
  <r>
    <s v="The Omega Code"/>
    <x v="1488"/>
    <x v="0"/>
    <x v="0"/>
    <n v="100"/>
    <n v="3.5"/>
    <n v="7500000"/>
    <n v="12610552"/>
  </r>
  <r>
    <s v="Juno"/>
    <x v="684"/>
    <x v="4"/>
    <x v="0"/>
    <n v="96"/>
    <n v="7.5"/>
    <n v="7500000"/>
    <n v="143492840"/>
  </r>
  <r>
    <s v="Pound of Flesh"/>
    <x v="1489"/>
    <x v="0"/>
    <x v="0"/>
    <n v="104"/>
    <n v="5.0999999999999996"/>
    <n v="7500000"/>
    <n v="25078937"/>
  </r>
  <r>
    <s v="Diamonds Are Forever"/>
    <x v="1490"/>
    <x v="0"/>
    <x v="0"/>
    <n v="120"/>
    <n v="6.7"/>
    <n v="7200000"/>
    <n v="43800000"/>
  </r>
  <r>
    <s v="The Godfather"/>
    <x v="416"/>
    <x v="6"/>
    <x v="0"/>
    <n v="175"/>
    <n v="9.1999999999999993"/>
    <n v="6000000"/>
    <n v="134821952"/>
  </r>
  <r>
    <s v="Flashdance"/>
    <x v="447"/>
    <x v="2"/>
    <x v="0"/>
    <n v="95"/>
    <n v="6.1"/>
    <n v="4000000"/>
    <n v="94900000"/>
  </r>
  <r>
    <s v="500 Days of Summer"/>
    <x v="16"/>
    <x v="4"/>
    <x v="0"/>
    <n v="95"/>
    <n v="7.7"/>
    <n v="7500000"/>
    <n v="32391374"/>
  </r>
  <r>
    <s v="The Piano"/>
    <x v="1246"/>
    <x v="2"/>
    <x v="0"/>
    <n v="121"/>
    <n v="7.6"/>
    <n v="7000000"/>
    <n v="40158000"/>
  </r>
  <r>
    <s v="Magic Mike"/>
    <x v="148"/>
    <x v="4"/>
    <x v="0"/>
    <n v="110"/>
    <n v="6.1"/>
    <n v="7000000"/>
    <n v="113709992"/>
  </r>
  <r>
    <s v="Darkness Falls"/>
    <x v="87"/>
    <x v="11"/>
    <x v="0"/>
    <n v="96"/>
    <n v="4.9000000000000004"/>
    <n v="11000000"/>
    <n v="32131483"/>
  </r>
  <r>
    <s v="Live and Let Die"/>
    <x v="1490"/>
    <x v="0"/>
    <x v="0"/>
    <n v="121"/>
    <n v="6.8"/>
    <n v="7000000"/>
    <n v="35400000"/>
  </r>
  <r>
    <s v="My Dog Skip"/>
    <x v="348"/>
    <x v="2"/>
    <x v="0"/>
    <n v="95"/>
    <n v="7"/>
    <n v="5000000"/>
    <n v="34099640"/>
  </r>
  <r>
    <s v="Definitely, Maybe"/>
    <x v="1491"/>
    <x v="4"/>
    <x v="0"/>
    <n v="112"/>
    <n v="7.2"/>
    <n v="20000000"/>
    <n v="31973840"/>
  </r>
  <r>
    <s v="Jumping the Broom"/>
    <x v="1311"/>
    <x v="4"/>
    <x v="0"/>
    <n v="112"/>
    <n v="5.7"/>
    <n v="6600000"/>
    <n v="37295394"/>
  </r>
  <r>
    <s v="Good Night, and Good Luck."/>
    <x v="295"/>
    <x v="7"/>
    <x v="0"/>
    <n v="93"/>
    <n v="7.5"/>
    <n v="7500000"/>
    <n v="31501218"/>
  </r>
  <r>
    <s v="Capote"/>
    <x v="439"/>
    <x v="7"/>
    <x v="0"/>
    <n v="110"/>
    <n v="7.4"/>
    <n v="7000000"/>
    <n v="28747570"/>
  </r>
  <r>
    <s v="Desperado"/>
    <x v="419"/>
    <x v="0"/>
    <x v="0"/>
    <n v="104"/>
    <n v="7.2"/>
    <n v="7000000"/>
    <n v="25625110"/>
  </r>
  <r>
    <s v="Logan's Run"/>
    <x v="1492"/>
    <x v="0"/>
    <x v="0"/>
    <n v="119"/>
    <n v="6.8"/>
    <n v="9000000"/>
    <n v="25000000"/>
  </r>
  <r>
    <s v="The Man with the Golden Gun"/>
    <x v="1490"/>
    <x v="0"/>
    <x v="0"/>
    <n v="125"/>
    <n v="6.8"/>
    <n v="13000000"/>
    <n v="21000000"/>
  </r>
  <r>
    <s v="Action Jackson"/>
    <x v="831"/>
    <x v="0"/>
    <x v="0"/>
    <n v="96"/>
    <n v="5.2"/>
    <n v="7000000"/>
    <n v="20257000"/>
  </r>
  <r>
    <s v="The Descent"/>
    <x v="663"/>
    <x v="1"/>
    <x v="0"/>
    <n v="100"/>
    <n v="7.2"/>
    <n v="3500000"/>
    <n v="26005908"/>
  </r>
  <r>
    <s v="Michael Jordan to the Max"/>
    <x v="1493"/>
    <x v="9"/>
    <x v="0"/>
    <n v="46"/>
    <n v="7.5"/>
    <n v="20000000"/>
    <n v="18642318"/>
  </r>
  <r>
    <s v="Devil's Due"/>
    <x v="1494"/>
    <x v="11"/>
    <x v="0"/>
    <n v="89"/>
    <n v="4"/>
    <n v="7000000"/>
    <n v="15818967"/>
  </r>
  <r>
    <s v="Flirting with Disaster"/>
    <x v="359"/>
    <x v="4"/>
    <x v="0"/>
    <n v="92"/>
    <n v="6.8"/>
    <n v="7000000"/>
    <n v="14891000"/>
  </r>
  <r>
    <s v="The Devil's Rejects"/>
    <x v="1090"/>
    <x v="6"/>
    <x v="0"/>
    <n v="109"/>
    <n v="6.9"/>
    <n v="7000000"/>
    <n v="16901126"/>
  </r>
  <r>
    <s v="Dope"/>
    <x v="1166"/>
    <x v="4"/>
    <x v="0"/>
    <n v="103"/>
    <n v="7.3"/>
    <n v="7000000"/>
    <n v="17474107"/>
  </r>
  <r>
    <s v="In Too Deep"/>
    <x v="627"/>
    <x v="6"/>
    <x v="0"/>
    <n v="95"/>
    <n v="6.1"/>
    <n v="7000000"/>
    <n v="14003141"/>
  </r>
  <r>
    <s v="House of 1000 Corpses"/>
    <x v="1090"/>
    <x v="11"/>
    <x v="0"/>
    <n v="105"/>
    <n v="6"/>
    <n v="7000000"/>
    <n v="12583510"/>
  </r>
  <r>
    <s v="Alien Zone"/>
    <x v="1495"/>
    <x v="11"/>
    <x v="0"/>
    <n v="79"/>
    <n v="4.0999999999999996"/>
    <n v="350000"/>
    <n v="25078937"/>
  </r>
  <r>
    <s v="A Serious Man"/>
    <x v="603"/>
    <x v="4"/>
    <x v="0"/>
    <n v="106"/>
    <n v="7"/>
    <n v="7000000"/>
    <n v="9190525"/>
  </r>
  <r>
    <s v="Get Low"/>
    <x v="1496"/>
    <x v="2"/>
    <x v="0"/>
    <n v="100"/>
    <n v="7.1"/>
    <n v="7500000"/>
    <n v="9176553"/>
  </r>
  <r>
    <s v="Warlock"/>
    <x v="597"/>
    <x v="0"/>
    <x v="0"/>
    <n v="103"/>
    <n v="6.2"/>
    <n v="7000000"/>
    <n v="9094451"/>
  </r>
  <r>
    <s v="Beyond the Lights"/>
    <x v="1097"/>
    <x v="2"/>
    <x v="0"/>
    <n v="116"/>
    <n v="6.9"/>
    <n v="7000000"/>
    <n v="14612840"/>
  </r>
  <r>
    <s v="A Single Man"/>
    <x v="1497"/>
    <x v="2"/>
    <x v="0"/>
    <n v="99"/>
    <n v="7.6"/>
    <n v="7000000"/>
    <n v="9166863"/>
  </r>
  <r>
    <s v="The Last Temptation of Christ"/>
    <x v="47"/>
    <x v="2"/>
    <x v="0"/>
    <n v="164"/>
    <n v="7.6"/>
    <n v="7000000"/>
    <n v="8373585"/>
  </r>
  <r>
    <s v="Outside Providence"/>
    <x v="1459"/>
    <x v="4"/>
    <x v="0"/>
    <n v="96"/>
    <n v="6.4"/>
    <n v="7000000"/>
    <n v="7292175"/>
  </r>
  <r>
    <s v="Bride &amp; Prejudice"/>
    <x v="1377"/>
    <x v="4"/>
    <x v="0"/>
    <n v="122"/>
    <n v="6.2"/>
    <n v="7000000"/>
    <n v="6601079"/>
  </r>
  <r>
    <s v="Rabbit-Proof Fence"/>
    <x v="118"/>
    <x v="1"/>
    <x v="4"/>
    <n v="94"/>
    <n v="7.5"/>
    <n v="6000000"/>
    <n v="6165429"/>
  </r>
  <r>
    <s v="Who's Your Caddy?"/>
    <x v="817"/>
    <x v="4"/>
    <x v="0"/>
    <n v="93"/>
    <n v="2"/>
    <n v="7000000"/>
    <n v="5694308"/>
  </r>
  <r>
    <s v="Split Second"/>
    <x v="1498"/>
    <x v="0"/>
    <x v="0"/>
    <n v="96"/>
    <n v="6.2"/>
    <n v="7000000"/>
    <n v="5430822"/>
  </r>
  <r>
    <s v="The Other Side of Heaven"/>
    <x v="1499"/>
    <x v="1"/>
    <x v="0"/>
    <n v="113"/>
    <n v="6.5"/>
    <n v="7000000"/>
    <n v="4720371"/>
  </r>
  <r>
    <s v="Veer-Zaara"/>
    <x v="1392"/>
    <x v="2"/>
    <x v="7"/>
    <n v="192"/>
    <n v="7.9"/>
    <n v="7000000"/>
    <n v="2921738"/>
  </r>
  <r>
    <s v="Redbelt"/>
    <x v="182"/>
    <x v="2"/>
    <x v="0"/>
    <n v="99"/>
    <n v="6.8"/>
    <n v="7000000"/>
    <n v="2344847"/>
  </r>
  <r>
    <s v="Cyrus"/>
    <x v="1338"/>
    <x v="4"/>
    <x v="0"/>
    <n v="91"/>
    <n v="6.3"/>
    <n v="7000000"/>
    <n v="7455447"/>
  </r>
  <r>
    <s v="A Dog of Flanders"/>
    <x v="1500"/>
    <x v="2"/>
    <x v="0"/>
    <n v="100"/>
    <n v="6.3"/>
    <n v="7000000"/>
    <n v="2148212"/>
  </r>
  <r>
    <s v="Auto Focus"/>
    <x v="1213"/>
    <x v="7"/>
    <x v="0"/>
    <n v="105"/>
    <n v="6.6"/>
    <n v="7000000"/>
    <n v="2062066"/>
  </r>
  <r>
    <s v="Factory Girl"/>
    <x v="1219"/>
    <x v="7"/>
    <x v="0"/>
    <n v="99"/>
    <n v="6.4"/>
    <n v="7000000"/>
    <n v="1654367"/>
  </r>
  <r>
    <s v="We Need to Talk About Kevin"/>
    <x v="1501"/>
    <x v="2"/>
    <x v="0"/>
    <n v="112"/>
    <n v="7.5"/>
    <n v="7000000"/>
    <n v="1738692"/>
  </r>
  <r>
    <s v="The Christmas Candle"/>
    <x v="1502"/>
    <x v="2"/>
    <x v="0"/>
    <n v="100"/>
    <n v="5.8"/>
    <n v="20000000"/>
    <n v="2209479"/>
  </r>
  <r>
    <s v="The Mighty Macs"/>
    <x v="1503"/>
    <x v="2"/>
    <x v="0"/>
    <n v="99"/>
    <n v="6.5"/>
    <n v="7000000"/>
    <n v="1889522"/>
  </r>
  <r>
    <s v="Losin' It"/>
    <x v="420"/>
    <x v="4"/>
    <x v="0"/>
    <n v="100"/>
    <n v="4.8"/>
    <n v="7000000"/>
    <n v="25078937"/>
  </r>
  <r>
    <s v="Mother and Child"/>
    <x v="1482"/>
    <x v="2"/>
    <x v="0"/>
    <n v="125"/>
    <n v="7.2"/>
    <n v="4825000"/>
    <n v="1110286"/>
  </r>
  <r>
    <s v="March or Die"/>
    <x v="1504"/>
    <x v="1"/>
    <x v="0"/>
    <n v="107"/>
    <n v="6.3"/>
    <n v="9000000"/>
    <n v="1000000"/>
  </r>
  <r>
    <s v="Les visiteurs"/>
    <x v="579"/>
    <x v="4"/>
    <x v="2"/>
    <n v="107"/>
    <n v="7"/>
    <n v="50000000"/>
    <n v="700000"/>
  </r>
  <r>
    <s v="Somewhere"/>
    <x v="567"/>
    <x v="4"/>
    <x v="0"/>
    <n v="97"/>
    <n v="6.3"/>
    <n v="7000000"/>
    <n v="1768416"/>
  </r>
  <r>
    <s v="I Hope They Serve Beer in Hell"/>
    <x v="1505"/>
    <x v="4"/>
    <x v="0"/>
    <n v="105"/>
    <n v="5.3"/>
    <n v="20000000"/>
    <n v="1425993"/>
  </r>
  <r>
    <s v="Chairman of the Board"/>
    <x v="1506"/>
    <x v="4"/>
    <x v="0"/>
    <n v="95"/>
    <n v="2.2999999999999998"/>
    <n v="10000000"/>
    <n v="306715"/>
  </r>
  <r>
    <s v="Hesher"/>
    <x v="1507"/>
    <x v="2"/>
    <x v="0"/>
    <n v="106"/>
    <n v="7.1"/>
    <n v="7000000"/>
    <n v="382946"/>
  </r>
  <r>
    <s v="Dom Hemingway"/>
    <x v="582"/>
    <x v="4"/>
    <x v="0"/>
    <n v="93"/>
    <n v="6.2"/>
    <n v="20000000"/>
    <n v="518134"/>
  </r>
  <r>
    <s v="Gerry"/>
    <x v="521"/>
    <x v="1"/>
    <x v="0"/>
    <n v="103"/>
    <n v="6.2"/>
    <n v="3500000"/>
    <n v="236266"/>
  </r>
  <r>
    <s v="The Heart of Me"/>
    <x v="1508"/>
    <x v="2"/>
    <x v="0"/>
    <n v="96"/>
    <n v="6.7"/>
    <n v="7000000"/>
    <n v="196067"/>
  </r>
  <r>
    <s v="Freeheld"/>
    <x v="1306"/>
    <x v="7"/>
    <x v="0"/>
    <n v="103"/>
    <n v="6.5"/>
    <n v="7000000"/>
    <n v="532988"/>
  </r>
  <r>
    <s v="The Extra Man"/>
    <x v="1509"/>
    <x v="4"/>
    <x v="0"/>
    <n v="108"/>
    <n v="5.9"/>
    <n v="7000000"/>
    <n v="453079"/>
  </r>
  <r>
    <s v="Hard to Be a God"/>
    <x v="1510"/>
    <x v="2"/>
    <x v="8"/>
    <n v="177"/>
    <n v="6.7"/>
    <n v="7000000"/>
    <n v="25078937"/>
  </r>
  <r>
    <s v="Ca$h"/>
    <x v="1511"/>
    <x v="4"/>
    <x v="0"/>
    <n v="118"/>
    <n v="6"/>
    <n v="7000000"/>
    <n v="46451"/>
  </r>
  <r>
    <s v="Wah-Wah"/>
    <x v="1512"/>
    <x v="2"/>
    <x v="0"/>
    <n v="97"/>
    <n v="6.9"/>
    <n v="7000000"/>
    <n v="233103"/>
  </r>
  <r>
    <s v="The Boondock Saints"/>
    <x v="1447"/>
    <x v="0"/>
    <x v="0"/>
    <n v="102"/>
    <n v="7.9"/>
    <n v="7000000"/>
    <n v="25078937"/>
  </r>
  <r>
    <s v="Z Storm"/>
    <x v="1513"/>
    <x v="0"/>
    <x v="12"/>
    <n v="92"/>
    <n v="5.3"/>
    <n v="7000000"/>
    <n v="25078937"/>
  </r>
  <r>
    <s v="Twixt"/>
    <x v="416"/>
    <x v="4"/>
    <x v="0"/>
    <n v="88"/>
    <n v="4.8"/>
    <n v="7000000"/>
    <n v="25078937"/>
  </r>
  <r>
    <s v="Snow Queen"/>
    <x v="1514"/>
    <x v="1"/>
    <x v="8"/>
    <n v="80"/>
    <n v="5.3"/>
    <n v="7000000"/>
    <n v="25078937"/>
  </r>
  <r>
    <s v="Pale Rider"/>
    <x v="322"/>
    <x v="16"/>
    <x v="0"/>
    <n v="115"/>
    <n v="7.3"/>
    <n v="6900000"/>
    <n v="41400000"/>
  </r>
  <r>
    <s v="Stargate: The Ark of Truth"/>
    <x v="1515"/>
    <x v="0"/>
    <x v="0"/>
    <n v="97"/>
    <n v="7.4"/>
    <n v="20000000"/>
    <n v="25078937"/>
  </r>
  <r>
    <s v="Dazed and Confused"/>
    <x v="771"/>
    <x v="4"/>
    <x v="0"/>
    <n v="102"/>
    <n v="7.7"/>
    <n v="6900000"/>
    <n v="7993039"/>
  </r>
  <r>
    <s v="High School Musical 2"/>
    <x v="349"/>
    <x v="4"/>
    <x v="0"/>
    <n v="111"/>
    <n v="4.8"/>
    <n v="7000000"/>
    <n v="25078937"/>
  </r>
  <r>
    <s v="Two Lovers and a Bear"/>
    <x v="1516"/>
    <x v="2"/>
    <x v="0"/>
    <n v="96"/>
    <n v="7.2"/>
    <n v="8700000"/>
    <n v="25078937"/>
  </r>
  <r>
    <s v="Criminal Activities"/>
    <x v="1517"/>
    <x v="6"/>
    <x v="0"/>
    <n v="94"/>
    <n v="5.8"/>
    <n v="7000000"/>
    <n v="25078937"/>
  </r>
  <r>
    <s v="Aimee &amp; Jaguar"/>
    <x v="1518"/>
    <x v="7"/>
    <x v="13"/>
    <n v="125"/>
    <n v="7.3"/>
    <n v="15000000"/>
    <n v="927107"/>
  </r>
  <r>
    <s v="The Chumscrubber"/>
    <x v="1519"/>
    <x v="4"/>
    <x v="0"/>
    <n v="108"/>
    <n v="7"/>
    <n v="6800000"/>
    <n v="49526"/>
  </r>
  <r>
    <s v="Shade"/>
    <x v="1520"/>
    <x v="6"/>
    <x v="0"/>
    <n v="101"/>
    <n v="6.4"/>
    <n v="6800000"/>
    <n v="10696"/>
  </r>
  <r>
    <s v="House at the End of the Street"/>
    <x v="1521"/>
    <x v="2"/>
    <x v="0"/>
    <n v="101"/>
    <n v="5.6"/>
    <n v="6900000"/>
    <n v="31607598"/>
  </r>
  <r>
    <s v="Incendies"/>
    <x v="492"/>
    <x v="2"/>
    <x v="2"/>
    <n v="139"/>
    <n v="8.1999999999999993"/>
    <n v="6800000"/>
    <n v="6857096"/>
  </r>
  <r>
    <s v="Remember Me, My Love"/>
    <x v="399"/>
    <x v="4"/>
    <x v="15"/>
    <n v="125"/>
    <n v="6.5"/>
    <n v="5000000"/>
    <n v="223878"/>
  </r>
  <r>
    <s v="Perrier's Bounty"/>
    <x v="1522"/>
    <x v="0"/>
    <x v="0"/>
    <n v="88"/>
    <n v="6.4"/>
    <n v="20000000"/>
    <n v="828"/>
  </r>
  <r>
    <s v="Elite Squad"/>
    <x v="136"/>
    <x v="0"/>
    <x v="26"/>
    <n v="115"/>
    <n v="8.1"/>
    <n v="4000000"/>
    <n v="8060"/>
  </r>
  <r>
    <s v="Annabelle"/>
    <x v="702"/>
    <x v="11"/>
    <x v="0"/>
    <n v="99"/>
    <n v="5.4"/>
    <n v="6500000"/>
    <n v="84263837"/>
  </r>
  <r>
    <s v="Bran Nue Dae"/>
    <x v="1523"/>
    <x v="4"/>
    <x v="0"/>
    <n v="88"/>
    <n v="6.3"/>
    <n v="6500000"/>
    <n v="110029"/>
  </r>
  <r>
    <s v="Boyz n the Hood"/>
    <x v="261"/>
    <x v="6"/>
    <x v="0"/>
    <n v="112"/>
    <n v="7.8"/>
    <n v="6000000"/>
    <n v="57504069"/>
  </r>
  <r>
    <s v="La Bamba"/>
    <x v="1524"/>
    <x v="7"/>
    <x v="0"/>
    <n v="108"/>
    <n v="6.8"/>
    <n v="6500000"/>
    <n v="54215416"/>
  </r>
  <r>
    <s v="The Four Seasons"/>
    <x v="1525"/>
    <x v="4"/>
    <x v="0"/>
    <n v="107"/>
    <n v="7.2"/>
    <n v="20000000"/>
    <n v="25078937"/>
  </r>
  <r>
    <s v="Dressed to Kill"/>
    <x v="205"/>
    <x v="5"/>
    <x v="0"/>
    <n v="104"/>
    <n v="7.1"/>
    <n v="6500000"/>
    <n v="31899000"/>
  </r>
  <r>
    <s v="The Adventures of Huck Finn"/>
    <x v="53"/>
    <x v="1"/>
    <x v="0"/>
    <n v="108"/>
    <n v="6.2"/>
    <n v="6500000"/>
    <n v="24103594"/>
  </r>
  <r>
    <s v="Go"/>
    <x v="51"/>
    <x v="4"/>
    <x v="0"/>
    <n v="102"/>
    <n v="7.3"/>
    <n v="6500000"/>
    <n v="16842303"/>
  </r>
  <r>
    <s v="Friends with Money"/>
    <x v="1448"/>
    <x v="4"/>
    <x v="0"/>
    <n v="88"/>
    <n v="5.9"/>
    <n v="6500000"/>
    <n v="13367101"/>
  </r>
  <r>
    <s v="The Andromeda Strain"/>
    <x v="614"/>
    <x v="10"/>
    <x v="0"/>
    <n v="115"/>
    <n v="7.2"/>
    <n v="6500000"/>
    <n v="25078937"/>
  </r>
  <r>
    <s v="Bats"/>
    <x v="1526"/>
    <x v="11"/>
    <x v="0"/>
    <n v="91"/>
    <n v="3.6"/>
    <n v="6500000"/>
    <n v="10149779"/>
  </r>
  <r>
    <s v="Nowhere in Africa"/>
    <x v="1527"/>
    <x v="7"/>
    <x v="0"/>
    <n v="141"/>
    <n v="7.7"/>
    <n v="7000000"/>
    <n v="6173485"/>
  </r>
  <r>
    <s v="Shame"/>
    <x v="896"/>
    <x v="2"/>
    <x v="0"/>
    <n v="101"/>
    <n v="7.3"/>
    <n v="6500000"/>
    <n v="4000304"/>
  </r>
  <r>
    <s v="Layer Cake"/>
    <x v="68"/>
    <x v="6"/>
    <x v="0"/>
    <n v="105"/>
    <n v="7.4"/>
    <n v="4000000"/>
    <n v="2338695"/>
  </r>
  <r>
    <s v="The Work and the Glory II: American Zion"/>
    <x v="1528"/>
    <x v="2"/>
    <x v="0"/>
    <n v="100"/>
    <n v="6.6"/>
    <n v="6500000"/>
    <n v="2024854"/>
  </r>
  <r>
    <s v="The East"/>
    <x v="1529"/>
    <x v="2"/>
    <x v="0"/>
    <n v="116"/>
    <n v="6.9"/>
    <n v="6500000"/>
    <n v="2268296"/>
  </r>
  <r>
    <s v="A Home at the End of the World"/>
    <x v="1101"/>
    <x v="2"/>
    <x v="0"/>
    <n v="97"/>
    <n v="6.8"/>
    <n v="6500000"/>
    <n v="1029017"/>
  </r>
  <r>
    <s v="Aberdeen"/>
    <x v="1530"/>
    <x v="2"/>
    <x v="0"/>
    <n v="106"/>
    <n v="7.3"/>
    <n v="6500000"/>
    <n v="64148"/>
  </r>
  <r>
    <s v="The Messenger"/>
    <x v="1531"/>
    <x v="2"/>
    <x v="0"/>
    <n v="105"/>
    <n v="7.2"/>
    <n v="6500000"/>
    <n v="66637"/>
  </r>
  <r>
    <s v="Tracker"/>
    <x v="1532"/>
    <x v="0"/>
    <x v="0"/>
    <n v="102"/>
    <n v="6.5"/>
    <n v="6500000"/>
    <n v="25078937"/>
  </r>
  <r>
    <s v="Control"/>
    <x v="908"/>
    <x v="7"/>
    <x v="0"/>
    <n v="122"/>
    <n v="7.7"/>
    <n v="4500000"/>
    <n v="871577"/>
  </r>
  <r>
    <s v="The Terminator"/>
    <x v="0"/>
    <x v="0"/>
    <x v="0"/>
    <n v="107"/>
    <n v="8.1"/>
    <n v="6500000"/>
    <n v="38400000"/>
  </r>
  <r>
    <s v="Good Bye Lenin!"/>
    <x v="1533"/>
    <x v="2"/>
    <x v="13"/>
    <n v="121"/>
    <n v="7.7"/>
    <n v="4800000"/>
    <n v="4063859"/>
  </r>
  <r>
    <s v="The Damned United"/>
    <x v="319"/>
    <x v="7"/>
    <x v="0"/>
    <n v="98"/>
    <n v="7.6"/>
    <n v="10000000"/>
    <n v="449558"/>
  </r>
  <r>
    <s v="The Return of the Living Dead"/>
    <x v="1534"/>
    <x v="4"/>
    <x v="0"/>
    <n v="108"/>
    <n v="7.3"/>
    <n v="4000000"/>
    <n v="25078937"/>
  </r>
  <r>
    <s v="Mallrats"/>
    <x v="605"/>
    <x v="4"/>
    <x v="0"/>
    <n v="123"/>
    <n v="7.2"/>
    <n v="6000000"/>
    <n v="2122561"/>
  </r>
  <r>
    <s v="Grease"/>
    <x v="1165"/>
    <x v="17"/>
    <x v="0"/>
    <n v="110"/>
    <n v="7.2"/>
    <n v="6000000"/>
    <n v="181360000"/>
  </r>
  <r>
    <s v="Platoon"/>
    <x v="77"/>
    <x v="2"/>
    <x v="0"/>
    <n v="120"/>
    <n v="8.1"/>
    <n v="6000000"/>
    <n v="137963328"/>
  </r>
  <r>
    <s v="Fahrenheit 9/11"/>
    <x v="937"/>
    <x v="9"/>
    <x v="0"/>
    <n v="122"/>
    <n v="7.5"/>
    <n v="6000000"/>
    <n v="119078393"/>
  </r>
  <r>
    <s v="Butch Cassidy and the Sundance Kid"/>
    <x v="1535"/>
    <x v="7"/>
    <x v="0"/>
    <n v="110"/>
    <n v="8.1"/>
    <n v="6000000"/>
    <n v="102308900"/>
  </r>
  <r>
    <s v="Mary Poppins"/>
    <x v="1536"/>
    <x v="4"/>
    <x v="0"/>
    <n v="139"/>
    <n v="7.8"/>
    <n v="6000000"/>
    <n v="102300000"/>
  </r>
  <r>
    <s v="Ordinary People"/>
    <x v="347"/>
    <x v="2"/>
    <x v="0"/>
    <n v="124"/>
    <n v="7.8"/>
    <n v="6000000"/>
    <n v="54800000"/>
  </r>
  <r>
    <s v="West Side Story"/>
    <x v="1537"/>
    <x v="6"/>
    <x v="0"/>
    <n v="152"/>
    <n v="7.6"/>
    <n v="6000000"/>
    <n v="43650000"/>
  </r>
  <r>
    <s v="Caddyshack"/>
    <x v="366"/>
    <x v="4"/>
    <x v="0"/>
    <n v="98"/>
    <n v="7.4"/>
    <n v="6000000"/>
    <n v="39800000"/>
  </r>
  <r>
    <s v="The Brothers"/>
    <x v="1538"/>
    <x v="4"/>
    <x v="0"/>
    <n v="106"/>
    <n v="6.3"/>
    <n v="6000000"/>
    <n v="27457409"/>
  </r>
  <r>
    <s v="The Wood"/>
    <x v="1166"/>
    <x v="4"/>
    <x v="0"/>
    <n v="106"/>
    <n v="6.9"/>
    <n v="6000000"/>
    <n v="25047631"/>
  </r>
  <r>
    <s v="The Usual Suspects"/>
    <x v="10"/>
    <x v="6"/>
    <x v="0"/>
    <n v="106"/>
    <n v="8.6"/>
    <n v="6000000"/>
    <n v="23272306"/>
  </r>
  <r>
    <s v="A Nightmare on Elm Street 5: The Dream Child"/>
    <x v="245"/>
    <x v="8"/>
    <x v="0"/>
    <n v="89"/>
    <n v="5.0999999999999996"/>
    <n v="8000000"/>
    <n v="22168359"/>
  </r>
  <r>
    <s v="Van Wilder: Party Liaison"/>
    <x v="201"/>
    <x v="4"/>
    <x v="0"/>
    <n v="94"/>
    <n v="6.4"/>
    <n v="6000000"/>
    <n v="21005329"/>
  </r>
  <r>
    <s v="The Wrestler"/>
    <x v="119"/>
    <x v="2"/>
    <x v="0"/>
    <n v="109"/>
    <n v="7.9"/>
    <n v="6000000"/>
    <n v="26236603"/>
  </r>
  <r>
    <s v="Duel in the Sun"/>
    <x v="1539"/>
    <x v="2"/>
    <x v="0"/>
    <n v="144"/>
    <n v="6.9"/>
    <n v="8000000"/>
    <n v="20400000"/>
  </r>
  <r>
    <s v="Best in Show"/>
    <x v="1245"/>
    <x v="4"/>
    <x v="0"/>
    <n v="90"/>
    <n v="7.5"/>
    <n v="6000000"/>
    <n v="18621249"/>
  </r>
  <r>
    <s v="Escape from New York"/>
    <x v="465"/>
    <x v="0"/>
    <x v="0"/>
    <n v="106"/>
    <n v="7.2"/>
    <n v="6000000"/>
    <n v="25244700"/>
  </r>
  <r>
    <s v="School Daze"/>
    <x v="433"/>
    <x v="4"/>
    <x v="0"/>
    <n v="121"/>
    <n v="5.8"/>
    <n v="6500000"/>
    <n v="14545844"/>
  </r>
  <r>
    <s v="Daddy Day Camp"/>
    <x v="1540"/>
    <x v="4"/>
    <x v="0"/>
    <n v="89"/>
    <n v="2.9"/>
    <n v="6000000"/>
    <n v="13235267"/>
  </r>
  <r>
    <s v="Mr. Nice Guy"/>
    <x v="1541"/>
    <x v="0"/>
    <x v="0"/>
    <n v="86"/>
    <n v="6.2"/>
    <n v="20000000"/>
    <n v="12674183"/>
  </r>
  <r>
    <s v="A Mighty Wind"/>
    <x v="1245"/>
    <x v="4"/>
    <x v="0"/>
    <n v="91"/>
    <n v="7.3"/>
    <n v="20000000"/>
    <n v="17508936"/>
  </r>
  <r>
    <s v="Mystic Pizza"/>
    <x v="368"/>
    <x v="4"/>
    <x v="0"/>
    <n v="104"/>
    <n v="6.2"/>
    <n v="6000000"/>
    <n v="12793213"/>
  </r>
  <r>
    <s v="Sliding Doors"/>
    <x v="501"/>
    <x v="4"/>
    <x v="0"/>
    <n v="99"/>
    <n v="6.8"/>
    <n v="9000000"/>
    <n v="11883495"/>
  </r>
  <r>
    <s v="Tales from the Hood"/>
    <x v="1542"/>
    <x v="4"/>
    <x v="0"/>
    <n v="98"/>
    <n v="6.1"/>
    <n v="6000000"/>
    <n v="11797927"/>
  </r>
  <r>
    <s v="The Last King of Scotland"/>
    <x v="367"/>
    <x v="7"/>
    <x v="0"/>
    <n v="121"/>
    <n v="7.7"/>
    <n v="6000000"/>
    <n v="17605861"/>
  </r>
  <r>
    <s v="Halloween 5"/>
    <x v="1543"/>
    <x v="11"/>
    <x v="0"/>
    <n v="96"/>
    <n v="5.2"/>
    <n v="3000000"/>
    <n v="11642254"/>
  </r>
  <r>
    <s v="Bernie"/>
    <x v="771"/>
    <x v="4"/>
    <x v="0"/>
    <n v="99"/>
    <n v="6.8"/>
    <n v="5000000"/>
    <n v="9203192"/>
  </r>
  <r>
    <s v="Dolphins and Whales 3D: Tribes of the Ocean"/>
    <x v="1544"/>
    <x v="1"/>
    <x v="0"/>
    <n v="42"/>
    <n v="6.5"/>
    <n v="6000000"/>
    <n v="7518876"/>
  </r>
  <r>
    <s v="Pollock"/>
    <x v="925"/>
    <x v="7"/>
    <x v="0"/>
    <n v="122"/>
    <n v="7"/>
    <n v="6000000"/>
    <n v="8596914"/>
  </r>
  <r>
    <s v="200 Cigarettes"/>
    <x v="1545"/>
    <x v="4"/>
    <x v="0"/>
    <n v="101"/>
    <n v="5.9"/>
    <n v="6000000"/>
    <n v="6851636"/>
  </r>
  <r>
    <s v="The Words"/>
    <x v="1546"/>
    <x v="2"/>
    <x v="0"/>
    <n v="102"/>
    <n v="7.1"/>
    <n v="6000000"/>
    <n v="11434867"/>
  </r>
  <r>
    <s v="Casa de mi Padre"/>
    <x v="1547"/>
    <x v="4"/>
    <x v="5"/>
    <n v="84"/>
    <n v="5.5"/>
    <n v="6000000"/>
    <n v="5895238"/>
  </r>
  <r>
    <s v="City Island"/>
    <x v="1548"/>
    <x v="4"/>
    <x v="0"/>
    <n v="104"/>
    <n v="7.4"/>
    <n v="6000000"/>
    <n v="6670712"/>
  </r>
  <r>
    <s v="The Guard"/>
    <x v="1549"/>
    <x v="4"/>
    <x v="0"/>
    <n v="96"/>
    <n v="7.3"/>
    <n v="6000000"/>
    <n v="5359774"/>
  </r>
  <r>
    <s v="College"/>
    <x v="1550"/>
    <x v="4"/>
    <x v="0"/>
    <n v="94"/>
    <n v="4.5999999999999996"/>
    <n v="6500000"/>
    <n v="4693919"/>
  </r>
  <r>
    <s v="The Virgin Suicides"/>
    <x v="567"/>
    <x v="2"/>
    <x v="0"/>
    <n v="90"/>
    <n v="7.2"/>
    <n v="6000000"/>
    <n v="4859475"/>
  </r>
  <r>
    <s v="Little Voice"/>
    <x v="1216"/>
    <x v="4"/>
    <x v="0"/>
    <n v="97"/>
    <n v="7"/>
    <n v="20000000"/>
    <n v="4595000"/>
  </r>
  <r>
    <s v="Miss March"/>
    <x v="1551"/>
    <x v="4"/>
    <x v="0"/>
    <n v="90"/>
    <n v="5.0999999999999996"/>
    <n v="6000000"/>
    <n v="4542775"/>
  </r>
  <r>
    <s v="Wish I Was Here"/>
    <x v="1552"/>
    <x v="4"/>
    <x v="0"/>
    <n v="106"/>
    <n v="6.7"/>
    <n v="6000000"/>
    <n v="3588432"/>
  </r>
  <r>
    <s v="Simply Irresistible"/>
    <x v="1553"/>
    <x v="4"/>
    <x v="0"/>
    <n v="96"/>
    <n v="5.3"/>
    <n v="6000000"/>
    <n v="4394936"/>
  </r>
  <r>
    <s v="Hedwig and the Angry Inch"/>
    <x v="1554"/>
    <x v="4"/>
    <x v="0"/>
    <n v="95"/>
    <n v="7.8"/>
    <n v="6000000"/>
    <n v="3029081"/>
  </r>
  <r>
    <s v="Only the Strong"/>
    <x v="1052"/>
    <x v="0"/>
    <x v="0"/>
    <n v="99"/>
    <n v="6.7"/>
    <n v="6000000"/>
    <n v="3273588"/>
  </r>
  <r>
    <s v="Goddess of Love"/>
    <x v="1555"/>
    <x v="2"/>
    <x v="0"/>
    <n v="93"/>
    <n v="5.4"/>
    <n v="20000000"/>
    <n v="25078937"/>
  </r>
  <r>
    <s v="Shattered Glass"/>
    <x v="939"/>
    <x v="2"/>
    <x v="0"/>
    <n v="99"/>
    <n v="7.2"/>
    <n v="6000000"/>
    <n v="2207975"/>
  </r>
  <r>
    <s v="Novocaine"/>
    <x v="1556"/>
    <x v="4"/>
    <x v="0"/>
    <n v="95"/>
    <n v="5.8"/>
    <n v="6000000"/>
    <n v="2025238"/>
  </r>
  <r>
    <s v="The Business of Strangers"/>
    <x v="1557"/>
    <x v="2"/>
    <x v="0"/>
    <n v="84"/>
    <n v="6.4"/>
    <n v="20000000"/>
    <n v="1028337"/>
  </r>
  <r>
    <s v="The Wild Bunch"/>
    <x v="1558"/>
    <x v="0"/>
    <x v="0"/>
    <n v="144"/>
    <n v="8"/>
    <n v="6244087"/>
    <n v="25078937"/>
  </r>
  <r>
    <s v="The Wackness"/>
    <x v="686"/>
    <x v="4"/>
    <x v="0"/>
    <n v="99"/>
    <n v="7"/>
    <n v="6000000"/>
    <n v="2077046"/>
  </r>
  <r>
    <s v="The Great Train Robbery"/>
    <x v="1559"/>
    <x v="1"/>
    <x v="0"/>
    <n v="110"/>
    <n v="7"/>
    <n v="6000000"/>
    <n v="25078937"/>
  </r>
  <r>
    <s v="Morvern Callar"/>
    <x v="1501"/>
    <x v="2"/>
    <x v="0"/>
    <n v="97"/>
    <n v="6.7"/>
    <n v="20000000"/>
    <n v="267194"/>
  </r>
  <r>
    <s v="Beastmaster 2: Through the Portal of Time"/>
    <x v="1560"/>
    <x v="0"/>
    <x v="0"/>
    <n v="107"/>
    <n v="3.8"/>
    <n v="6000000"/>
    <n v="869325"/>
  </r>
  <r>
    <s v="The 5th Quarter"/>
    <x v="1561"/>
    <x v="7"/>
    <x v="0"/>
    <n v="90"/>
    <n v="5.7"/>
    <n v="6000000"/>
    <n v="399611"/>
  </r>
  <r>
    <s v="The Flower of Evil"/>
    <x v="1354"/>
    <x v="2"/>
    <x v="2"/>
    <n v="104"/>
    <n v="6.6"/>
    <n v="20000000"/>
    <n v="181798"/>
  </r>
  <r>
    <s v="The Greatest"/>
    <x v="927"/>
    <x v="2"/>
    <x v="0"/>
    <n v="96"/>
    <n v="6.7"/>
    <n v="6000000"/>
    <n v="115862"/>
  </r>
  <r>
    <s v="Snow Flower and the Secret Fan"/>
    <x v="398"/>
    <x v="2"/>
    <x v="0"/>
    <n v="104"/>
    <n v="6.1"/>
    <n v="6000000"/>
    <n v="1346503"/>
  </r>
  <r>
    <s v="Come Early Morning"/>
    <x v="1562"/>
    <x v="2"/>
    <x v="0"/>
    <n v="97"/>
    <n v="6.2"/>
    <n v="6000000"/>
    <n v="117560"/>
  </r>
  <r>
    <s v="Lucky Break"/>
    <x v="1130"/>
    <x v="4"/>
    <x v="0"/>
    <n v="107"/>
    <n v="6.2"/>
    <n v="6000000"/>
    <n v="54606"/>
  </r>
  <r>
    <s v="Julia"/>
    <x v="1563"/>
    <x v="2"/>
    <x v="0"/>
    <n v="117"/>
    <n v="7.4"/>
    <n v="7840000"/>
    <n v="25078937"/>
  </r>
  <r>
    <s v="Surfer, Dude"/>
    <x v="1564"/>
    <x v="4"/>
    <x v="0"/>
    <n v="85"/>
    <n v="4.7"/>
    <n v="6000000"/>
    <n v="36497"/>
  </r>
  <r>
    <s v="Lake of Fire"/>
    <x v="1328"/>
    <x v="9"/>
    <x v="0"/>
    <n v="152"/>
    <n v="8.3000000000000007"/>
    <n v="20000000"/>
    <n v="23807"/>
  </r>
  <r>
    <s v="11:14"/>
    <x v="1565"/>
    <x v="4"/>
    <x v="0"/>
    <n v="85"/>
    <n v="7.2"/>
    <n v="6000000"/>
    <n v="25078937"/>
  </r>
  <r>
    <s v="Men of War"/>
    <x v="1566"/>
    <x v="0"/>
    <x v="0"/>
    <n v="76"/>
    <n v="5.8"/>
    <n v="8600000"/>
    <n v="25078937"/>
  </r>
  <r>
    <s v="Don McKay"/>
    <x v="1567"/>
    <x v="2"/>
    <x v="0"/>
    <n v="87"/>
    <n v="5.9"/>
    <n v="20000000"/>
    <n v="25078937"/>
  </r>
  <r>
    <s v="Deadfall"/>
    <x v="1148"/>
    <x v="6"/>
    <x v="0"/>
    <n v="95"/>
    <n v="6.3"/>
    <n v="12000000"/>
    <n v="65804"/>
  </r>
  <r>
    <s v="A Shine of Rainbows"/>
    <x v="1379"/>
    <x v="2"/>
    <x v="0"/>
    <n v="101"/>
    <n v="7.2"/>
    <n v="6000000"/>
    <n v="25078937"/>
  </r>
  <r>
    <s v="The Hit List"/>
    <x v="1568"/>
    <x v="0"/>
    <x v="0"/>
    <n v="90"/>
    <n v="5.4"/>
    <n v="6000000"/>
    <n v="25078937"/>
  </r>
  <r>
    <s v="Videodrome"/>
    <x v="467"/>
    <x v="11"/>
    <x v="0"/>
    <n v="89"/>
    <n v="7.3"/>
    <n v="5952000"/>
    <n v="25078937"/>
  </r>
  <r>
    <s v="L'auberge espagnole"/>
    <x v="1569"/>
    <x v="4"/>
    <x v="2"/>
    <n v="111"/>
    <n v="7.3"/>
    <n v="5300000"/>
    <n v="3895664"/>
  </r>
  <r>
    <s v="Song One"/>
    <x v="1570"/>
    <x v="2"/>
    <x v="0"/>
    <n v="86"/>
    <n v="5.8"/>
    <n v="6000000"/>
    <n v="20200"/>
  </r>
  <r>
    <s v="Winter in Wartime"/>
    <x v="1571"/>
    <x v="2"/>
    <x v="16"/>
    <n v="103"/>
    <n v="7.1"/>
    <n v="4000000"/>
    <n v="542860"/>
  </r>
  <r>
    <s v="Freaky Deaky"/>
    <x v="1572"/>
    <x v="4"/>
    <x v="0"/>
    <n v="90"/>
    <n v="6.5"/>
    <n v="6000000"/>
    <n v="25078937"/>
  </r>
  <r>
    <s v="The Train"/>
    <x v="403"/>
    <x v="13"/>
    <x v="0"/>
    <n v="133"/>
    <n v="7.9"/>
    <n v="6700000"/>
    <n v="25078937"/>
  </r>
  <r>
    <s v="Trade of Innocents"/>
    <x v="1573"/>
    <x v="2"/>
    <x v="0"/>
    <n v="88"/>
    <n v="5.4"/>
    <n v="20000000"/>
    <n v="15059"/>
  </r>
  <r>
    <s v="The Protector"/>
    <x v="1574"/>
    <x v="0"/>
    <x v="23"/>
    <n v="111"/>
    <n v="7.1"/>
    <n v="200000000"/>
    <n v="11905519"/>
  </r>
  <r>
    <s v="Stiff Upper Lips"/>
    <x v="1575"/>
    <x v="4"/>
    <x v="0"/>
    <n v="94"/>
    <n v="6.4"/>
    <n v="20000000"/>
    <n v="69582"/>
  </r>
  <r>
    <s v="Bend It Like Beckham"/>
    <x v="1377"/>
    <x v="4"/>
    <x v="0"/>
    <n v="112"/>
    <n v="6.7"/>
    <n v="3500159"/>
    <n v="32541719"/>
  </r>
  <r>
    <s v="Sunshine State"/>
    <x v="1426"/>
    <x v="2"/>
    <x v="0"/>
    <n v="141"/>
    <n v="6.9"/>
    <n v="5600000"/>
    <n v="3064356"/>
  </r>
  <r>
    <s v="Crossover"/>
    <x v="1188"/>
    <x v="0"/>
    <x v="0"/>
    <n v="95"/>
    <n v="2.1"/>
    <n v="5600000"/>
    <n v="7009668"/>
  </r>
  <r>
    <s v="Khiladi 786"/>
    <x v="1576"/>
    <x v="0"/>
    <x v="7"/>
    <n v="141"/>
    <n v="4.3"/>
    <n v="20000000"/>
    <n v="352684"/>
  </r>
  <r>
    <s v="[Rec] 2"/>
    <x v="1290"/>
    <x v="11"/>
    <x v="5"/>
    <n v="85"/>
    <n v="6.6"/>
    <n v="5600000"/>
    <n v="27024"/>
  </r>
  <r>
    <s v="Standing Ovation"/>
    <x v="1401"/>
    <x v="17"/>
    <x v="0"/>
    <n v="105"/>
    <n v="3.4"/>
    <n v="20000000"/>
    <n v="531806"/>
  </r>
  <r>
    <s v="The Sting"/>
    <x v="1535"/>
    <x v="4"/>
    <x v="0"/>
    <n v="129"/>
    <n v="8.3000000000000007"/>
    <n v="5500000"/>
    <n v="159600000"/>
  </r>
  <r>
    <s v="Chariots of Fire"/>
    <x v="654"/>
    <x v="7"/>
    <x v="0"/>
    <n v="125"/>
    <n v="7.2"/>
    <n v="5500000"/>
    <n v="58800000"/>
  </r>
  <r>
    <s v="Diary of a Mad Black Woman"/>
    <x v="1577"/>
    <x v="4"/>
    <x v="0"/>
    <n v="116"/>
    <n v="5.6"/>
    <n v="5500000"/>
    <n v="50382128"/>
  </r>
  <r>
    <s v="Shine"/>
    <x v="611"/>
    <x v="7"/>
    <x v="0"/>
    <n v="105"/>
    <n v="7.7"/>
    <n v="5500000"/>
    <n v="35811509"/>
  </r>
  <r>
    <s v="Don Jon"/>
    <x v="1578"/>
    <x v="4"/>
    <x v="0"/>
    <n v="90"/>
    <n v="6.6"/>
    <n v="3000000"/>
    <n v="24475193"/>
  </r>
  <r>
    <s v="High Plains Drifter"/>
    <x v="322"/>
    <x v="5"/>
    <x v="0"/>
    <n v="105"/>
    <n v="7.6"/>
    <n v="5500000"/>
    <n v="25078937"/>
  </r>
  <r>
    <s v="Ghost World"/>
    <x v="987"/>
    <x v="4"/>
    <x v="0"/>
    <n v="111"/>
    <n v="7.4"/>
    <n v="7000000"/>
    <n v="6200756"/>
  </r>
  <r>
    <s v="Iris"/>
    <x v="763"/>
    <x v="7"/>
    <x v="0"/>
    <n v="91"/>
    <n v="7.1"/>
    <n v="5500000"/>
    <n v="1292119"/>
  </r>
  <r>
    <s v="Galaxina"/>
    <x v="1579"/>
    <x v="4"/>
    <x v="0"/>
    <n v="95"/>
    <n v="3.4"/>
    <n v="20000000"/>
    <n v="25078937"/>
  </r>
  <r>
    <s v="The Chorus"/>
    <x v="1580"/>
    <x v="2"/>
    <x v="2"/>
    <n v="97"/>
    <n v="7.9"/>
    <n v="5500000"/>
    <n v="3629758"/>
  </r>
  <r>
    <s v="Mambo Italiano"/>
    <x v="1581"/>
    <x v="4"/>
    <x v="0"/>
    <n v="92"/>
    <n v="6.7"/>
    <n v="5000000"/>
    <n v="6239558"/>
  </r>
  <r>
    <s v="Wonderland"/>
    <x v="1582"/>
    <x v="6"/>
    <x v="0"/>
    <n v="104"/>
    <n v="6.6"/>
    <n v="5000000"/>
    <n v="1056102"/>
  </r>
  <r>
    <s v="Do the Right Thing"/>
    <x v="433"/>
    <x v="2"/>
    <x v="0"/>
    <n v="120"/>
    <n v="7.9"/>
    <n v="6500000"/>
    <n v="27545445"/>
  </r>
  <r>
    <s v="Harvard Man"/>
    <x v="1583"/>
    <x v="4"/>
    <x v="0"/>
    <n v="99"/>
    <n v="4.9000000000000004"/>
    <n v="5500000"/>
    <n v="56007"/>
  </r>
  <r>
    <s v="Le Havre"/>
    <x v="1584"/>
    <x v="4"/>
    <x v="2"/>
    <n v="93"/>
    <n v="7.2"/>
    <n v="3850000"/>
    <n v="611709"/>
  </r>
  <r>
    <s v="Irreversible"/>
    <x v="1071"/>
    <x v="6"/>
    <x v="2"/>
    <n v="99"/>
    <n v="7.4"/>
    <n v="20000000"/>
    <n v="753501"/>
  </r>
  <r>
    <s v="R100"/>
    <x v="1585"/>
    <x v="4"/>
    <x v="1"/>
    <n v="99"/>
    <n v="6.1"/>
    <n v="5500000"/>
    <n v="22770"/>
  </r>
  <r>
    <s v="Rang De Basanti"/>
    <x v="1586"/>
    <x v="4"/>
    <x v="7"/>
    <n v="157"/>
    <n v="8.4"/>
    <n v="20000000"/>
    <n v="2197331"/>
  </r>
  <r>
    <s v="Animals"/>
    <x v="1587"/>
    <x v="2"/>
    <x v="0"/>
    <n v="90"/>
    <n v="6.2"/>
    <n v="20000000"/>
    <n v="25078937"/>
  </r>
  <r>
    <s v="Salvation Boulevard"/>
    <x v="1588"/>
    <x v="0"/>
    <x v="0"/>
    <n v="96"/>
    <n v="5.3"/>
    <n v="9000000"/>
    <n v="27445"/>
  </r>
  <r>
    <s v="The Ten"/>
    <x v="664"/>
    <x v="4"/>
    <x v="0"/>
    <n v="96"/>
    <n v="5"/>
    <n v="5250000"/>
    <n v="766487"/>
  </r>
  <r>
    <s v="A Room for Romeo Brass"/>
    <x v="1589"/>
    <x v="4"/>
    <x v="0"/>
    <n v="90"/>
    <n v="7.7"/>
    <n v="20000000"/>
    <n v="18434"/>
  </r>
  <r>
    <s v="Headhunters"/>
    <x v="1080"/>
    <x v="6"/>
    <x v="30"/>
    <n v="100"/>
    <n v="7.6"/>
    <n v="30300000"/>
    <n v="1196752"/>
  </r>
  <r>
    <s v="Grabbers"/>
    <x v="1590"/>
    <x v="4"/>
    <x v="0"/>
    <n v="94"/>
    <n v="6.3"/>
    <n v="4000000"/>
    <n v="25078937"/>
  </r>
  <r>
    <s v="Saint Ralph"/>
    <x v="1591"/>
    <x v="4"/>
    <x v="0"/>
    <n v="98"/>
    <n v="7.6"/>
    <n v="6000000"/>
    <n v="795126"/>
  </r>
  <r>
    <s v="Miss Julie"/>
    <x v="1592"/>
    <x v="2"/>
    <x v="0"/>
    <n v="129"/>
    <n v="5.6"/>
    <n v="5500000"/>
    <n v="25078937"/>
  </r>
  <r>
    <s v="Somewhere in Time"/>
    <x v="895"/>
    <x v="2"/>
    <x v="0"/>
    <n v="103"/>
    <n v="7.3"/>
    <n v="5100000"/>
    <n v="25078937"/>
  </r>
  <r>
    <s v="Dum Maaro Dum"/>
    <x v="1593"/>
    <x v="0"/>
    <x v="7"/>
    <n v="128"/>
    <n v="6.2"/>
    <n v="20000000"/>
    <n v="563699"/>
  </r>
  <r>
    <s v="Insidious: Chapter 2"/>
    <x v="32"/>
    <x v="8"/>
    <x v="0"/>
    <n v="106"/>
    <n v="6.6"/>
    <n v="5000000"/>
    <n v="83574831"/>
  </r>
  <r>
    <s v="Saw II"/>
    <x v="1298"/>
    <x v="11"/>
    <x v="0"/>
    <n v="95"/>
    <n v="6.6"/>
    <n v="4000000"/>
    <n v="87025093"/>
  </r>
  <r>
    <s v="10 Cloverfield Lane"/>
    <x v="1594"/>
    <x v="2"/>
    <x v="0"/>
    <n v="104"/>
    <n v="7.3"/>
    <n v="15000000"/>
    <n v="71897215"/>
  </r>
  <r>
    <s v="Jackass: The Movie"/>
    <x v="894"/>
    <x v="4"/>
    <x v="0"/>
    <n v="87"/>
    <n v="6.6"/>
    <n v="5000000"/>
    <n v="64267897"/>
  </r>
  <r>
    <s v="Lights Out"/>
    <x v="1595"/>
    <x v="11"/>
    <x v="0"/>
    <n v="81"/>
    <n v="6.9"/>
    <n v="4900000"/>
    <n v="56536016"/>
  </r>
  <r>
    <s v="Paranormal Activity 3"/>
    <x v="924"/>
    <x v="11"/>
    <x v="0"/>
    <n v="94"/>
    <n v="5.8"/>
    <n v="5000000"/>
    <n v="104007828"/>
  </r>
  <r>
    <s v="Ouija"/>
    <x v="1596"/>
    <x v="8"/>
    <x v="0"/>
    <n v="89"/>
    <n v="4.4000000000000004"/>
    <n v="5000000"/>
    <n v="50820940"/>
  </r>
  <r>
    <s v="A Nightmare on Elm Street 3: Dream Warriors"/>
    <x v="164"/>
    <x v="0"/>
    <x v="0"/>
    <n v="88"/>
    <n v="6.6"/>
    <n v="4500000"/>
    <n v="44793200"/>
  </r>
  <r>
    <s v="Instructions Not Included"/>
    <x v="1597"/>
    <x v="4"/>
    <x v="5"/>
    <n v="115"/>
    <n v="7.6"/>
    <n v="5000000"/>
    <n v="44456509"/>
  </r>
  <r>
    <s v="Paranormal Activity 4"/>
    <x v="924"/>
    <x v="11"/>
    <x v="0"/>
    <n v="96"/>
    <n v="4.5999999999999996"/>
    <n v="5000000"/>
    <n v="53884821"/>
  </r>
  <r>
    <s v="The Robe"/>
    <x v="1598"/>
    <x v="2"/>
    <x v="0"/>
    <n v="135"/>
    <n v="6.8"/>
    <n v="5000000"/>
    <n v="36000000"/>
  </r>
  <r>
    <s v="The Return of the Pink Panther"/>
    <x v="878"/>
    <x v="4"/>
    <x v="0"/>
    <n v="113"/>
    <n v="7.1"/>
    <n v="5000000"/>
    <n v="25078937"/>
  </r>
  <r>
    <s v="Freddy's Dead: The Final Nightmare"/>
    <x v="835"/>
    <x v="4"/>
    <x v="0"/>
    <n v="93"/>
    <n v="4.9000000000000004"/>
    <n v="8500000"/>
    <n v="34872293"/>
  </r>
  <r>
    <s v="Monster"/>
    <x v="1599"/>
    <x v="7"/>
    <x v="0"/>
    <n v="109"/>
    <n v="7.3"/>
    <n v="4500000"/>
    <n v="34468224"/>
  </r>
  <r>
    <s v="20,000 Leagues Under the Sea"/>
    <x v="805"/>
    <x v="1"/>
    <x v="0"/>
    <n v="127"/>
    <n v="7.2"/>
    <n v="5000000"/>
    <n v="25078937"/>
  </r>
  <r>
    <s v="Paranormal Activity: The Marked Ones"/>
    <x v="1600"/>
    <x v="8"/>
    <x v="0"/>
    <n v="101"/>
    <n v="5"/>
    <n v="5000000"/>
    <n v="32453345"/>
  </r>
  <r>
    <s v="The Elephant Man"/>
    <x v="503"/>
    <x v="7"/>
    <x v="0"/>
    <n v="124"/>
    <n v="8.1999999999999993"/>
    <n v="5000000"/>
    <n v="25078937"/>
  </r>
  <r>
    <s v="Dallas Buyers Club"/>
    <x v="641"/>
    <x v="7"/>
    <x v="0"/>
    <n v="117"/>
    <n v="8"/>
    <n v="5000000"/>
    <n v="27296514"/>
  </r>
  <r>
    <s v="The Lazarus Effect"/>
    <x v="1601"/>
    <x v="11"/>
    <x v="0"/>
    <n v="83"/>
    <n v="5.2"/>
    <n v="3300000"/>
    <n v="25799043"/>
  </r>
  <r>
    <s v="Memento"/>
    <x v="3"/>
    <x v="5"/>
    <x v="0"/>
    <n v="113"/>
    <n v="8.5"/>
    <n v="9000000"/>
    <n v="25530884"/>
  </r>
  <r>
    <s v="Oculus"/>
    <x v="1602"/>
    <x v="11"/>
    <x v="0"/>
    <n v="104"/>
    <n v="6.5"/>
    <n v="5000000"/>
    <n v="27689474"/>
  </r>
  <r>
    <s v="Clerks II"/>
    <x v="605"/>
    <x v="4"/>
    <x v="0"/>
    <n v="97"/>
    <n v="7.4"/>
    <n v="5000000"/>
    <n v="24138847"/>
  </r>
  <r>
    <s v="Billy Elliot"/>
    <x v="560"/>
    <x v="2"/>
    <x v="0"/>
    <n v="110"/>
    <n v="7.7"/>
    <n v="5000000"/>
    <n v="21994911"/>
  </r>
  <r>
    <s v="The Way Way Back"/>
    <x v="1603"/>
    <x v="4"/>
    <x v="0"/>
    <n v="103"/>
    <n v="7.4"/>
    <n v="5000000"/>
    <n v="21501098"/>
  </r>
  <r>
    <s v="House Party 2"/>
    <x v="1604"/>
    <x v="4"/>
    <x v="0"/>
    <n v="94"/>
    <n v="5.0999999999999996"/>
    <n v="5000000"/>
    <n v="19281235"/>
  </r>
  <r>
    <s v="The Man from Snowy River"/>
    <x v="82"/>
    <x v="1"/>
    <x v="0"/>
    <n v="102"/>
    <n v="7.3"/>
    <n v="3500000"/>
    <n v="25078937"/>
  </r>
  <r>
    <s v="Doug's 1st Movie"/>
    <x v="1605"/>
    <x v="3"/>
    <x v="0"/>
    <n v="77"/>
    <n v="5"/>
    <n v="5000000"/>
    <n v="19421271"/>
  </r>
  <r>
    <s v="The Apostle"/>
    <x v="1606"/>
    <x v="2"/>
    <x v="0"/>
    <n v="134"/>
    <n v="7.2"/>
    <n v="5000000"/>
    <n v="20733485"/>
  </r>
  <r>
    <s v="Mommie Dearest"/>
    <x v="1607"/>
    <x v="7"/>
    <x v="0"/>
    <n v="129"/>
    <n v="6.7"/>
    <n v="5000000"/>
    <n v="25078937"/>
  </r>
  <r>
    <s v="Our Idiot Brother"/>
    <x v="1608"/>
    <x v="4"/>
    <x v="0"/>
    <n v="90"/>
    <n v="6.4"/>
    <n v="5000000"/>
    <n v="24809547"/>
  </r>
  <r>
    <s v="Race"/>
    <x v="245"/>
    <x v="7"/>
    <x v="0"/>
    <n v="134"/>
    <n v="7.1"/>
    <n v="20000000"/>
    <n v="19097994"/>
  </r>
  <r>
    <s v="The Players Club"/>
    <x v="1609"/>
    <x v="4"/>
    <x v="0"/>
    <n v="104"/>
    <n v="5.6"/>
    <n v="4500000"/>
    <n v="23031390"/>
  </r>
  <r>
    <s v="As Above, So Below"/>
    <x v="1229"/>
    <x v="11"/>
    <x v="0"/>
    <n v="93"/>
    <n v="6.1"/>
    <n v="5000000"/>
    <n v="21197315"/>
  </r>
  <r>
    <s v="Addicted"/>
    <x v="798"/>
    <x v="2"/>
    <x v="5"/>
    <n v="106"/>
    <n v="5.2"/>
    <n v="5000000"/>
    <n v="17382982"/>
  </r>
  <r>
    <s v="Eve's Bayou"/>
    <x v="1017"/>
    <x v="2"/>
    <x v="0"/>
    <n v="109"/>
    <n v="7.3"/>
    <n v="6000000"/>
    <n v="14821531"/>
  </r>
  <r>
    <s v="Still Alice"/>
    <x v="1610"/>
    <x v="2"/>
    <x v="0"/>
    <n v="101"/>
    <n v="7.5"/>
    <n v="5000000"/>
    <n v="18656400"/>
  </r>
  <r>
    <s v="The Egyptian"/>
    <x v="1611"/>
    <x v="2"/>
    <x v="0"/>
    <n v="139"/>
    <n v="6.6"/>
    <n v="5000000"/>
    <n v="25078937"/>
  </r>
  <r>
    <s v="Nighthawks"/>
    <x v="1612"/>
    <x v="0"/>
    <x v="0"/>
    <n v="99"/>
    <n v="6.4"/>
    <n v="5000000"/>
    <n v="25078937"/>
  </r>
  <r>
    <s v="Friday the 13th Part VIII: Jason Takes Manhattan"/>
    <x v="1613"/>
    <x v="1"/>
    <x v="0"/>
    <n v="100"/>
    <n v="4.5"/>
    <n v="5000000"/>
    <n v="14343976"/>
  </r>
  <r>
    <s v="My Big Fat Greek Wedding"/>
    <x v="498"/>
    <x v="4"/>
    <x v="0"/>
    <n v="95"/>
    <n v="6.6"/>
    <n v="5000000"/>
    <n v="241437427"/>
  </r>
  <r>
    <s v="Spring Breakers"/>
    <x v="1614"/>
    <x v="6"/>
    <x v="0"/>
    <n v="94"/>
    <n v="5.3"/>
    <n v="5000000"/>
    <n v="14123773"/>
  </r>
  <r>
    <s v="Halloween: The Curse of Michael Myers"/>
    <x v="1615"/>
    <x v="11"/>
    <x v="0"/>
    <n v="93"/>
    <n v="4.9000000000000004"/>
    <n v="5000000"/>
    <n v="15126948"/>
  </r>
  <r>
    <s v="Y Tu Mamá También"/>
    <x v="120"/>
    <x v="1"/>
    <x v="5"/>
    <n v="106"/>
    <n v="7.7"/>
    <n v="2000000"/>
    <n v="13622333"/>
  </r>
  <r>
    <s v="Shaun of the Dead"/>
    <x v="225"/>
    <x v="4"/>
    <x v="0"/>
    <n v="99"/>
    <n v="8"/>
    <n v="4000000"/>
    <n v="13464388"/>
  </r>
  <r>
    <s v="The Haunting of Molly Hartley"/>
    <x v="1616"/>
    <x v="2"/>
    <x v="0"/>
    <n v="82"/>
    <n v="3.8"/>
    <n v="5000000"/>
    <n v="13350177"/>
  </r>
  <r>
    <s v="Lone Star"/>
    <x v="1426"/>
    <x v="2"/>
    <x v="0"/>
    <n v="135"/>
    <n v="7.6"/>
    <n v="5000000"/>
    <n v="13269963"/>
  </r>
  <r>
    <s v="Halloween 4: The Return of Michael Myers"/>
    <x v="802"/>
    <x v="11"/>
    <x v="0"/>
    <n v="88"/>
    <n v="5.9"/>
    <n v="5000000"/>
    <n v="17768000"/>
  </r>
  <r>
    <s v="April Fool's Day"/>
    <x v="1617"/>
    <x v="11"/>
    <x v="0"/>
    <n v="89"/>
    <n v="6.2"/>
    <n v="5000000"/>
    <n v="12947763"/>
  </r>
  <r>
    <s v="Diner"/>
    <x v="273"/>
    <x v="4"/>
    <x v="0"/>
    <n v="110"/>
    <n v="7.2"/>
    <n v="5000000"/>
    <n v="14100000"/>
  </r>
  <r>
    <s v="Lone Wolf McQuade"/>
    <x v="1618"/>
    <x v="0"/>
    <x v="0"/>
    <n v="107"/>
    <n v="6.3"/>
    <n v="5000000"/>
    <n v="12200000"/>
  </r>
  <r>
    <s v="Apollo 18"/>
    <x v="1619"/>
    <x v="11"/>
    <x v="0"/>
    <n v="86"/>
    <n v="5.2"/>
    <n v="5000000"/>
    <n v="17683670"/>
  </r>
  <r>
    <s v="Sunshine Cleaning"/>
    <x v="1620"/>
    <x v="4"/>
    <x v="0"/>
    <n v="91"/>
    <n v="6.9"/>
    <n v="8000000"/>
    <n v="12055108"/>
  </r>
  <r>
    <s v="No Escape"/>
    <x v="1229"/>
    <x v="0"/>
    <x v="0"/>
    <n v="103"/>
    <n v="6.8"/>
    <n v="5000000"/>
    <n v="27285953"/>
  </r>
  <r>
    <s v="The Beastmaster"/>
    <x v="1621"/>
    <x v="0"/>
    <x v="0"/>
    <n v="90"/>
    <n v="6.2"/>
    <n v="8000000"/>
    <n v="25078937"/>
  </r>
  <r>
    <s v="Solomon and Sheba"/>
    <x v="1539"/>
    <x v="2"/>
    <x v="0"/>
    <n v="141"/>
    <n v="6.2"/>
    <n v="5000000"/>
    <n v="25078937"/>
  </r>
  <r>
    <s v="Fifty Shades of Black"/>
    <x v="1622"/>
    <x v="4"/>
    <x v="0"/>
    <n v="92"/>
    <n v="3.5"/>
    <n v="5000000"/>
    <n v="11675178"/>
  </r>
  <r>
    <s v="Not Easily Broken"/>
    <x v="1623"/>
    <x v="2"/>
    <x v="0"/>
    <n v="99"/>
    <n v="6.1"/>
    <n v="8000000"/>
    <n v="10572742"/>
  </r>
  <r>
    <s v="A Farewell to Arms"/>
    <x v="1624"/>
    <x v="2"/>
    <x v="0"/>
    <n v="79"/>
    <n v="6.6"/>
    <n v="800000"/>
    <n v="25078937"/>
  </r>
  <r>
    <s v="The Perfect Match"/>
    <x v="798"/>
    <x v="4"/>
    <x v="0"/>
    <n v="96"/>
    <n v="4.5"/>
    <n v="5000000"/>
    <n v="9658370"/>
  </r>
  <r>
    <s v="Digimon: The Movie"/>
    <x v="1625"/>
    <x v="0"/>
    <x v="0"/>
    <n v="82"/>
    <n v="5.9"/>
    <n v="5000000"/>
    <n v="9628751"/>
  </r>
  <r>
    <s v="Saved!"/>
    <x v="1626"/>
    <x v="4"/>
    <x v="0"/>
    <n v="92"/>
    <n v="6.9"/>
    <n v="5000000"/>
    <n v="8786715"/>
  </r>
  <r>
    <s v="The Barbarian Invasions"/>
    <x v="1627"/>
    <x v="4"/>
    <x v="2"/>
    <n v="112"/>
    <n v="7.7"/>
    <n v="6000000"/>
    <n v="3432342"/>
  </r>
  <r>
    <s v="Robin and Marian"/>
    <x v="417"/>
    <x v="1"/>
    <x v="0"/>
    <n v="106"/>
    <n v="6.6"/>
    <n v="5000000"/>
    <n v="25078937"/>
  </r>
  <r>
    <s v="The Forsaken"/>
    <x v="1628"/>
    <x v="11"/>
    <x v="0"/>
    <n v="90"/>
    <n v="5.3"/>
    <n v="5000000"/>
    <n v="6755271"/>
  </r>
  <r>
    <s v="Force 10 from Navarone"/>
    <x v="1490"/>
    <x v="0"/>
    <x v="0"/>
    <n v="126"/>
    <n v="6.3"/>
    <n v="5000000"/>
    <n v="25078937"/>
  </r>
  <r>
    <s v="UHF"/>
    <x v="1629"/>
    <x v="4"/>
    <x v="0"/>
    <n v="150"/>
    <n v="7"/>
    <n v="5000000"/>
    <n v="6157157"/>
  </r>
  <r>
    <s v="Grandma's Boy"/>
    <x v="1630"/>
    <x v="4"/>
    <x v="0"/>
    <n v="90"/>
    <n v="7"/>
    <n v="20000000"/>
    <n v="6088249"/>
  </r>
  <r>
    <s v="Slums of Beverly Hills"/>
    <x v="1398"/>
    <x v="4"/>
    <x v="0"/>
    <n v="91"/>
    <n v="6.6"/>
    <n v="5000000"/>
    <n v="5480318"/>
  </r>
  <r>
    <s v="Once Upon a Time in the West"/>
    <x v="732"/>
    <x v="16"/>
    <x v="0"/>
    <n v="145"/>
    <n v="8.6"/>
    <n v="5000000"/>
    <n v="25078937"/>
  </r>
  <r>
    <s v="Made"/>
    <x v="46"/>
    <x v="4"/>
    <x v="0"/>
    <n v="95"/>
    <n v="6.4"/>
    <n v="5000000"/>
    <n v="5308707"/>
  </r>
  <r>
    <s v="Moon"/>
    <x v="74"/>
    <x v="2"/>
    <x v="0"/>
    <n v="97"/>
    <n v="7.9"/>
    <n v="5000000"/>
    <n v="5009677"/>
  </r>
  <r>
    <s v="Keeping Up with the Steins"/>
    <x v="1369"/>
    <x v="4"/>
    <x v="0"/>
    <n v="90"/>
    <n v="5.4"/>
    <n v="20000000"/>
    <n v="4328294"/>
  </r>
  <r>
    <s v="Sea Rex 3D: Journey to a Prehistoric World"/>
    <x v="1631"/>
    <x v="9"/>
    <x v="0"/>
    <n v="41"/>
    <n v="6.9"/>
    <n v="5000000"/>
    <n v="4074023"/>
  </r>
  <r>
    <s v="The Sweet Hereafter"/>
    <x v="837"/>
    <x v="2"/>
    <x v="0"/>
    <n v="112"/>
    <n v="7.7"/>
    <n v="5000000"/>
    <n v="4306697"/>
  </r>
  <r>
    <s v="Of Gods and Men"/>
    <x v="1632"/>
    <x v="2"/>
    <x v="2"/>
    <n v="122"/>
    <n v="7.2"/>
    <n v="4000000"/>
    <n v="3950029"/>
  </r>
  <r>
    <s v="Bottle Shock"/>
    <x v="1633"/>
    <x v="4"/>
    <x v="0"/>
    <n v="110"/>
    <n v="6.8"/>
    <n v="5000000"/>
    <n v="4040588"/>
  </r>
  <r>
    <s v="Jekyll and Hyde... Together Again"/>
    <x v="1634"/>
    <x v="4"/>
    <x v="0"/>
    <n v="87"/>
    <n v="6.2"/>
    <n v="5000000"/>
    <n v="25078937"/>
  </r>
  <r>
    <s v="Heavenly Creatures"/>
    <x v="15"/>
    <x v="7"/>
    <x v="0"/>
    <n v="108"/>
    <n v="7.4"/>
    <n v="5000000"/>
    <n v="3049135"/>
  </r>
  <r>
    <s v="90 Minutes in Heaven"/>
    <x v="1195"/>
    <x v="2"/>
    <x v="0"/>
    <n v="121"/>
    <n v="4.5999999999999996"/>
    <n v="5000000"/>
    <n v="4700361"/>
  </r>
  <r>
    <s v="Everything Must Go"/>
    <x v="1635"/>
    <x v="4"/>
    <x v="0"/>
    <n v="97"/>
    <n v="6.4"/>
    <n v="5000000"/>
    <n v="2711210"/>
  </r>
  <r>
    <s v="Zero Effect"/>
    <x v="557"/>
    <x v="4"/>
    <x v="0"/>
    <n v="116"/>
    <n v="7"/>
    <n v="5000000"/>
    <n v="1980338"/>
  </r>
  <r>
    <s v="The Machinist"/>
    <x v="1137"/>
    <x v="2"/>
    <x v="0"/>
    <n v="94"/>
    <n v="7.7"/>
    <n v="5000000"/>
    <n v="1082044"/>
  </r>
  <r>
    <s v="Light Sleeper"/>
    <x v="1213"/>
    <x v="6"/>
    <x v="0"/>
    <n v="103"/>
    <n v="6.8"/>
    <n v="5000000"/>
    <n v="1100000"/>
  </r>
  <r>
    <s v="Kill the Messenger"/>
    <x v="1636"/>
    <x v="7"/>
    <x v="0"/>
    <n v="112"/>
    <n v="7"/>
    <n v="5000000"/>
    <n v="2445646"/>
  </r>
  <r>
    <s v="Rabbit Hole"/>
    <x v="1554"/>
    <x v="2"/>
    <x v="0"/>
    <n v="91"/>
    <n v="7"/>
    <n v="5000000"/>
    <n v="2221809"/>
  </r>
  <r>
    <s v="Party Monster"/>
    <x v="1637"/>
    <x v="7"/>
    <x v="0"/>
    <n v="98"/>
    <n v="6.3"/>
    <n v="5000000"/>
    <n v="296665"/>
  </r>
  <r>
    <s v="Green Room"/>
    <x v="1638"/>
    <x v="6"/>
    <x v="0"/>
    <n v="95"/>
    <n v="7.1"/>
    <n v="5000000"/>
    <n v="3219029"/>
  </r>
  <r>
    <s v="The Oh in Ohio"/>
    <x v="1639"/>
    <x v="4"/>
    <x v="0"/>
    <n v="88"/>
    <n v="5.6"/>
    <n v="5000000"/>
    <n v="25078937"/>
  </r>
  <r>
    <s v="Atlas Shrugged: Who Is John Galt?"/>
    <x v="1640"/>
    <x v="2"/>
    <x v="0"/>
    <n v="99"/>
    <n v="4.4000000000000004"/>
    <n v="5000000"/>
    <n v="830210"/>
  </r>
  <r>
    <s v="Bottle Rocket"/>
    <x v="466"/>
    <x v="4"/>
    <x v="0"/>
    <n v="91"/>
    <n v="7.1"/>
    <n v="7000000"/>
    <n v="1040879"/>
  </r>
  <r>
    <s v="Albino Alligator"/>
    <x v="856"/>
    <x v="6"/>
    <x v="0"/>
    <n v="97"/>
    <n v="6.1"/>
    <n v="5000000"/>
    <n v="326308"/>
  </r>
  <r>
    <s v="Gandhi, My Father"/>
    <x v="1641"/>
    <x v="7"/>
    <x v="7"/>
    <n v="136"/>
    <n v="7.4"/>
    <n v="20000000"/>
    <n v="240425"/>
  </r>
  <r>
    <s v="Standard Operating Procedure"/>
    <x v="1642"/>
    <x v="6"/>
    <x v="0"/>
    <n v="118"/>
    <n v="7.5"/>
    <n v="20000000"/>
    <n v="228830"/>
  </r>
  <r>
    <s v="Out of the Blue"/>
    <x v="1643"/>
    <x v="2"/>
    <x v="0"/>
    <n v="94"/>
    <n v="7.2"/>
    <n v="2200000"/>
    <n v="25078937"/>
  </r>
  <r>
    <s v="Tucker and Dale vs Evil"/>
    <x v="1644"/>
    <x v="4"/>
    <x v="0"/>
    <n v="89"/>
    <n v="7.6"/>
    <n v="20000000"/>
    <n v="223615"/>
  </r>
  <r>
    <s v="Lovely, Still"/>
    <x v="1645"/>
    <x v="2"/>
    <x v="0"/>
    <n v="90"/>
    <n v="7.3"/>
    <n v="5000000"/>
    <n v="124720"/>
  </r>
  <r>
    <s v="Tycoon"/>
    <x v="1646"/>
    <x v="1"/>
    <x v="0"/>
    <n v="95"/>
    <n v="6.2"/>
    <n v="3209000"/>
    <n v="25078937"/>
  </r>
  <r>
    <s v="Desert Blue"/>
    <x v="1647"/>
    <x v="2"/>
    <x v="0"/>
    <n v="90"/>
    <n v="6.2"/>
    <n v="2000000"/>
    <n v="99147"/>
  </r>
  <r>
    <s v="Decoys"/>
    <x v="1648"/>
    <x v="4"/>
    <x v="0"/>
    <n v="95"/>
    <n v="4.5999999999999996"/>
    <n v="5000000"/>
    <n v="25078937"/>
  </r>
  <r>
    <s v="The Visit"/>
    <x v="92"/>
    <x v="11"/>
    <x v="0"/>
    <n v="94"/>
    <n v="6.2"/>
    <n v="5000000"/>
    <n v="65069140"/>
  </r>
  <r>
    <s v="Redacted"/>
    <x v="205"/>
    <x v="6"/>
    <x v="0"/>
    <n v="90"/>
    <n v="6.2"/>
    <n v="5000000"/>
    <n v="65087"/>
  </r>
  <r>
    <s v="Fascination"/>
    <x v="1649"/>
    <x v="5"/>
    <x v="0"/>
    <n v="103"/>
    <n v="3.3"/>
    <n v="5000000"/>
    <n v="16066"/>
  </r>
  <r>
    <s v="Area 51"/>
    <x v="1650"/>
    <x v="11"/>
    <x v="0"/>
    <n v="91"/>
    <n v="4.2"/>
    <n v="5000000"/>
    <n v="25078937"/>
  </r>
  <r>
    <s v="Sleep Tight"/>
    <x v="1290"/>
    <x v="2"/>
    <x v="5"/>
    <n v="102"/>
    <n v="7.2"/>
    <n v="5000000"/>
    <n v="25078937"/>
  </r>
  <r>
    <s v="The Cottage"/>
    <x v="1651"/>
    <x v="4"/>
    <x v="0"/>
    <n v="92"/>
    <n v="6.2"/>
    <n v="2500000"/>
    <n v="25078937"/>
  </r>
  <r>
    <s v="Dead Like Me: Life After Death"/>
    <x v="388"/>
    <x v="4"/>
    <x v="0"/>
    <n v="87"/>
    <n v="6.1"/>
    <n v="5000000"/>
    <n v="25078937"/>
  </r>
  <r>
    <s v="Farce of the Penguins"/>
    <x v="1198"/>
    <x v="3"/>
    <x v="0"/>
    <n v="80"/>
    <n v="4.2"/>
    <n v="20000000"/>
    <n v="25078937"/>
  </r>
  <r>
    <s v="Flying By"/>
    <x v="1652"/>
    <x v="2"/>
    <x v="0"/>
    <n v="90"/>
    <n v="4.5"/>
    <n v="20000000"/>
    <n v="25078937"/>
  </r>
  <r>
    <s v="Rudderless"/>
    <x v="1653"/>
    <x v="4"/>
    <x v="0"/>
    <n v="105"/>
    <n v="7.5"/>
    <n v="5000000"/>
    <n v="37440"/>
  </r>
  <r>
    <s v="Henry &amp; Me"/>
    <x v="1654"/>
    <x v="3"/>
    <x v="0"/>
    <n v="67"/>
    <n v="6.7"/>
    <n v="10000000"/>
    <n v="25078937"/>
  </r>
  <r>
    <s v="Christmas Eve"/>
    <x v="1499"/>
    <x v="4"/>
    <x v="0"/>
    <n v="95"/>
    <n v="5.0999999999999996"/>
    <n v="20000000"/>
    <n v="25078937"/>
  </r>
  <r>
    <s v="We Have Your Husband"/>
    <x v="1336"/>
    <x v="6"/>
    <x v="0"/>
    <n v="87"/>
    <n v="5.5"/>
    <n v="5000000"/>
    <n v="25078937"/>
  </r>
  <r>
    <s v="Dying of the Light"/>
    <x v="1213"/>
    <x v="2"/>
    <x v="0"/>
    <n v="94"/>
    <n v="4.4000000000000004"/>
    <n v="5000000"/>
    <n v="25078937"/>
  </r>
  <r>
    <s v="Born of War"/>
    <x v="1655"/>
    <x v="0"/>
    <x v="0"/>
    <n v="109"/>
    <n v="4.4000000000000004"/>
    <n v="5000000"/>
    <n v="25078937"/>
  </r>
  <r>
    <s v="Capricorn One"/>
    <x v="173"/>
    <x v="0"/>
    <x v="0"/>
    <n v="130"/>
    <n v="6.8"/>
    <n v="5000000"/>
    <n v="25078937"/>
  </r>
  <r>
    <s v="Running Forever"/>
    <x v="1656"/>
    <x v="14"/>
    <x v="0"/>
    <n v="88"/>
    <n v="8.6"/>
    <n v="5000000"/>
    <n v="25078937"/>
  </r>
  <r>
    <s v="Yoga Hosers"/>
    <x v="605"/>
    <x v="4"/>
    <x v="0"/>
    <n v="88"/>
    <n v="4.8"/>
    <n v="5000000"/>
    <n v="25078937"/>
  </r>
  <r>
    <s v="Navy Seals vs. Zombies"/>
    <x v="1657"/>
    <x v="0"/>
    <x v="0"/>
    <n v="97"/>
    <n v="3.4"/>
    <n v="20000000"/>
    <n v="25078937"/>
  </r>
  <r>
    <s v="I Served the King of England"/>
    <x v="1658"/>
    <x v="4"/>
    <x v="31"/>
    <n v="113"/>
    <n v="7.4"/>
    <n v="84450000"/>
    <n v="617228"/>
  </r>
  <r>
    <s v="Soul Kitchen"/>
    <x v="1659"/>
    <x v="4"/>
    <x v="13"/>
    <n v="99"/>
    <n v="7.3"/>
    <n v="4000000"/>
    <n v="274385"/>
  </r>
  <r>
    <s v="Sling Blade"/>
    <x v="511"/>
    <x v="2"/>
    <x v="0"/>
    <n v="148"/>
    <n v="8"/>
    <n v="890000"/>
    <n v="24475416"/>
  </r>
  <r>
    <s v="The Awakening"/>
    <x v="1660"/>
    <x v="11"/>
    <x v="0"/>
    <n v="107"/>
    <n v="6.5"/>
    <n v="3000000"/>
    <n v="25078937"/>
  </r>
  <r>
    <s v="Hostel"/>
    <x v="1476"/>
    <x v="11"/>
    <x v="0"/>
    <n v="93"/>
    <n v="5.9"/>
    <n v="4800000"/>
    <n v="47277326"/>
  </r>
  <r>
    <s v="Tristram Shandy: A Cock and Bull Story"/>
    <x v="785"/>
    <x v="4"/>
    <x v="0"/>
    <n v="94"/>
    <n v="6.8"/>
    <n v="2800000"/>
    <n v="1247453"/>
  </r>
  <r>
    <s v="Take Shelter"/>
    <x v="1003"/>
    <x v="2"/>
    <x v="0"/>
    <n v="121"/>
    <n v="7.4"/>
    <n v="5000000"/>
    <n v="1729969"/>
  </r>
  <r>
    <s v="Lady in White"/>
    <x v="1661"/>
    <x v="8"/>
    <x v="0"/>
    <n v="118"/>
    <n v="6.7"/>
    <n v="4700000"/>
    <n v="1705139"/>
  </r>
  <r>
    <s v="Driving Lessons"/>
    <x v="1662"/>
    <x v="4"/>
    <x v="0"/>
    <n v="98"/>
    <n v="6.8"/>
    <n v="20000000"/>
    <n v="238774"/>
  </r>
  <r>
    <s v="Let's Kill Ward's Wife"/>
    <x v="1663"/>
    <x v="4"/>
    <x v="0"/>
    <n v="82"/>
    <n v="5.4"/>
    <n v="5000000"/>
    <n v="25078937"/>
  </r>
  <r>
    <s v="The Texas Chainsaw Massacre 2"/>
    <x v="620"/>
    <x v="4"/>
    <x v="0"/>
    <n v="101"/>
    <n v="5.5"/>
    <n v="4700000"/>
    <n v="8025872"/>
  </r>
  <r>
    <s v="Pat Garrett &amp; Billy the Kid"/>
    <x v="1558"/>
    <x v="7"/>
    <x v="0"/>
    <n v="106"/>
    <n v="7.4"/>
    <n v="4638783"/>
    <n v="25078937"/>
  </r>
  <r>
    <s v="Only God Forgives"/>
    <x v="1094"/>
    <x v="6"/>
    <x v="0"/>
    <n v="90"/>
    <n v="5.7"/>
    <n v="4800000"/>
    <n v="778565"/>
  </r>
  <r>
    <s v="Camping sauvage"/>
    <x v="1664"/>
    <x v="2"/>
    <x v="2"/>
    <n v="79"/>
    <n v="5.4"/>
    <n v="20000000"/>
    <n v="25078937"/>
  </r>
  <r>
    <s v="Without Men"/>
    <x v="1665"/>
    <x v="4"/>
    <x v="0"/>
    <n v="87"/>
    <n v="3.2"/>
    <n v="4700000"/>
    <n v="25078937"/>
  </r>
  <r>
    <s v="Dear Frankie"/>
    <x v="1666"/>
    <x v="2"/>
    <x v="0"/>
    <n v="105"/>
    <n v="7.8"/>
    <n v="20000000"/>
    <n v="1340891"/>
  </r>
  <r>
    <s v="All Hat"/>
    <x v="1667"/>
    <x v="16"/>
    <x v="0"/>
    <n v="89"/>
    <n v="5.3"/>
    <n v="5000000"/>
    <n v="25078937"/>
  </r>
  <r>
    <s v="The Names of Love"/>
    <x v="1668"/>
    <x v="4"/>
    <x v="2"/>
    <n v="100"/>
    <n v="7.2"/>
    <n v="4600000"/>
    <n v="513836"/>
  </r>
  <r>
    <s v="Treading Water"/>
    <x v="1669"/>
    <x v="4"/>
    <x v="0"/>
    <n v="92"/>
    <n v="6.2"/>
    <n v="4700000"/>
    <n v="25078937"/>
  </r>
  <r>
    <s v="Savage Grace"/>
    <x v="1670"/>
    <x v="2"/>
    <x v="0"/>
    <n v="97"/>
    <n v="5.9"/>
    <n v="4600000"/>
    <n v="434417"/>
  </r>
  <r>
    <s v="Police Academy"/>
    <x v="628"/>
    <x v="4"/>
    <x v="0"/>
    <n v="96"/>
    <n v="6.7"/>
    <n v="4500000"/>
    <n v="81200000"/>
  </r>
  <r>
    <s v="The Blue Lagoon"/>
    <x v="1165"/>
    <x v="1"/>
    <x v="0"/>
    <n v="104"/>
    <n v="5.7"/>
    <n v="4500000"/>
    <n v="25078937"/>
  </r>
  <r>
    <s v="Four Weddings and a Funeral"/>
    <x v="35"/>
    <x v="4"/>
    <x v="0"/>
    <n v="117"/>
    <n v="7.1"/>
    <n v="4500000"/>
    <n v="52700832"/>
  </r>
  <r>
    <s v="Fast Times at Ridgemont High"/>
    <x v="936"/>
    <x v="4"/>
    <x v="0"/>
    <n v="90"/>
    <n v="7.2"/>
    <n v="4500000"/>
    <n v="25078937"/>
  </r>
  <r>
    <s v="Moby Dick"/>
    <x v="1671"/>
    <x v="1"/>
    <x v="0"/>
    <n v="115"/>
    <n v="7.4"/>
    <n v="4500000"/>
    <n v="25078937"/>
  </r>
  <r>
    <s v="25th Hour"/>
    <x v="433"/>
    <x v="2"/>
    <x v="0"/>
    <n v="108"/>
    <n v="7.7"/>
    <n v="15000000"/>
    <n v="13060843"/>
  </r>
  <r>
    <s v="Bound"/>
    <x v="43"/>
    <x v="6"/>
    <x v="0"/>
    <n v="109"/>
    <n v="7.4"/>
    <n v="4500000"/>
    <n v="3798532"/>
  </r>
  <r>
    <s v="Requiem for a Dream"/>
    <x v="119"/>
    <x v="2"/>
    <x v="0"/>
    <n v="102"/>
    <n v="8.4"/>
    <n v="4500000"/>
    <n v="3609278"/>
  </r>
  <r>
    <s v="State Fair"/>
    <x v="1672"/>
    <x v="17"/>
    <x v="0"/>
    <n v="100"/>
    <n v="7.1"/>
    <n v="20000000"/>
    <n v="25078937"/>
  </r>
  <r>
    <s v="Tango"/>
    <x v="1673"/>
    <x v="2"/>
    <x v="5"/>
    <n v="115"/>
    <n v="7.2"/>
    <n v="700000000"/>
    <n v="1687311"/>
  </r>
  <r>
    <s v="Salvador"/>
    <x v="77"/>
    <x v="2"/>
    <x v="0"/>
    <n v="122"/>
    <n v="7.5"/>
    <n v="4500000"/>
    <n v="25078937"/>
  </r>
  <r>
    <s v="Moms' Night Out"/>
    <x v="1674"/>
    <x v="4"/>
    <x v="0"/>
    <n v="98"/>
    <n v="5.4"/>
    <n v="5000000"/>
    <n v="10429707"/>
  </r>
  <r>
    <s v="Donnie Darko"/>
    <x v="821"/>
    <x v="2"/>
    <x v="0"/>
    <n v="133"/>
    <n v="8.1"/>
    <n v="4500000"/>
    <n v="727883"/>
  </r>
  <r>
    <s v="Saving Private Perez"/>
    <x v="1675"/>
    <x v="1"/>
    <x v="5"/>
    <n v="105"/>
    <n v="6"/>
    <n v="20000000"/>
    <n v="1391770"/>
  </r>
  <r>
    <s v="Character"/>
    <x v="1676"/>
    <x v="6"/>
    <x v="16"/>
    <n v="122"/>
    <n v="7.8"/>
    <n v="4500000"/>
    <n v="713413"/>
  </r>
  <r>
    <s v="Spun"/>
    <x v="1677"/>
    <x v="4"/>
    <x v="0"/>
    <n v="106"/>
    <n v="6.8"/>
    <n v="2000000"/>
    <n v="410241"/>
  </r>
  <r>
    <s v="Life During Wartime"/>
    <x v="1678"/>
    <x v="4"/>
    <x v="0"/>
    <n v="98"/>
    <n v="6.5"/>
    <n v="20000000"/>
    <n v="278821"/>
  </r>
  <r>
    <s v="Lady Vengeance"/>
    <x v="1252"/>
    <x v="6"/>
    <x v="22"/>
    <n v="112"/>
    <n v="7.7"/>
    <n v="4200000000"/>
    <n v="211667"/>
  </r>
  <r>
    <s v="Mozart's Sister"/>
    <x v="1679"/>
    <x v="7"/>
    <x v="2"/>
    <n v="120"/>
    <n v="6.4"/>
    <n v="20000000"/>
    <n v="706622"/>
  </r>
  <r>
    <s v="Mean Machine"/>
    <x v="1680"/>
    <x v="4"/>
    <x v="0"/>
    <n v="99"/>
    <n v="6.5"/>
    <n v="2500000"/>
    <n v="92191"/>
  </r>
  <r>
    <s v="Exiled"/>
    <x v="1681"/>
    <x v="0"/>
    <x v="12"/>
    <n v="110"/>
    <n v="7.3"/>
    <n v="35000000"/>
    <n v="49413"/>
  </r>
  <r>
    <s v="Blackthorn"/>
    <x v="1682"/>
    <x v="0"/>
    <x v="0"/>
    <n v="102"/>
    <n v="6.6"/>
    <n v="20000000"/>
    <n v="199652"/>
  </r>
  <r>
    <s v="Lilya 4-Ever"/>
    <x v="1683"/>
    <x v="6"/>
    <x v="8"/>
    <n v="109"/>
    <n v="7.9"/>
    <n v="20000000"/>
    <n v="181655"/>
  </r>
  <r>
    <s v="After.Life"/>
    <x v="1684"/>
    <x v="2"/>
    <x v="0"/>
    <n v="104"/>
    <n v="5.9"/>
    <n v="4500000"/>
    <n v="108229"/>
  </r>
  <r>
    <s v="Fugly"/>
    <x v="1685"/>
    <x v="2"/>
    <x v="7"/>
    <n v="134"/>
    <n v="4.7"/>
    <n v="20000000"/>
    <n v="25078937"/>
  </r>
  <r>
    <s v="One Flew Over the Cuckoo's Nest"/>
    <x v="425"/>
    <x v="2"/>
    <x v="0"/>
    <n v="133"/>
    <n v="8.6999999999999993"/>
    <n v="4400000"/>
    <n v="112000000"/>
  </r>
  <r>
    <s v="R.L. Stine's Monsterville: The Cabinet of Souls"/>
    <x v="1686"/>
    <x v="4"/>
    <x v="0"/>
    <n v="85"/>
    <n v="5.9"/>
    <n v="4400000"/>
    <n v="25078937"/>
  </r>
  <r>
    <s v="Airlift"/>
    <x v="1687"/>
    <x v="0"/>
    <x v="7"/>
    <n v="130"/>
    <n v="8.5"/>
    <n v="4400000"/>
    <n v="25078937"/>
  </r>
  <r>
    <s v="Falcon Rising"/>
    <x v="1489"/>
    <x v="0"/>
    <x v="0"/>
    <n v="103"/>
    <n v="5.8"/>
    <n v="4500000"/>
    <n v="8691"/>
  </r>
  <r>
    <s v="The Sweeney"/>
    <x v="1688"/>
    <x v="0"/>
    <x v="0"/>
    <n v="112"/>
    <n v="6.1"/>
    <n v="3000000"/>
    <n v="26345"/>
  </r>
  <r>
    <s v="Sexy Beast"/>
    <x v="951"/>
    <x v="6"/>
    <x v="0"/>
    <n v="89"/>
    <n v="7.3"/>
    <n v="20000000"/>
    <n v="6940281"/>
  </r>
  <r>
    <s v="Easy Money"/>
    <x v="215"/>
    <x v="0"/>
    <x v="21"/>
    <n v="124"/>
    <n v="6.7"/>
    <n v="20000000"/>
    <n v="188870"/>
  </r>
  <r>
    <s v="Whale Rider"/>
    <x v="721"/>
    <x v="2"/>
    <x v="0"/>
    <n v="101"/>
    <n v="7.6"/>
    <n v="6000000"/>
    <n v="20772796"/>
  </r>
  <r>
    <s v="Paa"/>
    <x v="1689"/>
    <x v="4"/>
    <x v="7"/>
    <n v="133"/>
    <n v="7.2"/>
    <n v="150000000"/>
    <n v="199228"/>
  </r>
  <r>
    <s v="Cargo"/>
    <x v="1690"/>
    <x v="5"/>
    <x v="13"/>
    <n v="112"/>
    <n v="6.2"/>
    <n v="4500000"/>
    <n v="25078937"/>
  </r>
  <r>
    <s v="High School Musical"/>
    <x v="349"/>
    <x v="4"/>
    <x v="0"/>
    <n v="98"/>
    <n v="5.2"/>
    <n v="4200000"/>
    <n v="25078937"/>
  </r>
  <r>
    <s v="Love and Death on Long Island"/>
    <x v="1350"/>
    <x v="4"/>
    <x v="0"/>
    <n v="93"/>
    <n v="7.1"/>
    <n v="20000000"/>
    <n v="2542264"/>
  </r>
  <r>
    <s v="Night Watch"/>
    <x v="200"/>
    <x v="8"/>
    <x v="8"/>
    <n v="104"/>
    <n v="6.5"/>
    <n v="4200000"/>
    <n v="1487477"/>
  </r>
  <r>
    <s v="The Crying Game"/>
    <x v="431"/>
    <x v="6"/>
    <x v="0"/>
    <n v="112"/>
    <n v="7.3"/>
    <n v="2300000"/>
    <n v="62549000"/>
  </r>
  <r>
    <s v="Porky's"/>
    <x v="945"/>
    <x v="4"/>
    <x v="0"/>
    <n v="94"/>
    <n v="6.2"/>
    <n v="4000000"/>
    <n v="105500000"/>
  </r>
  <r>
    <s v="Survival of the Dead"/>
    <x v="229"/>
    <x v="11"/>
    <x v="0"/>
    <n v="90"/>
    <n v="5"/>
    <n v="4000000"/>
    <n v="101055"/>
  </r>
  <r>
    <s v="Night of the Living Dead"/>
    <x v="229"/>
    <x v="2"/>
    <x v="0"/>
    <n v="96"/>
    <n v="8"/>
    <n v="114000"/>
    <n v="25078937"/>
  </r>
  <r>
    <s v="Lost in Translation"/>
    <x v="567"/>
    <x v="2"/>
    <x v="0"/>
    <n v="101"/>
    <n v="7.8"/>
    <n v="4000000"/>
    <n v="44566004"/>
  </r>
  <r>
    <s v="Annie Hall"/>
    <x v="691"/>
    <x v="4"/>
    <x v="0"/>
    <n v="93"/>
    <n v="8.1"/>
    <n v="4000000"/>
    <n v="39200000"/>
  </r>
  <r>
    <s v="The Greatest Show on Earth"/>
    <x v="1691"/>
    <x v="2"/>
    <x v="0"/>
    <n v="152"/>
    <n v="6.7"/>
    <n v="4000000"/>
    <n v="36000000"/>
  </r>
  <r>
    <s v="Monster's Ball"/>
    <x v="11"/>
    <x v="2"/>
    <x v="0"/>
    <n v="112"/>
    <n v="7.1"/>
    <n v="4000000"/>
    <n v="31252964"/>
  </r>
  <r>
    <s v="Maggie"/>
    <x v="1692"/>
    <x v="2"/>
    <x v="0"/>
    <n v="95"/>
    <n v="5.6"/>
    <n v="8500000"/>
    <n v="131175"/>
  </r>
  <r>
    <s v="Leaving Las Vegas"/>
    <x v="1693"/>
    <x v="2"/>
    <x v="0"/>
    <n v="111"/>
    <n v="7.6"/>
    <n v="3600000"/>
    <n v="31968347"/>
  </r>
  <r>
    <s v="Hansel &amp; Gretel Get Baked"/>
    <x v="1694"/>
    <x v="4"/>
    <x v="0"/>
    <n v="86"/>
    <n v="4.3"/>
    <n v="4500000"/>
    <n v="25078937"/>
  </r>
  <r>
    <s v="The Front Page"/>
    <x v="1695"/>
    <x v="4"/>
    <x v="0"/>
    <n v="105"/>
    <n v="7.3"/>
    <n v="4000000"/>
    <n v="25078937"/>
  </r>
  <r>
    <s v="The Boy Next Door"/>
    <x v="48"/>
    <x v="5"/>
    <x v="0"/>
    <n v="91"/>
    <n v="4.5999999999999996"/>
    <n v="4000000"/>
    <n v="35385560"/>
  </r>
  <r>
    <s v="Trapeze"/>
    <x v="1301"/>
    <x v="2"/>
    <x v="0"/>
    <n v="105"/>
    <n v="6.8"/>
    <n v="4000000"/>
    <n v="25078937"/>
  </r>
  <r>
    <s v="The Kids Are All Right"/>
    <x v="1696"/>
    <x v="4"/>
    <x v="0"/>
    <n v="106"/>
    <n v="7.1"/>
    <n v="3500000"/>
    <n v="20803237"/>
  </r>
  <r>
    <s v="They Live"/>
    <x v="465"/>
    <x v="11"/>
    <x v="0"/>
    <n v="93"/>
    <n v="7.3"/>
    <n v="4000000"/>
    <n v="13008928"/>
  </r>
  <r>
    <s v="The Great Escape"/>
    <x v="1697"/>
    <x v="1"/>
    <x v="0"/>
    <n v="172"/>
    <n v="8.3000000000000007"/>
    <n v="4000000"/>
    <n v="25078937"/>
  </r>
  <r>
    <s v="What the #$*! Do We (K)now!?"/>
    <x v="1698"/>
    <x v="4"/>
    <x v="0"/>
    <n v="109"/>
    <n v="5.4"/>
    <n v="20000000"/>
    <n v="10941801"/>
  </r>
  <r>
    <s v="The Last Exorcism Part II"/>
    <x v="1699"/>
    <x v="2"/>
    <x v="0"/>
    <n v="93"/>
    <n v="4"/>
    <n v="5000000"/>
    <n v="15152879"/>
  </r>
  <r>
    <s v="Boyhood"/>
    <x v="771"/>
    <x v="2"/>
    <x v="0"/>
    <n v="165"/>
    <n v="8"/>
    <n v="4000000"/>
    <n v="25359200"/>
  </r>
  <r>
    <s v="Scoop"/>
    <x v="691"/>
    <x v="4"/>
    <x v="0"/>
    <n v="96"/>
    <n v="6.7"/>
    <n v="4000000"/>
    <n v="10515579"/>
  </r>
  <r>
    <s v="The Wash"/>
    <x v="1700"/>
    <x v="4"/>
    <x v="0"/>
    <n v="93"/>
    <n v="4.5999999999999996"/>
    <n v="4000000"/>
    <n v="10097096"/>
  </r>
  <r>
    <s v="3 Strikes"/>
    <x v="1700"/>
    <x v="4"/>
    <x v="0"/>
    <n v="82"/>
    <n v="4"/>
    <n v="6000000"/>
    <n v="9821335"/>
  </r>
  <r>
    <s v="The Cooler"/>
    <x v="1034"/>
    <x v="6"/>
    <x v="0"/>
    <n v="101"/>
    <n v="7"/>
    <n v="3200000"/>
    <n v="8243880"/>
  </r>
  <r>
    <s v="The Misfits"/>
    <x v="1671"/>
    <x v="2"/>
    <x v="0"/>
    <n v="120"/>
    <n v="7.4"/>
    <n v="4000000"/>
    <n v="25078937"/>
  </r>
  <r>
    <s v="The Night Listener"/>
    <x v="1557"/>
    <x v="6"/>
    <x v="0"/>
    <n v="81"/>
    <n v="5.9"/>
    <n v="4000000"/>
    <n v="7825820"/>
  </r>
  <r>
    <s v="The Jerky Boys"/>
    <x v="1701"/>
    <x v="4"/>
    <x v="0"/>
    <n v="82"/>
    <n v="4.5999999999999996"/>
    <n v="20000000"/>
    <n v="7557877"/>
  </r>
  <r>
    <s v="The Orphanage"/>
    <x v="569"/>
    <x v="2"/>
    <x v="5"/>
    <n v="105"/>
    <n v="7.5"/>
    <n v="3400000"/>
    <n v="7159147"/>
  </r>
  <r>
    <s v="A Haunted House 2"/>
    <x v="1622"/>
    <x v="4"/>
    <x v="0"/>
    <n v="86"/>
    <n v="4.7"/>
    <n v="4000000"/>
    <n v="17314483"/>
  </r>
  <r>
    <s v="The Rules of Attraction"/>
    <x v="1702"/>
    <x v="4"/>
    <x v="0"/>
    <n v="110"/>
    <n v="6.7"/>
    <n v="4000000"/>
    <n v="6525762"/>
  </r>
  <r>
    <s v="Topaz"/>
    <x v="926"/>
    <x v="2"/>
    <x v="0"/>
    <n v="127"/>
    <n v="6.3"/>
    <n v="4000000"/>
    <n v="25078937"/>
  </r>
  <r>
    <s v="Let's Go to Prison"/>
    <x v="1351"/>
    <x v="4"/>
    <x v="0"/>
    <n v="90"/>
    <n v="6"/>
    <n v="20000000"/>
    <n v="4613815"/>
  </r>
  <r>
    <s v="Four Rooms"/>
    <x v="1703"/>
    <x v="4"/>
    <x v="0"/>
    <n v="110"/>
    <n v="6.7"/>
    <n v="4000000"/>
    <n v="4301331"/>
  </r>
  <r>
    <s v="Secretary"/>
    <x v="1043"/>
    <x v="4"/>
    <x v="0"/>
    <n v="104"/>
    <n v="7.1"/>
    <n v="4000000"/>
    <n v="4046737"/>
  </r>
  <r>
    <s v="The Real Cancun"/>
    <x v="1704"/>
    <x v="9"/>
    <x v="0"/>
    <n v="96"/>
    <n v="2.7"/>
    <n v="8000000"/>
    <n v="3713002"/>
  </r>
  <r>
    <s v="Talk Radio"/>
    <x v="77"/>
    <x v="2"/>
    <x v="0"/>
    <n v="110"/>
    <n v="7.3"/>
    <n v="4000000"/>
    <n v="3468572"/>
  </r>
  <r>
    <s v="Waiting for Guffman"/>
    <x v="1245"/>
    <x v="4"/>
    <x v="0"/>
    <n v="84"/>
    <n v="7.6"/>
    <n v="4000000"/>
    <n v="2892582"/>
  </r>
  <r>
    <s v="Love Stinks"/>
    <x v="1705"/>
    <x v="4"/>
    <x v="0"/>
    <n v="94"/>
    <n v="5.8"/>
    <n v="4000000"/>
    <n v="2800000"/>
  </r>
  <r>
    <s v="You Kill Me"/>
    <x v="386"/>
    <x v="4"/>
    <x v="0"/>
    <n v="93"/>
    <n v="6.5"/>
    <n v="4000000"/>
    <n v="2426851"/>
  </r>
  <r>
    <s v="Thumbsucker"/>
    <x v="1706"/>
    <x v="4"/>
    <x v="0"/>
    <n v="96"/>
    <n v="6.6"/>
    <n v="4000000"/>
    <n v="1325073"/>
  </r>
  <r>
    <s v="Red State"/>
    <x v="605"/>
    <x v="0"/>
    <x v="0"/>
    <n v="88"/>
    <n v="6.2"/>
    <n v="4000000"/>
    <n v="25078937"/>
  </r>
  <r>
    <s v="Mirrormask"/>
    <x v="1707"/>
    <x v="1"/>
    <x v="0"/>
    <n v="101"/>
    <n v="6.9"/>
    <n v="4000000"/>
    <n v="864959"/>
  </r>
  <r>
    <s v="The Barbarians"/>
    <x v="1708"/>
    <x v="1"/>
    <x v="0"/>
    <n v="87"/>
    <n v="4.8"/>
    <n v="4000000"/>
    <n v="800000"/>
  </r>
  <r>
    <s v="The Art of Getting By"/>
    <x v="1709"/>
    <x v="2"/>
    <x v="0"/>
    <n v="83"/>
    <n v="6.6"/>
    <n v="20000000"/>
    <n v="1429260"/>
  </r>
  <r>
    <s v="Zipper"/>
    <x v="1710"/>
    <x v="2"/>
    <x v="0"/>
    <n v="103"/>
    <n v="5.7"/>
    <n v="4500000"/>
    <n v="25078937"/>
  </r>
  <r>
    <s v="Poolhall Junkies"/>
    <x v="1711"/>
    <x v="2"/>
    <x v="0"/>
    <n v="99"/>
    <n v="7"/>
    <n v="4000000"/>
    <n v="562059"/>
  </r>
  <r>
    <s v="The Loss of Sexual Innocence"/>
    <x v="1693"/>
    <x v="2"/>
    <x v="0"/>
    <n v="106"/>
    <n v="5.4"/>
    <n v="4000000"/>
    <n v="399793"/>
  </r>
  <r>
    <s v="Holy Motors"/>
    <x v="1712"/>
    <x v="2"/>
    <x v="2"/>
    <n v="115"/>
    <n v="7.1"/>
    <n v="20000000"/>
    <n v="25078937"/>
  </r>
  <r>
    <s v="Joe"/>
    <x v="469"/>
    <x v="2"/>
    <x v="0"/>
    <n v="117"/>
    <n v="6.9"/>
    <n v="4000000"/>
    <n v="371897"/>
  </r>
  <r>
    <s v="Shooting Fish"/>
    <x v="1713"/>
    <x v="4"/>
    <x v="0"/>
    <n v="99"/>
    <n v="6.6"/>
    <n v="3000000"/>
    <n v="302204"/>
  </r>
  <r>
    <s v="Prison"/>
    <x v="196"/>
    <x v="6"/>
    <x v="0"/>
    <n v="102"/>
    <n v="5.9"/>
    <n v="1300000"/>
    <n v="354704"/>
  </r>
  <r>
    <s v="Psycho Beach Party"/>
    <x v="1714"/>
    <x v="4"/>
    <x v="0"/>
    <n v="85"/>
    <n v="6.3"/>
    <n v="1500000"/>
    <n v="265107"/>
  </r>
  <r>
    <s v="The Big Tease"/>
    <x v="776"/>
    <x v="4"/>
    <x v="0"/>
    <n v="86"/>
    <n v="6.3"/>
    <n v="4000000"/>
    <n v="185577"/>
  </r>
  <r>
    <s v="Buen Día, Ramón"/>
    <x v="1715"/>
    <x v="2"/>
    <x v="13"/>
    <n v="120"/>
    <n v="7.7"/>
    <n v="4000000"/>
    <n v="100412"/>
  </r>
  <r>
    <s v="Trust"/>
    <x v="1334"/>
    <x v="6"/>
    <x v="0"/>
    <n v="106"/>
    <n v="7"/>
    <n v="9500000"/>
    <n v="58214"/>
  </r>
  <r>
    <s v="An Everlasting Piece"/>
    <x v="273"/>
    <x v="4"/>
    <x v="0"/>
    <n v="103"/>
    <n v="6.3"/>
    <n v="14000000"/>
    <n v="75078"/>
  </r>
  <r>
    <s v="Among Giants"/>
    <x v="1192"/>
    <x v="4"/>
    <x v="0"/>
    <n v="93"/>
    <n v="5.9"/>
    <n v="2500000"/>
    <n v="64359"/>
  </r>
  <r>
    <s v="Adore"/>
    <x v="865"/>
    <x v="2"/>
    <x v="0"/>
    <n v="112"/>
    <n v="6.2"/>
    <n v="16000000"/>
    <n v="317125"/>
  </r>
  <r>
    <s v="The Velocity of Gary"/>
    <x v="1716"/>
    <x v="4"/>
    <x v="0"/>
    <n v="100"/>
    <n v="5"/>
    <n v="4000000"/>
    <n v="25078937"/>
  </r>
  <r>
    <s v="Mondays in the Sun"/>
    <x v="1717"/>
    <x v="4"/>
    <x v="5"/>
    <n v="113"/>
    <n v="7.7"/>
    <n v="4000000"/>
    <n v="146402"/>
  </r>
  <r>
    <s v="Stake Land"/>
    <x v="1718"/>
    <x v="2"/>
    <x v="0"/>
    <n v="98"/>
    <n v="6.5"/>
    <n v="650000"/>
    <n v="18469"/>
  </r>
  <r>
    <s v="The Last Time I Committed Suicide"/>
    <x v="568"/>
    <x v="7"/>
    <x v="0"/>
    <n v="92"/>
    <n v="5.8"/>
    <n v="4000000"/>
    <n v="12836"/>
  </r>
  <r>
    <s v="Futuro Beach"/>
    <x v="1719"/>
    <x v="2"/>
    <x v="26"/>
    <n v="106"/>
    <n v="6.1"/>
    <n v="4000000"/>
    <n v="20262"/>
  </r>
  <r>
    <s v="Another Happy Day"/>
    <x v="1720"/>
    <x v="4"/>
    <x v="0"/>
    <n v="119"/>
    <n v="6"/>
    <n v="4000000"/>
    <n v="25078937"/>
  </r>
  <r>
    <s v="A Lonely Place to Die"/>
    <x v="1384"/>
    <x v="0"/>
    <x v="0"/>
    <n v="99"/>
    <n v="6.3"/>
    <n v="4000000"/>
    <n v="25078937"/>
  </r>
  <r>
    <s v="Nothing"/>
    <x v="722"/>
    <x v="4"/>
    <x v="0"/>
    <n v="90"/>
    <n v="6.3"/>
    <n v="20000000"/>
    <n v="25078937"/>
  </r>
  <r>
    <s v="The Geographer Drank His Globe Away"/>
    <x v="1721"/>
    <x v="1"/>
    <x v="8"/>
    <n v="120"/>
    <n v="7.5"/>
    <n v="4000000"/>
    <n v="25078937"/>
  </r>
  <r>
    <s v="1776"/>
    <x v="1722"/>
    <x v="2"/>
    <x v="0"/>
    <n v="168"/>
    <n v="7.6"/>
    <n v="4000000"/>
    <n v="25078937"/>
  </r>
  <r>
    <s v="Inescapable"/>
    <x v="1723"/>
    <x v="2"/>
    <x v="0"/>
    <n v="93"/>
    <n v="5.2"/>
    <n v="4000000"/>
    <n v="4063"/>
  </r>
  <r>
    <s v="Hell's Angels"/>
    <x v="1724"/>
    <x v="2"/>
    <x v="0"/>
    <n v="96"/>
    <n v="7.8"/>
    <n v="3950000"/>
    <n v="25078937"/>
  </r>
  <r>
    <s v="Purple Violets"/>
    <x v="1725"/>
    <x v="4"/>
    <x v="0"/>
    <n v="103"/>
    <n v="6.6"/>
    <n v="4000000"/>
    <n v="25078937"/>
  </r>
  <r>
    <s v="The Veil"/>
    <x v="706"/>
    <x v="11"/>
    <x v="0"/>
    <n v="93"/>
    <n v="4.7"/>
    <n v="4000000"/>
    <n v="25078937"/>
  </r>
  <r>
    <s v="The Loved Ones"/>
    <x v="1726"/>
    <x v="11"/>
    <x v="0"/>
    <n v="84"/>
    <n v="6.7"/>
    <n v="20000000"/>
    <n v="25078937"/>
  </r>
  <r>
    <s v="No Vacancy"/>
    <x v="1435"/>
    <x v="11"/>
    <x v="0"/>
    <n v="81"/>
    <n v="4.2"/>
    <n v="4000000"/>
    <n v="25078937"/>
  </r>
  <r>
    <s v="How to Fall in Love"/>
    <x v="1727"/>
    <x v="4"/>
    <x v="0"/>
    <n v="84"/>
    <n v="6.3"/>
    <n v="4000000"/>
    <n v="25078937"/>
  </r>
  <r>
    <s v="The Perfect Wave"/>
    <x v="1728"/>
    <x v="1"/>
    <x v="0"/>
    <n v="94"/>
    <n v="4.7"/>
    <n v="4000000"/>
    <n v="25078937"/>
  </r>
  <r>
    <s v="A Man for All Seasons"/>
    <x v="1563"/>
    <x v="7"/>
    <x v="0"/>
    <n v="120"/>
    <n v="7.9"/>
    <n v="2000000"/>
    <n v="25078937"/>
  </r>
  <r>
    <s v="Network"/>
    <x v="854"/>
    <x v="2"/>
    <x v="0"/>
    <n v="121"/>
    <n v="8.1"/>
    <n v="3800000"/>
    <n v="25078937"/>
  </r>
  <r>
    <s v="Gone with the Wind"/>
    <x v="1729"/>
    <x v="2"/>
    <x v="0"/>
    <n v="226"/>
    <n v="8.1999999999999993"/>
    <n v="3977000"/>
    <n v="198655278"/>
  </r>
  <r>
    <s v="Desert Dancer"/>
    <x v="1730"/>
    <x v="7"/>
    <x v="0"/>
    <n v="104"/>
    <n v="6"/>
    <n v="4000000"/>
    <n v="143653"/>
  </r>
  <r>
    <s v="Major Dundee"/>
    <x v="1558"/>
    <x v="1"/>
    <x v="0"/>
    <n v="152"/>
    <n v="6.8"/>
    <n v="3800000"/>
    <n v="14873"/>
  </r>
  <r>
    <s v="Down for Life"/>
    <x v="1731"/>
    <x v="2"/>
    <x v="0"/>
    <n v="92"/>
    <n v="7.3"/>
    <n v="20000000"/>
    <n v="25078937"/>
  </r>
  <r>
    <s v="Annie Get Your Gun"/>
    <x v="1732"/>
    <x v="7"/>
    <x v="0"/>
    <n v="107"/>
    <n v="7"/>
    <n v="3768785"/>
    <n v="8000000"/>
  </r>
  <r>
    <s v="Four Lions"/>
    <x v="1733"/>
    <x v="4"/>
    <x v="0"/>
    <n v="97"/>
    <n v="7.3"/>
    <n v="20000000"/>
    <n v="304137"/>
  </r>
  <r>
    <s v="House of Sand"/>
    <x v="1734"/>
    <x v="2"/>
    <x v="26"/>
    <n v="115"/>
    <n v="7.5"/>
    <n v="8000000"/>
    <n v="25078937"/>
  </r>
  <r>
    <s v="Defendor"/>
    <x v="1735"/>
    <x v="4"/>
    <x v="0"/>
    <n v="95"/>
    <n v="6.8"/>
    <n v="3500000"/>
    <n v="37606"/>
  </r>
  <r>
    <s v="The Pirate"/>
    <x v="1736"/>
    <x v="1"/>
    <x v="0"/>
    <n v="102"/>
    <n v="7.1"/>
    <n v="3700000"/>
    <n v="2956000"/>
  </r>
  <r>
    <s v="The Good Heart"/>
    <x v="1737"/>
    <x v="2"/>
    <x v="0"/>
    <n v="99"/>
    <n v="6.9"/>
    <n v="3800000"/>
    <n v="19959"/>
  </r>
  <r>
    <s v="The History Boys"/>
    <x v="994"/>
    <x v="4"/>
    <x v="0"/>
    <n v="109"/>
    <n v="6.9"/>
    <n v="2000000"/>
    <n v="2706659"/>
  </r>
  <r>
    <s v="Midnight Cowboy"/>
    <x v="823"/>
    <x v="2"/>
    <x v="0"/>
    <n v="113"/>
    <n v="7.9"/>
    <n v="3600000"/>
    <n v="25078937"/>
  </r>
  <r>
    <s v="The Full Monty"/>
    <x v="1130"/>
    <x v="4"/>
    <x v="0"/>
    <n v="91"/>
    <n v="7.2"/>
    <n v="3500000"/>
    <n v="45857453"/>
  </r>
  <r>
    <s v="Airplane!"/>
    <x v="1738"/>
    <x v="4"/>
    <x v="0"/>
    <n v="88"/>
    <n v="7.8"/>
    <n v="3500000"/>
    <n v="83400000"/>
  </r>
  <r>
    <s v="Chain of Command"/>
    <x v="1739"/>
    <x v="0"/>
    <x v="0"/>
    <n v="88"/>
    <n v="3.5"/>
    <n v="5000000"/>
    <n v="25078937"/>
  </r>
  <r>
    <s v="Friday"/>
    <x v="269"/>
    <x v="4"/>
    <x v="0"/>
    <n v="97"/>
    <n v="7.3"/>
    <n v="3500000"/>
    <n v="27900000"/>
  </r>
  <r>
    <s v="Menace II Society"/>
    <x v="238"/>
    <x v="6"/>
    <x v="0"/>
    <n v="97"/>
    <n v="7.5"/>
    <n v="3500000"/>
    <n v="27900000"/>
  </r>
  <r>
    <s v="Creepshow 2"/>
    <x v="1740"/>
    <x v="4"/>
    <x v="0"/>
    <n v="85"/>
    <n v="6"/>
    <n v="3500000"/>
    <n v="14000000"/>
  </r>
  <r>
    <s v="The Ballad of Cable Hogue"/>
    <x v="1558"/>
    <x v="4"/>
    <x v="0"/>
    <n v="121"/>
    <n v="7.3"/>
    <n v="3716946"/>
    <n v="25078937"/>
  </r>
  <r>
    <s v="In Cold Blood"/>
    <x v="1741"/>
    <x v="7"/>
    <x v="0"/>
    <n v="134"/>
    <n v="8"/>
    <n v="3500000"/>
    <n v="25078937"/>
  </r>
  <r>
    <s v="The Nun's Story"/>
    <x v="1563"/>
    <x v="2"/>
    <x v="0"/>
    <n v="149"/>
    <n v="7.6"/>
    <n v="3500000"/>
    <n v="25078937"/>
  </r>
  <r>
    <s v="Harper"/>
    <x v="1040"/>
    <x v="0"/>
    <x v="0"/>
    <n v="121"/>
    <n v="7"/>
    <n v="3500000"/>
    <n v="25078937"/>
  </r>
  <r>
    <s v="Frenzy"/>
    <x v="926"/>
    <x v="13"/>
    <x v="0"/>
    <n v="116"/>
    <n v="7.5"/>
    <n v="2000000"/>
    <n v="25078937"/>
  </r>
  <r>
    <s v="The Witch"/>
    <x v="1742"/>
    <x v="11"/>
    <x v="0"/>
    <n v="92"/>
    <n v="6.8"/>
    <n v="3500000"/>
    <n v="25138292"/>
  </r>
  <r>
    <s v="I Got the Hook Up"/>
    <x v="1743"/>
    <x v="4"/>
    <x v="0"/>
    <n v="93"/>
    <n v="3.9"/>
    <n v="3500000"/>
    <n v="10305534"/>
  </r>
  <r>
    <s v="She's the One"/>
    <x v="1725"/>
    <x v="4"/>
    <x v="0"/>
    <n v="96"/>
    <n v="6.1"/>
    <n v="3500000"/>
    <n v="9449219"/>
  </r>
  <r>
    <s v="Gods and Monsters"/>
    <x v="110"/>
    <x v="7"/>
    <x v="0"/>
    <n v="105"/>
    <n v="7.5"/>
    <n v="3500000"/>
    <n v="6390032"/>
  </r>
  <r>
    <s v="The Secret in Their Eyes"/>
    <x v="884"/>
    <x v="2"/>
    <x v="5"/>
    <n v="129"/>
    <n v="8.1999999999999993"/>
    <n v="2000000"/>
    <n v="20167424"/>
  </r>
  <r>
    <s v="Train"/>
    <x v="1744"/>
    <x v="11"/>
    <x v="0"/>
    <n v="94"/>
    <n v="4.8"/>
    <n v="20000000"/>
    <n v="25078937"/>
  </r>
  <r>
    <s v="Evil Dead II"/>
    <x v="5"/>
    <x v="4"/>
    <x v="0"/>
    <n v="37"/>
    <n v="7.8"/>
    <n v="3600000"/>
    <n v="5923044"/>
  </r>
  <r>
    <s v="Pootie Tang"/>
    <x v="1745"/>
    <x v="0"/>
    <x v="0"/>
    <n v="81"/>
    <n v="5.2"/>
    <n v="3000000"/>
    <n v="3293258"/>
  </r>
  <r>
    <s v="Sharknado"/>
    <x v="1746"/>
    <x v="11"/>
    <x v="0"/>
    <n v="97"/>
    <n v="3.3"/>
    <n v="1000000"/>
    <n v="25078937"/>
  </r>
  <r>
    <s v="La otra conquista"/>
    <x v="1747"/>
    <x v="2"/>
    <x v="5"/>
    <n v="106"/>
    <n v="6.8"/>
    <n v="3500000"/>
    <n v="886410"/>
  </r>
  <r>
    <s v="Trollhunter"/>
    <x v="1748"/>
    <x v="4"/>
    <x v="30"/>
    <n v="103"/>
    <n v="7"/>
    <n v="19900000"/>
    <n v="252652"/>
  </r>
  <r>
    <s v="Ira &amp; Abby"/>
    <x v="1749"/>
    <x v="4"/>
    <x v="0"/>
    <n v="101"/>
    <n v="6.5"/>
    <n v="3500000"/>
    <n v="220234"/>
  </r>
  <r>
    <s v="Winter Passing"/>
    <x v="1750"/>
    <x v="4"/>
    <x v="0"/>
    <n v="98"/>
    <n v="6.4"/>
    <n v="3500000"/>
    <n v="101228"/>
  </r>
  <r>
    <s v="D.E.B.S."/>
    <x v="444"/>
    <x v="0"/>
    <x v="0"/>
    <n v="91"/>
    <n v="5.3"/>
    <n v="3500000"/>
    <n v="96793"/>
  </r>
  <r>
    <s v="The Masked Saint"/>
    <x v="1751"/>
    <x v="0"/>
    <x v="0"/>
    <n v="105"/>
    <n v="4.7"/>
    <n v="3500000"/>
    <n v="123777"/>
  </r>
  <r>
    <s v="The Betrayed"/>
    <x v="1752"/>
    <x v="6"/>
    <x v="0"/>
    <n v="98"/>
    <n v="6.1"/>
    <n v="3500000"/>
    <n v="25078937"/>
  </r>
  <r>
    <s v="Taxman"/>
    <x v="1753"/>
    <x v="0"/>
    <x v="0"/>
    <n v="104"/>
    <n v="5.5"/>
    <n v="1000000"/>
    <n v="25078937"/>
  </r>
  <r>
    <s v="2:13"/>
    <x v="1754"/>
    <x v="11"/>
    <x v="0"/>
    <n v="96"/>
    <n v="4.8"/>
    <n v="3500000"/>
    <n v="25078937"/>
  </r>
  <r>
    <s v="Batman: The Dark Knight Returns, Part 2"/>
    <x v="1755"/>
    <x v="0"/>
    <x v="0"/>
    <n v="148"/>
    <n v="8.4"/>
    <n v="3500000"/>
    <n v="25078937"/>
  </r>
  <r>
    <s v="Time to Choose"/>
    <x v="1756"/>
    <x v="9"/>
    <x v="0"/>
    <n v="100"/>
    <n v="7"/>
    <n v="3500000"/>
    <n v="29233"/>
  </r>
  <r>
    <s v="In the Name of the King: The Last Job"/>
    <x v="384"/>
    <x v="0"/>
    <x v="0"/>
    <n v="86"/>
    <n v="3.3"/>
    <n v="3500000"/>
    <n v="25078937"/>
  </r>
  <r>
    <s v="Wicked Blood"/>
    <x v="1757"/>
    <x v="0"/>
    <x v="0"/>
    <n v="92"/>
    <n v="5.4"/>
    <n v="3500000"/>
    <n v="25078937"/>
  </r>
  <r>
    <s v="Dawn Patrol"/>
    <x v="1758"/>
    <x v="2"/>
    <x v="0"/>
    <n v="88"/>
    <n v="4.8"/>
    <n v="3500000"/>
    <n v="25078937"/>
  </r>
  <r>
    <s v="Lords of London"/>
    <x v="1759"/>
    <x v="6"/>
    <x v="0"/>
    <n v="90"/>
    <n v="3.1"/>
    <n v="3440000"/>
    <n v="25078937"/>
  </r>
  <r>
    <s v="High Anxiety"/>
    <x v="868"/>
    <x v="4"/>
    <x v="0"/>
    <n v="94"/>
    <n v="6.7"/>
    <n v="3400000"/>
    <n v="25078937"/>
  </r>
  <r>
    <s v="March of the Penguins"/>
    <x v="1760"/>
    <x v="9"/>
    <x v="2"/>
    <n v="80"/>
    <n v="7.6"/>
    <n v="8000000"/>
    <n v="77413017"/>
  </r>
  <r>
    <s v="Margin Call"/>
    <x v="952"/>
    <x v="7"/>
    <x v="0"/>
    <n v="107"/>
    <n v="7.1"/>
    <n v="3500000"/>
    <n v="5354039"/>
  </r>
  <r>
    <s v="August"/>
    <x v="1761"/>
    <x v="2"/>
    <x v="0"/>
    <n v="99"/>
    <n v="6.1"/>
    <n v="20000000"/>
    <n v="25078937"/>
  </r>
  <r>
    <s v="Choke"/>
    <x v="1762"/>
    <x v="4"/>
    <x v="0"/>
    <n v="92"/>
    <n v="6.5"/>
    <n v="3000000"/>
    <n v="2926565"/>
  </r>
  <r>
    <s v="Whiplash"/>
    <x v="1763"/>
    <x v="2"/>
    <x v="0"/>
    <n v="107"/>
    <n v="8.5"/>
    <n v="3300000"/>
    <n v="13092000"/>
  </r>
  <r>
    <s v="City of God"/>
    <x v="782"/>
    <x v="6"/>
    <x v="26"/>
    <n v="135"/>
    <n v="8.6999999999999993"/>
    <n v="3300000"/>
    <n v="7563397"/>
  </r>
  <r>
    <s v="Human Traffic"/>
    <x v="1764"/>
    <x v="4"/>
    <x v="0"/>
    <n v="99"/>
    <n v="7.1"/>
    <n v="2200000"/>
    <n v="104257"/>
  </r>
  <r>
    <s v="Day One"/>
    <x v="1765"/>
    <x v="7"/>
    <x v="0"/>
    <n v="102"/>
    <n v="6.6"/>
    <n v="3400000"/>
    <n v="25078937"/>
  </r>
  <r>
    <s v="The Dead Girl"/>
    <x v="1766"/>
    <x v="6"/>
    <x v="0"/>
    <n v="93"/>
    <n v="6.7"/>
    <n v="20000000"/>
    <n v="17311"/>
  </r>
  <r>
    <s v="The Hunt"/>
    <x v="1466"/>
    <x v="2"/>
    <x v="28"/>
    <n v="115"/>
    <n v="8.3000000000000007"/>
    <n v="3800000"/>
    <n v="610968"/>
  </r>
  <r>
    <s v="A Christmas Story"/>
    <x v="945"/>
    <x v="4"/>
    <x v="0"/>
    <n v="94"/>
    <n v="8.1"/>
    <n v="4000000"/>
    <n v="25078937"/>
  </r>
  <r>
    <s v="Bella"/>
    <x v="950"/>
    <x v="2"/>
    <x v="0"/>
    <n v="91"/>
    <n v="7.4"/>
    <n v="3300000"/>
    <n v="8108247"/>
  </r>
  <r>
    <s v="Class of 1984"/>
    <x v="1109"/>
    <x v="0"/>
    <x v="0"/>
    <n v="98"/>
    <n v="6.6"/>
    <n v="4300000"/>
    <n v="25078937"/>
  </r>
  <r>
    <s v="The Opposite Sex"/>
    <x v="1767"/>
    <x v="4"/>
    <x v="0"/>
    <n v="97"/>
    <n v="4.5"/>
    <n v="3300000"/>
    <n v="25078937"/>
  </r>
  <r>
    <s v="Dreaming of Joseph Lees"/>
    <x v="1768"/>
    <x v="2"/>
    <x v="0"/>
    <n v="92"/>
    <n v="6.4"/>
    <n v="2000000"/>
    <n v="7680"/>
  </r>
  <r>
    <s v="The Class"/>
    <x v="1769"/>
    <x v="2"/>
    <x v="2"/>
    <n v="128"/>
    <n v="7.5"/>
    <n v="20000000"/>
    <n v="3766595"/>
  </r>
  <r>
    <s v="Rosemary's Baby"/>
    <x v="331"/>
    <x v="2"/>
    <x v="0"/>
    <n v="136"/>
    <n v="8"/>
    <n v="2300000"/>
    <n v="25078937"/>
  </r>
  <r>
    <s v="The Man Who Shot Liberty Valance"/>
    <x v="1770"/>
    <x v="2"/>
    <x v="0"/>
    <n v="113"/>
    <n v="8.1"/>
    <n v="3200000"/>
    <n v="25078937"/>
  </r>
  <r>
    <s v="Adam"/>
    <x v="1771"/>
    <x v="2"/>
    <x v="0"/>
    <n v="99"/>
    <n v="7.2"/>
    <n v="20000000"/>
    <n v="2277396"/>
  </r>
  <r>
    <s v="Maria Full of Grace"/>
    <x v="1772"/>
    <x v="6"/>
    <x v="5"/>
    <n v="101"/>
    <n v="7.5"/>
    <n v="3000000"/>
    <n v="6517198"/>
  </r>
  <r>
    <s v="Beginners"/>
    <x v="1706"/>
    <x v="4"/>
    <x v="0"/>
    <n v="105"/>
    <n v="7.2"/>
    <n v="3200000"/>
    <n v="5776314"/>
  </r>
  <r>
    <s v="Feast"/>
    <x v="1773"/>
    <x v="0"/>
    <x v="0"/>
    <n v="95"/>
    <n v="6.4"/>
    <n v="3200000"/>
    <n v="25078937"/>
  </r>
  <r>
    <s v="Animal House"/>
    <x v="455"/>
    <x v="4"/>
    <x v="0"/>
    <n v="109"/>
    <n v="7.6"/>
    <n v="3000000"/>
    <n v="141600000"/>
  </r>
  <r>
    <s v="Goldfinger"/>
    <x v="1490"/>
    <x v="0"/>
    <x v="0"/>
    <n v="110"/>
    <n v="7.8"/>
    <n v="3000000"/>
    <n v="51100000"/>
  </r>
  <r>
    <s v="Antiviral"/>
    <x v="1774"/>
    <x v="11"/>
    <x v="0"/>
    <n v="108"/>
    <n v="5.7"/>
    <n v="3200000"/>
    <n v="25078937"/>
  </r>
  <r>
    <s v="It's a Wonderful Life"/>
    <x v="1775"/>
    <x v="2"/>
    <x v="0"/>
    <n v="118"/>
    <n v="8.6"/>
    <n v="3180000"/>
    <n v="25078937"/>
  </r>
  <r>
    <s v="Trainspotting"/>
    <x v="460"/>
    <x v="2"/>
    <x v="0"/>
    <n v="94"/>
    <n v="8.1999999999999993"/>
    <n v="3500000"/>
    <n v="16501785"/>
  </r>
  <r>
    <s v="The Original Kings of Comedy"/>
    <x v="433"/>
    <x v="4"/>
    <x v="0"/>
    <n v="115"/>
    <n v="6.6"/>
    <n v="3000000"/>
    <n v="38168022"/>
  </r>
  <r>
    <s v="Paranormal Activity 2"/>
    <x v="1776"/>
    <x v="11"/>
    <x v="0"/>
    <n v="98"/>
    <n v="5.7"/>
    <n v="3000000"/>
    <n v="84749884"/>
  </r>
  <r>
    <s v="Waking Ned Devine"/>
    <x v="602"/>
    <x v="4"/>
    <x v="0"/>
    <n v="91"/>
    <n v="7.4"/>
    <n v="3000000"/>
    <n v="24788807"/>
  </r>
  <r>
    <s v="Bowling for Columbine"/>
    <x v="937"/>
    <x v="6"/>
    <x v="0"/>
    <n v="120"/>
    <n v="8"/>
    <n v="4000000"/>
    <n v="21244913"/>
  </r>
  <r>
    <s v="Coming Home"/>
    <x v="183"/>
    <x v="2"/>
    <x v="3"/>
    <n v="109"/>
    <n v="7.3"/>
    <n v="20000000"/>
    <n v="377420"/>
  </r>
  <r>
    <s v="A Nightmare on Elm Street 2: Freddy's Revenge"/>
    <x v="1777"/>
    <x v="8"/>
    <x v="0"/>
    <n v="87"/>
    <n v="5.4"/>
    <n v="2200000"/>
    <n v="30000000"/>
  </r>
  <r>
    <s v="A Room with a View"/>
    <x v="1067"/>
    <x v="2"/>
    <x v="0"/>
    <n v="117"/>
    <n v="7.4"/>
    <n v="3000000"/>
    <n v="20966644"/>
  </r>
  <r>
    <s v="The Purge"/>
    <x v="1299"/>
    <x v="11"/>
    <x v="0"/>
    <n v="85"/>
    <n v="5.7"/>
    <n v="3000000"/>
    <n v="64423650"/>
  </r>
  <r>
    <s v="Sinister"/>
    <x v="241"/>
    <x v="11"/>
    <x v="0"/>
    <n v="110"/>
    <n v="6.8"/>
    <n v="3000000"/>
    <n v="48056940"/>
  </r>
  <r>
    <s v="Martin Lawrence Live: Runteldat"/>
    <x v="1124"/>
    <x v="7"/>
    <x v="0"/>
    <n v="113"/>
    <n v="5.4"/>
    <n v="3000000"/>
    <n v="19184015"/>
  </r>
  <r>
    <s v="Cat on a Hot Tin Roof"/>
    <x v="1741"/>
    <x v="2"/>
    <x v="0"/>
    <n v="108"/>
    <n v="8.1"/>
    <n v="3000000"/>
    <n v="25078937"/>
  </r>
  <r>
    <s v="Beneath the Planet of the Apes"/>
    <x v="1778"/>
    <x v="0"/>
    <x v="0"/>
    <n v="95"/>
    <n v="6.1"/>
    <n v="3000000"/>
    <n v="25078937"/>
  </r>
  <r>
    <s v="Air Bud"/>
    <x v="607"/>
    <x v="4"/>
    <x v="0"/>
    <n v="98"/>
    <n v="5.0999999999999996"/>
    <n v="3000000"/>
    <n v="24629916"/>
  </r>
  <r>
    <s v="Pokémon 3: The Movie"/>
    <x v="1779"/>
    <x v="0"/>
    <x v="1"/>
    <n v="93"/>
    <n v="5.6"/>
    <n v="16000000"/>
    <n v="25078937"/>
  </r>
  <r>
    <s v="Jason Lives: Friday the 13th Part VI"/>
    <x v="1780"/>
    <x v="11"/>
    <x v="0"/>
    <n v="86"/>
    <n v="5.9"/>
    <n v="3000000"/>
    <n v="19472057"/>
  </r>
  <r>
    <s v="The Bridge on the River Kwai"/>
    <x v="762"/>
    <x v="1"/>
    <x v="0"/>
    <n v="161"/>
    <n v="8.1999999999999993"/>
    <n v="3000000"/>
    <n v="27200000"/>
  </r>
  <r>
    <s v="Spaced Invaders"/>
    <x v="472"/>
    <x v="1"/>
    <x v="0"/>
    <n v="100"/>
    <n v="5.3"/>
    <n v="3000000"/>
    <n v="15369573"/>
  </r>
  <r>
    <s v="Family Plot"/>
    <x v="926"/>
    <x v="4"/>
    <x v="0"/>
    <n v="120"/>
    <n v="6.8"/>
    <n v="4490375"/>
    <n v="25078937"/>
  </r>
  <r>
    <s v="The Apartment"/>
    <x v="1695"/>
    <x v="4"/>
    <x v="0"/>
    <n v="125"/>
    <n v="8.3000000000000007"/>
    <n v="3000000"/>
    <n v="25078937"/>
  </r>
  <r>
    <s v="Jason Goes to Hell: The Final Friday"/>
    <x v="1781"/>
    <x v="8"/>
    <x v="0"/>
    <n v="91"/>
    <n v="4.3"/>
    <n v="2500000"/>
    <n v="15935068"/>
  </r>
  <r>
    <s v="Torn Curtain"/>
    <x v="926"/>
    <x v="13"/>
    <x v="0"/>
    <n v="128"/>
    <n v="6.7"/>
    <n v="6000000"/>
    <n v="25078937"/>
  </r>
  <r>
    <s v="Dave Chappelle's Block Party"/>
    <x v="149"/>
    <x v="4"/>
    <x v="0"/>
    <n v="100"/>
    <n v="7.2"/>
    <n v="3000000"/>
    <n v="11694528"/>
  </r>
  <r>
    <s v="Slow West"/>
    <x v="1782"/>
    <x v="16"/>
    <x v="0"/>
    <n v="84"/>
    <n v="6.9"/>
    <n v="20000000"/>
    <n v="229094"/>
  </r>
  <r>
    <s v="Krush Groove"/>
    <x v="1305"/>
    <x v="4"/>
    <x v="0"/>
    <n v="97"/>
    <n v="6.6"/>
    <n v="3000000"/>
    <n v="25078937"/>
  </r>
  <r>
    <s v="Next Day Air"/>
    <x v="1783"/>
    <x v="0"/>
    <x v="0"/>
    <n v="84"/>
    <n v="5.9"/>
    <n v="3000000"/>
    <n v="10017041"/>
  </r>
  <r>
    <s v="Elmer Gantry"/>
    <x v="1741"/>
    <x v="2"/>
    <x v="0"/>
    <n v="146"/>
    <n v="7.9"/>
    <n v="3000000"/>
    <n v="25078937"/>
  </r>
  <r>
    <s v="Judgment at Nuremberg"/>
    <x v="1387"/>
    <x v="2"/>
    <x v="0"/>
    <n v="186"/>
    <n v="8.3000000000000007"/>
    <n v="3000000"/>
    <n v="25078937"/>
  </r>
  <r>
    <s v="Trippin'"/>
    <x v="1124"/>
    <x v="4"/>
    <x v="0"/>
    <n v="94"/>
    <n v="5.2"/>
    <n v="20000000"/>
    <n v="9016377"/>
  </r>
  <r>
    <s v="Red River"/>
    <x v="1784"/>
    <x v="0"/>
    <x v="0"/>
    <n v="126"/>
    <n v="7.8"/>
    <n v="3000000"/>
    <n v="25078937"/>
  </r>
  <r>
    <s v="Phat Girlz"/>
    <x v="1785"/>
    <x v="4"/>
    <x v="0"/>
    <n v="99"/>
    <n v="3"/>
    <n v="3000000"/>
    <n v="7059537"/>
  </r>
  <r>
    <s v="Before Midnight"/>
    <x v="771"/>
    <x v="2"/>
    <x v="0"/>
    <n v="109"/>
    <n v="7.9"/>
    <n v="3000000"/>
    <n v="8114507"/>
  </r>
  <r>
    <s v="Teen Wolf Too"/>
    <x v="1786"/>
    <x v="4"/>
    <x v="0"/>
    <n v="95"/>
    <n v="3.2"/>
    <n v="3000000"/>
    <n v="7888703"/>
  </r>
  <r>
    <s v="Phantasm II"/>
    <x v="1621"/>
    <x v="0"/>
    <x v="0"/>
    <n v="97"/>
    <n v="6.5"/>
    <n v="3000000"/>
    <n v="7282851"/>
  </r>
  <r>
    <s v="Woman Thou Art Loosed"/>
    <x v="1305"/>
    <x v="2"/>
    <x v="0"/>
    <n v="94"/>
    <n v="6.9"/>
    <n v="20000000"/>
    <n v="6879730"/>
  </r>
  <r>
    <s v="Real Women Have Curves"/>
    <x v="1787"/>
    <x v="4"/>
    <x v="0"/>
    <n v="90"/>
    <n v="7"/>
    <n v="3000000"/>
    <n v="5844929"/>
  </r>
  <r>
    <s v="Water"/>
    <x v="481"/>
    <x v="2"/>
    <x v="7"/>
    <n v="117"/>
    <n v="7.8"/>
    <n v="20000000"/>
    <n v="3222857"/>
  </r>
  <r>
    <s v="East Is East"/>
    <x v="1788"/>
    <x v="4"/>
    <x v="0"/>
    <n v="96"/>
    <n v="6.9"/>
    <n v="1900000"/>
    <n v="4170647"/>
  </r>
  <r>
    <s v="Whipped"/>
    <x v="1789"/>
    <x v="4"/>
    <x v="0"/>
    <n v="82"/>
    <n v="4.4000000000000004"/>
    <n v="3000000"/>
    <n v="4142507"/>
  </r>
  <r>
    <s v="Kama Sutra: A Tale of Love"/>
    <x v="867"/>
    <x v="6"/>
    <x v="0"/>
    <n v="109"/>
    <n v="6"/>
    <n v="3000000"/>
    <n v="4109095"/>
  </r>
  <r>
    <s v="Please Give"/>
    <x v="1448"/>
    <x v="4"/>
    <x v="0"/>
    <n v="90"/>
    <n v="6.6"/>
    <n v="20000000"/>
    <n v="4033268"/>
  </r>
  <r>
    <s v="Willy Wonka &amp; the Chocolate Factory"/>
    <x v="1790"/>
    <x v="14"/>
    <x v="0"/>
    <n v="89"/>
    <n v="7.8"/>
    <n v="3000000"/>
    <n v="25078937"/>
  </r>
  <r>
    <s v="Warlock: The Armageddon"/>
    <x v="1791"/>
    <x v="8"/>
    <x v="0"/>
    <n v="98"/>
    <n v="5.3"/>
    <n v="3000000"/>
    <n v="3902679"/>
  </r>
  <r>
    <s v="8 Heads in a Duffel Bag"/>
    <x v="1792"/>
    <x v="4"/>
    <x v="0"/>
    <n v="95"/>
    <n v="5.3"/>
    <n v="3000000"/>
    <n v="3559990"/>
  </r>
  <r>
    <s v="Days of Heaven"/>
    <x v="423"/>
    <x v="2"/>
    <x v="0"/>
    <n v="94"/>
    <n v="8"/>
    <n v="3000000"/>
    <n v="25078937"/>
  </r>
  <r>
    <s v="Thirteen Conversations About One Thing"/>
    <x v="1793"/>
    <x v="2"/>
    <x v="0"/>
    <n v="104"/>
    <n v="7.1"/>
    <n v="4500000"/>
    <n v="3287435"/>
  </r>
  <r>
    <s v="Jawbreaker"/>
    <x v="1794"/>
    <x v="4"/>
    <x v="0"/>
    <n v="87"/>
    <n v="5.4"/>
    <n v="3500000"/>
    <n v="3071947"/>
  </r>
  <r>
    <s v="Basquiat"/>
    <x v="1173"/>
    <x v="7"/>
    <x v="0"/>
    <n v="108"/>
    <n v="6.9"/>
    <n v="3300000"/>
    <n v="2961991"/>
  </r>
  <r>
    <s v="Frances Ha"/>
    <x v="1346"/>
    <x v="4"/>
    <x v="0"/>
    <n v="86"/>
    <n v="7.4"/>
    <n v="20000000"/>
    <n v="4063238"/>
  </r>
  <r>
    <s v="Tsotsi"/>
    <x v="80"/>
    <x v="6"/>
    <x v="32"/>
    <n v="94"/>
    <n v="7.3"/>
    <n v="3000000"/>
    <n v="2912363"/>
  </r>
  <r>
    <s v="Happiness"/>
    <x v="1678"/>
    <x v="4"/>
    <x v="0"/>
    <n v="134"/>
    <n v="7.8"/>
    <n v="3000000"/>
    <n v="3000000"/>
  </r>
  <r>
    <s v="DysFunktional Family"/>
    <x v="853"/>
    <x v="4"/>
    <x v="0"/>
    <n v="89"/>
    <n v="6.6"/>
    <n v="3000000"/>
    <n v="2223990"/>
  </r>
  <r>
    <s v="Tusk"/>
    <x v="605"/>
    <x v="4"/>
    <x v="0"/>
    <n v="102"/>
    <n v="5.4"/>
    <n v="3000000"/>
    <n v="1821983"/>
  </r>
  <r>
    <s v="Oldboy"/>
    <x v="1252"/>
    <x v="2"/>
    <x v="22"/>
    <n v="120"/>
    <n v="8.4"/>
    <n v="3000000"/>
    <n v="2181290"/>
  </r>
  <r>
    <s v="Letters to God"/>
    <x v="1795"/>
    <x v="2"/>
    <x v="0"/>
    <n v="110"/>
    <n v="6.3"/>
    <n v="3500000"/>
    <n v="2848578"/>
  </r>
  <r>
    <s v="Hobo with a Shotgun"/>
    <x v="1796"/>
    <x v="0"/>
    <x v="0"/>
    <n v="86"/>
    <n v="6.1"/>
    <n v="3000000"/>
    <n v="703002"/>
  </r>
  <r>
    <s v="Compadres"/>
    <x v="1797"/>
    <x v="0"/>
    <x v="0"/>
    <n v="101"/>
    <n v="5"/>
    <n v="3000000"/>
    <n v="3105269"/>
  </r>
  <r>
    <s v="Freeway"/>
    <x v="1798"/>
    <x v="4"/>
    <x v="0"/>
    <n v="102"/>
    <n v="6.9"/>
    <n v="3000000"/>
    <n v="25078937"/>
  </r>
  <r>
    <s v="Fish Tank"/>
    <x v="1799"/>
    <x v="2"/>
    <x v="0"/>
    <n v="123"/>
    <n v="7.3"/>
    <n v="20000000"/>
    <n v="373060"/>
  </r>
  <r>
    <s v="Damsels in Distress"/>
    <x v="1800"/>
    <x v="4"/>
    <x v="0"/>
    <n v="99"/>
    <n v="5.7"/>
    <n v="20000000"/>
    <n v="1007535"/>
  </r>
  <r>
    <s v="Bachelorette"/>
    <x v="1801"/>
    <x v="4"/>
    <x v="0"/>
    <n v="87"/>
    <n v="5.3"/>
    <n v="3000000"/>
    <n v="418268"/>
  </r>
  <r>
    <s v="Brave New Girl"/>
    <x v="1802"/>
    <x v="2"/>
    <x v="0"/>
    <n v="120"/>
    <n v="5"/>
    <n v="20000000"/>
    <n v="25078937"/>
  </r>
  <r>
    <s v="Tim and Eric's Billion Dollar Movie"/>
    <x v="1803"/>
    <x v="4"/>
    <x v="0"/>
    <n v="93"/>
    <n v="5.3"/>
    <n v="3000000"/>
    <n v="200803"/>
  </r>
  <r>
    <s v="Summer Storm"/>
    <x v="1256"/>
    <x v="4"/>
    <x v="13"/>
    <n v="98"/>
    <n v="7.4"/>
    <n v="2700000"/>
    <n v="95016"/>
  </r>
  <r>
    <s v="Fort McCoy"/>
    <x v="1804"/>
    <x v="2"/>
    <x v="0"/>
    <n v="100"/>
    <n v="5.9"/>
    <n v="3000000"/>
    <n v="73678"/>
  </r>
  <r>
    <s v="Chain Letter"/>
    <x v="1805"/>
    <x v="11"/>
    <x v="0"/>
    <n v="88"/>
    <n v="4.0999999999999996"/>
    <n v="5000000"/>
    <n v="143000"/>
  </r>
  <r>
    <s v="Just Looking"/>
    <x v="1806"/>
    <x v="4"/>
    <x v="0"/>
    <n v="97"/>
    <n v="6.7"/>
    <n v="3000000"/>
    <n v="39852"/>
  </r>
  <r>
    <s v="The Divide"/>
    <x v="1016"/>
    <x v="2"/>
    <x v="0"/>
    <n v="122"/>
    <n v="5.8"/>
    <n v="3000000"/>
    <n v="22000"/>
  </r>
  <r>
    <s v="The Eclipse"/>
    <x v="1807"/>
    <x v="2"/>
    <x v="0"/>
    <n v="86"/>
    <n v="6.2"/>
    <n v="20000000"/>
    <n v="128937"/>
  </r>
  <r>
    <s v="Demonic"/>
    <x v="1808"/>
    <x v="11"/>
    <x v="0"/>
    <n v="83"/>
    <n v="5.3"/>
    <n v="3000000"/>
    <n v="25078937"/>
  </r>
  <r>
    <s v="My Big Fat Independent Movie"/>
    <x v="1809"/>
    <x v="4"/>
    <x v="0"/>
    <n v="80"/>
    <n v="3.3"/>
    <n v="3000000"/>
    <n v="25078937"/>
  </r>
  <r>
    <s v="The Deported"/>
    <x v="1810"/>
    <x v="4"/>
    <x v="0"/>
    <n v="90"/>
    <n v="6.2"/>
    <n v="3000000"/>
    <n v="25078937"/>
  </r>
  <r>
    <s v="Tanner Hall"/>
    <x v="1811"/>
    <x v="2"/>
    <x v="0"/>
    <n v="96"/>
    <n v="5.9"/>
    <n v="3000000"/>
    <n v="5005"/>
  </r>
  <r>
    <s v="Open Road"/>
    <x v="1812"/>
    <x v="0"/>
    <x v="0"/>
    <n v="85"/>
    <n v="5.5"/>
    <n v="3000000"/>
    <n v="25078937"/>
  </r>
  <r>
    <s v="They Came Together"/>
    <x v="664"/>
    <x v="4"/>
    <x v="0"/>
    <n v="83"/>
    <n v="5.5"/>
    <n v="20000000"/>
    <n v="25078937"/>
  </r>
  <r>
    <s v="30 Nights of Paranormal Activity with the Devil Inside the Girl with the Dragon Tattoo"/>
    <x v="1813"/>
    <x v="4"/>
    <x v="0"/>
    <n v="80"/>
    <n v="2.6"/>
    <n v="3000000"/>
    <n v="25078937"/>
  </r>
  <r>
    <s v="Never Back Down 2: The Beatdown"/>
    <x v="1814"/>
    <x v="0"/>
    <x v="0"/>
    <n v="90"/>
    <n v="5.8"/>
    <n v="3000000"/>
    <n v="25078937"/>
  </r>
  <r>
    <s v="Point Blank"/>
    <x v="997"/>
    <x v="6"/>
    <x v="0"/>
    <n v="92"/>
    <n v="7.4"/>
    <n v="3000000"/>
    <n v="25078937"/>
  </r>
  <r>
    <s v="Four Single Fathers"/>
    <x v="1815"/>
    <x v="4"/>
    <x v="15"/>
    <n v="100"/>
    <n v="5.0999999999999996"/>
    <n v="3000000"/>
    <n v="25078937"/>
  </r>
  <r>
    <s v="Enter the Dangerous Mind"/>
    <x v="1816"/>
    <x v="13"/>
    <x v="0"/>
    <n v="88"/>
    <n v="5.2"/>
    <n v="800000"/>
    <n v="25078937"/>
  </r>
  <r>
    <s v="Something Wicked"/>
    <x v="1817"/>
    <x v="2"/>
    <x v="0"/>
    <n v="95"/>
    <n v="4.8"/>
    <n v="3000000"/>
    <n v="25078937"/>
  </r>
  <r>
    <s v="AWOL-72"/>
    <x v="1818"/>
    <x v="13"/>
    <x v="0"/>
    <n v="82"/>
    <n v="3.9"/>
    <n v="3000000"/>
    <n v="25078937"/>
  </r>
  <r>
    <s v="Iguana"/>
    <x v="1819"/>
    <x v="1"/>
    <x v="0"/>
    <n v="97"/>
    <n v="6.2"/>
    <n v="3000000"/>
    <n v="25078937"/>
  </r>
  <r>
    <s v="Chicago Overcoat"/>
    <x v="1820"/>
    <x v="0"/>
    <x v="0"/>
    <n v="94"/>
    <n v="6.2"/>
    <n v="3000000"/>
    <n v="25078937"/>
  </r>
  <r>
    <s v="Barry Munday"/>
    <x v="1821"/>
    <x v="4"/>
    <x v="0"/>
    <n v="95"/>
    <n v="5.9"/>
    <n v="20000000"/>
    <n v="25078937"/>
  </r>
  <r>
    <s v="Central Station"/>
    <x v="381"/>
    <x v="2"/>
    <x v="26"/>
    <n v="113"/>
    <n v="8"/>
    <n v="2900000"/>
    <n v="5595428"/>
  </r>
  <r>
    <s v="Pocketful of Miracles"/>
    <x v="1775"/>
    <x v="4"/>
    <x v="0"/>
    <n v="136"/>
    <n v="7.3"/>
    <n v="2900000"/>
    <n v="25078937"/>
  </r>
  <r>
    <s v="Close Range"/>
    <x v="1822"/>
    <x v="0"/>
    <x v="0"/>
    <n v="80"/>
    <n v="4.9000000000000004"/>
    <n v="3000000"/>
    <n v="25078937"/>
  </r>
  <r>
    <s v="Boynton Beach Club"/>
    <x v="1823"/>
    <x v="4"/>
    <x v="0"/>
    <n v="105"/>
    <n v="6.5"/>
    <n v="1500000"/>
    <n v="3123749"/>
  </r>
  <r>
    <s v="Amnesiac"/>
    <x v="1195"/>
    <x v="2"/>
    <x v="0"/>
    <n v="90"/>
    <n v="4.3"/>
    <n v="3000000"/>
    <n v="25078937"/>
  </r>
  <r>
    <s v="Freakonomics"/>
    <x v="1824"/>
    <x v="9"/>
    <x v="0"/>
    <n v="93"/>
    <n v="6.4"/>
    <n v="3000000"/>
    <n v="100675"/>
  </r>
  <r>
    <s v="High Tension"/>
    <x v="626"/>
    <x v="11"/>
    <x v="2"/>
    <n v="89"/>
    <n v="6.8"/>
    <n v="2200000"/>
    <n v="3645438"/>
  </r>
  <r>
    <s v="Griff the Invisible"/>
    <x v="1825"/>
    <x v="4"/>
    <x v="0"/>
    <n v="90"/>
    <n v="6.1"/>
    <n v="20000000"/>
    <n v="25078937"/>
  </r>
  <r>
    <s v="Unnatural"/>
    <x v="1826"/>
    <x v="0"/>
    <x v="0"/>
    <n v="89"/>
    <n v="4"/>
    <n v="3000000"/>
    <n v="25078937"/>
  </r>
  <r>
    <s v="Hustle &amp; Flow"/>
    <x v="1123"/>
    <x v="6"/>
    <x v="0"/>
    <n v="116"/>
    <n v="7.4"/>
    <n v="8000000"/>
    <n v="22201636"/>
  </r>
  <r>
    <s v="Some Like It Hot"/>
    <x v="1695"/>
    <x v="4"/>
    <x v="0"/>
    <n v="120"/>
    <n v="8.3000000000000007"/>
    <n v="2883848"/>
    <n v="25000000"/>
  </r>
  <r>
    <s v="Friday the 13th Part VII: The New Blood"/>
    <x v="1827"/>
    <x v="11"/>
    <x v="0"/>
    <n v="88"/>
    <n v="5.3"/>
    <n v="2800000"/>
    <n v="19170001"/>
  </r>
  <r>
    <s v="The Wizard of Oz"/>
    <x v="1729"/>
    <x v="1"/>
    <x v="0"/>
    <n v="102"/>
    <n v="8.1"/>
    <n v="2800000"/>
    <n v="22202612"/>
  </r>
  <r>
    <s v="Young Frankenstein"/>
    <x v="868"/>
    <x v="4"/>
    <x v="0"/>
    <n v="106"/>
    <n v="8"/>
    <n v="2800000"/>
    <n v="86300000"/>
  </r>
  <r>
    <s v="Diary of the Dead"/>
    <x v="229"/>
    <x v="11"/>
    <x v="0"/>
    <n v="95"/>
    <n v="5.7"/>
    <n v="2000000"/>
    <n v="952620"/>
  </r>
  <r>
    <s v="Lage Raho Munna Bhai"/>
    <x v="1828"/>
    <x v="4"/>
    <x v="7"/>
    <n v="144"/>
    <n v="8.1999999999999993"/>
    <n v="120000000"/>
    <n v="25078937"/>
  </r>
  <r>
    <s v="Ulee's Gold"/>
    <x v="1829"/>
    <x v="2"/>
    <x v="0"/>
    <n v="113"/>
    <n v="7.1"/>
    <n v="2700000"/>
    <n v="9054736"/>
  </r>
  <r>
    <s v="The Black Stallion"/>
    <x v="1254"/>
    <x v="1"/>
    <x v="0"/>
    <n v="118"/>
    <n v="7.4"/>
    <n v="2700000"/>
    <n v="25078937"/>
  </r>
  <r>
    <s v="Sardaar Ji"/>
    <x v="1830"/>
    <x v="12"/>
    <x v="33"/>
    <n v="141"/>
    <n v="6.6"/>
    <n v="3000000"/>
    <n v="25078937"/>
  </r>
  <r>
    <s v="Journey to Saturn"/>
    <x v="1831"/>
    <x v="0"/>
    <x v="28"/>
    <n v="90"/>
    <n v="5.7"/>
    <n v="20000000"/>
    <n v="25078937"/>
  </r>
  <r>
    <s v="Donovan's Reef"/>
    <x v="1770"/>
    <x v="1"/>
    <x v="0"/>
    <n v="109"/>
    <n v="6.9"/>
    <n v="2686585"/>
    <n v="25078937"/>
  </r>
  <r>
    <s v="The Dress"/>
    <x v="1832"/>
    <x v="4"/>
    <x v="16"/>
    <n v="95"/>
    <n v="7"/>
    <n v="2650000"/>
    <n v="25078937"/>
  </r>
  <r>
    <s v="A Guy Named Joe"/>
    <x v="1729"/>
    <x v="2"/>
    <x v="0"/>
    <n v="122"/>
    <n v="7"/>
    <n v="2627000"/>
    <n v="25078937"/>
  </r>
  <r>
    <s v="Blazing Saddles"/>
    <x v="868"/>
    <x v="4"/>
    <x v="0"/>
    <n v="93"/>
    <n v="7.8"/>
    <n v="2600000"/>
    <n v="119500000"/>
  </r>
  <r>
    <s v="Friday the 13th: The Final Chapter"/>
    <x v="1314"/>
    <x v="11"/>
    <x v="0"/>
    <n v="97"/>
    <n v="5.9"/>
    <n v="1800000"/>
    <n v="32600000"/>
  </r>
  <r>
    <s v="Ida"/>
    <x v="1833"/>
    <x v="2"/>
    <x v="34"/>
    <n v="82"/>
    <n v="7.4"/>
    <n v="20000000"/>
    <n v="3826455"/>
  </r>
  <r>
    <s v="Maurice"/>
    <x v="1067"/>
    <x v="2"/>
    <x v="0"/>
    <n v="140"/>
    <n v="7.8"/>
    <n v="2600000"/>
    <n v="3130592"/>
  </r>
  <r>
    <s v="Beer League"/>
    <x v="1834"/>
    <x v="4"/>
    <x v="0"/>
    <n v="86"/>
    <n v="6"/>
    <n v="2800000"/>
    <n v="475000"/>
  </r>
  <r>
    <s v="Riding Giants"/>
    <x v="1835"/>
    <x v="9"/>
    <x v="0"/>
    <n v="105"/>
    <n v="7.9"/>
    <n v="20000000"/>
    <n v="2276368"/>
  </r>
  <r>
    <s v="Timecrimes"/>
    <x v="1836"/>
    <x v="11"/>
    <x v="5"/>
    <n v="66"/>
    <n v="7.2"/>
    <n v="2600000"/>
    <n v="38108"/>
  </r>
  <r>
    <s v="Silver Medallist"/>
    <x v="1837"/>
    <x v="0"/>
    <x v="3"/>
    <n v="99"/>
    <n v="7.4"/>
    <n v="15000000"/>
    <n v="25078937"/>
  </r>
  <r>
    <s v="Timber Falls"/>
    <x v="1838"/>
    <x v="11"/>
    <x v="0"/>
    <n v="100"/>
    <n v="5.3"/>
    <n v="2600000"/>
    <n v="25078937"/>
  </r>
  <r>
    <s v="Singin' in the Rain"/>
    <x v="1839"/>
    <x v="4"/>
    <x v="0"/>
    <n v="103"/>
    <n v="8.3000000000000007"/>
    <n v="2540800"/>
    <n v="25078937"/>
  </r>
  <r>
    <s v="Fat, Sick &amp; Nearly Dead"/>
    <x v="1840"/>
    <x v="9"/>
    <x v="0"/>
    <n v="97"/>
    <n v="7.6"/>
    <n v="2500000"/>
    <n v="25078937"/>
  </r>
  <r>
    <s v="A Haunted House"/>
    <x v="1622"/>
    <x v="4"/>
    <x v="0"/>
    <n v="86"/>
    <n v="5.0999999999999996"/>
    <n v="2500000"/>
    <n v="40041683"/>
  </r>
  <r>
    <s v="2016: Obama's America"/>
    <x v="1841"/>
    <x v="9"/>
    <x v="0"/>
    <n v="87"/>
    <n v="5.0999999999999996"/>
    <n v="2500000"/>
    <n v="33349949"/>
  </r>
  <r>
    <s v="That Thing You Do!"/>
    <x v="703"/>
    <x v="4"/>
    <x v="0"/>
    <n v="149"/>
    <n v="6.9"/>
    <n v="26000000"/>
    <n v="25809813"/>
  </r>
  <r>
    <s v="Halloween III: Season of the Witch"/>
    <x v="1842"/>
    <x v="11"/>
    <x v="0"/>
    <n v="98"/>
    <n v="4.5999999999999996"/>
    <n v="2500000"/>
    <n v="14400000"/>
  </r>
  <r>
    <s v="Escape from the Planet of the Apes"/>
    <x v="1843"/>
    <x v="0"/>
    <x v="0"/>
    <n v="98"/>
    <n v="6.3"/>
    <n v="2500000"/>
    <n v="25078937"/>
  </r>
  <r>
    <s v="Hud"/>
    <x v="1281"/>
    <x v="2"/>
    <x v="0"/>
    <n v="112"/>
    <n v="7.9"/>
    <n v="2500000"/>
    <n v="25078937"/>
  </r>
  <r>
    <s v="Kevin Hart: Let Me Explain"/>
    <x v="1844"/>
    <x v="4"/>
    <x v="0"/>
    <n v="75"/>
    <n v="6.7"/>
    <n v="2500000"/>
    <n v="32230907"/>
  </r>
  <r>
    <s v="My Own Private Idaho"/>
    <x v="521"/>
    <x v="2"/>
    <x v="0"/>
    <n v="104"/>
    <n v="7.1"/>
    <n v="2500000"/>
    <n v="6401336"/>
  </r>
  <r>
    <s v="Garden State"/>
    <x v="1552"/>
    <x v="4"/>
    <x v="0"/>
    <n v="102"/>
    <n v="7.6"/>
    <n v="2500000"/>
    <n v="26781723"/>
  </r>
  <r>
    <s v="Before Sunrise"/>
    <x v="771"/>
    <x v="2"/>
    <x v="0"/>
    <n v="105"/>
    <n v="8.1"/>
    <n v="2500000"/>
    <n v="5400000"/>
  </r>
  <r>
    <s v="Sur le seuil"/>
    <x v="1845"/>
    <x v="0"/>
    <x v="2"/>
    <n v="99"/>
    <n v="6.6"/>
    <n v="3200000"/>
    <n v="25078937"/>
  </r>
  <r>
    <s v="Jesus' Son"/>
    <x v="1846"/>
    <x v="2"/>
    <x v="0"/>
    <n v="107"/>
    <n v="7"/>
    <n v="2500000"/>
    <n v="1282084"/>
  </r>
  <r>
    <s v="Saving Face"/>
    <x v="1847"/>
    <x v="4"/>
    <x v="0"/>
    <n v="96"/>
    <n v="7.6"/>
    <n v="20000000"/>
    <n v="1186323"/>
  </r>
  <r>
    <s v="Brick Lane"/>
    <x v="1848"/>
    <x v="2"/>
    <x v="0"/>
    <n v="101"/>
    <n v="6.7"/>
    <n v="20000000"/>
    <n v="1094998"/>
  </r>
  <r>
    <s v="Robot &amp; Frank"/>
    <x v="1235"/>
    <x v="4"/>
    <x v="0"/>
    <n v="89"/>
    <n v="7.1"/>
    <n v="2500000"/>
    <n v="3325638"/>
  </r>
  <r>
    <s v="My Life Without Me"/>
    <x v="1849"/>
    <x v="2"/>
    <x v="0"/>
    <n v="106"/>
    <n v="7.6"/>
    <n v="2000000"/>
    <n v="395592"/>
  </r>
  <r>
    <s v="The Spectacular Now"/>
    <x v="1850"/>
    <x v="4"/>
    <x v="0"/>
    <n v="95"/>
    <n v="7.1"/>
    <n v="2500000"/>
    <n v="6851969"/>
  </r>
  <r>
    <s v="Marilyn Hotchkiss' Ballroom Dancing and Charm School"/>
    <x v="1633"/>
    <x v="4"/>
    <x v="0"/>
    <n v="34"/>
    <n v="7.1"/>
    <n v="34000"/>
    <n v="333658"/>
  </r>
  <r>
    <s v="Religulous"/>
    <x v="323"/>
    <x v="4"/>
    <x v="0"/>
    <n v="101"/>
    <n v="7.7"/>
    <n v="2500000"/>
    <n v="12995673"/>
  </r>
  <r>
    <s v="Fuel"/>
    <x v="1851"/>
    <x v="9"/>
    <x v="0"/>
    <n v="112"/>
    <n v="7.6"/>
    <n v="2500000"/>
    <n v="173783"/>
  </r>
  <r>
    <s v="Valley of the Heart's Delight"/>
    <x v="1852"/>
    <x v="2"/>
    <x v="0"/>
    <n v="100"/>
    <n v="6.6"/>
    <n v="2500000"/>
    <n v="118666"/>
  </r>
  <r>
    <s v="Eye of the Dolphin"/>
    <x v="1853"/>
    <x v="4"/>
    <x v="0"/>
    <n v="100"/>
    <n v="5.7"/>
    <n v="2500000"/>
    <n v="71904"/>
  </r>
  <r>
    <s v="8: The Mormon Proposition"/>
    <x v="1854"/>
    <x v="9"/>
    <x v="0"/>
    <n v="80"/>
    <n v="7.1"/>
    <n v="2500000"/>
    <n v="99851"/>
  </r>
  <r>
    <s v="The Other End of the Line"/>
    <x v="1855"/>
    <x v="4"/>
    <x v="0"/>
    <n v="106"/>
    <n v="6.2"/>
    <n v="14000000"/>
    <n v="115504"/>
  </r>
  <r>
    <s v="Anatomy"/>
    <x v="1148"/>
    <x v="11"/>
    <x v="13"/>
    <n v="103"/>
    <n v="6.1"/>
    <n v="8400000"/>
    <n v="5725"/>
  </r>
  <r>
    <s v="Sleep Dealer"/>
    <x v="1856"/>
    <x v="2"/>
    <x v="5"/>
    <n v="90"/>
    <n v="5.9"/>
    <n v="2500000"/>
    <n v="75727"/>
  </r>
  <r>
    <s v="Super"/>
    <x v="65"/>
    <x v="4"/>
    <x v="0"/>
    <n v="96"/>
    <n v="6.8"/>
    <n v="2500000"/>
    <n v="322157"/>
  </r>
  <r>
    <s v="Christmas Mail"/>
    <x v="1857"/>
    <x v="4"/>
    <x v="0"/>
    <n v="89"/>
    <n v="5.8"/>
    <n v="2500000"/>
    <n v="25078937"/>
  </r>
  <r>
    <s v="Stung"/>
    <x v="1858"/>
    <x v="4"/>
    <x v="0"/>
    <n v="87"/>
    <n v="5"/>
    <n v="2500000"/>
    <n v="25078937"/>
  </r>
  <r>
    <s v="Antibirth"/>
    <x v="1859"/>
    <x v="11"/>
    <x v="0"/>
    <n v="94"/>
    <n v="6.3"/>
    <n v="3500000"/>
    <n v="25078937"/>
  </r>
  <r>
    <s v="Get on the Bus"/>
    <x v="433"/>
    <x v="2"/>
    <x v="0"/>
    <n v="120"/>
    <n v="6.8"/>
    <n v="2400000"/>
    <n v="5731103"/>
  </r>
  <r>
    <s v="Thr3e"/>
    <x v="1860"/>
    <x v="2"/>
    <x v="0"/>
    <n v="101"/>
    <n v="5.0999999999999996"/>
    <n v="2400000"/>
    <n v="978908"/>
  </r>
  <r>
    <s v="Idiocracy"/>
    <x v="1225"/>
    <x v="1"/>
    <x v="0"/>
    <n v="84"/>
    <n v="6.6"/>
    <n v="20000000"/>
    <n v="438653"/>
  </r>
  <r>
    <s v="The Rise of the Krays"/>
    <x v="1861"/>
    <x v="6"/>
    <x v="0"/>
    <n v="110"/>
    <n v="5"/>
    <n v="2500000"/>
    <n v="25078937"/>
  </r>
  <r>
    <s v="This Is England"/>
    <x v="1589"/>
    <x v="6"/>
    <x v="0"/>
    <n v="101"/>
    <n v="7.7"/>
    <n v="1500000"/>
    <n v="327919"/>
  </r>
  <r>
    <s v="Alien Uprising"/>
    <x v="1862"/>
    <x v="4"/>
    <x v="0"/>
    <n v="101"/>
    <n v="3.1"/>
    <n v="2500000"/>
    <n v="25078937"/>
  </r>
  <r>
    <s v="Bathing Beauty"/>
    <x v="1732"/>
    <x v="4"/>
    <x v="0"/>
    <n v="101"/>
    <n v="6.5"/>
    <n v="2361000"/>
    <n v="25078937"/>
  </r>
  <r>
    <s v="Go for It!"/>
    <x v="1863"/>
    <x v="2"/>
    <x v="0"/>
    <n v="105"/>
    <n v="3.9"/>
    <n v="2450000"/>
    <n v="178739"/>
  </r>
  <r>
    <s v="Dancer, Texas Pop. 81"/>
    <x v="698"/>
    <x v="4"/>
    <x v="0"/>
    <n v="97"/>
    <n v="6.8"/>
    <n v="20000000"/>
    <n v="565592"/>
  </r>
  <r>
    <s v="Show Boat"/>
    <x v="1732"/>
    <x v="2"/>
    <x v="0"/>
    <n v="108"/>
    <n v="7"/>
    <n v="2295429"/>
    <n v="25078937"/>
  </r>
  <r>
    <s v="Redemption Road"/>
    <x v="847"/>
    <x v="2"/>
    <x v="0"/>
    <n v="95"/>
    <n v="5.9"/>
    <n v="20000000"/>
    <n v="27012"/>
  </r>
  <r>
    <s v="The Calling"/>
    <x v="1864"/>
    <x v="13"/>
    <x v="0"/>
    <n v="108"/>
    <n v="5.8"/>
    <n v="20000000"/>
    <n v="25078937"/>
  </r>
  <r>
    <s v="The Brave Little Toaster"/>
    <x v="1865"/>
    <x v="1"/>
    <x v="0"/>
    <n v="90"/>
    <n v="7.3"/>
    <n v="2300000"/>
    <n v="25078937"/>
  </r>
  <r>
    <s v="Fantasia"/>
    <x v="248"/>
    <x v="3"/>
    <x v="0"/>
    <n v="120"/>
    <n v="7.8"/>
    <n v="2280000"/>
    <n v="76400000"/>
  </r>
  <r>
    <s v="8 Days"/>
    <x v="1866"/>
    <x v="2"/>
    <x v="0"/>
    <n v="90"/>
    <n v="6.9"/>
    <n v="2500000"/>
    <n v="25078937"/>
  </r>
  <r>
    <s v="Friday the 13th Part III"/>
    <x v="597"/>
    <x v="11"/>
    <x v="0"/>
    <n v="91"/>
    <n v="5.7"/>
    <n v="4000000"/>
    <n v="36200000"/>
  </r>
  <r>
    <s v="Friday the 13th: A New Beginning"/>
    <x v="1867"/>
    <x v="11"/>
    <x v="0"/>
    <n v="92"/>
    <n v="4.7"/>
    <n v="2200000"/>
    <n v="21300000"/>
  </r>
  <r>
    <s v="The Last Sin Eater"/>
    <x v="1868"/>
    <x v="2"/>
    <x v="0"/>
    <n v="117"/>
    <n v="5.9"/>
    <n v="2200000"/>
    <n v="379643"/>
  </r>
  <r>
    <s v="Do You Believe?"/>
    <x v="1869"/>
    <x v="2"/>
    <x v="0"/>
    <n v="120"/>
    <n v="5.9"/>
    <n v="2300000"/>
    <n v="12985267"/>
  </r>
  <r>
    <s v="Impact Point"/>
    <x v="1870"/>
    <x v="13"/>
    <x v="0"/>
    <n v="90"/>
    <n v="4.3"/>
    <n v="2200000"/>
    <n v="25078937"/>
  </r>
  <r>
    <s v="The Valley of Decision"/>
    <x v="1871"/>
    <x v="2"/>
    <x v="0"/>
    <n v="119"/>
    <n v="7.5"/>
    <n v="2160000"/>
    <n v="25078937"/>
  </r>
  <r>
    <s v="Eden"/>
    <x v="1872"/>
    <x v="2"/>
    <x v="0"/>
    <n v="90"/>
    <n v="4.8"/>
    <n v="20000000"/>
    <n v="25078937"/>
  </r>
  <r>
    <s v="Chicken Tikka Masala"/>
    <x v="1873"/>
    <x v="4"/>
    <x v="0"/>
    <n v="90"/>
    <n v="5.8"/>
    <n v="1200000"/>
    <n v="25078937"/>
  </r>
  <r>
    <s v="Always Woodstock"/>
    <x v="1874"/>
    <x v="4"/>
    <x v="0"/>
    <n v="97"/>
    <n v="5.3"/>
    <n v="2400000"/>
    <n v="25078937"/>
  </r>
  <r>
    <s v="Jack Brooks: Monster Slayer"/>
    <x v="1555"/>
    <x v="0"/>
    <x v="0"/>
    <n v="90"/>
    <n v="6"/>
    <n v="2500000"/>
    <n v="25078937"/>
  </r>
  <r>
    <s v="The Best Years of Our Lives"/>
    <x v="1875"/>
    <x v="2"/>
    <x v="0"/>
    <n v="172"/>
    <n v="8.1"/>
    <n v="2100000"/>
    <n v="23650000"/>
  </r>
  <r>
    <s v="Bully"/>
    <x v="1876"/>
    <x v="7"/>
    <x v="0"/>
    <n v="115"/>
    <n v="7"/>
    <n v="20000000"/>
    <n v="510092"/>
  </r>
  <r>
    <s v="Elling"/>
    <x v="1877"/>
    <x v="4"/>
    <x v="30"/>
    <n v="89"/>
    <n v="7.6"/>
    <n v="15500000"/>
    <n v="313436"/>
  </r>
  <r>
    <s v="Mi America"/>
    <x v="1878"/>
    <x v="6"/>
    <x v="0"/>
    <n v="125"/>
    <n v="7.2"/>
    <n v="2100000"/>
    <n v="3330"/>
  </r>
  <r>
    <s v="[Rec]"/>
    <x v="1290"/>
    <x v="11"/>
    <x v="5"/>
    <n v="78"/>
    <n v="7.5"/>
    <n v="1500000"/>
    <n v="25078937"/>
  </r>
  <r>
    <s v="Lies in Plain Sight"/>
    <x v="1787"/>
    <x v="2"/>
    <x v="0"/>
    <n v="89"/>
    <n v="6.3"/>
    <n v="2100000"/>
    <n v="25078937"/>
  </r>
  <r>
    <s v="Sharkskin"/>
    <x v="1879"/>
    <x v="4"/>
    <x v="0"/>
    <n v="100"/>
    <n v="6.7"/>
    <n v="2100000"/>
    <n v="25078937"/>
  </r>
  <r>
    <s v="Containment"/>
    <x v="1880"/>
    <x v="11"/>
    <x v="0"/>
    <n v="77"/>
    <n v="4.8"/>
    <n v="20000000"/>
    <n v="25078937"/>
  </r>
  <r>
    <s v="The Timber"/>
    <x v="1881"/>
    <x v="1"/>
    <x v="0"/>
    <n v="81"/>
    <n v="5.5"/>
    <n v="2100000"/>
    <n v="25078937"/>
  </r>
  <r>
    <s v="From Russia with Love"/>
    <x v="490"/>
    <x v="0"/>
    <x v="0"/>
    <n v="115"/>
    <n v="7.5"/>
    <n v="2000000"/>
    <n v="24800000"/>
  </r>
  <r>
    <s v="The Toxic Avenger Part II"/>
    <x v="1882"/>
    <x v="0"/>
    <x v="0"/>
    <n v="96"/>
    <n v="5.0999999999999996"/>
    <n v="2300000"/>
    <n v="792966"/>
  </r>
  <r>
    <s v="Sleeper"/>
    <x v="691"/>
    <x v="4"/>
    <x v="0"/>
    <n v="89"/>
    <n v="7.3"/>
    <n v="2000000"/>
    <n v="25078937"/>
  </r>
  <r>
    <s v="It Follows"/>
    <x v="1883"/>
    <x v="11"/>
    <x v="0"/>
    <n v="100"/>
    <n v="6.9"/>
    <n v="2000000"/>
    <n v="14673301"/>
  </r>
  <r>
    <s v="Everything You Always Wanted to Know About Sex * But Were Afraid to Ask"/>
    <x v="691"/>
    <x v="4"/>
    <x v="0"/>
    <n v="88"/>
    <n v="6.8"/>
    <n v="2000000"/>
    <n v="25078937"/>
  </r>
  <r>
    <s v="To Kill a Mockingbird"/>
    <x v="1884"/>
    <x v="6"/>
    <x v="0"/>
    <n v="129"/>
    <n v="8.4"/>
    <n v="2000000"/>
    <n v="25078937"/>
  </r>
  <r>
    <s v="Mad Max 2: The Road Warrior"/>
    <x v="82"/>
    <x v="0"/>
    <x v="0"/>
    <n v="87"/>
    <n v="7.6"/>
    <n v="2000000"/>
    <n v="9003011"/>
  </r>
  <r>
    <s v="The Legend of Drunken Master"/>
    <x v="1885"/>
    <x v="0"/>
    <x v="12"/>
    <n v="102"/>
    <n v="7.6"/>
    <n v="2000000"/>
    <n v="11546543"/>
  </r>
  <r>
    <s v="Boys Don't Cry"/>
    <x v="704"/>
    <x v="7"/>
    <x v="0"/>
    <n v="118"/>
    <n v="7.6"/>
    <n v="2000000"/>
    <n v="11533945"/>
  </r>
  <r>
    <s v="Silent House"/>
    <x v="1886"/>
    <x v="2"/>
    <x v="0"/>
    <n v="86"/>
    <n v="5.3"/>
    <n v="2000000"/>
    <n v="12555230"/>
  </r>
  <r>
    <s v="The Lives of Others"/>
    <x v="172"/>
    <x v="2"/>
    <x v="13"/>
    <n v="137"/>
    <n v="8.5"/>
    <n v="2000000"/>
    <n v="11284657"/>
  </r>
  <r>
    <s v="Courageous"/>
    <x v="1887"/>
    <x v="2"/>
    <x v="0"/>
    <n v="129"/>
    <n v="7"/>
    <n v="2000000"/>
    <n v="34522221"/>
  </r>
  <r>
    <s v="The Hustler"/>
    <x v="1888"/>
    <x v="2"/>
    <x v="0"/>
    <n v="134"/>
    <n v="8"/>
    <n v="2000000"/>
    <n v="25078937"/>
  </r>
  <r>
    <s v="Boom Town"/>
    <x v="1889"/>
    <x v="1"/>
    <x v="0"/>
    <n v="119"/>
    <n v="7.1"/>
    <n v="1614000"/>
    <n v="25078937"/>
  </r>
  <r>
    <s v="The Triplets of Belleville"/>
    <x v="1890"/>
    <x v="3"/>
    <x v="2"/>
    <n v="80"/>
    <n v="7.8"/>
    <n v="9500000"/>
    <n v="7002255"/>
  </r>
  <r>
    <s v="Smoke Signals"/>
    <x v="1891"/>
    <x v="4"/>
    <x v="0"/>
    <n v="89"/>
    <n v="7.2"/>
    <n v="2000000"/>
    <n v="6719300"/>
  </r>
  <r>
    <s v="American Splendor"/>
    <x v="1509"/>
    <x v="7"/>
    <x v="0"/>
    <n v="101"/>
    <n v="7.5"/>
    <n v="20000000"/>
    <n v="6003587"/>
  </r>
  <r>
    <s v="Before Sunset"/>
    <x v="771"/>
    <x v="2"/>
    <x v="0"/>
    <n v="80"/>
    <n v="8"/>
    <n v="2700000"/>
    <n v="5792822"/>
  </r>
  <r>
    <s v="Amores Perros"/>
    <x v="112"/>
    <x v="2"/>
    <x v="5"/>
    <n v="115"/>
    <n v="8.1"/>
    <n v="2000000"/>
    <n v="5383834"/>
  </r>
  <r>
    <s v="Thirteen"/>
    <x v="530"/>
    <x v="2"/>
    <x v="0"/>
    <n v="100"/>
    <n v="6.8"/>
    <n v="1500000"/>
    <n v="4599680"/>
  </r>
  <r>
    <s v="Gentleman's Agreement"/>
    <x v="1892"/>
    <x v="2"/>
    <x v="0"/>
    <n v="118"/>
    <n v="7.4"/>
    <n v="2000000"/>
    <n v="25078937"/>
  </r>
  <r>
    <s v="Winter's Bone"/>
    <x v="1893"/>
    <x v="2"/>
    <x v="0"/>
    <n v="100"/>
    <n v="7.2"/>
    <n v="2000000"/>
    <n v="6531491"/>
  </r>
  <r>
    <s v="Touching the Void"/>
    <x v="367"/>
    <x v="1"/>
    <x v="0"/>
    <n v="106"/>
    <n v="8.1"/>
    <n v="20000000"/>
    <n v="4581222"/>
  </r>
  <r>
    <s v="Alexander's Ragtime Band"/>
    <x v="1894"/>
    <x v="2"/>
    <x v="0"/>
    <n v="106"/>
    <n v="7"/>
    <n v="2000000"/>
    <n v="25078937"/>
  </r>
  <r>
    <s v="Me and You and Everyone We Know"/>
    <x v="1895"/>
    <x v="4"/>
    <x v="0"/>
    <n v="91"/>
    <n v="7.4"/>
    <n v="2000000"/>
    <n v="3885134"/>
  </r>
  <r>
    <s v="Inside Job"/>
    <x v="1756"/>
    <x v="6"/>
    <x v="0"/>
    <n v="105"/>
    <n v="8.3000000000000007"/>
    <n v="20000000"/>
    <n v="4311834"/>
  </r>
  <r>
    <s v="We Are Your Friends"/>
    <x v="1896"/>
    <x v="2"/>
    <x v="0"/>
    <n v="96"/>
    <n v="6.1"/>
    <n v="2000000"/>
    <n v="3590010"/>
  </r>
  <r>
    <s v="Ghost Dog: The Way of the Samurai"/>
    <x v="1897"/>
    <x v="0"/>
    <x v="0"/>
    <n v="116"/>
    <n v="7.5"/>
    <n v="20000000"/>
    <n v="3300230"/>
  </r>
  <r>
    <s v="Harsh Times"/>
    <x v="49"/>
    <x v="0"/>
    <x v="0"/>
    <n v="116"/>
    <n v="7"/>
    <n v="2000000"/>
    <n v="3335839"/>
  </r>
  <r>
    <s v="Captive"/>
    <x v="576"/>
    <x v="6"/>
    <x v="0"/>
    <n v="97"/>
    <n v="5.3"/>
    <n v="2000000"/>
    <n v="2557668"/>
  </r>
  <r>
    <s v="Full Frontal"/>
    <x v="148"/>
    <x v="4"/>
    <x v="0"/>
    <n v="101"/>
    <n v="4.7"/>
    <n v="2000000"/>
    <n v="2506446"/>
  </r>
  <r>
    <s v="Witchboard"/>
    <x v="1898"/>
    <x v="11"/>
    <x v="0"/>
    <n v="98"/>
    <n v="5.7"/>
    <n v="2000000"/>
    <n v="7369373"/>
  </r>
  <r>
    <s v="Shortbus"/>
    <x v="1554"/>
    <x v="4"/>
    <x v="0"/>
    <n v="101"/>
    <n v="6.5"/>
    <n v="2000000"/>
    <n v="1984378"/>
  </r>
  <r>
    <s v="Waltz with Bashir"/>
    <x v="1899"/>
    <x v="3"/>
    <x v="18"/>
    <n v="90"/>
    <n v="8"/>
    <n v="1500000"/>
    <n v="2283276"/>
  </r>
  <r>
    <s v="The Book of Mormon Movie, Volume 1: The Journey"/>
    <x v="1900"/>
    <x v="1"/>
    <x v="0"/>
    <n v="120"/>
    <n v="3.3"/>
    <n v="2000000"/>
    <n v="1098224"/>
  </r>
  <r>
    <s v="No End in Sight"/>
    <x v="1756"/>
    <x v="9"/>
    <x v="0"/>
    <n v="102"/>
    <n v="8.3000000000000007"/>
    <n v="2000000"/>
    <n v="1430185"/>
  </r>
  <r>
    <s v="The Diary of a Teenage Girl"/>
    <x v="1901"/>
    <x v="2"/>
    <x v="0"/>
    <n v="102"/>
    <n v="6.9"/>
    <n v="2000000"/>
    <n v="1477002"/>
  </r>
  <r>
    <s v="In the Shadow of the Moon"/>
    <x v="1902"/>
    <x v="9"/>
    <x v="0"/>
    <n v="100"/>
    <n v="8.1"/>
    <n v="2000000"/>
    <n v="1134049"/>
  </r>
  <r>
    <s v="Meek's Cutoff"/>
    <x v="1903"/>
    <x v="2"/>
    <x v="0"/>
    <n v="104"/>
    <n v="6.5"/>
    <n v="20000000"/>
    <n v="977600"/>
  </r>
  <r>
    <s v="Inside Deep Throat"/>
    <x v="1637"/>
    <x v="7"/>
    <x v="0"/>
    <n v="89"/>
    <n v="6.8"/>
    <n v="2000000"/>
    <n v="653621"/>
  </r>
  <r>
    <s v="Dinner Rush"/>
    <x v="1904"/>
    <x v="6"/>
    <x v="0"/>
    <n v="99"/>
    <n v="7.3"/>
    <n v="20000000"/>
    <n v="110000"/>
  </r>
  <r>
    <s v="Clockwatchers"/>
    <x v="1793"/>
    <x v="4"/>
    <x v="0"/>
    <n v="96"/>
    <n v="6.4"/>
    <n v="20000000"/>
    <n v="444354"/>
  </r>
  <r>
    <s v="The Virginity Hit"/>
    <x v="1905"/>
    <x v="4"/>
    <x v="0"/>
    <n v="86"/>
    <n v="4.5999999999999996"/>
    <n v="3400000"/>
    <n v="535249"/>
  </r>
  <r>
    <s v="Subway"/>
    <x v="187"/>
    <x v="4"/>
    <x v="2"/>
    <n v="98"/>
    <n v="6.5"/>
    <n v="17000000"/>
    <n v="25078937"/>
  </r>
  <r>
    <s v="House of D"/>
    <x v="1906"/>
    <x v="4"/>
    <x v="0"/>
    <n v="96"/>
    <n v="7"/>
    <n v="6000000"/>
    <n v="371081"/>
  </r>
  <r>
    <s v="Teeth"/>
    <x v="1907"/>
    <x v="4"/>
    <x v="0"/>
    <n v="94"/>
    <n v="5.4"/>
    <n v="20000000"/>
    <n v="347578"/>
  </r>
  <r>
    <s v="Six-String Samurai"/>
    <x v="1908"/>
    <x v="0"/>
    <x v="0"/>
    <n v="91"/>
    <n v="6.7"/>
    <n v="2000000"/>
    <n v="124494"/>
  </r>
  <r>
    <s v="It's All Gone Pete Tong"/>
    <x v="979"/>
    <x v="7"/>
    <x v="0"/>
    <n v="90"/>
    <n v="7.4"/>
    <n v="20000000"/>
    <n v="120620"/>
  </r>
  <r>
    <s v="Saint John of Las Vegas"/>
    <x v="1909"/>
    <x v="4"/>
    <x v="0"/>
    <n v="85"/>
    <n v="5.8"/>
    <n v="3800000"/>
    <n v="100669"/>
  </r>
  <r>
    <s v="24 7: Twenty Four Seven"/>
    <x v="1589"/>
    <x v="4"/>
    <x v="0"/>
    <n v="96"/>
    <n v="7.1"/>
    <n v="20000000"/>
    <n v="25078937"/>
  </r>
  <r>
    <s v="Stonewall"/>
    <x v="41"/>
    <x v="2"/>
    <x v="0"/>
    <n v="129"/>
    <n v="4.5"/>
    <n v="13500000"/>
    <n v="186354"/>
  </r>
  <r>
    <s v="Roadside Romeo"/>
    <x v="1910"/>
    <x v="3"/>
    <x v="7"/>
    <n v="93"/>
    <n v="5.3"/>
    <n v="20000000"/>
    <n v="55202"/>
  </r>
  <r>
    <s v="This Thing of Ours"/>
    <x v="1911"/>
    <x v="6"/>
    <x v="0"/>
    <n v="100"/>
    <n v="5.4"/>
    <n v="20000000"/>
    <n v="25078937"/>
  </r>
  <r>
    <s v="The Lost Medallion: The Adventures of Billy Stone"/>
    <x v="1912"/>
    <x v="1"/>
    <x v="0"/>
    <n v="97"/>
    <n v="4.8"/>
    <n v="20000000"/>
    <n v="549632"/>
  </r>
  <r>
    <s v="The Last Five Years"/>
    <x v="473"/>
    <x v="4"/>
    <x v="0"/>
    <n v="94"/>
    <n v="5.9"/>
    <n v="20000000"/>
    <n v="137945"/>
  </r>
  <r>
    <s v="The Missing Person"/>
    <x v="1913"/>
    <x v="2"/>
    <x v="0"/>
    <n v="95"/>
    <n v="6.2"/>
    <n v="1500000"/>
    <n v="17580"/>
  </r>
  <r>
    <s v="Return of the Living Dead III"/>
    <x v="1914"/>
    <x v="11"/>
    <x v="0"/>
    <n v="97"/>
    <n v="5.9"/>
    <n v="2000000"/>
    <n v="25078937"/>
  </r>
  <r>
    <s v="London"/>
    <x v="1915"/>
    <x v="2"/>
    <x v="0"/>
    <n v="92"/>
    <n v="6.6"/>
    <n v="14000"/>
    <n v="12667"/>
  </r>
  <r>
    <s v="Sherrybaby"/>
    <x v="1916"/>
    <x v="2"/>
    <x v="0"/>
    <n v="96"/>
    <n v="6.6"/>
    <n v="2000000"/>
    <n v="198407"/>
  </r>
  <r>
    <s v="Circle"/>
    <x v="1917"/>
    <x v="2"/>
    <x v="0"/>
    <n v="87"/>
    <n v="6"/>
    <n v="20000000"/>
    <n v="25078937"/>
  </r>
  <r>
    <s v="Eden Lake"/>
    <x v="1083"/>
    <x v="11"/>
    <x v="0"/>
    <n v="91"/>
    <n v="6.8"/>
    <n v="20000000"/>
    <n v="5824"/>
  </r>
  <r>
    <s v="Plush"/>
    <x v="530"/>
    <x v="13"/>
    <x v="0"/>
    <n v="99"/>
    <n v="5.4"/>
    <n v="20000000"/>
    <n v="2843"/>
  </r>
  <r>
    <s v="Vampire Killers"/>
    <x v="1918"/>
    <x v="0"/>
    <x v="0"/>
    <n v="88"/>
    <n v="5.2"/>
    <n v="20000000"/>
    <n v="25078937"/>
  </r>
  <r>
    <s v="Gangster's Paradise: Jerusalema"/>
    <x v="1919"/>
    <x v="0"/>
    <x v="0"/>
    <n v="119"/>
    <n v="7.8"/>
    <n v="2000000"/>
    <n v="4958"/>
  </r>
  <r>
    <s v="Freeze Frame"/>
    <x v="1920"/>
    <x v="6"/>
    <x v="0"/>
    <n v="99"/>
    <n v="6.4"/>
    <n v="2000000"/>
    <n v="25078937"/>
  </r>
  <r>
    <s v="Grave Encounters"/>
    <x v="1921"/>
    <x v="11"/>
    <x v="0"/>
    <n v="92"/>
    <n v="6.1"/>
    <n v="100000"/>
    <n v="25078937"/>
  </r>
  <r>
    <s v="Stitches"/>
    <x v="1922"/>
    <x v="4"/>
    <x v="0"/>
    <n v="86"/>
    <n v="5.7"/>
    <n v="20000000"/>
    <n v="25078937"/>
  </r>
  <r>
    <s v="Nine Dead"/>
    <x v="1923"/>
    <x v="6"/>
    <x v="0"/>
    <n v="83"/>
    <n v="5.5"/>
    <n v="2000000"/>
    <n v="25078937"/>
  </r>
  <r>
    <s v="To Be Frank, Sinatra at 100"/>
    <x v="1924"/>
    <x v="9"/>
    <x v="0"/>
    <n v="81"/>
    <n v="7.4"/>
    <n v="2000000"/>
    <n v="25078937"/>
  </r>
  <r>
    <s v="Bananas"/>
    <x v="691"/>
    <x v="4"/>
    <x v="0"/>
    <n v="82"/>
    <n v="7.1"/>
    <n v="2000000"/>
    <n v="25078937"/>
  </r>
  <r>
    <s v="Supercapitalist"/>
    <x v="1925"/>
    <x v="13"/>
    <x v="0"/>
    <n v="102"/>
    <n v="3.9"/>
    <n v="20000000"/>
    <n v="13220"/>
  </r>
  <r>
    <s v="Rockaway"/>
    <x v="1926"/>
    <x v="0"/>
    <x v="0"/>
    <n v="90"/>
    <n v="4.5999999999999996"/>
    <n v="2000000"/>
    <n v="25078937"/>
  </r>
  <r>
    <s v="The Lady from Shanghai"/>
    <x v="1927"/>
    <x v="6"/>
    <x v="0"/>
    <n v="92"/>
    <n v="7.7"/>
    <n v="2300000"/>
    <n v="7927"/>
  </r>
  <r>
    <s v="No Man's Land: The Rise of Reeker"/>
    <x v="1928"/>
    <x v="11"/>
    <x v="0"/>
    <n v="88"/>
    <n v="4.9000000000000004"/>
    <n v="2000000"/>
    <n v="25078937"/>
  </r>
  <r>
    <s v="Highway"/>
    <x v="1582"/>
    <x v="6"/>
    <x v="0"/>
    <n v="97"/>
    <n v="6.3"/>
    <n v="14000000"/>
    <n v="25078937"/>
  </r>
  <r>
    <s v="Small Apartments"/>
    <x v="1677"/>
    <x v="4"/>
    <x v="0"/>
    <n v="96"/>
    <n v="6.1"/>
    <n v="2000000"/>
    <n v="25078937"/>
  </r>
  <r>
    <s v="Coffee Town"/>
    <x v="1929"/>
    <x v="4"/>
    <x v="0"/>
    <n v="87"/>
    <n v="6.6"/>
    <n v="2000000"/>
    <n v="25078937"/>
  </r>
  <r>
    <s v="The Ghastly Love of Johnny X"/>
    <x v="1930"/>
    <x v="4"/>
    <x v="0"/>
    <n v="106"/>
    <n v="5.7"/>
    <n v="2000000"/>
    <n v="2436"/>
  </r>
  <r>
    <s v="All Is Bright"/>
    <x v="1931"/>
    <x v="4"/>
    <x v="0"/>
    <n v="107"/>
    <n v="5.6"/>
    <n v="20000000"/>
    <n v="4556"/>
  </r>
  <r>
    <s v="The Torture Chamber of Dr. Sadism"/>
    <x v="1932"/>
    <x v="11"/>
    <x v="13"/>
    <n v="80"/>
    <n v="6"/>
    <n v="20000000"/>
    <n v="25078937"/>
  </r>
  <r>
    <s v="Straight A's"/>
    <x v="1582"/>
    <x v="4"/>
    <x v="0"/>
    <n v="91"/>
    <n v="5.7"/>
    <n v="2000000"/>
    <n v="25078937"/>
  </r>
  <r>
    <s v="A Funny Thing Happened on the Way to the Forum"/>
    <x v="417"/>
    <x v="4"/>
    <x v="0"/>
    <n v="99"/>
    <n v="7"/>
    <n v="2000000"/>
    <n v="25078937"/>
  </r>
  <r>
    <s v="Slacker Uprising"/>
    <x v="937"/>
    <x v="9"/>
    <x v="0"/>
    <n v="102"/>
    <n v="5.3"/>
    <n v="2000000"/>
    <n v="25078937"/>
  </r>
  <r>
    <s v="The Legend of Hell's Gate: An American Conspiracy"/>
    <x v="1933"/>
    <x v="0"/>
    <x v="0"/>
    <n v="108"/>
    <n v="4.4000000000000004"/>
    <n v="2000000"/>
    <n v="25078937"/>
  </r>
  <r>
    <s v="The Walking Deceased"/>
    <x v="1934"/>
    <x v="4"/>
    <x v="0"/>
    <n v="88"/>
    <n v="3.4"/>
    <n v="1250000"/>
    <n v="25078937"/>
  </r>
  <r>
    <s v="The Curse of Downers Grove"/>
    <x v="1935"/>
    <x v="2"/>
    <x v="0"/>
    <n v="89"/>
    <n v="4.5"/>
    <n v="2000000"/>
    <n v="25078937"/>
  </r>
  <r>
    <s v="Shark Lake"/>
    <x v="1936"/>
    <x v="13"/>
    <x v="0"/>
    <n v="92"/>
    <n v="3.4"/>
    <n v="2000000"/>
    <n v="25078937"/>
  </r>
  <r>
    <s v="River's Edge"/>
    <x v="1937"/>
    <x v="6"/>
    <x v="0"/>
    <n v="99"/>
    <n v="7.1"/>
    <n v="1900000"/>
    <n v="4600000"/>
  </r>
  <r>
    <s v="Northfork"/>
    <x v="1195"/>
    <x v="2"/>
    <x v="0"/>
    <n v="103"/>
    <n v="6.4"/>
    <n v="1900000"/>
    <n v="1420578"/>
  </r>
  <r>
    <s v="The Marine 4: Moving Target"/>
    <x v="1568"/>
    <x v="0"/>
    <x v="0"/>
    <n v="90"/>
    <n v="5.2"/>
    <n v="1950000"/>
    <n v="25078937"/>
  </r>
  <r>
    <s v="Buried"/>
    <x v="1012"/>
    <x v="2"/>
    <x v="0"/>
    <n v="95"/>
    <n v="7"/>
    <n v="3000000"/>
    <n v="1028658"/>
  </r>
  <r>
    <s v="Submarine"/>
    <x v="1938"/>
    <x v="4"/>
    <x v="0"/>
    <n v="97"/>
    <n v="7.3"/>
    <n v="20000000"/>
    <n v="466702"/>
  </r>
  <r>
    <s v="The Square"/>
    <x v="1939"/>
    <x v="9"/>
    <x v="29"/>
    <n v="108"/>
    <n v="8.1"/>
    <n v="1500000"/>
    <n v="25078937"/>
  </r>
  <r>
    <s v="One to Another"/>
    <x v="1940"/>
    <x v="2"/>
    <x v="2"/>
    <n v="95"/>
    <n v="5.8"/>
    <n v="1400000"/>
    <n v="18435"/>
  </r>
  <r>
    <s v="ABCD (Any Body Can Dance)"/>
    <x v="1941"/>
    <x v="2"/>
    <x v="7"/>
    <n v="160"/>
    <n v="6.4"/>
    <n v="20000000"/>
    <n v="95236"/>
  </r>
  <r>
    <s v="Man on Wire"/>
    <x v="1088"/>
    <x v="7"/>
    <x v="0"/>
    <n v="90"/>
    <n v="7.8"/>
    <n v="1000000"/>
    <n v="2957978"/>
  </r>
  <r>
    <s v="Abandoned"/>
    <x v="1942"/>
    <x v="2"/>
    <x v="0"/>
    <n v="86"/>
    <n v="6.3"/>
    <n v="20000000"/>
    <n v="25078937"/>
  </r>
  <r>
    <s v="Brotherly Love"/>
    <x v="1943"/>
    <x v="2"/>
    <x v="0"/>
    <n v="89"/>
    <n v="7.2"/>
    <n v="1900000"/>
    <n v="444044"/>
  </r>
  <r>
    <s v="The Last Exorcism"/>
    <x v="1944"/>
    <x v="2"/>
    <x v="0"/>
    <n v="87"/>
    <n v="5.6"/>
    <n v="1800000"/>
    <n v="40990055"/>
  </r>
  <r>
    <s v="Nowhere Boy"/>
    <x v="542"/>
    <x v="7"/>
    <x v="0"/>
    <n v="98"/>
    <n v="7.2"/>
    <n v="20000000"/>
    <n v="1445366"/>
  </r>
  <r>
    <s v="A Streetcar Named Desire"/>
    <x v="1892"/>
    <x v="2"/>
    <x v="0"/>
    <n v="125"/>
    <n v="8"/>
    <n v="1800000"/>
    <n v="25078937"/>
  </r>
  <r>
    <s v="Dr. Strangelove or: How I Learned to Stop Worrying and Love the Bomb"/>
    <x v="324"/>
    <x v="4"/>
    <x v="0"/>
    <n v="95"/>
    <n v="8.5"/>
    <n v="1800000"/>
    <n v="25078937"/>
  </r>
  <r>
    <s v="El crimen del padre Amaro"/>
    <x v="1945"/>
    <x v="2"/>
    <x v="5"/>
    <n v="118"/>
    <n v="6.8"/>
    <n v="1800000"/>
    <n v="5709616"/>
  </r>
  <r>
    <s v="Beasts of the Southern Wild"/>
    <x v="1946"/>
    <x v="2"/>
    <x v="0"/>
    <n v="93"/>
    <n v="7.3"/>
    <n v="1800000"/>
    <n v="12784397"/>
  </r>
  <r>
    <s v="Battle for the Planet of the Apes"/>
    <x v="1947"/>
    <x v="0"/>
    <x v="0"/>
    <n v="96"/>
    <n v="5.5"/>
    <n v="1800000"/>
    <n v="25078937"/>
  </r>
  <r>
    <s v="Songcatcher"/>
    <x v="1948"/>
    <x v="2"/>
    <x v="0"/>
    <n v="109"/>
    <n v="7.3"/>
    <n v="1800000"/>
    <n v="3050934"/>
  </r>
  <r>
    <s v="Higher Ground"/>
    <x v="1949"/>
    <x v="2"/>
    <x v="0"/>
    <n v="109"/>
    <n v="6.3"/>
    <n v="20000000"/>
    <n v="841206"/>
  </r>
  <r>
    <s v="Vaalu"/>
    <x v="1950"/>
    <x v="4"/>
    <x v="35"/>
    <n v="155"/>
    <n v="5.0999999999999996"/>
    <n v="150000000"/>
    <n v="25078937"/>
  </r>
  <r>
    <s v="The Greatest Movie Ever Sold"/>
    <x v="1318"/>
    <x v="4"/>
    <x v="0"/>
    <n v="90"/>
    <n v="6.6"/>
    <n v="1500000"/>
    <n v="638476"/>
  </r>
  <r>
    <s v="Ed and His Dead Mother"/>
    <x v="1951"/>
    <x v="4"/>
    <x v="0"/>
    <n v="93"/>
    <n v="6.1"/>
    <n v="1800000"/>
    <n v="25078937"/>
  </r>
  <r>
    <s v="Travelers and Magicians"/>
    <x v="1952"/>
    <x v="1"/>
    <x v="36"/>
    <n v="108"/>
    <n v="7.5"/>
    <n v="1800000"/>
    <n v="505295"/>
  </r>
  <r>
    <s v="Hang 'Em High"/>
    <x v="1778"/>
    <x v="16"/>
    <x v="0"/>
    <n v="114"/>
    <n v="7"/>
    <n v="1800000"/>
    <n v="25078937"/>
  </r>
  <r>
    <s v="Deadline - U.S.A."/>
    <x v="1741"/>
    <x v="6"/>
    <x v="0"/>
    <n v="87"/>
    <n v="7.2"/>
    <n v="20000000"/>
    <n v="25078937"/>
  </r>
  <r>
    <s v="Sublime"/>
    <x v="1953"/>
    <x v="11"/>
    <x v="0"/>
    <n v="113"/>
    <n v="5.3"/>
    <n v="1800000"/>
    <n v="25078937"/>
  </r>
  <r>
    <s v="A Beginner's Guide to Snuff"/>
    <x v="1954"/>
    <x v="4"/>
    <x v="0"/>
    <n v="87"/>
    <n v="8.6999999999999993"/>
    <n v="20000000"/>
    <n v="25078937"/>
  </r>
  <r>
    <s v="Independence Daysaster"/>
    <x v="1955"/>
    <x v="0"/>
    <x v="0"/>
    <n v="90"/>
    <n v="3.4"/>
    <n v="1800000"/>
    <n v="25078937"/>
  </r>
  <r>
    <s v="Dysfunctional Friends"/>
    <x v="1956"/>
    <x v="4"/>
    <x v="0"/>
    <n v="111"/>
    <n v="5.4"/>
    <n v="1800000"/>
    <n v="25078937"/>
  </r>
  <r>
    <s v="Run Lola Run"/>
    <x v="174"/>
    <x v="6"/>
    <x v="13"/>
    <n v="81"/>
    <n v="7.8"/>
    <n v="3500000"/>
    <n v="7267324"/>
  </r>
  <r>
    <s v="May"/>
    <x v="1957"/>
    <x v="2"/>
    <x v="0"/>
    <n v="93"/>
    <n v="6.7"/>
    <n v="500000"/>
    <n v="145540"/>
  </r>
  <r>
    <s v="Against the Wild"/>
    <x v="1958"/>
    <x v="1"/>
    <x v="0"/>
    <n v="90"/>
    <n v="4.7"/>
    <n v="2000000"/>
    <n v="25078937"/>
  </r>
  <r>
    <s v="Living Dark: The Story of Ted the Caver"/>
    <x v="1959"/>
    <x v="11"/>
    <x v="0"/>
    <n v="112"/>
    <n v="6.3"/>
    <n v="1750000"/>
    <n v="25078937"/>
  </r>
  <r>
    <s v="Under the Same Moon"/>
    <x v="826"/>
    <x v="1"/>
    <x v="5"/>
    <n v="106"/>
    <n v="7.4"/>
    <n v="20000000"/>
    <n v="12589108"/>
  </r>
  <r>
    <s v="Conquest of the Planet of the Apes"/>
    <x v="1947"/>
    <x v="0"/>
    <x v="0"/>
    <n v="88"/>
    <n v="6.1"/>
    <n v="1700000"/>
    <n v="25078937"/>
  </r>
  <r>
    <s v="In the Bedroom"/>
    <x v="1174"/>
    <x v="6"/>
    <x v="0"/>
    <n v="138"/>
    <n v="7.5"/>
    <n v="1700000"/>
    <n v="35918429"/>
  </r>
  <r>
    <s v="I Spit on Your Grave"/>
    <x v="1960"/>
    <x v="11"/>
    <x v="0"/>
    <n v="105"/>
    <n v="6.3"/>
    <n v="2000000"/>
    <n v="92401"/>
  </r>
  <r>
    <s v="Happy, Texas"/>
    <x v="1961"/>
    <x v="4"/>
    <x v="0"/>
    <n v="98"/>
    <n v="6.3"/>
    <n v="1700000"/>
    <n v="1943649"/>
  </r>
  <r>
    <s v="My Summer of Love"/>
    <x v="1833"/>
    <x v="2"/>
    <x v="0"/>
    <n v="86"/>
    <n v="6.8"/>
    <n v="1700000"/>
    <n v="992238"/>
  </r>
  <r>
    <s v="The Lunchbox"/>
    <x v="1962"/>
    <x v="2"/>
    <x v="7"/>
    <n v="104"/>
    <n v="7.8"/>
    <n v="1000000"/>
    <n v="4231500"/>
  </r>
  <r>
    <s v="Yes"/>
    <x v="1963"/>
    <x v="2"/>
    <x v="0"/>
    <n v="100"/>
    <n v="6.9"/>
    <n v="1000000"/>
    <n v="396035"/>
  </r>
  <r>
    <s v="You Can't Take It with You"/>
    <x v="1775"/>
    <x v="4"/>
    <x v="0"/>
    <n v="126"/>
    <n v="8"/>
    <n v="1644736"/>
    <n v="25078937"/>
  </r>
  <r>
    <s v="From Here to Eternity"/>
    <x v="1563"/>
    <x v="2"/>
    <x v="0"/>
    <n v="118"/>
    <n v="7.8"/>
    <n v="1650000"/>
    <n v="25078937"/>
  </r>
  <r>
    <s v="She Wore a Yellow Ribbon"/>
    <x v="1770"/>
    <x v="16"/>
    <x v="0"/>
    <n v="103"/>
    <n v="7.4"/>
    <n v="1600000"/>
    <n v="25078937"/>
  </r>
  <r>
    <s v="Grace Unplugged"/>
    <x v="1964"/>
    <x v="2"/>
    <x v="0"/>
    <n v="102"/>
    <n v="6.1"/>
    <n v="20000000"/>
    <n v="2507106"/>
  </r>
  <r>
    <s v="Foolish"/>
    <x v="1965"/>
    <x v="4"/>
    <x v="0"/>
    <n v="84"/>
    <n v="4.3"/>
    <n v="2000000"/>
    <n v="6026908"/>
  </r>
  <r>
    <s v="Caramel"/>
    <x v="1966"/>
    <x v="4"/>
    <x v="29"/>
    <n v="95"/>
    <n v="7.2"/>
    <n v="1300000"/>
    <n v="1060591"/>
  </r>
  <r>
    <s v="Out of the Dark"/>
    <x v="1967"/>
    <x v="11"/>
    <x v="0"/>
    <n v="92"/>
    <n v="4.7"/>
    <n v="20000000"/>
    <n v="25078937"/>
  </r>
  <r>
    <s v="The Bubble"/>
    <x v="1968"/>
    <x v="4"/>
    <x v="18"/>
    <n v="90"/>
    <n v="7.3"/>
    <n v="1500000"/>
    <n v="155972"/>
  </r>
  <r>
    <s v="The Conversation"/>
    <x v="416"/>
    <x v="2"/>
    <x v="0"/>
    <n v="113"/>
    <n v="7.9"/>
    <n v="1600000"/>
    <n v="25078937"/>
  </r>
  <r>
    <s v="Mississippi Mermaid"/>
    <x v="1969"/>
    <x v="6"/>
    <x v="2"/>
    <n v="123"/>
    <n v="7.2"/>
    <n v="1600000"/>
    <n v="26893"/>
  </r>
  <r>
    <s v="I Love Your Work"/>
    <x v="1970"/>
    <x v="2"/>
    <x v="0"/>
    <n v="111"/>
    <n v="5.4"/>
    <n v="1650000"/>
    <n v="2580"/>
  </r>
  <r>
    <s v="Cabin Fever"/>
    <x v="1971"/>
    <x v="11"/>
    <x v="0"/>
    <n v="99"/>
    <n v="3.7"/>
    <n v="20000000"/>
    <n v="25078937"/>
  </r>
  <r>
    <s v="Waitress"/>
    <x v="1972"/>
    <x v="4"/>
    <x v="0"/>
    <n v="108"/>
    <n v="7.1"/>
    <n v="2000000"/>
    <n v="19067631"/>
  </r>
  <r>
    <s v="Bloodsport"/>
    <x v="1973"/>
    <x v="0"/>
    <x v="0"/>
    <n v="92"/>
    <n v="6.8"/>
    <n v="1100000"/>
    <n v="11806119"/>
  </r>
  <r>
    <s v="Mr. Smith Goes to Washington"/>
    <x v="1775"/>
    <x v="4"/>
    <x v="0"/>
    <n v="120"/>
    <n v="8.1999999999999993"/>
    <n v="1500000"/>
    <n v="25078937"/>
  </r>
  <r>
    <s v="Kids"/>
    <x v="1876"/>
    <x v="2"/>
    <x v="0"/>
    <n v="91"/>
    <n v="7"/>
    <n v="1500000"/>
    <n v="7417210"/>
  </r>
  <r>
    <s v="The Squid and the Whale"/>
    <x v="1346"/>
    <x v="4"/>
    <x v="0"/>
    <n v="88"/>
    <n v="7.4"/>
    <n v="1500000"/>
    <n v="7362100"/>
  </r>
  <r>
    <s v="Kissing Jessica Stein"/>
    <x v="788"/>
    <x v="4"/>
    <x v="0"/>
    <n v="97"/>
    <n v="6.7"/>
    <n v="1000000"/>
    <n v="7022940"/>
  </r>
  <r>
    <s v="Spellbound"/>
    <x v="926"/>
    <x v="18"/>
    <x v="0"/>
    <n v="95"/>
    <n v="7.6"/>
    <n v="1696377"/>
    <n v="25078937"/>
  </r>
  <r>
    <s v="Exotica"/>
    <x v="837"/>
    <x v="2"/>
    <x v="0"/>
    <n v="103"/>
    <n v="7.2"/>
    <n v="2000000"/>
    <n v="5132222"/>
  </r>
  <r>
    <s v="Buffalo '66"/>
    <x v="1353"/>
    <x v="4"/>
    <x v="0"/>
    <n v="110"/>
    <n v="7.5"/>
    <n v="1500000"/>
    <n v="2365931"/>
  </r>
  <r>
    <s v="Insidious"/>
    <x v="32"/>
    <x v="8"/>
    <x v="0"/>
    <n v="103"/>
    <n v="6.8"/>
    <n v="1500000"/>
    <n v="53991137"/>
  </r>
  <r>
    <s v="Repo Man"/>
    <x v="1974"/>
    <x v="4"/>
    <x v="0"/>
    <n v="92"/>
    <n v="6.9"/>
    <n v="1500000"/>
    <n v="25078937"/>
  </r>
  <r>
    <s v="Nine Queens"/>
    <x v="1975"/>
    <x v="6"/>
    <x v="5"/>
    <n v="114"/>
    <n v="7.9"/>
    <n v="1500000"/>
    <n v="1221261"/>
  </r>
  <r>
    <s v="The Gatekeepers"/>
    <x v="1976"/>
    <x v="9"/>
    <x v="18"/>
    <n v="101"/>
    <n v="7.6"/>
    <n v="20000000"/>
    <n v="2408553"/>
  </r>
  <r>
    <s v="The Ballad of Jack and Rose"/>
    <x v="1977"/>
    <x v="2"/>
    <x v="0"/>
    <n v="112"/>
    <n v="6.7"/>
    <n v="1500000"/>
    <n v="712294"/>
  </r>
  <r>
    <s v="The To Do List"/>
    <x v="1978"/>
    <x v="4"/>
    <x v="0"/>
    <n v="104"/>
    <n v="5.8"/>
    <n v="1500000"/>
    <n v="3447339"/>
  </r>
  <r>
    <s v="Killing Zoe"/>
    <x v="1702"/>
    <x v="6"/>
    <x v="0"/>
    <n v="99"/>
    <n v="6.5"/>
    <n v="1500000"/>
    <n v="418953"/>
  </r>
  <r>
    <s v="The Believer"/>
    <x v="1979"/>
    <x v="2"/>
    <x v="0"/>
    <n v="98"/>
    <n v="7.2"/>
    <n v="1500000"/>
    <n v="406035"/>
  </r>
  <r>
    <s v="Snow Angels"/>
    <x v="469"/>
    <x v="2"/>
    <x v="0"/>
    <n v="107"/>
    <n v="6.9"/>
    <n v="20000000"/>
    <n v="402820"/>
  </r>
  <r>
    <s v="Unsullied"/>
    <x v="1980"/>
    <x v="0"/>
    <x v="0"/>
    <n v="93"/>
    <n v="5.5"/>
    <n v="1500000"/>
    <n v="25078937"/>
  </r>
  <r>
    <s v="Session 9"/>
    <x v="1137"/>
    <x v="11"/>
    <x v="0"/>
    <n v="100"/>
    <n v="6.5"/>
    <n v="1500000"/>
    <n v="373967"/>
  </r>
  <r>
    <s v="I Want Someone to Eat Cheese With"/>
    <x v="1981"/>
    <x v="4"/>
    <x v="0"/>
    <n v="80"/>
    <n v="6.2"/>
    <n v="1500000"/>
    <n v="194568"/>
  </r>
  <r>
    <s v="Mooz-Lum"/>
    <x v="1982"/>
    <x v="2"/>
    <x v="0"/>
    <n v="94"/>
    <n v="6.7"/>
    <n v="20000000"/>
    <n v="25078937"/>
  </r>
  <r>
    <s v="Hatchet"/>
    <x v="1983"/>
    <x v="4"/>
    <x v="0"/>
    <n v="93"/>
    <n v="5.7"/>
    <n v="1500000"/>
    <n v="25078937"/>
  </r>
  <r>
    <s v="Modern Times"/>
    <x v="1984"/>
    <x v="4"/>
    <x v="0"/>
    <n v="87"/>
    <n v="8.6"/>
    <n v="1500000"/>
    <n v="163245"/>
  </r>
  <r>
    <s v="Stolen Summer"/>
    <x v="1985"/>
    <x v="2"/>
    <x v="0"/>
    <n v="91"/>
    <n v="6.5"/>
    <n v="1500000"/>
    <n v="119841"/>
  </r>
  <r>
    <s v="My Name Is Bruce"/>
    <x v="1986"/>
    <x v="4"/>
    <x v="0"/>
    <n v="84"/>
    <n v="6.3"/>
    <n v="1500000"/>
    <n v="173066"/>
  </r>
  <r>
    <s v="The Salon"/>
    <x v="1194"/>
    <x v="4"/>
    <x v="0"/>
    <n v="90"/>
    <n v="4.3"/>
    <n v="1500000"/>
    <n v="92362"/>
  </r>
  <r>
    <s v="Road Hard"/>
    <x v="1987"/>
    <x v="4"/>
    <x v="0"/>
    <n v="98"/>
    <n v="6.1"/>
    <n v="1500000"/>
    <n v="105943"/>
  </r>
  <r>
    <s v="Forty Shades of Blue"/>
    <x v="1253"/>
    <x v="2"/>
    <x v="0"/>
    <n v="108"/>
    <n v="6"/>
    <n v="1500000"/>
    <n v="25078937"/>
  </r>
  <r>
    <s v="Amigo"/>
    <x v="1426"/>
    <x v="2"/>
    <x v="0"/>
    <n v="124"/>
    <n v="5.8"/>
    <n v="1700000"/>
    <n v="183490"/>
  </r>
  <r>
    <s v="Pontypool"/>
    <x v="1988"/>
    <x v="8"/>
    <x v="0"/>
    <n v="95"/>
    <n v="6.7"/>
    <n v="1500000"/>
    <n v="3478"/>
  </r>
  <r>
    <s v="Trucker"/>
    <x v="1989"/>
    <x v="2"/>
    <x v="0"/>
    <n v="90"/>
    <n v="6.7"/>
    <n v="2000000"/>
    <n v="52166"/>
  </r>
  <r>
    <s v="Me You and Five Bucks"/>
    <x v="1990"/>
    <x v="4"/>
    <x v="0"/>
    <n v="93"/>
    <n v="7.6"/>
    <n v="1500000"/>
    <n v="25078937"/>
  </r>
  <r>
    <s v="The Lords of Salem"/>
    <x v="1090"/>
    <x v="2"/>
    <x v="0"/>
    <n v="101"/>
    <n v="5.0999999999999996"/>
    <n v="2500000"/>
    <n v="1163508"/>
  </r>
  <r>
    <s v="Housebound"/>
    <x v="1991"/>
    <x v="4"/>
    <x v="0"/>
    <n v="107"/>
    <n v="6.8"/>
    <n v="350000"/>
    <n v="25078937"/>
  </r>
  <r>
    <s v="Wal-Mart: The High Cost of Low Price"/>
    <x v="1992"/>
    <x v="9"/>
    <x v="0"/>
    <n v="20"/>
    <n v="6.8"/>
    <n v="1500000"/>
    <n v="25078937"/>
  </r>
  <r>
    <s v="Fetching Cody"/>
    <x v="1993"/>
    <x v="2"/>
    <x v="0"/>
    <n v="87"/>
    <n v="6.8"/>
    <n v="1500000"/>
    <n v="25078937"/>
  </r>
  <r>
    <s v="Once Upon a Time in Queens"/>
    <x v="1994"/>
    <x v="4"/>
    <x v="0"/>
    <n v="98"/>
    <n v="6.3"/>
    <n v="1500000"/>
    <n v="25078937"/>
  </r>
  <r>
    <s v="Closer to the Moon"/>
    <x v="1995"/>
    <x v="4"/>
    <x v="0"/>
    <n v="112"/>
    <n v="7.1"/>
    <n v="5000000"/>
    <n v="25078937"/>
  </r>
  <r>
    <s v="Mutant World"/>
    <x v="1996"/>
    <x v="10"/>
    <x v="0"/>
    <n v="82"/>
    <n v="2.8"/>
    <n v="1500000"/>
    <n v="25078937"/>
  </r>
  <r>
    <s v="Growing Up Smith"/>
    <x v="1997"/>
    <x v="4"/>
    <x v="0"/>
    <n v="102"/>
    <n v="8.1999999999999993"/>
    <n v="2000000"/>
    <n v="25078937"/>
  </r>
  <r>
    <s v="Checkmate"/>
    <x v="1998"/>
    <x v="0"/>
    <x v="0"/>
    <n v="97"/>
    <n v="3.1"/>
    <n v="1500000"/>
    <n v="25078937"/>
  </r>
  <r>
    <s v="#Horror"/>
    <x v="1999"/>
    <x v="2"/>
    <x v="0"/>
    <n v="101"/>
    <n v="3.3"/>
    <n v="1500000"/>
    <n v="25078937"/>
  </r>
  <r>
    <s v="Wind Walkers"/>
    <x v="2000"/>
    <x v="0"/>
    <x v="0"/>
    <n v="93"/>
    <n v="3.6"/>
    <n v="2000000"/>
    <n v="25078937"/>
  </r>
  <r>
    <s v="Snow White and the Seven Dwarfs"/>
    <x v="2001"/>
    <x v="3"/>
    <x v="0"/>
    <n v="83"/>
    <n v="7.7"/>
    <n v="2000000"/>
    <n v="184925485"/>
  </r>
  <r>
    <s v="The Holy Girl"/>
    <x v="2002"/>
    <x v="2"/>
    <x v="5"/>
    <n v="106"/>
    <n v="6.7"/>
    <n v="1400000"/>
    <n v="304124"/>
  </r>
  <r>
    <s v="Shalako"/>
    <x v="2003"/>
    <x v="16"/>
    <x v="0"/>
    <n v="113"/>
    <n v="5.5"/>
    <n v="1455000"/>
    <n v="25078937"/>
  </r>
  <r>
    <s v="Incident at Loch Ness"/>
    <x v="2004"/>
    <x v="1"/>
    <x v="0"/>
    <n v="94"/>
    <n v="6.6"/>
    <n v="1400000"/>
    <n v="36830"/>
  </r>
  <r>
    <s v="The Dog Lover"/>
    <x v="2005"/>
    <x v="2"/>
    <x v="0"/>
    <n v="101"/>
    <n v="4.8"/>
    <n v="2000000"/>
    <n v="25078937"/>
  </r>
  <r>
    <s v="Girl House"/>
    <x v="1555"/>
    <x v="11"/>
    <x v="0"/>
    <n v="99"/>
    <n v="5.5"/>
    <n v="3150000"/>
    <n v="25078937"/>
  </r>
  <r>
    <s v="The Blue Room"/>
    <x v="2006"/>
    <x v="6"/>
    <x v="2"/>
    <n v="76"/>
    <n v="6.3"/>
    <n v="20000000"/>
    <n v="231186"/>
  </r>
  <r>
    <s v="House at the End of the Drive"/>
    <x v="2007"/>
    <x v="11"/>
    <x v="0"/>
    <n v="91"/>
    <n v="6.9"/>
    <n v="1400000"/>
    <n v="25078937"/>
  </r>
  <r>
    <s v="Batman: The Movie"/>
    <x v="2008"/>
    <x v="1"/>
    <x v="0"/>
    <n v="105"/>
    <n v="6.5"/>
    <n v="1377800"/>
    <n v="25078937"/>
  </r>
  <r>
    <s v="Lock, Stock and Two Smoking Barrels"/>
    <x v="126"/>
    <x v="4"/>
    <x v="0"/>
    <n v="120"/>
    <n v="8.1999999999999993"/>
    <n v="960000"/>
    <n v="3650677"/>
  </r>
  <r>
    <s v="The Ballad of Gregorio Cortez"/>
    <x v="2009"/>
    <x v="16"/>
    <x v="0"/>
    <n v="105"/>
    <n v="7.1"/>
    <n v="1250000"/>
    <n v="25078937"/>
  </r>
  <r>
    <s v="The Celebration"/>
    <x v="1466"/>
    <x v="2"/>
    <x v="28"/>
    <n v="105"/>
    <n v="8.1"/>
    <n v="1300000"/>
    <n v="1647780"/>
  </r>
  <r>
    <s v="Trees Lounge"/>
    <x v="2010"/>
    <x v="4"/>
    <x v="0"/>
    <n v="95"/>
    <n v="7.2"/>
    <n v="1300000"/>
    <n v="695229"/>
  </r>
  <r>
    <s v="Journey from the Fall"/>
    <x v="2011"/>
    <x v="2"/>
    <x v="37"/>
    <n v="135"/>
    <n v="7.4"/>
    <n v="1592000"/>
    <n v="638951"/>
  </r>
  <r>
    <s v="The Basket"/>
    <x v="2012"/>
    <x v="2"/>
    <x v="0"/>
    <n v="105"/>
    <n v="6.5"/>
    <n v="1300000"/>
    <n v="609042"/>
  </r>
  <r>
    <s v="Eddie: The Sleepwalking Cannibal"/>
    <x v="2013"/>
    <x v="4"/>
    <x v="0"/>
    <n v="83"/>
    <n v="5.7"/>
    <n v="1500000"/>
    <n v="1521"/>
  </r>
  <r>
    <s v="Queen of the Mountains"/>
    <x v="2014"/>
    <x v="0"/>
    <x v="0"/>
    <n v="135"/>
    <n v="8.6999999999999993"/>
    <n v="1400000"/>
    <n v="25078937"/>
  </r>
  <r>
    <s v="Def-Con 4"/>
    <x v="2015"/>
    <x v="0"/>
    <x v="0"/>
    <n v="88"/>
    <n v="4.3"/>
    <n v="1750000"/>
    <n v="25078937"/>
  </r>
  <r>
    <s v="The Hebrew Hammer"/>
    <x v="2016"/>
    <x v="4"/>
    <x v="0"/>
    <n v="87"/>
    <n v="6.2"/>
    <n v="1000000"/>
    <n v="19539"/>
  </r>
  <r>
    <s v="Neal 'N' Nikki"/>
    <x v="2017"/>
    <x v="4"/>
    <x v="0"/>
    <n v="97"/>
    <n v="3.3"/>
    <n v="1500000"/>
    <n v="100358"/>
  </r>
  <r>
    <s v="The 41-Year-Old Virgin Who Knocked Up Sarah Marshall and Felt Superbad About It"/>
    <x v="1813"/>
    <x v="4"/>
    <x v="0"/>
    <n v="82"/>
    <n v="2.7"/>
    <n v="1300000"/>
    <n v="25078937"/>
  </r>
  <r>
    <s v="Forget Me Not"/>
    <x v="2018"/>
    <x v="11"/>
    <x v="0"/>
    <n v="103"/>
    <n v="5.2"/>
    <n v="1300000"/>
    <n v="25078937"/>
  </r>
  <r>
    <s v="Rebecca"/>
    <x v="926"/>
    <x v="2"/>
    <x v="0"/>
    <n v="130"/>
    <n v="8.1999999999999993"/>
    <n v="1288000"/>
    <n v="25078937"/>
  </r>
  <r>
    <s v="Friday the 13th Part 2"/>
    <x v="597"/>
    <x v="11"/>
    <x v="0"/>
    <n v="87"/>
    <n v="6.1"/>
    <n v="1250000"/>
    <n v="19100000"/>
  </r>
  <r>
    <s v="The Lost Weekend"/>
    <x v="1695"/>
    <x v="2"/>
    <x v="0"/>
    <n v="101"/>
    <n v="8"/>
    <n v="1250000"/>
    <n v="25078937"/>
  </r>
  <r>
    <s v="C.H.U.D."/>
    <x v="2019"/>
    <x v="11"/>
    <x v="0"/>
    <n v="96"/>
    <n v="5.5"/>
    <n v="1250000"/>
    <n v="25078937"/>
  </r>
  <r>
    <s v="Filly Brown"/>
    <x v="1816"/>
    <x v="2"/>
    <x v="0"/>
    <n v="80"/>
    <n v="5.7"/>
    <n v="427000"/>
    <n v="2833383"/>
  </r>
  <r>
    <s v="The Lion of Judah"/>
    <x v="2020"/>
    <x v="3"/>
    <x v="0"/>
    <n v="87"/>
    <n v="3.7"/>
    <n v="15000000"/>
    <n v="25078937"/>
  </r>
  <r>
    <s v="Niagara"/>
    <x v="2021"/>
    <x v="6"/>
    <x v="0"/>
    <n v="92"/>
    <n v="7.1"/>
    <n v="1250000"/>
    <n v="25078937"/>
  </r>
  <r>
    <s v="How Green Was My Valley"/>
    <x v="1770"/>
    <x v="2"/>
    <x v="0"/>
    <n v="118"/>
    <n v="7.8"/>
    <n v="1250000"/>
    <n v="25078937"/>
  </r>
  <r>
    <s v="Da Sweet Blood of Jesus"/>
    <x v="433"/>
    <x v="4"/>
    <x v="0"/>
    <n v="123"/>
    <n v="4.0999999999999996"/>
    <n v="1420000"/>
    <n v="25078937"/>
  </r>
  <r>
    <s v="Sex, Lies, and Videotape"/>
    <x v="148"/>
    <x v="2"/>
    <x v="0"/>
    <n v="100"/>
    <n v="7.2"/>
    <n v="1200000"/>
    <n v="24741700"/>
  </r>
  <r>
    <s v="Saw"/>
    <x v="32"/>
    <x v="11"/>
    <x v="0"/>
    <n v="103"/>
    <n v="7.7"/>
    <n v="1200000"/>
    <n v="55153403"/>
  </r>
  <r>
    <s v="Super Troopers"/>
    <x v="422"/>
    <x v="4"/>
    <x v="0"/>
    <n v="100"/>
    <n v="7.1"/>
    <n v="1200000"/>
    <n v="18488314"/>
  </r>
  <r>
    <s v="The Algerian"/>
    <x v="2022"/>
    <x v="0"/>
    <x v="0"/>
    <n v="99"/>
    <n v="7.6"/>
    <n v="1300000"/>
    <n v="25078937"/>
  </r>
  <r>
    <s v="The Amazing Catfish"/>
    <x v="2023"/>
    <x v="4"/>
    <x v="5"/>
    <n v="89"/>
    <n v="7"/>
    <n v="1300000"/>
    <n v="11278"/>
  </r>
  <r>
    <s v="Monsoon Wedding"/>
    <x v="867"/>
    <x v="4"/>
    <x v="7"/>
    <n v="114"/>
    <n v="7.4"/>
    <n v="7000000"/>
    <n v="13876974"/>
  </r>
  <r>
    <s v="You Can Count on Me"/>
    <x v="1180"/>
    <x v="2"/>
    <x v="0"/>
    <n v="111"/>
    <n v="7.7"/>
    <n v="1200000"/>
    <n v="9180275"/>
  </r>
  <r>
    <s v="The Trouble with Harry"/>
    <x v="926"/>
    <x v="4"/>
    <x v="0"/>
    <n v="99"/>
    <n v="7.2"/>
    <n v="1200000"/>
    <n v="25078937"/>
  </r>
  <r>
    <s v="But I'm a Cheerleader"/>
    <x v="2024"/>
    <x v="4"/>
    <x v="0"/>
    <n v="85"/>
    <n v="6.6"/>
    <n v="1200000"/>
    <n v="2199853"/>
  </r>
  <r>
    <s v="Home Run"/>
    <x v="2025"/>
    <x v="2"/>
    <x v="0"/>
    <n v="113"/>
    <n v="6"/>
    <n v="1200000"/>
    <n v="2859955"/>
  </r>
  <r>
    <s v="Reservoir Dogs"/>
    <x v="165"/>
    <x v="6"/>
    <x v="0"/>
    <n v="99"/>
    <n v="8.4"/>
    <n v="1200000"/>
    <n v="2812029"/>
  </r>
  <r>
    <s v="The Blue Bird"/>
    <x v="1672"/>
    <x v="2"/>
    <x v="0"/>
    <n v="83"/>
    <n v="6.5"/>
    <n v="20000000"/>
    <n v="25078937"/>
  </r>
  <r>
    <s v="The Good, the Bad and the Ugly"/>
    <x v="732"/>
    <x v="16"/>
    <x v="15"/>
    <n v="142"/>
    <n v="8.9"/>
    <n v="1200000"/>
    <n v="6100000"/>
  </r>
  <r>
    <s v="The Second Mother"/>
    <x v="2026"/>
    <x v="4"/>
    <x v="26"/>
    <n v="112"/>
    <n v="7.9"/>
    <n v="4000000"/>
    <n v="375723"/>
  </r>
  <r>
    <s v="Blue Like Jazz"/>
    <x v="2027"/>
    <x v="4"/>
    <x v="0"/>
    <n v="108"/>
    <n v="6"/>
    <n v="1200000"/>
    <n v="594904"/>
  </r>
  <r>
    <s v="Down and Out with the Dolls"/>
    <x v="2028"/>
    <x v="4"/>
    <x v="0"/>
    <n v="88"/>
    <n v="6.1"/>
    <n v="1200000"/>
    <n v="58936"/>
  </r>
  <r>
    <s v="Pink Ribbons, Inc."/>
    <x v="1292"/>
    <x v="9"/>
    <x v="0"/>
    <n v="97"/>
    <n v="7.4"/>
    <n v="1200000"/>
    <n v="24784"/>
  </r>
  <r>
    <s v="Certifiably Jonathan"/>
    <x v="2029"/>
    <x v="4"/>
    <x v="0"/>
    <n v="85"/>
    <n v="6.2"/>
    <n v="1200000"/>
    <n v="7826"/>
  </r>
  <r>
    <s v="Q"/>
    <x v="2030"/>
    <x v="2"/>
    <x v="2"/>
    <n v="103"/>
    <n v="5.6"/>
    <n v="1500000"/>
    <n v="25078937"/>
  </r>
  <r>
    <s v="The Knife of Don Juan"/>
    <x v="2031"/>
    <x v="4"/>
    <x v="5"/>
    <n v="110"/>
    <n v="7.2"/>
    <n v="1200000"/>
    <n v="3830"/>
  </r>
  <r>
    <s v="Grand Theft Parsons"/>
    <x v="2032"/>
    <x v="1"/>
    <x v="0"/>
    <n v="88"/>
    <n v="6.1"/>
    <n v="20000000"/>
    <n v="25078937"/>
  </r>
  <r>
    <s v="Extreme Movie"/>
    <x v="2033"/>
    <x v="4"/>
    <x v="0"/>
    <n v="76"/>
    <n v="3.8"/>
    <n v="20000000"/>
    <n v="25078937"/>
  </r>
  <r>
    <s v="The Charge of the Light Brigade"/>
    <x v="1611"/>
    <x v="0"/>
    <x v="0"/>
    <n v="100"/>
    <n v="7.1"/>
    <n v="1200000"/>
    <n v="25078937"/>
  </r>
  <r>
    <s v="Below Zero"/>
    <x v="2034"/>
    <x v="13"/>
    <x v="0"/>
    <n v="99"/>
    <n v="4.5"/>
    <n v="1200000"/>
    <n v="25078937"/>
  </r>
  <r>
    <s v="Crowsnest"/>
    <x v="2035"/>
    <x v="0"/>
    <x v="0"/>
    <n v="84"/>
    <n v="3.8"/>
    <n v="1200000"/>
    <n v="25078937"/>
  </r>
  <r>
    <s v="Airborne"/>
    <x v="314"/>
    <x v="1"/>
    <x v="0"/>
    <n v="91"/>
    <n v="6.2"/>
    <n v="2600000"/>
    <n v="2850263"/>
  </r>
  <r>
    <s v="Cotton Comes to Harlem"/>
    <x v="2036"/>
    <x v="0"/>
    <x v="0"/>
    <n v="97"/>
    <n v="6.6"/>
    <n v="1200000"/>
    <n v="25078937"/>
  </r>
  <r>
    <s v="The Wicked Within"/>
    <x v="2037"/>
    <x v="11"/>
    <x v="0"/>
    <n v="84"/>
    <n v="4.5999999999999996"/>
    <n v="1200000"/>
    <n v="25078937"/>
  </r>
  <r>
    <s v="Bleeding Hearts"/>
    <x v="2038"/>
    <x v="11"/>
    <x v="0"/>
    <n v="100"/>
    <n v="4.2"/>
    <n v="1200000"/>
    <n v="25078937"/>
  </r>
  <r>
    <s v="Waiting..."/>
    <x v="2039"/>
    <x v="4"/>
    <x v="0"/>
    <n v="94"/>
    <n v="6.8"/>
    <n v="3000000"/>
    <n v="16101109"/>
  </r>
  <r>
    <s v="Dead Man's Shoes"/>
    <x v="1589"/>
    <x v="6"/>
    <x v="0"/>
    <n v="90"/>
    <n v="7.7"/>
    <n v="695393"/>
    <n v="6013"/>
  </r>
  <r>
    <s v="From a Whisper to a Scream"/>
    <x v="2040"/>
    <x v="0"/>
    <x v="0"/>
    <n v="92"/>
    <n v="5.9"/>
    <n v="1100000"/>
    <n v="1400000"/>
  </r>
  <r>
    <s v="Sex with Strangers"/>
    <x v="2041"/>
    <x v="9"/>
    <x v="0"/>
    <n v="105"/>
    <n v="4.7"/>
    <n v="20000000"/>
    <n v="247740"/>
  </r>
  <r>
    <s v="Dracula: Pages from a Virgin's Diary"/>
    <x v="2042"/>
    <x v="4"/>
    <x v="0"/>
    <n v="73"/>
    <n v="7"/>
    <n v="1600000"/>
    <n v="39659"/>
  </r>
  <r>
    <s v="Faith Like Potatoes"/>
    <x v="2043"/>
    <x v="2"/>
    <x v="32"/>
    <n v="116"/>
    <n v="6.9"/>
    <n v="10000000"/>
    <n v="25078937"/>
  </r>
  <r>
    <s v="Beyond the Black Rainbow"/>
    <x v="2044"/>
    <x v="10"/>
    <x v="0"/>
    <n v="110"/>
    <n v="6.1"/>
    <n v="1100000"/>
    <n v="56129"/>
  </r>
  <r>
    <s v="The Raid: Redemption"/>
    <x v="2045"/>
    <x v="0"/>
    <x v="38"/>
    <n v="102"/>
    <n v="7.6"/>
    <n v="1100000"/>
    <n v="4105123"/>
  </r>
  <r>
    <s v="The Dead Undead"/>
    <x v="2046"/>
    <x v="0"/>
    <x v="0"/>
    <n v="89"/>
    <n v="3"/>
    <n v="1100000"/>
    <n v="25078937"/>
  </r>
  <r>
    <s v="The Vatican Exorcisms"/>
    <x v="2047"/>
    <x v="11"/>
    <x v="0"/>
    <n v="76"/>
    <n v="2.6"/>
    <n v="1100000"/>
    <n v="25078937"/>
  </r>
  <r>
    <s v="Casablanca"/>
    <x v="1611"/>
    <x v="2"/>
    <x v="0"/>
    <n v="82"/>
    <n v="8.6"/>
    <n v="950000"/>
    <n v="25078937"/>
  </r>
  <r>
    <s v="Lake Mungo"/>
    <x v="2048"/>
    <x v="2"/>
    <x v="0"/>
    <n v="89"/>
    <n v="6.1"/>
    <n v="1400000"/>
    <n v="25078937"/>
  </r>
  <r>
    <s v="Rocket Singh: Salesman of the Year"/>
    <x v="2049"/>
    <x v="4"/>
    <x v="7"/>
    <n v="150"/>
    <n v="7.5"/>
    <n v="20000000"/>
    <n v="25078937"/>
  </r>
  <r>
    <s v="Silent Running"/>
    <x v="2050"/>
    <x v="2"/>
    <x v="0"/>
    <n v="89"/>
    <n v="6.7"/>
    <n v="1000000"/>
    <n v="25078937"/>
  </r>
  <r>
    <s v="Rocky"/>
    <x v="539"/>
    <x v="2"/>
    <x v="0"/>
    <n v="145"/>
    <n v="8.1"/>
    <n v="960000"/>
    <n v="117235247"/>
  </r>
  <r>
    <s v="The Sleepwalker"/>
    <x v="2051"/>
    <x v="2"/>
    <x v="0"/>
    <n v="91"/>
    <n v="4.9000000000000004"/>
    <n v="1100000"/>
    <n v="25078937"/>
  </r>
  <r>
    <s v="Tom Jones"/>
    <x v="1477"/>
    <x v="1"/>
    <x v="0"/>
    <n v="121"/>
    <n v="6.8"/>
    <n v="1000000"/>
    <n v="25078937"/>
  </r>
  <r>
    <s v="Unfriended"/>
    <x v="2052"/>
    <x v="11"/>
    <x v="0"/>
    <n v="83"/>
    <n v="5.7"/>
    <n v="1000000"/>
    <n v="31537320"/>
  </r>
  <r>
    <s v="Taxi Driver"/>
    <x v="47"/>
    <x v="6"/>
    <x v="0"/>
    <n v="110"/>
    <n v="8.3000000000000007"/>
    <n v="1300000"/>
    <n v="25078937"/>
  </r>
  <r>
    <s v="The Howling"/>
    <x v="255"/>
    <x v="11"/>
    <x v="0"/>
    <n v="91"/>
    <n v="6.6"/>
    <n v="1000000"/>
    <n v="17986000"/>
  </r>
  <r>
    <s v="Dr. No"/>
    <x v="490"/>
    <x v="0"/>
    <x v="0"/>
    <n v="110"/>
    <n v="7.3"/>
    <n v="1100000"/>
    <n v="16067035"/>
  </r>
  <r>
    <s v="Chernobyl Diaries"/>
    <x v="2053"/>
    <x v="11"/>
    <x v="0"/>
    <n v="86"/>
    <n v="5"/>
    <n v="1000000"/>
    <n v="18112929"/>
  </r>
  <r>
    <s v="Hellraiser"/>
    <x v="2054"/>
    <x v="8"/>
    <x v="0"/>
    <n v="86"/>
    <n v="7"/>
    <n v="1000000"/>
    <n v="14564027"/>
  </r>
  <r>
    <s v="God's Not Dead 2"/>
    <x v="2055"/>
    <x v="2"/>
    <x v="0"/>
    <n v="120"/>
    <n v="3.4"/>
    <n v="5000000"/>
    <n v="20773070"/>
  </r>
  <r>
    <s v="Cry_Wolf"/>
    <x v="759"/>
    <x v="2"/>
    <x v="0"/>
    <n v="90"/>
    <n v="5.9"/>
    <n v="1000000"/>
    <n v="10042266"/>
  </r>
  <r>
    <s v="Godzilla 2000"/>
    <x v="2056"/>
    <x v="0"/>
    <x v="1"/>
    <n v="99"/>
    <n v="6"/>
    <n v="1000000000"/>
    <n v="10037390"/>
  </r>
  <r>
    <s v="Blue Valentine"/>
    <x v="1107"/>
    <x v="2"/>
    <x v="0"/>
    <n v="112"/>
    <n v="7.4"/>
    <n v="3500000"/>
    <n v="9701559"/>
  </r>
  <r>
    <s v="Transamerica"/>
    <x v="2057"/>
    <x v="1"/>
    <x v="0"/>
    <n v="103"/>
    <n v="7.4"/>
    <n v="1000000"/>
    <n v="9013113"/>
  </r>
  <r>
    <s v="The Devil Inside"/>
    <x v="921"/>
    <x v="11"/>
    <x v="0"/>
    <n v="83"/>
    <n v="4.2"/>
    <n v="1000000"/>
    <n v="53245055"/>
  </r>
  <r>
    <s v="Beyond the Valley of the Dolls"/>
    <x v="2058"/>
    <x v="4"/>
    <x v="0"/>
    <n v="109"/>
    <n v="6.2"/>
    <n v="900000"/>
    <n v="9000000"/>
  </r>
  <r>
    <s v="Love Me Tender"/>
    <x v="2059"/>
    <x v="2"/>
    <x v="0"/>
    <n v="89"/>
    <n v="6.2"/>
    <n v="1000000"/>
    <n v="25078937"/>
  </r>
  <r>
    <s v="An Inconvenient Truth"/>
    <x v="1175"/>
    <x v="9"/>
    <x v="0"/>
    <n v="96"/>
    <n v="7.5"/>
    <n v="20000000"/>
    <n v="23808111"/>
  </r>
  <r>
    <s v="Sands of Iwo Jima"/>
    <x v="2060"/>
    <x v="0"/>
    <x v="0"/>
    <n v="109"/>
    <n v="7.2"/>
    <n v="1000000"/>
    <n v="25078937"/>
  </r>
  <r>
    <s v="Shine a Light"/>
    <x v="47"/>
    <x v="7"/>
    <x v="0"/>
    <n v="122"/>
    <n v="7.2"/>
    <n v="20000000"/>
    <n v="5355376"/>
  </r>
  <r>
    <s v="The Green Inferno"/>
    <x v="1476"/>
    <x v="1"/>
    <x v="0"/>
    <n v="100"/>
    <n v="5.4"/>
    <n v="6000000"/>
    <n v="7186670"/>
  </r>
  <r>
    <s v="Departure"/>
    <x v="2061"/>
    <x v="2"/>
    <x v="0"/>
    <n v="109"/>
    <n v="7"/>
    <n v="1100000"/>
    <n v="25078937"/>
  </r>
  <r>
    <s v="The Sessions"/>
    <x v="2062"/>
    <x v="7"/>
    <x v="0"/>
    <n v="95"/>
    <n v="7.2"/>
    <n v="1000000"/>
    <n v="5997134"/>
  </r>
  <r>
    <s v="Food, Inc."/>
    <x v="2063"/>
    <x v="9"/>
    <x v="0"/>
    <n v="94"/>
    <n v="7.9"/>
    <n v="20000000"/>
    <n v="4417124"/>
  </r>
  <r>
    <s v="October Baby"/>
    <x v="1674"/>
    <x v="2"/>
    <x v="0"/>
    <n v="107"/>
    <n v="6.8"/>
    <n v="20000000"/>
    <n v="5355847"/>
  </r>
  <r>
    <s v="Next Stop Wonderland"/>
    <x v="1137"/>
    <x v="4"/>
    <x v="0"/>
    <n v="104"/>
    <n v="6.7"/>
    <n v="1000000"/>
    <n v="3386698"/>
  </r>
  <r>
    <s v="The Skeleton Twins"/>
    <x v="2064"/>
    <x v="4"/>
    <x v="0"/>
    <n v="93"/>
    <n v="6.8"/>
    <n v="20000000"/>
    <n v="5283379"/>
  </r>
  <r>
    <s v="Martha Marcy May Marlene"/>
    <x v="2065"/>
    <x v="2"/>
    <x v="0"/>
    <n v="102"/>
    <n v="6.9"/>
    <n v="20000000"/>
    <n v="2981638"/>
  </r>
  <r>
    <s v="Obvious Child"/>
    <x v="2066"/>
    <x v="4"/>
    <x v="0"/>
    <n v="84"/>
    <n v="6.8"/>
    <n v="20000000"/>
    <n v="3122616"/>
  </r>
  <r>
    <s v="Frozen River"/>
    <x v="2067"/>
    <x v="6"/>
    <x v="0"/>
    <n v="97"/>
    <n v="7.2"/>
    <n v="1000000"/>
    <n v="2508841"/>
  </r>
  <r>
    <s v="20 Feet from Stardom"/>
    <x v="2068"/>
    <x v="9"/>
    <x v="0"/>
    <n v="91"/>
    <n v="7.4"/>
    <n v="1000000"/>
    <n v="4946250"/>
  </r>
  <r>
    <s v="Two Girls and a Guy"/>
    <x v="1583"/>
    <x v="4"/>
    <x v="0"/>
    <n v="84"/>
    <n v="5.6"/>
    <n v="1000000"/>
    <n v="1950218"/>
  </r>
  <r>
    <s v="Walking and Talking"/>
    <x v="1448"/>
    <x v="4"/>
    <x v="0"/>
    <n v="86"/>
    <n v="6.8"/>
    <n v="1000000"/>
    <n v="1277257"/>
  </r>
  <r>
    <s v="Who Killed the Electric Car?"/>
    <x v="2069"/>
    <x v="9"/>
    <x v="0"/>
    <n v="92"/>
    <n v="7.7"/>
    <n v="1000000"/>
    <n v="1677838"/>
  </r>
  <r>
    <s v="The Broken Hearts Club: A Romantic Comedy"/>
    <x v="2070"/>
    <x v="4"/>
    <x v="0"/>
    <n v="94"/>
    <n v="7"/>
    <n v="1000000"/>
    <n v="1744858"/>
  </r>
  <r>
    <s v="Bubba Ho-Tep"/>
    <x v="1621"/>
    <x v="4"/>
    <x v="0"/>
    <n v="92"/>
    <n v="7.2"/>
    <n v="1000000"/>
    <n v="25078937"/>
  </r>
  <r>
    <s v="Slam"/>
    <x v="2071"/>
    <x v="2"/>
    <x v="0"/>
    <n v="100"/>
    <n v="7.2"/>
    <n v="1000000"/>
    <n v="982214"/>
  </r>
  <r>
    <s v="Brigham City"/>
    <x v="2072"/>
    <x v="6"/>
    <x v="0"/>
    <n v="119"/>
    <n v="7.2"/>
    <n v="1000000"/>
    <n v="798341"/>
  </r>
  <r>
    <s v="Fiza"/>
    <x v="2073"/>
    <x v="2"/>
    <x v="7"/>
    <n v="167"/>
    <n v="6.2"/>
    <n v="1000000"/>
    <n v="610991"/>
  </r>
  <r>
    <s v="Orgazmo"/>
    <x v="885"/>
    <x v="4"/>
    <x v="0"/>
    <n v="92"/>
    <n v="6.2"/>
    <n v="1000000"/>
    <n v="582024"/>
  </r>
  <r>
    <s v="All the Real Girls"/>
    <x v="469"/>
    <x v="2"/>
    <x v="0"/>
    <n v="108"/>
    <n v="6.9"/>
    <n v="2500000"/>
    <n v="548712"/>
  </r>
  <r>
    <s v="Dream with the Fishes"/>
    <x v="2074"/>
    <x v="4"/>
    <x v="0"/>
    <n v="97"/>
    <n v="7"/>
    <n v="1000000"/>
    <n v="464655"/>
  </r>
  <r>
    <s v="Blue Car"/>
    <x v="1766"/>
    <x v="2"/>
    <x v="0"/>
    <n v="88"/>
    <n v="6.7"/>
    <n v="1000000"/>
    <n v="464126"/>
  </r>
  <r>
    <s v="Luminarias"/>
    <x v="2075"/>
    <x v="4"/>
    <x v="0"/>
    <n v="100"/>
    <n v="3.6"/>
    <n v="1000000"/>
    <n v="428535"/>
  </r>
  <r>
    <s v="Palo Alto"/>
    <x v="2076"/>
    <x v="2"/>
    <x v="0"/>
    <n v="100"/>
    <n v="6.3"/>
    <n v="20000000"/>
    <n v="750100"/>
  </r>
  <r>
    <s v="Ajami"/>
    <x v="2077"/>
    <x v="6"/>
    <x v="29"/>
    <n v="124"/>
    <n v="7.4"/>
    <n v="20000000"/>
    <n v="621240"/>
  </r>
  <r>
    <s v="Wristcutters: A Love Story"/>
    <x v="2078"/>
    <x v="4"/>
    <x v="0"/>
    <n v="88"/>
    <n v="7.4"/>
    <n v="1000000"/>
    <n v="104077"/>
  </r>
  <r>
    <s v="I Origins"/>
    <x v="2079"/>
    <x v="2"/>
    <x v="0"/>
    <n v="106"/>
    <n v="7.3"/>
    <n v="20000000"/>
    <n v="334658"/>
  </r>
  <r>
    <s v="The Battle of Shaker Heights"/>
    <x v="2080"/>
    <x v="4"/>
    <x v="0"/>
    <n v="79"/>
    <n v="6.1"/>
    <n v="1000000"/>
    <n v="279282"/>
  </r>
  <r>
    <s v="The Act of Killing"/>
    <x v="2081"/>
    <x v="7"/>
    <x v="38"/>
    <n v="96"/>
    <n v="8.1999999999999993"/>
    <n v="1000000"/>
    <n v="484221"/>
  </r>
  <r>
    <s v="Taxi to the Dark Side"/>
    <x v="2082"/>
    <x v="6"/>
    <x v="0"/>
    <n v="53"/>
    <n v="7.7"/>
    <n v="1000000"/>
    <n v="274661"/>
  </r>
  <r>
    <s v="Once in a Lifetime: The Extraordinary Story of the New York Cosmos"/>
    <x v="2083"/>
    <x v="9"/>
    <x v="0"/>
    <n v="97"/>
    <n v="7.3"/>
    <n v="1000000"/>
    <n v="144431"/>
  </r>
  <r>
    <s v="Guiana 1838"/>
    <x v="2084"/>
    <x v="2"/>
    <x v="0"/>
    <n v="120"/>
    <n v="7.4"/>
    <n v="20000000"/>
    <n v="227241"/>
  </r>
  <r>
    <s v="Lisa Picard Is Famous"/>
    <x v="363"/>
    <x v="4"/>
    <x v="0"/>
    <n v="90"/>
    <n v="5.7"/>
    <n v="20000000"/>
    <n v="112521"/>
  </r>
  <r>
    <s v="Antarctica: A Year on Ice"/>
    <x v="2085"/>
    <x v="1"/>
    <x v="0"/>
    <n v="91"/>
    <n v="7.6"/>
    <n v="1000000"/>
    <n v="287761"/>
  </r>
  <r>
    <s v="A Lego Brickumentary"/>
    <x v="2086"/>
    <x v="9"/>
    <x v="0"/>
    <n v="93"/>
    <n v="6.8"/>
    <n v="1000000"/>
    <n v="100240"/>
  </r>
  <r>
    <s v="Hardflip"/>
    <x v="2087"/>
    <x v="0"/>
    <x v="0"/>
    <n v="112"/>
    <n v="5.6"/>
    <n v="1000000"/>
    <n v="96734"/>
  </r>
  <r>
    <s v="Chocolate: Deep Dark Secrets"/>
    <x v="2088"/>
    <x v="13"/>
    <x v="7"/>
    <n v="160"/>
    <n v="4.8"/>
    <n v="1500000"/>
    <n v="49000"/>
  </r>
  <r>
    <s v="The House of the Devil"/>
    <x v="2089"/>
    <x v="11"/>
    <x v="0"/>
    <n v="95"/>
    <n v="6.4"/>
    <n v="900000"/>
    <n v="100659"/>
  </r>
  <r>
    <s v="The Perfect Host"/>
    <x v="2090"/>
    <x v="4"/>
    <x v="0"/>
    <n v="93"/>
    <n v="6.8"/>
    <n v="500000"/>
    <n v="48430"/>
  </r>
  <r>
    <s v="Safe Men"/>
    <x v="524"/>
    <x v="4"/>
    <x v="0"/>
    <n v="88"/>
    <n v="6.1"/>
    <n v="1000000"/>
    <n v="21210"/>
  </r>
  <r>
    <s v="Speedway Junky"/>
    <x v="2091"/>
    <x v="6"/>
    <x v="0"/>
    <n v="105"/>
    <n v="5.2"/>
    <n v="1000000"/>
    <n v="25078937"/>
  </r>
  <r>
    <s v="The Last Big Thing"/>
    <x v="2092"/>
    <x v="4"/>
    <x v="0"/>
    <n v="98"/>
    <n v="6.9"/>
    <n v="20000000"/>
    <n v="22434"/>
  </r>
  <r>
    <s v="The Specials"/>
    <x v="636"/>
    <x v="0"/>
    <x v="0"/>
    <n v="82"/>
    <n v="6"/>
    <n v="1000000"/>
    <n v="12996"/>
  </r>
  <r>
    <s v="16 to Life"/>
    <x v="2093"/>
    <x v="4"/>
    <x v="0"/>
    <n v="89"/>
    <n v="6.3"/>
    <n v="1000000"/>
    <n v="25078937"/>
  </r>
  <r>
    <s v="Alone with Her"/>
    <x v="2094"/>
    <x v="6"/>
    <x v="0"/>
    <n v="78"/>
    <n v="6.1"/>
    <n v="1000000"/>
    <n v="10018"/>
  </r>
  <r>
    <s v="Creative Control"/>
    <x v="2095"/>
    <x v="2"/>
    <x v="0"/>
    <n v="97"/>
    <n v="5.5"/>
    <n v="1000000"/>
    <n v="62480"/>
  </r>
  <r>
    <s v="Special"/>
    <x v="2096"/>
    <x v="4"/>
    <x v="0"/>
    <n v="81"/>
    <n v="6.9"/>
    <n v="1000000"/>
    <n v="6387"/>
  </r>
  <r>
    <s v="Sparkler"/>
    <x v="1794"/>
    <x v="4"/>
    <x v="0"/>
    <n v="90"/>
    <n v="5.6"/>
    <n v="20000000"/>
    <n v="5494"/>
  </r>
  <r>
    <s v="The Helix... Loaded"/>
    <x v="2097"/>
    <x v="0"/>
    <x v="0"/>
    <n v="97"/>
    <n v="1.9"/>
    <n v="1000000"/>
    <n v="25078937"/>
  </r>
  <r>
    <s v="In Her Line of Fire"/>
    <x v="877"/>
    <x v="0"/>
    <x v="0"/>
    <n v="88"/>
    <n v="4.0999999999999996"/>
    <n v="1000000"/>
    <n v="721"/>
  </r>
  <r>
    <s v="The Jimmy Show"/>
    <x v="2098"/>
    <x v="4"/>
    <x v="0"/>
    <n v="96"/>
    <n v="5.4"/>
    <n v="1500000"/>
    <n v="703"/>
  </r>
  <r>
    <s v="Heli"/>
    <x v="2099"/>
    <x v="6"/>
    <x v="5"/>
    <n v="105"/>
    <n v="6.8"/>
    <n v="1000000"/>
    <n v="25078937"/>
  </r>
  <r>
    <s v="Loving Annabelle"/>
    <x v="2100"/>
    <x v="2"/>
    <x v="0"/>
    <n v="76"/>
    <n v="6.7"/>
    <n v="1000000"/>
    <n v="25078937"/>
  </r>
  <r>
    <s v="Hits"/>
    <x v="2101"/>
    <x v="4"/>
    <x v="0"/>
    <n v="96"/>
    <n v="5.8"/>
    <n v="1000000"/>
    <n v="25078937"/>
  </r>
  <r>
    <s v="Jimmy and Judy"/>
    <x v="2102"/>
    <x v="6"/>
    <x v="0"/>
    <n v="99"/>
    <n v="6.2"/>
    <n v="1000000"/>
    <n v="25078937"/>
  </r>
  <r>
    <s v="Frat Party"/>
    <x v="2103"/>
    <x v="4"/>
    <x v="0"/>
    <n v="90"/>
    <n v="2.8"/>
    <n v="1000000"/>
    <n v="25078937"/>
  </r>
  <r>
    <s v="The Party's Over"/>
    <x v="1490"/>
    <x v="2"/>
    <x v="0"/>
    <n v="94"/>
    <n v="7.3"/>
    <n v="20000000"/>
    <n v="25078937"/>
  </r>
  <r>
    <s v="Proud"/>
    <x v="2104"/>
    <x v="2"/>
    <x v="0"/>
    <n v="87"/>
    <n v="5.8"/>
    <n v="1000000"/>
    <n v="25078937"/>
  </r>
  <r>
    <s v="The Poker House"/>
    <x v="2105"/>
    <x v="2"/>
    <x v="0"/>
    <n v="93"/>
    <n v="6.5"/>
    <n v="20000000"/>
    <n v="25078937"/>
  </r>
  <r>
    <s v="Childless"/>
    <x v="2106"/>
    <x v="2"/>
    <x v="0"/>
    <n v="90"/>
    <n v="6.1"/>
    <n v="1000000"/>
    <n v="25078937"/>
  </r>
  <r>
    <s v="ZMD: Zombies of Mass Destruction"/>
    <x v="2107"/>
    <x v="4"/>
    <x v="0"/>
    <n v="89"/>
    <n v="5.0999999999999996"/>
    <n v="500000"/>
    <n v="25078937"/>
  </r>
  <r>
    <s v="Snow White: A Deadly Summer"/>
    <x v="2108"/>
    <x v="11"/>
    <x v="0"/>
    <n v="83"/>
    <n v="2.2000000000000002"/>
    <n v="1000000"/>
    <n v="25078937"/>
  </r>
  <r>
    <s v="Hidden Away"/>
    <x v="2109"/>
    <x v="2"/>
    <x v="5"/>
    <n v="96"/>
    <n v="7.2"/>
    <n v="20000000"/>
    <n v="25078937"/>
  </r>
  <r>
    <s v="My Last Day Without You"/>
    <x v="2110"/>
    <x v="4"/>
    <x v="0"/>
    <n v="90"/>
    <n v="5.7"/>
    <n v="1000000"/>
    <n v="25078937"/>
  </r>
  <r>
    <s v="Steppin: The Movie"/>
    <x v="2111"/>
    <x v="4"/>
    <x v="0"/>
    <n v="138"/>
    <n v="3.4"/>
    <n v="1000000"/>
    <n v="25078937"/>
  </r>
  <r>
    <s v="Doc Holliday's Revenge"/>
    <x v="2108"/>
    <x v="16"/>
    <x v="0"/>
    <n v="84"/>
    <n v="3.8"/>
    <n v="1000000"/>
    <n v="25078937"/>
  </r>
  <r>
    <s v="Black Rock"/>
    <x v="2112"/>
    <x v="11"/>
    <x v="0"/>
    <n v="83"/>
    <n v="4.7"/>
    <n v="20000000"/>
    <n v="25078937"/>
  </r>
  <r>
    <s v="Truth or Die"/>
    <x v="2113"/>
    <x v="11"/>
    <x v="0"/>
    <n v="96"/>
    <n v="5.6"/>
    <n v="1000000"/>
    <n v="25078937"/>
  </r>
  <r>
    <s v="The Pet"/>
    <x v="2114"/>
    <x v="2"/>
    <x v="0"/>
    <n v="94"/>
    <n v="3.9"/>
    <n v="1000000"/>
    <n v="25078937"/>
  </r>
  <r>
    <s v="Bang Bang Baby"/>
    <x v="2115"/>
    <x v="2"/>
    <x v="0"/>
    <n v="90"/>
    <n v="5.4"/>
    <n v="1000000"/>
    <n v="25078937"/>
  </r>
  <r>
    <s v="Fear Clinic"/>
    <x v="2116"/>
    <x v="11"/>
    <x v="0"/>
    <n v="95"/>
    <n v="5.2"/>
    <n v="1000000"/>
    <n v="25078937"/>
  </r>
  <r>
    <s v="Zombie Hunter"/>
    <x v="2117"/>
    <x v="0"/>
    <x v="0"/>
    <n v="93"/>
    <n v="3.5"/>
    <n v="1000000"/>
    <n v="25078937"/>
  </r>
  <r>
    <s v="Charly"/>
    <x v="2118"/>
    <x v="2"/>
    <x v="0"/>
    <n v="103"/>
    <n v="7.1"/>
    <n v="20000000"/>
    <n v="25078937"/>
  </r>
  <r>
    <s v="Banshee Chapter"/>
    <x v="2119"/>
    <x v="11"/>
    <x v="0"/>
    <n v="87"/>
    <n v="5.5"/>
    <n v="950000"/>
    <n v="25078937"/>
  </r>
  <r>
    <s v="Ask Me Anything"/>
    <x v="2120"/>
    <x v="2"/>
    <x v="0"/>
    <n v="100"/>
    <n v="6"/>
    <n v="950000"/>
    <n v="25078937"/>
  </r>
  <r>
    <s v="And Then Came Love"/>
    <x v="2121"/>
    <x v="4"/>
    <x v="0"/>
    <n v="90"/>
    <n v="4.8"/>
    <n v="989000"/>
    <n v="25078937"/>
  </r>
  <r>
    <s v="Food Chains"/>
    <x v="2122"/>
    <x v="9"/>
    <x v="0"/>
    <n v="83"/>
    <n v="7.1"/>
    <n v="913000"/>
    <n v="25078937"/>
  </r>
  <r>
    <s v="On the Waterfront"/>
    <x v="1892"/>
    <x v="6"/>
    <x v="0"/>
    <n v="108"/>
    <n v="8.1999999999999993"/>
    <n v="910000"/>
    <n v="9600000"/>
  </r>
  <r>
    <s v="L!fe Happens"/>
    <x v="2123"/>
    <x v="4"/>
    <x v="0"/>
    <n v="100"/>
    <n v="5.7"/>
    <n v="930000"/>
    <n v="20186"/>
  </r>
  <r>
    <s v="4 Months, 3 Weeks and 2 Days"/>
    <x v="2124"/>
    <x v="2"/>
    <x v="39"/>
    <n v="113"/>
    <n v="7.9"/>
    <n v="590000"/>
    <n v="1185783"/>
  </r>
  <r>
    <s v="The Horror Network Vol. 1"/>
    <x v="2125"/>
    <x v="11"/>
    <x v="0"/>
    <n v="97"/>
    <n v="7.3"/>
    <n v="3000000"/>
    <n v="25078937"/>
  </r>
  <r>
    <s v="Hard Candy"/>
    <x v="308"/>
    <x v="6"/>
    <x v="0"/>
    <n v="104"/>
    <n v="7.1"/>
    <n v="950000"/>
    <n v="1007962"/>
  </r>
  <r>
    <s v="The Quiet"/>
    <x v="2024"/>
    <x v="2"/>
    <x v="0"/>
    <n v="91"/>
    <n v="6.4"/>
    <n v="900000"/>
    <n v="381186"/>
  </r>
  <r>
    <s v="Circumstance"/>
    <x v="2126"/>
    <x v="2"/>
    <x v="40"/>
    <n v="107"/>
    <n v="5.9"/>
    <n v="20000000"/>
    <n v="439958"/>
  </r>
  <r>
    <s v="Fruitvale Station"/>
    <x v="601"/>
    <x v="7"/>
    <x v="0"/>
    <n v="85"/>
    <n v="7.5"/>
    <n v="900000"/>
    <n v="16097842"/>
  </r>
  <r>
    <s v="The Brass Teapot"/>
    <x v="2127"/>
    <x v="4"/>
    <x v="0"/>
    <n v="101"/>
    <n v="6.4"/>
    <n v="900000"/>
    <n v="6643"/>
  </r>
  <r>
    <s v="Bambi"/>
    <x v="248"/>
    <x v="3"/>
    <x v="0"/>
    <n v="70"/>
    <n v="7.4"/>
    <n v="20000000"/>
    <n v="102797150"/>
  </r>
  <r>
    <s v="The Hammer"/>
    <x v="788"/>
    <x v="4"/>
    <x v="0"/>
    <n v="88"/>
    <n v="7.3"/>
    <n v="850000"/>
    <n v="442638"/>
  </r>
  <r>
    <s v="Latter Days"/>
    <x v="2128"/>
    <x v="4"/>
    <x v="0"/>
    <n v="107"/>
    <n v="7.2"/>
    <n v="850000"/>
    <n v="819939"/>
  </r>
  <r>
    <s v="Elza"/>
    <x v="2129"/>
    <x v="2"/>
    <x v="2"/>
    <n v="78"/>
    <n v="6.7"/>
    <n v="900000"/>
    <n v="25078937"/>
  </r>
  <r>
    <s v="1982"/>
    <x v="2130"/>
    <x v="2"/>
    <x v="0"/>
    <n v="90"/>
    <n v="7.1"/>
    <n v="1000000"/>
    <n v="25078937"/>
  </r>
  <r>
    <s v="For a Good Time, Call..."/>
    <x v="2131"/>
    <x v="4"/>
    <x v="0"/>
    <n v="88"/>
    <n v="6"/>
    <n v="850000"/>
    <n v="1243961"/>
  </r>
  <r>
    <s v="Celeste &amp; Jesse Forever"/>
    <x v="697"/>
    <x v="4"/>
    <x v="0"/>
    <n v="92"/>
    <n v="6.7"/>
    <n v="20000000"/>
    <n v="3094687"/>
  </r>
  <r>
    <s v="Time Changer"/>
    <x v="2132"/>
    <x v="2"/>
    <x v="0"/>
    <n v="95"/>
    <n v="5.6"/>
    <n v="825000"/>
    <n v="15278"/>
  </r>
  <r>
    <s v="London to Brighton"/>
    <x v="1651"/>
    <x v="6"/>
    <x v="0"/>
    <n v="85"/>
    <n v="7"/>
    <n v="500000"/>
    <n v="25078937"/>
  </r>
  <r>
    <s v="American Hero"/>
    <x v="1688"/>
    <x v="0"/>
    <x v="0"/>
    <n v="86"/>
    <n v="4.9000000000000004"/>
    <n v="990000"/>
    <n v="25078937"/>
  </r>
  <r>
    <s v="Windsor Drive"/>
    <x v="2133"/>
    <x v="5"/>
    <x v="0"/>
    <n v="90"/>
    <n v="3.2"/>
    <n v="100000"/>
    <n v="25078937"/>
  </r>
  <r>
    <s v="A Separation"/>
    <x v="2134"/>
    <x v="2"/>
    <x v="40"/>
    <n v="123"/>
    <n v="8.4"/>
    <n v="500000"/>
    <n v="7098492"/>
  </r>
  <r>
    <s v="Crying with Laughter"/>
    <x v="2135"/>
    <x v="13"/>
    <x v="0"/>
    <n v="93"/>
    <n v="6.9"/>
    <n v="20000000"/>
    <n v="25078937"/>
  </r>
  <r>
    <s v="Welcome to the Dollhouse"/>
    <x v="1678"/>
    <x v="4"/>
    <x v="0"/>
    <n v="88"/>
    <n v="7.5"/>
    <n v="800000"/>
    <n v="4771000"/>
  </r>
  <r>
    <s v="Ruby in Paradise"/>
    <x v="1829"/>
    <x v="2"/>
    <x v="0"/>
    <n v="114"/>
    <n v="7.2"/>
    <n v="800000"/>
    <n v="1001437"/>
  </r>
  <r>
    <s v="Raising Victor Vargas"/>
    <x v="1306"/>
    <x v="2"/>
    <x v="0"/>
    <n v="88"/>
    <n v="7.2"/>
    <n v="800000"/>
    <n v="2073984"/>
  </r>
  <r>
    <s v="Pandora's Box"/>
    <x v="2136"/>
    <x v="6"/>
    <x v="13"/>
    <n v="110"/>
    <n v="8"/>
    <n v="20000000"/>
    <n v="9950"/>
  </r>
  <r>
    <s v="Harrison Montgomery"/>
    <x v="2137"/>
    <x v="2"/>
    <x v="0"/>
    <n v="95"/>
    <n v="7.4"/>
    <n v="850000"/>
    <n v="25078937"/>
  </r>
  <r>
    <s v="Live-In Maid"/>
    <x v="2138"/>
    <x v="2"/>
    <x v="5"/>
    <n v="83"/>
    <n v="7.2"/>
    <n v="800000"/>
    <n v="25078937"/>
  </r>
  <r>
    <s v="Deterrence"/>
    <x v="377"/>
    <x v="2"/>
    <x v="0"/>
    <n v="104"/>
    <n v="6.5"/>
    <n v="800000"/>
    <n v="144583"/>
  </r>
  <r>
    <s v="The Mudge Boy"/>
    <x v="2139"/>
    <x v="6"/>
    <x v="0"/>
    <n v="94"/>
    <n v="7.2"/>
    <n v="800000"/>
    <n v="25078937"/>
  </r>
  <r>
    <s v="The Young Unknowns"/>
    <x v="2140"/>
    <x v="2"/>
    <x v="0"/>
    <n v="87"/>
    <n v="4.2"/>
    <n v="20000000"/>
    <n v="58163"/>
  </r>
  <r>
    <s v="Not Cool"/>
    <x v="2141"/>
    <x v="4"/>
    <x v="0"/>
    <n v="93"/>
    <n v="5.0999999999999996"/>
    <n v="600000"/>
    <n v="35688"/>
  </r>
  <r>
    <s v="Dead Snow"/>
    <x v="446"/>
    <x v="4"/>
    <x v="30"/>
    <n v="91"/>
    <n v="6.4"/>
    <n v="800000"/>
    <n v="41709"/>
  </r>
  <r>
    <s v="Saints and Soldiers"/>
    <x v="2142"/>
    <x v="0"/>
    <x v="0"/>
    <n v="90"/>
    <n v="6.8"/>
    <n v="780000"/>
    <n v="1310270"/>
  </r>
  <r>
    <s v="Vessel"/>
    <x v="2143"/>
    <x v="11"/>
    <x v="0"/>
    <n v="14"/>
    <n v="6.2"/>
    <n v="20000000"/>
    <n v="25078937"/>
  </r>
  <r>
    <s v="American Graffiti"/>
    <x v="139"/>
    <x v="4"/>
    <x v="0"/>
    <n v="112"/>
    <n v="7.5"/>
    <n v="777000"/>
    <n v="115000000"/>
  </r>
  <r>
    <s v="Iraq for Sale: The War Profiteers"/>
    <x v="1992"/>
    <x v="9"/>
    <x v="0"/>
    <n v="75"/>
    <n v="7.7"/>
    <n v="750000"/>
    <n v="25078937"/>
  </r>
  <r>
    <s v="Aqua Teen Hunger Force Colon Movie Film for Theaters"/>
    <x v="2144"/>
    <x v="0"/>
    <x v="0"/>
    <n v="86"/>
    <n v="6.9"/>
    <n v="750000"/>
    <n v="5518918"/>
  </r>
  <r>
    <s v="Safety Not Guaranteed"/>
    <x v="21"/>
    <x v="4"/>
    <x v="0"/>
    <n v="86"/>
    <n v="7"/>
    <n v="750000"/>
    <n v="4007792"/>
  </r>
  <r>
    <s v="Kevin Hart: Laugh at My Pain"/>
    <x v="1844"/>
    <x v="4"/>
    <x v="0"/>
    <n v="89"/>
    <n v="7.5"/>
    <n v="20000000"/>
    <n v="7705974"/>
  </r>
  <r>
    <s v="Kill List"/>
    <x v="2145"/>
    <x v="6"/>
    <x v="0"/>
    <n v="95"/>
    <n v="6.3"/>
    <n v="500000"/>
    <n v="26297"/>
  </r>
  <r>
    <s v="The Innkeepers"/>
    <x v="2089"/>
    <x v="11"/>
    <x v="0"/>
    <n v="101"/>
    <n v="5.5"/>
    <n v="750000"/>
    <n v="77501"/>
  </r>
  <r>
    <s v="The Conformist"/>
    <x v="793"/>
    <x v="2"/>
    <x v="15"/>
    <n v="106"/>
    <n v="8.1"/>
    <n v="750000"/>
    <n v="25078937"/>
  </r>
  <r>
    <s v="Interview with the Assassin"/>
    <x v="218"/>
    <x v="2"/>
    <x v="0"/>
    <n v="88"/>
    <n v="6.6"/>
    <n v="750000"/>
    <n v="47329"/>
  </r>
  <r>
    <s v="Donkey Punch"/>
    <x v="2146"/>
    <x v="6"/>
    <x v="0"/>
    <n v="99"/>
    <n v="5.2"/>
    <n v="900000"/>
    <n v="18378"/>
  </r>
  <r>
    <s v="All the Boys Love Mandy Lane"/>
    <x v="686"/>
    <x v="11"/>
    <x v="0"/>
    <n v="90"/>
    <n v="5.6"/>
    <n v="750000"/>
    <n v="25078937"/>
  </r>
  <r>
    <s v="Bled"/>
    <x v="2147"/>
    <x v="11"/>
    <x v="0"/>
    <n v="95"/>
    <n v="3.1"/>
    <n v="750000"/>
    <n v="25078937"/>
  </r>
  <r>
    <s v="High Noon"/>
    <x v="1563"/>
    <x v="13"/>
    <x v="0"/>
    <n v="85"/>
    <n v="8.1"/>
    <n v="750000"/>
    <n v="25078937"/>
  </r>
  <r>
    <s v="Hoop Dreams"/>
    <x v="1454"/>
    <x v="9"/>
    <x v="0"/>
    <n v="170"/>
    <n v="8.3000000000000007"/>
    <n v="700000"/>
    <n v="7830611"/>
  </r>
  <r>
    <s v="Rize"/>
    <x v="2148"/>
    <x v="9"/>
    <x v="0"/>
    <n v="86"/>
    <n v="7.1"/>
    <n v="20000000"/>
    <n v="3278611"/>
  </r>
  <r>
    <s v="L.I.E."/>
    <x v="1636"/>
    <x v="6"/>
    <x v="0"/>
    <n v="97"/>
    <n v="7.2"/>
    <n v="700000"/>
    <n v="1141829"/>
  </r>
  <r>
    <s v="The Sisterhood of Night"/>
    <x v="2149"/>
    <x v="2"/>
    <x v="0"/>
    <n v="104"/>
    <n v="6.3"/>
    <n v="1000000"/>
    <n v="25078937"/>
  </r>
  <r>
    <s v="B-Girl"/>
    <x v="2150"/>
    <x v="2"/>
    <x v="0"/>
    <n v="88"/>
    <n v="4"/>
    <n v="20000000"/>
    <n v="25078937"/>
  </r>
  <r>
    <s v="Half Nelson"/>
    <x v="2151"/>
    <x v="2"/>
    <x v="0"/>
    <n v="106"/>
    <n v="7.2"/>
    <n v="700000"/>
    <n v="2694973"/>
  </r>
  <r>
    <s v="Naturally Native"/>
    <x v="2152"/>
    <x v="2"/>
    <x v="0"/>
    <n v="107"/>
    <n v="6.5"/>
    <n v="700000"/>
    <n v="10508"/>
  </r>
  <r>
    <s v="Hav Plenty"/>
    <x v="2153"/>
    <x v="4"/>
    <x v="0"/>
    <n v="84"/>
    <n v="6.5"/>
    <n v="650000"/>
    <n v="2301777"/>
  </r>
  <r>
    <s v="Adulterers"/>
    <x v="2154"/>
    <x v="6"/>
    <x v="0"/>
    <n v="91"/>
    <n v="4.9000000000000004"/>
    <n v="750000"/>
    <n v="25078937"/>
  </r>
  <r>
    <s v="Escape from Tomorrow"/>
    <x v="2155"/>
    <x v="8"/>
    <x v="0"/>
    <n v="90"/>
    <n v="5.2"/>
    <n v="20000000"/>
    <n v="169719"/>
  </r>
  <r>
    <s v="Starsuckers"/>
    <x v="2156"/>
    <x v="9"/>
    <x v="0"/>
    <n v="103"/>
    <n v="7.4"/>
    <n v="400000"/>
    <n v="25078937"/>
  </r>
  <r>
    <s v="The Hadza: Last of the First"/>
    <x v="2157"/>
    <x v="9"/>
    <x v="0"/>
    <n v="71"/>
    <n v="7.4"/>
    <n v="650000"/>
    <n v="25078937"/>
  </r>
  <r>
    <s v="After"/>
    <x v="2158"/>
    <x v="8"/>
    <x v="0"/>
    <n v="90"/>
    <n v="5.4"/>
    <n v="650000"/>
    <n v="25078937"/>
  </r>
  <r>
    <s v="Treachery"/>
    <x v="2159"/>
    <x v="2"/>
    <x v="0"/>
    <n v="67"/>
    <n v="3.9"/>
    <n v="625000"/>
    <n v="25078937"/>
  </r>
  <r>
    <s v="Walter"/>
    <x v="2160"/>
    <x v="4"/>
    <x v="0"/>
    <n v="94"/>
    <n v="5.3"/>
    <n v="700000"/>
    <n v="25078937"/>
  </r>
  <r>
    <s v="Top Hat"/>
    <x v="2161"/>
    <x v="4"/>
    <x v="0"/>
    <n v="81"/>
    <n v="7.8"/>
    <n v="609000"/>
    <n v="3000000"/>
  </r>
  <r>
    <s v="The Blair Witch Project"/>
    <x v="2162"/>
    <x v="11"/>
    <x v="0"/>
    <n v="81"/>
    <n v="6.4"/>
    <n v="60000"/>
    <n v="140530114"/>
  </r>
  <r>
    <s v="Woodstock"/>
    <x v="2163"/>
    <x v="9"/>
    <x v="0"/>
    <n v="215"/>
    <n v="8.1"/>
    <n v="600000"/>
    <n v="13300000"/>
  </r>
  <r>
    <s v="The Kentucky Fried Movie"/>
    <x v="455"/>
    <x v="4"/>
    <x v="0"/>
    <n v="83"/>
    <n v="6.5"/>
    <n v="650000"/>
    <n v="25078937"/>
  </r>
  <r>
    <s v="Mercy Streets"/>
    <x v="1869"/>
    <x v="0"/>
    <x v="0"/>
    <n v="106"/>
    <n v="5.6"/>
    <n v="600000"/>
    <n v="171988"/>
  </r>
  <r>
    <s v="Arnolds Park"/>
    <x v="2164"/>
    <x v="5"/>
    <x v="0"/>
    <n v="103"/>
    <n v="5.6"/>
    <n v="600000"/>
    <n v="23616"/>
  </r>
  <r>
    <s v="Broken Vessels"/>
    <x v="2165"/>
    <x v="2"/>
    <x v="0"/>
    <n v="90"/>
    <n v="6.6"/>
    <n v="600000"/>
    <n v="13493"/>
  </r>
  <r>
    <s v="Water &amp; Power"/>
    <x v="2166"/>
    <x v="6"/>
    <x v="0"/>
    <n v="88"/>
    <n v="6.3"/>
    <n v="20000000"/>
    <n v="79043"/>
  </r>
  <r>
    <s v="They Will Have to Kill Us First"/>
    <x v="2167"/>
    <x v="9"/>
    <x v="2"/>
    <n v="105"/>
    <n v="7.7"/>
    <n v="400000"/>
    <n v="25078937"/>
  </r>
  <r>
    <s v="Crop Circles: Quest for Truth"/>
    <x v="2168"/>
    <x v="9"/>
    <x v="0"/>
    <n v="115"/>
    <n v="7"/>
    <n v="750000"/>
    <n v="25078937"/>
  </r>
  <r>
    <s v="Light from the Darkroom"/>
    <x v="2169"/>
    <x v="0"/>
    <x v="0"/>
    <n v="90"/>
    <n v="8"/>
    <n v="600000"/>
    <n v="25078937"/>
  </r>
  <r>
    <s v="Irreplaceable"/>
    <x v="2170"/>
    <x v="4"/>
    <x v="2"/>
    <n v="102"/>
    <n v="7.2"/>
    <n v="20000000"/>
    <n v="25078937"/>
  </r>
  <r>
    <s v="The Maid's Room"/>
    <x v="2171"/>
    <x v="13"/>
    <x v="0"/>
    <n v="98"/>
    <n v="4.5"/>
    <n v="600000"/>
    <n v="25078937"/>
  </r>
  <r>
    <s v="A Hard Day's Night"/>
    <x v="417"/>
    <x v="4"/>
    <x v="0"/>
    <n v="87"/>
    <n v="7.7"/>
    <n v="560000"/>
    <n v="515005"/>
  </r>
  <r>
    <s v="The Harvest/La Cosecha"/>
    <x v="2172"/>
    <x v="9"/>
    <x v="0"/>
    <n v="80"/>
    <n v="7.2"/>
    <n v="560000"/>
    <n v="2245"/>
  </r>
  <r>
    <s v="Love Letters"/>
    <x v="2173"/>
    <x v="2"/>
    <x v="0"/>
    <n v="88"/>
    <n v="6.1"/>
    <n v="550000"/>
    <n v="25078937"/>
  </r>
  <r>
    <s v="Julija in alfa Romeo"/>
    <x v="2174"/>
    <x v="4"/>
    <x v="41"/>
    <n v="83"/>
    <n v="6.4"/>
    <n v="500000"/>
    <n v="25078937"/>
  </r>
  <r>
    <s v="Fireproof"/>
    <x v="1887"/>
    <x v="2"/>
    <x v="0"/>
    <n v="122"/>
    <n v="6.5"/>
    <n v="500000"/>
    <n v="33451479"/>
  </r>
  <r>
    <s v="Faith Connections"/>
    <x v="2175"/>
    <x v="7"/>
    <x v="7"/>
    <n v="115"/>
    <n v="7"/>
    <n v="550000"/>
    <n v="25078937"/>
  </r>
  <r>
    <s v="Benji"/>
    <x v="2176"/>
    <x v="1"/>
    <x v="0"/>
    <n v="86"/>
    <n v="6.1"/>
    <n v="500000"/>
    <n v="39552600"/>
  </r>
  <r>
    <s v="Open Water"/>
    <x v="1886"/>
    <x v="1"/>
    <x v="0"/>
    <n v="79"/>
    <n v="5.7"/>
    <n v="500000"/>
    <n v="30500882"/>
  </r>
  <r>
    <s v="High Road"/>
    <x v="2177"/>
    <x v="4"/>
    <x v="0"/>
    <n v="87"/>
    <n v="5.4"/>
    <n v="20000000"/>
    <n v="25078937"/>
  </r>
  <r>
    <s v="Kingdom of the Spiders"/>
    <x v="2178"/>
    <x v="11"/>
    <x v="0"/>
    <n v="97"/>
    <n v="5.9"/>
    <n v="500000"/>
    <n v="17000000"/>
  </r>
  <r>
    <s v="Mad Hot Ballroom"/>
    <x v="2179"/>
    <x v="9"/>
    <x v="0"/>
    <n v="105"/>
    <n v="7.5"/>
    <n v="20000000"/>
    <n v="8044906"/>
  </r>
  <r>
    <s v="The Station Agent"/>
    <x v="905"/>
    <x v="4"/>
    <x v="0"/>
    <n v="89"/>
    <n v="7.7"/>
    <n v="500000"/>
    <n v="5739376"/>
  </r>
  <r>
    <s v="To Save a Life"/>
    <x v="2180"/>
    <x v="2"/>
    <x v="0"/>
    <n v="120"/>
    <n v="7.1"/>
    <n v="1000000"/>
    <n v="3773863"/>
  </r>
  <r>
    <s v="Wordplay"/>
    <x v="2181"/>
    <x v="9"/>
    <x v="0"/>
    <n v="94"/>
    <n v="7.4"/>
    <n v="20000000"/>
    <n v="3117666"/>
  </r>
  <r>
    <s v="Beyond the Mat"/>
    <x v="2182"/>
    <x v="7"/>
    <x v="0"/>
    <n v="108"/>
    <n v="7.6"/>
    <n v="500000"/>
    <n v="2047570"/>
  </r>
  <r>
    <s v="The Singles Ward"/>
    <x v="2183"/>
    <x v="4"/>
    <x v="0"/>
    <n v="102"/>
    <n v="6.4"/>
    <n v="500000"/>
    <n v="1250798"/>
  </r>
  <r>
    <s v="Osama"/>
    <x v="2184"/>
    <x v="2"/>
    <x v="17"/>
    <n v="83"/>
    <n v="7.4"/>
    <n v="46000"/>
    <n v="1127331"/>
  </r>
  <r>
    <s v="Sholem Aleichem: Laughing in the Darkness"/>
    <x v="2185"/>
    <x v="9"/>
    <x v="0"/>
    <n v="93"/>
    <n v="6.8"/>
    <n v="500000"/>
    <n v="906666"/>
  </r>
  <r>
    <s v="Groove"/>
    <x v="2186"/>
    <x v="2"/>
    <x v="0"/>
    <n v="86"/>
    <n v="6.5"/>
    <n v="500000"/>
    <n v="1114943"/>
  </r>
  <r>
    <s v="The R.M."/>
    <x v="2183"/>
    <x v="4"/>
    <x v="0"/>
    <n v="101"/>
    <n v="6"/>
    <n v="500000"/>
    <n v="1111615"/>
  </r>
  <r>
    <s v="Twin Falls Idaho"/>
    <x v="1195"/>
    <x v="2"/>
    <x v="0"/>
    <n v="111"/>
    <n v="7.3"/>
    <n v="500000"/>
    <n v="985341"/>
  </r>
  <r>
    <s v="Mean Creek"/>
    <x v="2187"/>
    <x v="6"/>
    <x v="0"/>
    <n v="90"/>
    <n v="7.3"/>
    <n v="500000"/>
    <n v="603943"/>
  </r>
  <r>
    <s v="Hurricane Streets"/>
    <x v="1647"/>
    <x v="6"/>
    <x v="0"/>
    <n v="86"/>
    <n v="6.5"/>
    <n v="500000"/>
    <n v="334041"/>
  </r>
  <r>
    <s v="Never Again"/>
    <x v="2188"/>
    <x v="4"/>
    <x v="0"/>
    <n v="98"/>
    <n v="6"/>
    <n v="500000"/>
    <n v="295468"/>
  </r>
  <r>
    <s v="Civil Brand"/>
    <x v="2189"/>
    <x v="6"/>
    <x v="0"/>
    <n v="91"/>
    <n v="5.3"/>
    <n v="500000"/>
    <n v="243347"/>
  </r>
  <r>
    <s v="Lonesome Jim"/>
    <x v="2010"/>
    <x v="4"/>
    <x v="0"/>
    <n v="91"/>
    <n v="6.6"/>
    <n v="500000"/>
    <n v="154077"/>
  </r>
  <r>
    <s v="Drinking Buddies"/>
    <x v="2190"/>
    <x v="4"/>
    <x v="0"/>
    <n v="90"/>
    <n v="6.1"/>
    <n v="20000000"/>
    <n v="342936"/>
  </r>
  <r>
    <s v="Deceptive Practice: The Mysteries and Mentors of Ricky Jay"/>
    <x v="2191"/>
    <x v="9"/>
    <x v="0"/>
    <n v="88"/>
    <n v="7.1"/>
    <n v="500000"/>
    <n v="151389"/>
  </r>
  <r>
    <s v="Seven Samurai"/>
    <x v="1265"/>
    <x v="0"/>
    <x v="1"/>
    <n v="202"/>
    <n v="8.6999999999999993"/>
    <n v="2000000"/>
    <n v="269061"/>
  </r>
  <r>
    <s v="The Other Dream Team"/>
    <x v="2192"/>
    <x v="9"/>
    <x v="0"/>
    <n v="89"/>
    <n v="8.4"/>
    <n v="500000"/>
    <n v="133778"/>
  </r>
  <r>
    <s v="Johnny Suede"/>
    <x v="2193"/>
    <x v="4"/>
    <x v="0"/>
    <n v="97"/>
    <n v="5.8"/>
    <n v="500000"/>
    <n v="25078937"/>
  </r>
  <r>
    <s v="Finishing the Game: The Search for a New Bruce Lee"/>
    <x v="40"/>
    <x v="4"/>
    <x v="0"/>
    <n v="84"/>
    <n v="6.2"/>
    <n v="500000"/>
    <n v="52850"/>
  </r>
  <r>
    <s v="Rubber"/>
    <x v="2194"/>
    <x v="4"/>
    <x v="0"/>
    <n v="82"/>
    <n v="5.8"/>
    <n v="500000"/>
    <n v="98017"/>
  </r>
  <r>
    <s v="Kiss the Bride"/>
    <x v="2128"/>
    <x v="4"/>
    <x v="0"/>
    <n v="100"/>
    <n v="5.7"/>
    <n v="500000"/>
    <n v="31937"/>
  </r>
  <r>
    <s v="The Slaughter Rule"/>
    <x v="2195"/>
    <x v="2"/>
    <x v="0"/>
    <n v="112"/>
    <n v="6.1"/>
    <n v="500000"/>
    <n v="13134"/>
  </r>
  <r>
    <s v="Monsters"/>
    <x v="2196"/>
    <x v="2"/>
    <x v="0"/>
    <n v="94"/>
    <n v="6.4"/>
    <n v="500000"/>
    <n v="237301"/>
  </r>
  <r>
    <s v="The Californians"/>
    <x v="2197"/>
    <x v="2"/>
    <x v="0"/>
    <n v="87"/>
    <n v="5"/>
    <n v="20000000"/>
    <n v="25078937"/>
  </r>
  <r>
    <s v="The Living Wake"/>
    <x v="2198"/>
    <x v="4"/>
    <x v="0"/>
    <n v="91"/>
    <n v="6.5"/>
    <n v="500000"/>
    <n v="12055"/>
  </r>
  <r>
    <s v="Detention of the Dead"/>
    <x v="2199"/>
    <x v="4"/>
    <x v="0"/>
    <n v="87"/>
    <n v="4.5999999999999996"/>
    <n v="500000"/>
    <n v="1332"/>
  </r>
  <r>
    <s v="Crazy Stone"/>
    <x v="1837"/>
    <x v="4"/>
    <x v="3"/>
    <n v="98"/>
    <n v="7.7"/>
    <n v="3000000"/>
    <n v="25078937"/>
  </r>
  <r>
    <s v="Scott Walker: 30 Century Man"/>
    <x v="2200"/>
    <x v="7"/>
    <x v="0"/>
    <n v="95"/>
    <n v="7.3"/>
    <n v="500000"/>
    <n v="25078937"/>
  </r>
  <r>
    <s v="Everything Put Together"/>
    <x v="11"/>
    <x v="2"/>
    <x v="0"/>
    <n v="87"/>
    <n v="6.6"/>
    <n v="100000"/>
    <n v="25078937"/>
  </r>
  <r>
    <s v="Good Kill"/>
    <x v="464"/>
    <x v="2"/>
    <x v="0"/>
    <n v="102"/>
    <n v="6.4"/>
    <n v="20000000"/>
    <n v="316842"/>
  </r>
  <r>
    <s v="Insomnia Manica"/>
    <x v="2201"/>
    <x v="13"/>
    <x v="0"/>
    <n v="127"/>
    <n v="5.8"/>
    <n v="500000"/>
    <n v="25078937"/>
  </r>
  <r>
    <s v="The Outrageous Sophie Tucker"/>
    <x v="2168"/>
    <x v="9"/>
    <x v="0"/>
    <n v="96"/>
    <n v="7.2"/>
    <n v="500000"/>
    <n v="25078937"/>
  </r>
  <r>
    <s v="Now Is Good"/>
    <x v="1470"/>
    <x v="2"/>
    <x v="0"/>
    <n v="103"/>
    <n v="7.2"/>
    <n v="20000000"/>
    <n v="25078937"/>
  </r>
  <r>
    <s v="Girls Gone Dead"/>
    <x v="2202"/>
    <x v="4"/>
    <x v="0"/>
    <n v="104"/>
    <n v="3.5"/>
    <n v="500000"/>
    <n v="25078937"/>
  </r>
  <r>
    <s v="America Is Still the Place"/>
    <x v="2203"/>
    <x v="19"/>
    <x v="0"/>
    <n v="90"/>
    <n v="7.5"/>
    <n v="20000000"/>
    <n v="25078937"/>
  </r>
  <r>
    <s v="Subconscious"/>
    <x v="2204"/>
    <x v="0"/>
    <x v="0"/>
    <n v="122"/>
    <n v="2.2000000000000002"/>
    <n v="20000000"/>
    <n v="25078937"/>
  </r>
  <r>
    <s v="Enter Nowhere"/>
    <x v="2205"/>
    <x v="5"/>
    <x v="0"/>
    <n v="90"/>
    <n v="6.6"/>
    <n v="500000"/>
    <n v="25078937"/>
  </r>
  <r>
    <s v="The King of Najayo"/>
    <x v="2206"/>
    <x v="6"/>
    <x v="5"/>
    <n v="101"/>
    <n v="6.9"/>
    <n v="500000"/>
    <n v="25078937"/>
  </r>
  <r>
    <s v="Fight to the Finish"/>
    <x v="2207"/>
    <x v="0"/>
    <x v="0"/>
    <n v="94"/>
    <n v="4"/>
    <n v="150000"/>
    <n v="25078937"/>
  </r>
  <r>
    <s v="Alleluia! The Devil's Carnival"/>
    <x v="1298"/>
    <x v="11"/>
    <x v="0"/>
    <n v="97"/>
    <n v="7.4"/>
    <n v="500000"/>
    <n v="25078937"/>
  </r>
  <r>
    <s v="The Sound and the Shadow"/>
    <x v="2208"/>
    <x v="4"/>
    <x v="0"/>
    <n v="90"/>
    <n v="8.3000000000000007"/>
    <n v="20000000"/>
    <n v="25078937"/>
  </r>
  <r>
    <s v="Rodeo Girl"/>
    <x v="2209"/>
    <x v="14"/>
    <x v="0"/>
    <n v="108"/>
    <n v="5.7"/>
    <n v="500000"/>
    <n v="25078937"/>
  </r>
  <r>
    <s v="Born to Fly: Elizabeth Streb vs. Gravity"/>
    <x v="2210"/>
    <x v="0"/>
    <x v="0"/>
    <n v="82"/>
    <n v="6.8"/>
    <n v="500000"/>
    <n v="21199"/>
  </r>
  <r>
    <s v="The Little Ponderosa Zoo"/>
    <x v="2211"/>
    <x v="14"/>
    <x v="0"/>
    <n v="84"/>
    <n v="5.2"/>
    <n v="500000"/>
    <n v="25078937"/>
  </r>
  <r>
    <s v="The Toxic Avenger"/>
    <x v="1882"/>
    <x v="0"/>
    <x v="0"/>
    <n v="91"/>
    <n v="6.2"/>
    <n v="475000"/>
    <n v="25078937"/>
  </r>
  <r>
    <s v="Straight Out of Brooklyn"/>
    <x v="1449"/>
    <x v="6"/>
    <x v="0"/>
    <n v="91"/>
    <n v="5.9"/>
    <n v="450000"/>
    <n v="2712293"/>
  </r>
  <r>
    <s v="Bloody Sunday"/>
    <x v="114"/>
    <x v="2"/>
    <x v="0"/>
    <n v="107"/>
    <n v="7.7"/>
    <n v="2000000"/>
    <n v="768045"/>
  </r>
  <r>
    <s v="Diamond Ruff"/>
    <x v="2212"/>
    <x v="0"/>
    <x v="0"/>
    <n v="82"/>
    <n v="4.3"/>
    <n v="500000"/>
    <n v="25078937"/>
  </r>
  <r>
    <s v="Conversations with Other Women"/>
    <x v="2213"/>
    <x v="4"/>
    <x v="0"/>
    <n v="84"/>
    <n v="7.1"/>
    <n v="450000"/>
    <n v="379122"/>
  </r>
  <r>
    <s v="Poultrygeist: Night of the Chicken Dead"/>
    <x v="2214"/>
    <x v="4"/>
    <x v="0"/>
    <n v="103"/>
    <n v="6.2"/>
    <n v="500000"/>
    <n v="23000"/>
  </r>
  <r>
    <s v="Mutual Friends"/>
    <x v="2215"/>
    <x v="4"/>
    <x v="0"/>
    <n v="86"/>
    <n v="6.8"/>
    <n v="450000"/>
    <n v="25078937"/>
  </r>
  <r>
    <s v="42nd Street"/>
    <x v="2216"/>
    <x v="4"/>
    <x v="0"/>
    <n v="89"/>
    <n v="7.7"/>
    <n v="439000"/>
    <n v="2300000"/>
  </r>
  <r>
    <s v="Rise of the Entrepreneur: The Search for a Better Way"/>
    <x v="2217"/>
    <x v="9"/>
    <x v="0"/>
    <n v="52"/>
    <n v="8.1999999999999993"/>
    <n v="450000"/>
    <n v="25078937"/>
  </r>
  <r>
    <s v="Metropolitan"/>
    <x v="1800"/>
    <x v="4"/>
    <x v="0"/>
    <n v="98"/>
    <n v="7.5"/>
    <n v="225000"/>
    <n v="2938208"/>
  </r>
  <r>
    <s v="As It Is in Heaven"/>
    <x v="2218"/>
    <x v="4"/>
    <x v="21"/>
    <n v="133"/>
    <n v="7.6"/>
    <n v="25000000"/>
    <n v="9910"/>
  </r>
  <r>
    <s v="Roadside"/>
    <x v="2219"/>
    <x v="2"/>
    <x v="0"/>
    <n v="81"/>
    <n v="4.0999999999999996"/>
    <n v="20000000"/>
    <n v="25078937"/>
  </r>
  <r>
    <s v="Napoleon Dynamite"/>
    <x v="665"/>
    <x v="4"/>
    <x v="0"/>
    <n v="92"/>
    <n v="6.9"/>
    <n v="400000"/>
    <n v="44540956"/>
  </r>
  <r>
    <s v="Blue Ruin"/>
    <x v="1638"/>
    <x v="6"/>
    <x v="0"/>
    <n v="90"/>
    <n v="7.1"/>
    <n v="1066167"/>
    <n v="258113"/>
  </r>
  <r>
    <s v="Paranormal Activity"/>
    <x v="1650"/>
    <x v="11"/>
    <x v="0"/>
    <n v="84"/>
    <n v="6.3"/>
    <n v="15000"/>
    <n v="107917283"/>
  </r>
  <r>
    <s v="Dogtown and Z-Boys"/>
    <x v="1835"/>
    <x v="9"/>
    <x v="0"/>
    <n v="91"/>
    <n v="7.7"/>
    <n v="20000000"/>
    <n v="1293295"/>
  </r>
  <r>
    <s v="Monty Python and the Holy Grail"/>
    <x v="251"/>
    <x v="1"/>
    <x v="0"/>
    <n v="91"/>
    <n v="8.3000000000000007"/>
    <n v="229575"/>
    <n v="1229197"/>
  </r>
  <r>
    <s v="Quinceañera"/>
    <x v="1610"/>
    <x v="2"/>
    <x v="5"/>
    <n v="90"/>
    <n v="7.1"/>
    <n v="400000"/>
    <n v="1689999"/>
  </r>
  <r>
    <s v="Gory Gory Hallelujah"/>
    <x v="2220"/>
    <x v="4"/>
    <x v="0"/>
    <n v="96"/>
    <n v="4.7"/>
    <n v="100000"/>
    <n v="11798"/>
  </r>
  <r>
    <s v="Tarnation"/>
    <x v="2221"/>
    <x v="7"/>
    <x v="0"/>
    <n v="88"/>
    <n v="7.2"/>
    <n v="218"/>
    <n v="592014"/>
  </r>
  <r>
    <s v="I Want Your Money"/>
    <x v="2222"/>
    <x v="9"/>
    <x v="0"/>
    <n v="92"/>
    <n v="5.0999999999999996"/>
    <n v="400000"/>
    <n v="425899"/>
  </r>
  <r>
    <s v="Love in the Time of Monsters"/>
    <x v="2223"/>
    <x v="4"/>
    <x v="0"/>
    <n v="97"/>
    <n v="5.4"/>
    <n v="500000"/>
    <n v="25078937"/>
  </r>
  <r>
    <s v="The Beyond"/>
    <x v="2224"/>
    <x v="11"/>
    <x v="15"/>
    <n v="82"/>
    <n v="6.9"/>
    <n v="400000"/>
    <n v="126387"/>
  </r>
  <r>
    <s v="What Happens in Vegas"/>
    <x v="681"/>
    <x v="4"/>
    <x v="0"/>
    <n v="101"/>
    <n v="6.1"/>
    <n v="35000000"/>
    <n v="80276912"/>
  </r>
  <r>
    <s v="The Dark Hours"/>
    <x v="2225"/>
    <x v="11"/>
    <x v="0"/>
    <n v="80"/>
    <n v="6.1"/>
    <n v="500000"/>
    <n v="25078937"/>
  </r>
  <r>
    <s v="My Beautiful Laundrette"/>
    <x v="487"/>
    <x v="4"/>
    <x v="0"/>
    <n v="97"/>
    <n v="6.9"/>
    <n v="650000"/>
    <n v="25078937"/>
  </r>
  <r>
    <s v="Fabled"/>
    <x v="2226"/>
    <x v="2"/>
    <x v="0"/>
    <n v="84"/>
    <n v="5.8"/>
    <n v="20000000"/>
    <n v="25918"/>
  </r>
  <r>
    <s v="Show Me"/>
    <x v="2227"/>
    <x v="2"/>
    <x v="2"/>
    <n v="97"/>
    <n v="6"/>
    <n v="900000"/>
    <n v="25078937"/>
  </r>
  <r>
    <s v="Cries &amp; Whispers"/>
    <x v="2228"/>
    <x v="2"/>
    <x v="21"/>
    <n v="91"/>
    <n v="8.1999999999999993"/>
    <n v="400000"/>
    <n v="25078937"/>
  </r>
  <r>
    <s v="Trekkies"/>
    <x v="2229"/>
    <x v="9"/>
    <x v="0"/>
    <n v="86"/>
    <n v="7"/>
    <n v="375000"/>
    <n v="617172"/>
  </r>
  <r>
    <s v="The Broadway Melody"/>
    <x v="2230"/>
    <x v="17"/>
    <x v="0"/>
    <n v="100"/>
    <n v="6.3"/>
    <n v="379000"/>
    <n v="2808000"/>
  </r>
  <r>
    <s v="The Evil Dead"/>
    <x v="5"/>
    <x v="8"/>
    <x v="0"/>
    <n v="96"/>
    <n v="7.6"/>
    <n v="375000"/>
    <n v="25078937"/>
  </r>
  <r>
    <s v="Maniac"/>
    <x v="2231"/>
    <x v="11"/>
    <x v="0"/>
    <n v="89"/>
    <n v="6.1"/>
    <n v="6000000"/>
    <n v="12843"/>
  </r>
  <r>
    <s v="Censored Voices"/>
    <x v="2232"/>
    <x v="9"/>
    <x v="18"/>
    <n v="84"/>
    <n v="7.2"/>
    <n v="450000"/>
    <n v="34151"/>
  </r>
  <r>
    <s v="Murderball"/>
    <x v="2233"/>
    <x v="9"/>
    <x v="0"/>
    <n v="88"/>
    <n v="7.8"/>
    <n v="1750211"/>
    <n v="1523883"/>
  </r>
  <r>
    <s v="American Ninja 2: The Confrontation"/>
    <x v="2234"/>
    <x v="0"/>
    <x v="0"/>
    <n v="90"/>
    <n v="4.7"/>
    <n v="350000"/>
    <n v="4000000"/>
  </r>
  <r>
    <s v="51 Birch Street"/>
    <x v="2235"/>
    <x v="9"/>
    <x v="0"/>
    <n v="90"/>
    <n v="7.5"/>
    <n v="20000000"/>
    <n v="84689"/>
  </r>
  <r>
    <s v="Rotor DR1"/>
    <x v="2236"/>
    <x v="14"/>
    <x v="0"/>
    <n v="98"/>
    <n v="3.4"/>
    <n v="350000"/>
    <n v="25078937"/>
  </r>
  <r>
    <s v="12 Angry Men"/>
    <x v="854"/>
    <x v="6"/>
    <x v="0"/>
    <n v="96"/>
    <n v="8.9"/>
    <n v="350000"/>
    <n v="25078937"/>
  </r>
  <r>
    <s v="My Dog Tulip"/>
    <x v="2237"/>
    <x v="3"/>
    <x v="0"/>
    <n v="83"/>
    <n v="6.9"/>
    <n v="20000000"/>
    <n v="246574"/>
  </r>
  <r>
    <s v="It Happened One Night"/>
    <x v="1775"/>
    <x v="4"/>
    <x v="0"/>
    <n v="65"/>
    <n v="8.1999999999999993"/>
    <n v="325000"/>
    <n v="25078937"/>
  </r>
  <r>
    <s v="Dogtooth"/>
    <x v="2238"/>
    <x v="2"/>
    <x v="42"/>
    <n v="94"/>
    <n v="7.3"/>
    <n v="20000000"/>
    <n v="110197"/>
  </r>
  <r>
    <s v="Tupac: Resurrection"/>
    <x v="2239"/>
    <x v="7"/>
    <x v="0"/>
    <n v="112"/>
    <n v="8"/>
    <n v="20000000"/>
    <n v="7707563"/>
  </r>
  <r>
    <s v="Tumbleweeds"/>
    <x v="724"/>
    <x v="4"/>
    <x v="0"/>
    <n v="102"/>
    <n v="6.7"/>
    <n v="312000"/>
    <n v="1281176"/>
  </r>
  <r>
    <s v="The Prophecy"/>
    <x v="2240"/>
    <x v="0"/>
    <x v="0"/>
    <n v="98"/>
    <n v="6.6"/>
    <n v="8000000"/>
    <n v="16115878"/>
  </r>
  <r>
    <s v="When the Cat's Away"/>
    <x v="1569"/>
    <x v="4"/>
    <x v="2"/>
    <n v="91"/>
    <n v="6.9"/>
    <n v="300000"/>
    <n v="1652472"/>
  </r>
  <r>
    <s v="Pieces of April"/>
    <x v="552"/>
    <x v="4"/>
    <x v="0"/>
    <n v="80"/>
    <n v="7.1"/>
    <n v="300000"/>
    <n v="2360184"/>
  </r>
  <r>
    <s v="The Big Swap"/>
    <x v="2241"/>
    <x v="2"/>
    <x v="0"/>
    <n v="114"/>
    <n v="5.6"/>
    <n v="20000000"/>
    <n v="25078937"/>
  </r>
  <r>
    <s v="Old Joy"/>
    <x v="1903"/>
    <x v="2"/>
    <x v="0"/>
    <n v="76"/>
    <n v="6.7"/>
    <n v="300000"/>
    <n v="255352"/>
  </r>
  <r>
    <s v="Wendy and Lucy"/>
    <x v="1903"/>
    <x v="2"/>
    <x v="0"/>
    <n v="80"/>
    <n v="7.1"/>
    <n v="200000"/>
    <n v="856942"/>
  </r>
  <r>
    <s v="3 Backyards"/>
    <x v="2242"/>
    <x v="2"/>
    <x v="0"/>
    <n v="88"/>
    <n v="5.2"/>
    <n v="300000"/>
    <n v="25078937"/>
  </r>
  <r>
    <s v="Pierrot le Fou"/>
    <x v="2243"/>
    <x v="6"/>
    <x v="2"/>
    <n v="110"/>
    <n v="7.7"/>
    <n v="300000"/>
    <n v="25078937"/>
  </r>
  <r>
    <s v="Sisters in Law"/>
    <x v="2244"/>
    <x v="9"/>
    <x v="0"/>
    <n v="104"/>
    <n v="7.5"/>
    <n v="20000000"/>
    <n v="32631"/>
  </r>
  <r>
    <s v="Ayurveda: Art of Being"/>
    <x v="2175"/>
    <x v="9"/>
    <x v="0"/>
    <n v="102"/>
    <n v="7.6"/>
    <n v="300000"/>
    <n v="16892"/>
  </r>
  <r>
    <s v="Nothing But a Man"/>
    <x v="2245"/>
    <x v="2"/>
    <x v="0"/>
    <n v="95"/>
    <n v="8.1"/>
    <n v="160000"/>
    <n v="12438"/>
  </r>
  <r>
    <s v="First Love, Last Rites"/>
    <x v="1608"/>
    <x v="2"/>
    <x v="0"/>
    <n v="94"/>
    <n v="5.5"/>
    <n v="300000"/>
    <n v="40542"/>
  </r>
  <r>
    <s v="Fighting Tommy Riley"/>
    <x v="2246"/>
    <x v="2"/>
    <x v="0"/>
    <n v="109"/>
    <n v="6.6"/>
    <n v="200000"/>
    <n v="5199"/>
  </r>
  <r>
    <s v="Royal Kill"/>
    <x v="2247"/>
    <x v="0"/>
    <x v="0"/>
    <n v="90"/>
    <n v="3.2"/>
    <n v="350000"/>
    <n v="25078937"/>
  </r>
  <r>
    <s v="The Looking Glass"/>
    <x v="2248"/>
    <x v="2"/>
    <x v="0"/>
    <n v="110"/>
    <n v="6.6"/>
    <n v="20000000"/>
    <n v="1711"/>
  </r>
  <r>
    <s v="Death Race 2000"/>
    <x v="2249"/>
    <x v="0"/>
    <x v="0"/>
    <n v="80"/>
    <n v="6.2"/>
    <n v="300000"/>
    <n v="25078937"/>
  </r>
  <r>
    <s v="Locker 13"/>
    <x v="2250"/>
    <x v="13"/>
    <x v="0"/>
    <n v="95"/>
    <n v="4.8"/>
    <n v="300000"/>
    <n v="2468"/>
  </r>
  <r>
    <s v="Midnight Cabaret"/>
    <x v="2251"/>
    <x v="11"/>
    <x v="0"/>
    <n v="94"/>
    <n v="4.5"/>
    <n v="20000000"/>
    <n v="25078937"/>
  </r>
  <r>
    <s v="Anderson's Cross"/>
    <x v="2252"/>
    <x v="4"/>
    <x v="0"/>
    <n v="98"/>
    <n v="7.2"/>
    <n v="300000"/>
    <n v="25078937"/>
  </r>
  <r>
    <s v="Bizarre"/>
    <x v="2253"/>
    <x v="2"/>
    <x v="0"/>
    <n v="98"/>
    <n v="4.3"/>
    <n v="500000"/>
    <n v="25078937"/>
  </r>
  <r>
    <s v="Graduation Day"/>
    <x v="2254"/>
    <x v="11"/>
    <x v="0"/>
    <n v="96"/>
    <n v="4.5"/>
    <n v="250000"/>
    <n v="25078937"/>
  </r>
  <r>
    <s v="Some Guy Who Kills People"/>
    <x v="2255"/>
    <x v="4"/>
    <x v="0"/>
    <n v="97"/>
    <n v="6.4"/>
    <n v="300000"/>
    <n v="25078937"/>
  </r>
  <r>
    <s v="Compliance"/>
    <x v="2256"/>
    <x v="7"/>
    <x v="0"/>
    <n v="90"/>
    <n v="6.4"/>
    <n v="270000"/>
    <n v="318622"/>
  </r>
  <r>
    <s v="Chasing Amy"/>
    <x v="605"/>
    <x v="4"/>
    <x v="0"/>
    <n v="113"/>
    <n v="7.3"/>
    <n v="250000"/>
    <n v="12006514"/>
  </r>
  <r>
    <s v="Lovely &amp; Amazing"/>
    <x v="1448"/>
    <x v="4"/>
    <x v="0"/>
    <n v="91"/>
    <n v="6.9"/>
    <n v="250000"/>
    <n v="4186931"/>
  </r>
  <r>
    <s v="Death Calls"/>
    <x v="2257"/>
    <x v="0"/>
    <x v="0"/>
    <n v="90"/>
    <n v="4.3"/>
    <n v="290000"/>
    <n v="25078937"/>
  </r>
  <r>
    <s v="Better Luck Tomorrow"/>
    <x v="40"/>
    <x v="6"/>
    <x v="0"/>
    <n v="98"/>
    <n v="7.2"/>
    <n v="250000"/>
    <n v="3799339"/>
  </r>
  <r>
    <s v="The Incredibly True Adventure of Two Girls in Love"/>
    <x v="2258"/>
    <x v="4"/>
    <x v="0"/>
    <n v="94"/>
    <n v="6.5"/>
    <n v="250000"/>
    <n v="1977544"/>
  </r>
  <r>
    <s v="Chuck &amp; Buck"/>
    <x v="755"/>
    <x v="4"/>
    <x v="0"/>
    <n v="96"/>
    <n v="6.6"/>
    <n v="250000"/>
    <n v="1050600"/>
  </r>
  <r>
    <s v="American Desi"/>
    <x v="2259"/>
    <x v="4"/>
    <x v="0"/>
    <n v="100"/>
    <n v="6.7"/>
    <n v="250000"/>
    <n v="902835"/>
  </r>
  <r>
    <s v="Amidst the Devil's Wings"/>
    <x v="2260"/>
    <x v="0"/>
    <x v="0"/>
    <n v="90"/>
    <n v="4.3"/>
    <n v="300000"/>
    <n v="25078937"/>
  </r>
  <r>
    <s v="Cube"/>
    <x v="722"/>
    <x v="5"/>
    <x v="0"/>
    <n v="90"/>
    <n v="7.3"/>
    <n v="365000"/>
    <n v="489220"/>
  </r>
  <r>
    <s v="Love and Other Catastrophes"/>
    <x v="2261"/>
    <x v="4"/>
    <x v="0"/>
    <n v="76"/>
    <n v="6.4"/>
    <n v="250000"/>
    <n v="212285"/>
  </r>
  <r>
    <s v="I Married a Strange Person!"/>
    <x v="2262"/>
    <x v="3"/>
    <x v="0"/>
    <n v="75"/>
    <n v="7"/>
    <n v="250000"/>
    <n v="203134"/>
  </r>
  <r>
    <s v="November"/>
    <x v="2186"/>
    <x v="2"/>
    <x v="0"/>
    <n v="78"/>
    <n v="5.5"/>
    <n v="150000"/>
    <n v="191309"/>
  </r>
  <r>
    <s v="Like Crazy"/>
    <x v="2263"/>
    <x v="2"/>
    <x v="0"/>
    <n v="90"/>
    <n v="6.7"/>
    <n v="250000"/>
    <n v="3388210"/>
  </r>
  <r>
    <s v="Teeth and Blood"/>
    <x v="2264"/>
    <x v="11"/>
    <x v="0"/>
    <n v="96"/>
    <n v="4.3"/>
    <n v="300000"/>
    <n v="25078937"/>
  </r>
  <r>
    <s v="Sugar Town"/>
    <x v="1703"/>
    <x v="4"/>
    <x v="0"/>
    <n v="92"/>
    <n v="6.1"/>
    <n v="250000"/>
    <n v="177840"/>
  </r>
  <r>
    <s v="The Motel"/>
    <x v="2265"/>
    <x v="4"/>
    <x v="12"/>
    <n v="75"/>
    <n v="6.8"/>
    <n v="20000000"/>
    <n v="47111"/>
  </r>
  <r>
    <s v="The Canyons"/>
    <x v="1213"/>
    <x v="2"/>
    <x v="0"/>
    <n v="99"/>
    <n v="3.9"/>
    <n v="250000"/>
    <n v="49494"/>
  </r>
  <r>
    <s v="On the Outs"/>
    <x v="2266"/>
    <x v="2"/>
    <x v="0"/>
    <n v="86"/>
    <n v="6.9"/>
    <n v="20000000"/>
    <n v="25078937"/>
  </r>
  <r>
    <s v="Shotgun Stories"/>
    <x v="1003"/>
    <x v="2"/>
    <x v="0"/>
    <n v="92"/>
    <n v="7.3"/>
    <n v="20000000"/>
    <n v="45661"/>
  </r>
  <r>
    <s v="Exam"/>
    <x v="2267"/>
    <x v="5"/>
    <x v="0"/>
    <n v="101"/>
    <n v="6.9"/>
    <n v="20000000"/>
    <n v="25078937"/>
  </r>
  <r>
    <s v="The Sticky Fingers of Time"/>
    <x v="2268"/>
    <x v="10"/>
    <x v="0"/>
    <n v="81"/>
    <n v="6.3"/>
    <n v="250000"/>
    <n v="18195"/>
  </r>
  <r>
    <s v="Sunday School Musical"/>
    <x v="2269"/>
    <x v="2"/>
    <x v="0"/>
    <n v="93"/>
    <n v="2.5"/>
    <n v="20000000"/>
    <n v="25078937"/>
  </r>
  <r>
    <s v="Rust"/>
    <x v="2270"/>
    <x v="2"/>
    <x v="0"/>
    <n v="95"/>
    <n v="5.7"/>
    <n v="250000"/>
    <n v="25078937"/>
  </r>
  <r>
    <s v="Ink"/>
    <x v="2271"/>
    <x v="0"/>
    <x v="0"/>
    <n v="107"/>
    <n v="7"/>
    <n v="20000000"/>
    <n v="25078937"/>
  </r>
  <r>
    <s v="The Christmas Bunny"/>
    <x v="2272"/>
    <x v="2"/>
    <x v="0"/>
    <n v="98"/>
    <n v="6.2"/>
    <n v="250000"/>
    <n v="25078937"/>
  </r>
  <r>
    <s v="Jesus People"/>
    <x v="2273"/>
    <x v="4"/>
    <x v="0"/>
    <n v="35"/>
    <n v="6.9"/>
    <n v="20000000"/>
    <n v="25078937"/>
  </r>
  <r>
    <s v="Butterfly"/>
    <x v="2274"/>
    <x v="6"/>
    <x v="0"/>
    <n v="108"/>
    <n v="4.5"/>
    <n v="20000000"/>
    <n v="25078937"/>
  </r>
  <r>
    <s v="UnDivided"/>
    <x v="2275"/>
    <x v="9"/>
    <x v="0"/>
    <n v="66"/>
    <n v="7.8"/>
    <n v="250000"/>
    <n v="25078937"/>
  </r>
  <r>
    <s v="The Frozen"/>
    <x v="2276"/>
    <x v="11"/>
    <x v="0"/>
    <n v="95"/>
    <n v="4.4000000000000004"/>
    <n v="250000"/>
    <n v="25078937"/>
  </r>
  <r>
    <s v="Horse Camp"/>
    <x v="2209"/>
    <x v="14"/>
    <x v="0"/>
    <n v="108"/>
    <n v="6.6"/>
    <n v="250000"/>
    <n v="25078937"/>
  </r>
  <r>
    <s v="Give Me Shelter"/>
    <x v="2277"/>
    <x v="9"/>
    <x v="0"/>
    <n v="90"/>
    <n v="8"/>
    <n v="250000"/>
    <n v="25078937"/>
  </r>
  <r>
    <s v="Little Big Top"/>
    <x v="2278"/>
    <x v="4"/>
    <x v="0"/>
    <n v="83"/>
    <n v="6.5"/>
    <n v="240000"/>
    <n v="25078937"/>
  </r>
  <r>
    <s v="Along the Roadside"/>
    <x v="2279"/>
    <x v="4"/>
    <x v="0"/>
    <n v="108"/>
    <n v="7.1"/>
    <n v="250000"/>
    <n v="25078937"/>
  </r>
  <r>
    <s v="Bronson"/>
    <x v="1094"/>
    <x v="0"/>
    <x v="0"/>
    <n v="92"/>
    <n v="7.1"/>
    <n v="20000000"/>
    <n v="104792"/>
  </r>
  <r>
    <s v="Western Religion"/>
    <x v="2280"/>
    <x v="1"/>
    <x v="0"/>
    <n v="105"/>
    <n v="4"/>
    <n v="250000"/>
    <n v="25078937"/>
  </r>
  <r>
    <s v="Burn"/>
    <x v="2281"/>
    <x v="9"/>
    <x v="0"/>
    <n v="86"/>
    <n v="7.5"/>
    <n v="225000"/>
    <n v="111300"/>
  </r>
  <r>
    <s v="Urbania"/>
    <x v="2282"/>
    <x v="2"/>
    <x v="0"/>
    <n v="106"/>
    <n v="7"/>
    <n v="225000"/>
    <n v="1027119"/>
  </r>
  <r>
    <s v="The Stewardesses"/>
    <x v="2283"/>
    <x v="4"/>
    <x v="0"/>
    <n v="93"/>
    <n v="4"/>
    <n v="100000"/>
    <n v="25078937"/>
  </r>
  <r>
    <s v="The Beast from 20,000 Fathoms"/>
    <x v="2284"/>
    <x v="1"/>
    <x v="0"/>
    <n v="80"/>
    <n v="6.7"/>
    <n v="210000"/>
    <n v="5000000"/>
  </r>
  <r>
    <s v="Mad Max"/>
    <x v="82"/>
    <x v="0"/>
    <x v="0"/>
    <n v="93"/>
    <n v="7"/>
    <n v="200000"/>
    <n v="25078937"/>
  </r>
  <r>
    <s v="Swingers"/>
    <x v="51"/>
    <x v="4"/>
    <x v="0"/>
    <n v="96"/>
    <n v="7.4"/>
    <n v="200000"/>
    <n v="4505922"/>
  </r>
  <r>
    <s v="A Fistful of Dollars"/>
    <x v="732"/>
    <x v="0"/>
    <x v="15"/>
    <n v="99"/>
    <n v="8"/>
    <n v="200000"/>
    <n v="3500000"/>
  </r>
  <r>
    <s v="She Done Him Wrong"/>
    <x v="2285"/>
    <x v="4"/>
    <x v="0"/>
    <n v="66"/>
    <n v="6.5"/>
    <n v="200000"/>
    <n v="25078937"/>
  </r>
  <r>
    <s v="Short Cut to Nirvana: Kumbh Mela"/>
    <x v="2286"/>
    <x v="9"/>
    <x v="0"/>
    <n v="85"/>
    <n v="7.2"/>
    <n v="200000"/>
    <n v="381225"/>
  </r>
  <r>
    <s v="The Grace Card"/>
    <x v="2287"/>
    <x v="2"/>
    <x v="0"/>
    <n v="101"/>
    <n v="6.4"/>
    <n v="200000"/>
    <n v="2428241"/>
  </r>
  <r>
    <s v="Middle of Nowhere"/>
    <x v="901"/>
    <x v="2"/>
    <x v="0"/>
    <n v="97"/>
    <n v="6.5"/>
    <n v="200000"/>
    <n v="78030"/>
  </r>
  <r>
    <s v="3"/>
    <x v="174"/>
    <x v="4"/>
    <x v="13"/>
    <n v="119"/>
    <n v="6.8"/>
    <n v="20000000"/>
    <n v="59774"/>
  </r>
  <r>
    <s v="The Business of Fancydancing"/>
    <x v="2288"/>
    <x v="2"/>
    <x v="0"/>
    <n v="103"/>
    <n v="6.9"/>
    <n v="200000"/>
    <n v="174682"/>
  </r>
  <r>
    <s v="Call + Response"/>
    <x v="2289"/>
    <x v="9"/>
    <x v="0"/>
    <n v="86"/>
    <n v="7.5"/>
    <n v="200000"/>
    <n v="215185"/>
  </r>
  <r>
    <s v="Malevolence"/>
    <x v="2290"/>
    <x v="6"/>
    <x v="0"/>
    <n v="90"/>
    <n v="5.0999999999999996"/>
    <n v="200000"/>
    <n v="25078937"/>
  </r>
  <r>
    <s v="Shooting the Warwicks"/>
    <x v="1064"/>
    <x v="4"/>
    <x v="0"/>
    <n v="95"/>
    <n v="6.2"/>
    <n v="250000"/>
    <n v="25078937"/>
  </r>
  <r>
    <s v="Super Hybrid"/>
    <x v="916"/>
    <x v="11"/>
    <x v="0"/>
    <n v="94"/>
    <n v="3.9"/>
    <n v="13000000"/>
    <n v="25078937"/>
  </r>
  <r>
    <s v="Baghead"/>
    <x v="1338"/>
    <x v="4"/>
    <x v="0"/>
    <n v="84"/>
    <n v="6"/>
    <n v="20000000"/>
    <n v="140016"/>
  </r>
  <r>
    <s v="Solitude"/>
    <x v="2291"/>
    <x v="4"/>
    <x v="0"/>
    <n v="89"/>
    <n v="6.8"/>
    <n v="20000000"/>
    <n v="25078937"/>
  </r>
  <r>
    <s v="The Case of the Grinning Cat"/>
    <x v="2292"/>
    <x v="9"/>
    <x v="2"/>
    <n v="59"/>
    <n v="7.4"/>
    <n v="150000"/>
    <n v="25078937"/>
  </r>
  <r>
    <s v="Ordet"/>
    <x v="2293"/>
    <x v="2"/>
    <x v="28"/>
    <n v="126"/>
    <n v="8.1"/>
    <n v="20000000"/>
    <n v="25078937"/>
  </r>
  <r>
    <s v="Good Dick"/>
    <x v="2294"/>
    <x v="4"/>
    <x v="0"/>
    <n v="86"/>
    <n v="6.5"/>
    <n v="20000000"/>
    <n v="15542"/>
  </r>
  <r>
    <s v="The Man from Earth"/>
    <x v="2121"/>
    <x v="2"/>
    <x v="0"/>
    <n v="87"/>
    <n v="8"/>
    <n v="200000"/>
    <n v="25078937"/>
  </r>
  <r>
    <s v="The Trials of Darryl Hunt"/>
    <x v="2295"/>
    <x v="6"/>
    <x v="0"/>
    <n v="106"/>
    <n v="7.7"/>
    <n v="200000"/>
    <n v="1111"/>
  </r>
  <r>
    <s v="An American Girl Holiday"/>
    <x v="2296"/>
    <x v="2"/>
    <x v="0"/>
    <n v="86"/>
    <n v="7.2"/>
    <n v="200000"/>
    <n v="25078937"/>
  </r>
  <r>
    <s v="Yesterday Was a Lie"/>
    <x v="2297"/>
    <x v="2"/>
    <x v="0"/>
    <n v="89"/>
    <n v="5.4"/>
    <n v="2500000"/>
    <n v="25078937"/>
  </r>
  <r>
    <s v="Theresa Is a Mother"/>
    <x v="2298"/>
    <x v="4"/>
    <x v="0"/>
    <n v="105"/>
    <n v="6.7"/>
    <n v="200000"/>
    <n v="25078937"/>
  </r>
  <r>
    <s v="H."/>
    <x v="2299"/>
    <x v="2"/>
    <x v="0"/>
    <n v="93"/>
    <n v="6.3"/>
    <n v="20000000"/>
    <n v="25078937"/>
  </r>
  <r>
    <s v="Archaeology of a Woman"/>
    <x v="2300"/>
    <x v="2"/>
    <x v="0"/>
    <n v="94"/>
    <n v="8.1"/>
    <n v="200000"/>
    <n v="25078937"/>
  </r>
  <r>
    <s v="Children of Heaven"/>
    <x v="2301"/>
    <x v="2"/>
    <x v="40"/>
    <n v="89"/>
    <n v="8.5"/>
    <n v="180000"/>
    <n v="925402"/>
  </r>
  <r>
    <s v="Weekend"/>
    <x v="2302"/>
    <x v="2"/>
    <x v="0"/>
    <n v="97"/>
    <n v="7.7"/>
    <n v="120000"/>
    <n v="469947"/>
  </r>
  <r>
    <s v="She's Gotta Have It"/>
    <x v="433"/>
    <x v="4"/>
    <x v="0"/>
    <n v="88"/>
    <n v="6.5"/>
    <n v="175000"/>
    <n v="7137502"/>
  </r>
  <r>
    <s v="Butterfly Girl"/>
    <x v="2303"/>
    <x v="9"/>
    <x v="0"/>
    <n v="78"/>
    <n v="8.6999999999999993"/>
    <n v="180000"/>
    <n v="25078937"/>
  </r>
  <r>
    <s v="The World Is Mine"/>
    <x v="2304"/>
    <x v="2"/>
    <x v="39"/>
    <n v="104"/>
    <n v="6.5"/>
    <n v="168000"/>
    <n v="25078937"/>
  </r>
  <r>
    <s v="Another Earth"/>
    <x v="2079"/>
    <x v="2"/>
    <x v="0"/>
    <n v="92"/>
    <n v="7"/>
    <n v="100000"/>
    <n v="1316074"/>
  </r>
  <r>
    <s v="Sweet Sweetback's Baadasssss Song"/>
    <x v="2305"/>
    <x v="6"/>
    <x v="0"/>
    <n v="97"/>
    <n v="5.5"/>
    <n v="500000"/>
    <n v="15180000"/>
  </r>
  <r>
    <s v="Perfect Cowboy"/>
    <x v="2306"/>
    <x v="2"/>
    <x v="0"/>
    <n v="109"/>
    <n v="7"/>
    <n v="200000"/>
    <n v="25078937"/>
  </r>
  <r>
    <s v="Tadpole"/>
    <x v="232"/>
    <x v="4"/>
    <x v="0"/>
    <n v="78"/>
    <n v="6.3"/>
    <n v="150000"/>
    <n v="2882062"/>
  </r>
  <r>
    <s v="Once"/>
    <x v="1457"/>
    <x v="2"/>
    <x v="0"/>
    <n v="85"/>
    <n v="7.9"/>
    <n v="180000"/>
    <n v="9437933"/>
  </r>
  <r>
    <s v="The Woman Chaser"/>
    <x v="2307"/>
    <x v="4"/>
    <x v="0"/>
    <n v="88"/>
    <n v="7.3"/>
    <n v="1200000"/>
    <n v="110720"/>
  </r>
  <r>
    <s v="The Horse Boy"/>
    <x v="2308"/>
    <x v="9"/>
    <x v="0"/>
    <n v="93"/>
    <n v="7.4"/>
    <n v="160000"/>
    <n v="155984"/>
  </r>
  <r>
    <s v="When the Lights Went Out"/>
    <x v="2309"/>
    <x v="11"/>
    <x v="0"/>
    <n v="86"/>
    <n v="5.4"/>
    <n v="20000000"/>
    <n v="25078937"/>
  </r>
  <r>
    <s v="Heroes of Dirt"/>
    <x v="2310"/>
    <x v="0"/>
    <x v="0"/>
    <n v="98"/>
    <n v="7.1"/>
    <n v="20000000"/>
    <n v="25078937"/>
  </r>
  <r>
    <s v="A Charlie Brown Christmas"/>
    <x v="2311"/>
    <x v="3"/>
    <x v="0"/>
    <n v="25"/>
    <n v="8.4"/>
    <n v="150000"/>
    <n v="25078937"/>
  </r>
  <r>
    <s v="Antarctic Edge: 70° South"/>
    <x v="2312"/>
    <x v="1"/>
    <x v="0"/>
    <n v="72"/>
    <n v="7"/>
    <n v="150000"/>
    <n v="4914"/>
  </r>
  <r>
    <s v="Aroused"/>
    <x v="2313"/>
    <x v="9"/>
    <x v="0"/>
    <n v="66"/>
    <n v="5.3"/>
    <n v="150000"/>
    <n v="25078937"/>
  </r>
  <r>
    <s v="Top Spin"/>
    <x v="2314"/>
    <x v="9"/>
    <x v="0"/>
    <n v="80"/>
    <n v="7.1"/>
    <n v="150000"/>
    <n v="5858"/>
  </r>
  <r>
    <s v="Roger &amp; Me"/>
    <x v="937"/>
    <x v="9"/>
    <x v="0"/>
    <n v="91"/>
    <n v="7.5"/>
    <n v="160000"/>
    <n v="6706368"/>
  </r>
  <r>
    <s v="An American in Hollywood"/>
    <x v="2315"/>
    <x v="2"/>
    <x v="0"/>
    <n v="89"/>
    <n v="7.2"/>
    <n v="125000"/>
    <n v="25078937"/>
  </r>
  <r>
    <s v="Sound of My Voice"/>
    <x v="1529"/>
    <x v="2"/>
    <x v="0"/>
    <n v="85"/>
    <n v="6.7"/>
    <n v="20000000"/>
    <n v="405614"/>
  </r>
  <r>
    <s v="The Brain That Sings"/>
    <x v="2316"/>
    <x v="9"/>
    <x v="29"/>
    <n v="62"/>
    <n v="8.1999999999999993"/>
    <n v="125000"/>
    <n v="25078937"/>
  </r>
  <r>
    <s v="The Blood of My Brother"/>
    <x v="2317"/>
    <x v="9"/>
    <x v="0"/>
    <n v="90"/>
    <n v="6.6"/>
    <n v="120000"/>
    <n v="25078937"/>
  </r>
  <r>
    <s v="Your Sister's Sister"/>
    <x v="2318"/>
    <x v="4"/>
    <x v="0"/>
    <n v="90"/>
    <n v="6.7"/>
    <n v="125000"/>
    <n v="1573712"/>
  </r>
  <r>
    <s v="A Dog's Breakfast"/>
    <x v="2319"/>
    <x v="4"/>
    <x v="0"/>
    <n v="88"/>
    <n v="7"/>
    <n v="120000"/>
    <n v="25078937"/>
  </r>
  <r>
    <s v="Une Femme Mariée"/>
    <x v="2243"/>
    <x v="2"/>
    <x v="2"/>
    <n v="94"/>
    <n v="7.4"/>
    <n v="120000"/>
    <n v="25078937"/>
  </r>
  <r>
    <s v="The Birth of a Nation"/>
    <x v="2320"/>
    <x v="7"/>
    <x v="0"/>
    <n v="120"/>
    <n v="5.4"/>
    <n v="10000000"/>
    <n v="25078937"/>
  </r>
  <r>
    <s v="The Work and the Story"/>
    <x v="2321"/>
    <x v="4"/>
    <x v="0"/>
    <n v="77"/>
    <n v="5.7"/>
    <n v="103000"/>
    <n v="25078937"/>
  </r>
  <r>
    <s v="Facing the Giants"/>
    <x v="1887"/>
    <x v="2"/>
    <x v="0"/>
    <n v="111"/>
    <n v="6.7"/>
    <n v="100000"/>
    <n v="10174663"/>
  </r>
  <r>
    <s v="The Gallows"/>
    <x v="2322"/>
    <x v="11"/>
    <x v="0"/>
    <n v="81"/>
    <n v="4.2"/>
    <n v="100000"/>
    <n v="22757819"/>
  </r>
  <r>
    <s v="Eraserhead"/>
    <x v="503"/>
    <x v="8"/>
    <x v="0"/>
    <n v="89"/>
    <n v="7.4"/>
    <n v="20000"/>
    <n v="25078937"/>
  </r>
  <r>
    <s v="Hollywood Shuffle"/>
    <x v="2323"/>
    <x v="4"/>
    <x v="0"/>
    <n v="81"/>
    <n v="7"/>
    <n v="100000"/>
    <n v="5228617"/>
  </r>
  <r>
    <s v="The Mighty"/>
    <x v="159"/>
    <x v="4"/>
    <x v="0"/>
    <n v="100"/>
    <n v="7.3"/>
    <n v="20000000"/>
    <n v="2643689"/>
  </r>
  <r>
    <s v="Penitentiary"/>
    <x v="2324"/>
    <x v="6"/>
    <x v="0"/>
    <n v="99"/>
    <n v="5.8"/>
    <n v="100000"/>
    <n v="25078937"/>
  </r>
  <r>
    <s v="The Lost Skeleton of Cadavra"/>
    <x v="2325"/>
    <x v="4"/>
    <x v="0"/>
    <n v="90"/>
    <n v="7"/>
    <n v="40000"/>
    <n v="110536"/>
  </r>
  <r>
    <s v="Dude, Where's My Dog?!"/>
    <x v="2326"/>
    <x v="14"/>
    <x v="0"/>
    <n v="82"/>
    <n v="3.2"/>
    <n v="20000"/>
    <n v="25078937"/>
  </r>
  <r>
    <s v="Cheap Thrills"/>
    <x v="2327"/>
    <x v="4"/>
    <x v="0"/>
    <n v="88"/>
    <n v="6.8"/>
    <n v="200000"/>
    <n v="59379"/>
  </r>
  <r>
    <s v="Indie Game: The Movie"/>
    <x v="2328"/>
    <x v="9"/>
    <x v="0"/>
    <n v="103"/>
    <n v="7.7"/>
    <n v="100000"/>
    <n v="25078937"/>
  </r>
  <r>
    <s v="Closure"/>
    <x v="2329"/>
    <x v="13"/>
    <x v="0"/>
    <n v="80"/>
    <n v="5.6"/>
    <n v="1800000"/>
    <n v="25078937"/>
  </r>
  <r>
    <s v="Open Secret"/>
    <x v="2330"/>
    <x v="6"/>
    <x v="0"/>
    <n v="68"/>
    <n v="7.1"/>
    <n v="20000000"/>
    <n v="25078937"/>
  </r>
  <r>
    <s v="Echo Dr."/>
    <x v="2331"/>
    <x v="0"/>
    <x v="0"/>
    <n v="81"/>
    <n v="3.6"/>
    <n v="100000"/>
    <n v="25078937"/>
  </r>
  <r>
    <s v="The Night Visitor"/>
    <x v="2332"/>
    <x v="6"/>
    <x v="0"/>
    <n v="106"/>
    <n v="6.8"/>
    <n v="20000000"/>
    <n v="25078937"/>
  </r>
  <r>
    <s v="The Past is a Grotesque Animal"/>
    <x v="2333"/>
    <x v="7"/>
    <x v="0"/>
    <n v="77"/>
    <n v="7.6"/>
    <n v="100000"/>
    <n v="25078937"/>
  </r>
  <r>
    <s v="Peace, Propaganda &amp; the Promised Land"/>
    <x v="2334"/>
    <x v="9"/>
    <x v="0"/>
    <n v="80"/>
    <n v="8.3000000000000007"/>
    <n v="70000"/>
    <n v="25078937"/>
  </r>
  <r>
    <s v="Pi"/>
    <x v="119"/>
    <x v="2"/>
    <x v="0"/>
    <n v="84"/>
    <n v="7.5"/>
    <n v="60000"/>
    <n v="3216970"/>
  </r>
  <r>
    <s v="I Love You, Don't Touch Me!"/>
    <x v="2335"/>
    <x v="4"/>
    <x v="0"/>
    <n v="86"/>
    <n v="5.4"/>
    <n v="20000000"/>
    <n v="33598"/>
  </r>
  <r>
    <s v="20 Dates"/>
    <x v="2336"/>
    <x v="7"/>
    <x v="0"/>
    <n v="87"/>
    <n v="5.3"/>
    <n v="60000"/>
    <n v="536767"/>
  </r>
  <r>
    <s v="Queen Crab"/>
    <x v="2337"/>
    <x v="0"/>
    <x v="0"/>
    <n v="80"/>
    <n v="4.5"/>
    <n v="75000"/>
    <n v="25078937"/>
  </r>
  <r>
    <s v="Super Size Me"/>
    <x v="1318"/>
    <x v="4"/>
    <x v="0"/>
    <n v="100"/>
    <n v="7.3"/>
    <n v="65000"/>
    <n v="11529368"/>
  </r>
  <r>
    <s v="The FP"/>
    <x v="2338"/>
    <x v="4"/>
    <x v="0"/>
    <n v="82"/>
    <n v="5.6"/>
    <n v="60000"/>
    <n v="40557"/>
  </r>
  <r>
    <s v="Happy Christmas"/>
    <x v="2190"/>
    <x v="4"/>
    <x v="0"/>
    <n v="82"/>
    <n v="5.6"/>
    <n v="70000"/>
    <n v="30084"/>
  </r>
  <r>
    <s v="The Brain That Wouldn't Die"/>
    <x v="2339"/>
    <x v="11"/>
    <x v="0"/>
    <n v="70"/>
    <n v="4.0999999999999996"/>
    <n v="62000"/>
    <n v="25078937"/>
  </r>
  <r>
    <s v="Tiger Orange"/>
    <x v="2340"/>
    <x v="2"/>
    <x v="0"/>
    <n v="75"/>
    <n v="6.8"/>
    <n v="100000"/>
    <n v="25078937"/>
  </r>
  <r>
    <s v="Supporting Characters"/>
    <x v="2341"/>
    <x v="4"/>
    <x v="0"/>
    <n v="87"/>
    <n v="6.3"/>
    <n v="20000000"/>
    <n v="25078937"/>
  </r>
  <r>
    <s v="Absentia"/>
    <x v="1602"/>
    <x v="2"/>
    <x v="0"/>
    <n v="87"/>
    <n v="5.8"/>
    <n v="70000"/>
    <n v="25078937"/>
  </r>
  <r>
    <s v="The Brothers McMullen"/>
    <x v="1725"/>
    <x v="4"/>
    <x v="0"/>
    <n v="98"/>
    <n v="6.6"/>
    <n v="25000"/>
    <n v="10246600"/>
  </r>
  <r>
    <s v="The Dirties"/>
    <x v="2342"/>
    <x v="6"/>
    <x v="0"/>
    <n v="83"/>
    <n v="6.7"/>
    <n v="20000000"/>
    <n v="25078937"/>
  </r>
  <r>
    <s v="Gabriela"/>
    <x v="2343"/>
    <x v="4"/>
    <x v="26"/>
    <n v="99"/>
    <n v="6.4"/>
    <n v="20000000"/>
    <n v="25078937"/>
  </r>
  <r>
    <s v="Tiny Furniture"/>
    <x v="2344"/>
    <x v="4"/>
    <x v="0"/>
    <n v="98"/>
    <n v="6.3"/>
    <n v="65000"/>
    <n v="389804"/>
  </r>
  <r>
    <s v="Hayride"/>
    <x v="2345"/>
    <x v="6"/>
    <x v="0"/>
    <n v="93"/>
    <n v="3.4"/>
    <n v="60000"/>
    <n v="25078937"/>
  </r>
  <r>
    <s v="Counting"/>
    <x v="2346"/>
    <x v="9"/>
    <x v="0"/>
    <n v="111"/>
    <n v="6"/>
    <n v="50000"/>
    <n v="25078937"/>
  </r>
  <r>
    <s v="The Call of Cthulhu"/>
    <x v="2347"/>
    <x v="8"/>
    <x v="0"/>
    <n v="47"/>
    <n v="7.3"/>
    <n v="50000"/>
    <n v="25078937"/>
  </r>
  <r>
    <s v="Bending Steel"/>
    <x v="2348"/>
    <x v="9"/>
    <x v="0"/>
    <n v="92"/>
    <n v="7.9"/>
    <n v="50000"/>
    <n v="25078937"/>
  </r>
  <r>
    <s v="The Signal"/>
    <x v="2349"/>
    <x v="10"/>
    <x v="0"/>
    <n v="97"/>
    <n v="6.1"/>
    <n v="4000000"/>
    <n v="25078937"/>
  </r>
  <r>
    <s v="The Image Revolution"/>
    <x v="2350"/>
    <x v="7"/>
    <x v="0"/>
    <n v="81"/>
    <n v="7.4"/>
    <n v="50000"/>
    <n v="25078937"/>
  </r>
  <r>
    <s v="This Is Martin Bonner"/>
    <x v="2351"/>
    <x v="2"/>
    <x v="0"/>
    <n v="83"/>
    <n v="6.6"/>
    <n v="42000"/>
    <n v="25078937"/>
  </r>
  <r>
    <s v="A True Story"/>
    <x v="2352"/>
    <x v="4"/>
    <x v="0"/>
    <n v="96"/>
    <n v="5.5"/>
    <n v="45000"/>
    <n v="25078937"/>
  </r>
  <r>
    <s v="George Washington"/>
    <x v="469"/>
    <x v="2"/>
    <x v="0"/>
    <n v="90"/>
    <n v="7.5"/>
    <n v="42000"/>
    <n v="241816"/>
  </r>
  <r>
    <s v="Smiling Fish &amp; Goat on Fire"/>
    <x v="2353"/>
    <x v="4"/>
    <x v="0"/>
    <n v="90"/>
    <n v="7.6"/>
    <n v="40000"/>
    <n v="277233"/>
  </r>
  <r>
    <s v="Dawn of the Crescent Moon"/>
    <x v="2354"/>
    <x v="2"/>
    <x v="0"/>
    <n v="95"/>
    <n v="5"/>
    <n v="75000"/>
    <n v="25078937"/>
  </r>
  <r>
    <s v="Raymond Did It"/>
    <x v="2355"/>
    <x v="11"/>
    <x v="0"/>
    <n v="83"/>
    <n v="3.2"/>
    <n v="40000"/>
    <n v="25078937"/>
  </r>
  <r>
    <s v="The Last Waltz"/>
    <x v="47"/>
    <x v="9"/>
    <x v="0"/>
    <n v="117"/>
    <n v="8.1999999999999993"/>
    <n v="20000000"/>
    <n v="321952"/>
  </r>
  <r>
    <s v="Run, Hide, Die"/>
    <x v="2356"/>
    <x v="11"/>
    <x v="0"/>
    <n v="75"/>
    <n v="3.7"/>
    <n v="50000"/>
    <n v="25078937"/>
  </r>
  <r>
    <s v="The Exploding Girl"/>
    <x v="2357"/>
    <x v="2"/>
    <x v="0"/>
    <n v="79"/>
    <n v="6.3"/>
    <n v="20000000"/>
    <n v="24705"/>
  </r>
  <r>
    <s v="The Legend of God's Gun"/>
    <x v="2358"/>
    <x v="16"/>
    <x v="0"/>
    <n v="78"/>
    <n v="4.0999999999999996"/>
    <n v="30000"/>
    <n v="243768"/>
  </r>
  <r>
    <s v="Mutual Appreciation"/>
    <x v="2359"/>
    <x v="4"/>
    <x v="0"/>
    <n v="109"/>
    <n v="6.9"/>
    <n v="20000000"/>
    <n v="25078937"/>
  </r>
  <r>
    <s v="Her Cry: La Llorona Investigation"/>
    <x v="2360"/>
    <x v="11"/>
    <x v="0"/>
    <n v="89"/>
    <n v="5.4"/>
    <n v="60000"/>
    <n v="25078937"/>
  </r>
  <r>
    <s v="Down Terrace"/>
    <x v="2145"/>
    <x v="4"/>
    <x v="0"/>
    <n v="93"/>
    <n v="6.5"/>
    <n v="20000000"/>
    <n v="9609"/>
  </r>
  <r>
    <s v="Clerks"/>
    <x v="605"/>
    <x v="4"/>
    <x v="0"/>
    <n v="102"/>
    <n v="7.8"/>
    <n v="230000"/>
    <n v="3151130"/>
  </r>
  <r>
    <s v="Pink Narcissus"/>
    <x v="2361"/>
    <x v="2"/>
    <x v="0"/>
    <n v="65"/>
    <n v="6.7"/>
    <n v="27000"/>
    <n v="8231"/>
  </r>
  <r>
    <s v="Funny Ha Ha"/>
    <x v="2359"/>
    <x v="4"/>
    <x v="0"/>
    <n v="85"/>
    <n v="6.4"/>
    <n v="20000000"/>
    <n v="25078937"/>
  </r>
  <r>
    <s v="In the Company of Men"/>
    <x v="851"/>
    <x v="4"/>
    <x v="0"/>
    <n v="97"/>
    <n v="7.3"/>
    <n v="25000"/>
    <n v="2856622"/>
  </r>
  <r>
    <s v="Manito"/>
    <x v="2362"/>
    <x v="2"/>
    <x v="0"/>
    <n v="79"/>
    <n v="7"/>
    <n v="24000"/>
    <n v="25078937"/>
  </r>
  <r>
    <s v="Rampage"/>
    <x v="384"/>
    <x v="0"/>
    <x v="0"/>
    <n v="80"/>
    <n v="6.3"/>
    <n v="20000000"/>
    <n v="25078937"/>
  </r>
  <r>
    <s v="Slacker"/>
    <x v="771"/>
    <x v="4"/>
    <x v="0"/>
    <n v="100"/>
    <n v="7.1"/>
    <n v="23000"/>
    <n v="1227508"/>
  </r>
  <r>
    <s v="Dutch Kills"/>
    <x v="2363"/>
    <x v="6"/>
    <x v="0"/>
    <n v="90"/>
    <n v="4.8"/>
    <n v="25000"/>
    <n v="25078937"/>
  </r>
  <r>
    <s v="Dry Spell"/>
    <x v="2355"/>
    <x v="4"/>
    <x v="0"/>
    <n v="90"/>
    <n v="3.3"/>
    <n v="22000"/>
    <n v="25078937"/>
  </r>
  <r>
    <s v="Flywheel"/>
    <x v="1887"/>
    <x v="2"/>
    <x v="0"/>
    <n v="120"/>
    <n v="6.9"/>
    <n v="20000"/>
    <n v="25078937"/>
  </r>
  <r>
    <s v="Exeter"/>
    <x v="2364"/>
    <x v="11"/>
    <x v="0"/>
    <n v="91"/>
    <n v="4.5999999999999996"/>
    <n v="20000000"/>
    <n v="25078937"/>
  </r>
  <r>
    <s v="The Ridges"/>
    <x v="2365"/>
    <x v="2"/>
    <x v="0"/>
    <n v="143"/>
    <n v="3"/>
    <n v="17350"/>
    <n v="25078937"/>
  </r>
  <r>
    <s v="The Puffy Chair"/>
    <x v="1338"/>
    <x v="4"/>
    <x v="0"/>
    <n v="85"/>
    <n v="6.6"/>
    <n v="15000"/>
    <n v="192467"/>
  </r>
  <r>
    <s v="Stories of Our Lives"/>
    <x v="2366"/>
    <x v="2"/>
    <x v="43"/>
    <n v="60"/>
    <n v="7.4"/>
    <n v="15000"/>
    <n v="25078937"/>
  </r>
  <r>
    <s v="Breaking Upwards"/>
    <x v="2367"/>
    <x v="12"/>
    <x v="0"/>
    <n v="88"/>
    <n v="6.2"/>
    <n v="15000"/>
    <n v="76382"/>
  </r>
  <r>
    <s v="All Superheroes Must Die"/>
    <x v="2368"/>
    <x v="10"/>
    <x v="0"/>
    <n v="78"/>
    <n v="4"/>
    <n v="20000"/>
    <n v="25078937"/>
  </r>
  <r>
    <s v="Pink Flamingos"/>
    <x v="1199"/>
    <x v="4"/>
    <x v="0"/>
    <n v="108"/>
    <n v="6.1"/>
    <n v="10000"/>
    <n v="180483"/>
  </r>
  <r>
    <s v="Clean"/>
    <x v="1204"/>
    <x v="2"/>
    <x v="2"/>
    <n v="110"/>
    <n v="6.9"/>
    <n v="4500"/>
    <n v="136007"/>
  </r>
  <r>
    <s v="The Circle"/>
    <x v="2369"/>
    <x v="2"/>
    <x v="40"/>
    <n v="90"/>
    <n v="7.5"/>
    <n v="10000"/>
    <n v="673780"/>
  </r>
  <r>
    <s v="Tin Can Man"/>
    <x v="2370"/>
    <x v="11"/>
    <x v="0"/>
    <n v="83"/>
    <n v="6.7"/>
    <n v="10000"/>
    <n v="25078937"/>
  </r>
  <r>
    <s v="The Cure"/>
    <x v="2371"/>
    <x v="6"/>
    <x v="1"/>
    <n v="111"/>
    <n v="7.4"/>
    <n v="1000000"/>
    <n v="94596"/>
  </r>
  <r>
    <s v="On the Downlow"/>
    <x v="2372"/>
    <x v="2"/>
    <x v="0"/>
    <n v="84"/>
    <n v="6.1"/>
    <n v="20000000"/>
    <n v="25078937"/>
  </r>
  <r>
    <s v="Sanctuary; Quite a Conundrum"/>
    <x v="2373"/>
    <x v="4"/>
    <x v="0"/>
    <n v="82"/>
    <n v="5.4"/>
    <n v="200000"/>
    <n v="25078937"/>
  </r>
  <r>
    <s v="Bang"/>
    <x v="2374"/>
    <x v="6"/>
    <x v="0"/>
    <n v="98"/>
    <n v="6.4"/>
    <n v="20000000"/>
    <n v="25078937"/>
  </r>
  <r>
    <s v="Primer"/>
    <x v="2375"/>
    <x v="2"/>
    <x v="0"/>
    <n v="77"/>
    <n v="7"/>
    <n v="7000"/>
    <n v="424760"/>
  </r>
  <r>
    <s v="Cavite"/>
    <x v="2376"/>
    <x v="13"/>
    <x v="0"/>
    <n v="80"/>
    <n v="6.3"/>
    <n v="7000"/>
    <n v="70071"/>
  </r>
  <r>
    <s v="El Mariachi"/>
    <x v="419"/>
    <x v="0"/>
    <x v="5"/>
    <n v="81"/>
    <n v="6.9"/>
    <n v="7000"/>
    <n v="2040920"/>
  </r>
  <r>
    <s v="The Mongol King"/>
    <x v="2377"/>
    <x v="6"/>
    <x v="0"/>
    <n v="84"/>
    <n v="7.8"/>
    <n v="3250"/>
    <n v="25078937"/>
  </r>
  <r>
    <s v="Newlyweds"/>
    <x v="1725"/>
    <x v="4"/>
    <x v="0"/>
    <n v="95"/>
    <n v="6.4"/>
    <n v="9000"/>
    <n v="4584"/>
  </r>
  <r>
    <s v="Signed Sealed Delivered"/>
    <x v="2378"/>
    <x v="4"/>
    <x v="0"/>
    <n v="87"/>
    <n v="7.7"/>
    <n v="20000000"/>
    <n v="25078937"/>
  </r>
  <r>
    <s v="A Plague So Pleasant"/>
    <x v="2379"/>
    <x v="2"/>
    <x v="0"/>
    <n v="76"/>
    <n v="6.3"/>
    <n v="1400"/>
    <n v="25078937"/>
  </r>
  <r>
    <s v="Shanghai Calling"/>
    <x v="2380"/>
    <x v="4"/>
    <x v="0"/>
    <n v="100"/>
    <n v="6.3"/>
    <n v="20000000"/>
    <n v="10443"/>
  </r>
  <r>
    <s v="My Date with Drew"/>
    <x v="1869"/>
    <x v="9"/>
    <x v="0"/>
    <n v="90"/>
    <n v="6.6"/>
    <n v="1100"/>
    <n v="852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C06B0-00C1-604B-BB9B-0530BA717FBC}" name="PivotTable1" cacheId="4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2:G22" firstHeaderRow="0" firstDataRow="1" firstDataCol="1"/>
  <pivotFields count="8">
    <pivotField compact="0" outline="0" showAll="0"/>
    <pivotField compact="0" outline="0" showAll="0"/>
    <pivotField axis="axisRow" compact="0" outline="0" showAll="0">
      <items count="21">
        <item x="0"/>
        <item x="1"/>
        <item x="3"/>
        <item x="7"/>
        <item x="4"/>
        <item x="6"/>
        <item x="9"/>
        <item x="2"/>
        <item x="14"/>
        <item x="8"/>
        <item x="18"/>
        <item x="19"/>
        <item x="11"/>
        <item x="15"/>
        <item x="17"/>
        <item x="5"/>
        <item x="12"/>
        <item x="10"/>
        <item x="13"/>
        <item x="16"/>
        <item t="default"/>
      </items>
    </pivotField>
    <pivotField compact="0" outline="0" showAll="0"/>
    <pivotField compact="0" outline="0" showAll="0"/>
    <pivotField dataField="1" compact="0" outline="0" showAll="0"/>
    <pivotField compact="0" outline="0" showAll="0"/>
    <pivotField compact="0" outline="0" showAll="0"/>
  </pivotFields>
  <rowFields count="1">
    <field x="2"/>
  </rowFields>
  <rowItems count="20">
    <i>
      <x/>
    </i>
    <i>
      <x v="1"/>
    </i>
    <i>
      <x v="2"/>
    </i>
    <i>
      <x v="3"/>
    </i>
    <i>
      <x v="4"/>
    </i>
    <i>
      <x v="5"/>
    </i>
    <i>
      <x v="6"/>
    </i>
    <i>
      <x v="7"/>
    </i>
    <i>
      <x v="8"/>
    </i>
    <i>
      <x v="9"/>
    </i>
    <i>
      <x v="10"/>
    </i>
    <i>
      <x v="11"/>
    </i>
    <i>
      <x v="12"/>
    </i>
    <i>
      <x v="13"/>
    </i>
    <i>
      <x v="14"/>
    </i>
    <i>
      <x v="15"/>
    </i>
    <i>
      <x v="16"/>
    </i>
    <i>
      <x v="17"/>
    </i>
    <i>
      <x v="18"/>
    </i>
    <i>
      <x v="19"/>
    </i>
  </rowItems>
  <colFields count="1">
    <field x="-2"/>
  </colFields>
  <colItems count="6">
    <i>
      <x/>
    </i>
    <i i="1">
      <x v="1"/>
    </i>
    <i i="2">
      <x v="2"/>
    </i>
    <i i="3">
      <x v="3"/>
    </i>
    <i i="4">
      <x v="4"/>
    </i>
    <i i="5">
      <x v="5"/>
    </i>
  </colItems>
  <dataFields count="6">
    <dataField name="Count of IMDB Score" fld="5" subtotal="count" baseField="0" baseItem="0"/>
    <dataField name="Average of IMDB Score" fld="5" subtotal="average" baseField="0" baseItem="0" numFmtId="164"/>
    <dataField name="Var of IMDB Score" fld="5" subtotal="var" baseField="0" baseItem="0" numFmtId="164"/>
    <dataField name="StdDevp of IMDB Score" fld="5" subtotal="stdDevp" baseField="0" baseItem="0" numFmtId="164"/>
    <dataField name="Min of IMDB Score" fld="5" subtotal="min" baseField="0" baseItem="0"/>
    <dataField name="Max of IMDB Score" fld="5" subtotal="max" baseField="0" baseItem="0"/>
  </dataFields>
  <formats count="12">
    <format dxfId="61">
      <pivotArea type="all" dataOnly="0" outline="0" fieldPosition="0"/>
    </format>
    <format dxfId="62">
      <pivotArea outline="0" collapsedLevelsAreSubtotals="1" fieldPosition="0"/>
    </format>
    <format dxfId="63">
      <pivotArea field="2" type="button" dataOnly="0" labelOnly="1" outline="0" axis="axisRow" fieldPosition="0"/>
    </format>
    <format dxfId="64">
      <pivotArea dataOnly="0" labelOnly="1" fieldPosition="0">
        <references count="1">
          <reference field="2" count="0"/>
        </references>
      </pivotArea>
    </format>
    <format dxfId="65">
      <pivotArea dataOnly="0" labelOnly="1" grandRow="1" outline="0" fieldPosition="0"/>
    </format>
    <format dxfId="66">
      <pivotArea dataOnly="0" labelOnly="1" outline="0" fieldPosition="0">
        <references count="1">
          <reference field="4294967294" count="5">
            <x v="1"/>
            <x v="2"/>
            <x v="3"/>
            <x v="4"/>
            <x v="5"/>
          </reference>
        </references>
      </pivotArea>
    </format>
    <format dxfId="67">
      <pivotArea outline="0" fieldPosition="0">
        <references count="1">
          <reference field="4294967294" count="3" selected="0">
            <x v="1"/>
            <x v="2"/>
            <x v="3"/>
          </reference>
        </references>
      </pivotArea>
    </format>
    <format dxfId="68">
      <pivotArea type="all" dataOnly="0" outline="0" fieldPosition="0"/>
    </format>
    <format dxfId="69">
      <pivotArea outline="0" collapsedLevelsAreSubtotals="1" fieldPosition="0"/>
    </format>
    <format dxfId="70">
      <pivotArea field="2" type="button" dataOnly="0" labelOnly="1" outline="0" axis="axisRow" fieldPosition="0"/>
    </format>
    <format dxfId="71">
      <pivotArea dataOnly="0" labelOnly="1" outline="0" fieldPosition="0">
        <references count="1">
          <reference field="2" count="0"/>
        </references>
      </pivotArea>
    </format>
    <format dxfId="72">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0BD11-96C5-A643-965E-B2228441A5D6}" name="PivotTable2" cacheId="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2:D47" firstHeaderRow="0" firstDataRow="1" firstDataCol="1"/>
  <pivotFields count="8">
    <pivotField dataField="1" compact="0" outline="0" showAll="0"/>
    <pivotField compact="0" outline="0" showAll="0"/>
    <pivotField compact="0" outline="0" showAll="0"/>
    <pivotField axis="axisRow" compact="0" outline="0" showAll="0">
      <items count="45">
        <item x="4"/>
        <item x="29"/>
        <item x="14"/>
        <item x="24"/>
        <item x="12"/>
        <item x="19"/>
        <item x="31"/>
        <item x="28"/>
        <item x="17"/>
        <item x="16"/>
        <item x="36"/>
        <item x="0"/>
        <item x="6"/>
        <item x="2"/>
        <item x="13"/>
        <item x="42"/>
        <item x="18"/>
        <item x="7"/>
        <item x="25"/>
        <item x="27"/>
        <item x="38"/>
        <item x="15"/>
        <item x="1"/>
        <item x="10"/>
        <item x="22"/>
        <item x="3"/>
        <item x="9"/>
        <item x="20"/>
        <item x="30"/>
        <item x="33"/>
        <item x="40"/>
        <item x="34"/>
        <item x="26"/>
        <item x="39"/>
        <item x="8"/>
        <item x="41"/>
        <item x="5"/>
        <item x="43"/>
        <item x="21"/>
        <item x="35"/>
        <item x="11"/>
        <item x="23"/>
        <item x="37"/>
        <item x="32"/>
        <item t="default"/>
      </items>
    </pivotField>
    <pivotField compact="0" outline="0" showAll="0"/>
    <pivotField dataField="1" compact="0" outline="0" showAll="0"/>
    <pivotField compact="0" outline="0" showAll="0"/>
    <pivotField compact="0" outline="0" showAll="0"/>
  </pivotFields>
  <rowFields count="1">
    <field x="3"/>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3">
    <i>
      <x/>
    </i>
    <i i="1">
      <x v="1"/>
    </i>
    <i i="2">
      <x v="2"/>
    </i>
  </colItems>
  <dataFields count="3">
    <dataField name="Count of Movie Name" fld="0" subtotal="count" baseField="0" baseItem="0"/>
    <dataField name="Average of IMDB Score" fld="5" subtotal="average" baseField="0" baseItem="0" numFmtId="164"/>
    <dataField name="StdDevp of IMDB Score" fld="5" subtotal="stdDevp" baseField="0" baseItem="0" numFmtId="164"/>
  </dataFields>
  <formats count="7">
    <format dxfId="54">
      <pivotArea type="all" dataOnly="0" outline="0" fieldPosition="0"/>
    </format>
    <format dxfId="55">
      <pivotArea outline="0" collapsedLevelsAreSubtotals="1" fieldPosition="0"/>
    </format>
    <format dxfId="56">
      <pivotArea field="3" type="button" dataOnly="0" labelOnly="1" outline="0" axis="axisRow" fieldPosition="0"/>
    </format>
    <format dxfId="57">
      <pivotArea dataOnly="0" labelOnly="1" fieldPosition="0">
        <references count="1">
          <reference field="3" count="0"/>
        </references>
      </pivotArea>
    </format>
    <format dxfId="58">
      <pivotArea dataOnly="0" labelOnly="1" grandRow="1" outline="0" fieldPosition="0"/>
    </format>
    <format dxfId="59">
      <pivotArea dataOnly="0" labelOnly="1" outline="0" axis="axisValues" fieldPosition="0"/>
    </format>
    <format dxfId="60">
      <pivotArea outline="0"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C6A267-8E39-9C41-9944-01E38C8EB061}" name="PivotTable3" cacheId="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2384" firstHeaderRow="0" firstDataRow="1" firstDataCol="1"/>
  <pivotFields count="8">
    <pivotField compact="0" outline="0" showAll="0"/>
    <pivotField axis="axisRow" compact="0" outline="0" showAll="0">
      <items count="2382">
        <item x="2097"/>
        <item x="1917"/>
        <item x="1496"/>
        <item x="899"/>
        <item x="1217"/>
        <item x="1491"/>
        <item x="1987"/>
        <item x="1970"/>
        <item x="1983"/>
        <item x="2033"/>
        <item x="1781"/>
        <item x="163"/>
        <item x="1750"/>
        <item x="1064"/>
        <item x="235"/>
        <item x="447"/>
        <item x="1972"/>
        <item x="1283"/>
        <item x="1684"/>
        <item x="760"/>
        <item x="1584"/>
        <item x="1265"/>
        <item x="379"/>
        <item x="405"/>
        <item x="2264"/>
        <item x="2283"/>
        <item x="1178"/>
        <item x="1525"/>
        <item x="1167"/>
        <item x="207"/>
        <item x="1731"/>
        <item x="1362"/>
        <item x="402"/>
        <item x="621"/>
        <item x="1258"/>
        <item x="781"/>
        <item x="75"/>
        <item x="975"/>
        <item x="1119"/>
        <item x="238"/>
        <item x="2212"/>
        <item x="551"/>
        <item x="311"/>
        <item x="112"/>
        <item x="950"/>
        <item x="1721"/>
        <item x="1510"/>
        <item x="99"/>
        <item x="1974"/>
        <item x="2199"/>
        <item x="1370"/>
        <item x="1193"/>
        <item x="2082"/>
        <item x="1887"/>
        <item x="103"/>
        <item x="2005"/>
        <item x="1856"/>
        <item x="2195"/>
        <item x="1832"/>
        <item x="1506"/>
        <item x="685"/>
        <item x="456"/>
        <item x="626"/>
        <item x="120"/>
        <item x="926"/>
        <item x="1847"/>
        <item x="1846"/>
        <item x="713"/>
        <item x="1335"/>
        <item x="2060"/>
        <item x="1058"/>
        <item x="637"/>
        <item x="1703"/>
        <item x="2120"/>
        <item x="2316"/>
        <item x="1752"/>
        <item x="2099"/>
        <item x="936"/>
        <item x="2173"/>
        <item x="1669"/>
        <item x="977"/>
        <item x="1748"/>
        <item x="1409"/>
        <item x="1799"/>
        <item x="1038"/>
        <item x="485"/>
        <item x="259"/>
        <item x="1081"/>
        <item x="12"/>
        <item x="2317"/>
        <item x="461"/>
        <item x="2359"/>
        <item x="1462"/>
        <item x="222"/>
        <item x="738"/>
        <item x="984"/>
        <item x="1674"/>
        <item x="917"/>
        <item x="2302"/>
        <item x="2276"/>
        <item x="963"/>
        <item x="2347"/>
        <item x="778"/>
        <item x="464"/>
        <item x="4"/>
        <item x="2061"/>
        <item x="1371"/>
        <item x="1463"/>
        <item x="210"/>
        <item x="1143"/>
        <item x="1734"/>
        <item x="297"/>
        <item x="729"/>
        <item x="441"/>
        <item x="1382"/>
        <item x="275"/>
        <item x="105"/>
        <item x="444"/>
        <item x="321"/>
        <item x="959"/>
        <item x="1453"/>
        <item x="2160"/>
        <item x="2026"/>
        <item x="532"/>
        <item x="540"/>
        <item x="865"/>
        <item x="922"/>
        <item x="1746"/>
        <item x="390"/>
        <item x="1791"/>
        <item x="978"/>
        <item x="237"/>
        <item x="1881"/>
        <item x="2085"/>
        <item x="19"/>
        <item x="1151"/>
        <item x="2377"/>
        <item x="270"/>
        <item x="908"/>
        <item x="1248"/>
        <item x="1139"/>
        <item x="1759"/>
        <item x="257"/>
        <item x="1390"/>
        <item x="1899"/>
        <item x="2226"/>
        <item x="1422"/>
        <item x="1519"/>
        <item x="676"/>
        <item x="2017"/>
        <item x="1364"/>
        <item x="538"/>
        <item x="2134"/>
        <item x="2374"/>
        <item x="184"/>
        <item x="1576"/>
        <item x="837"/>
        <item x="988"/>
        <item x="901"/>
        <item x="1753"/>
        <item x="1429"/>
        <item x="360"/>
        <item x="2247"/>
        <item x="333"/>
        <item x="462"/>
        <item x="527"/>
        <item x="1654"/>
        <item x="253"/>
        <item x="273"/>
        <item x="1680"/>
        <item x="14"/>
        <item x="2182"/>
        <item x="995"/>
        <item x="34"/>
        <item x="2093"/>
        <item x="457"/>
        <item x="516"/>
        <item x="749"/>
        <item x="2062"/>
        <item x="841"/>
        <item x="198"/>
        <item x="2145"/>
        <item x="1396"/>
        <item x="1212"/>
        <item x="1376"/>
        <item x="1946"/>
        <item x="2095"/>
        <item x="2379"/>
        <item x="439"/>
        <item x="1858"/>
        <item x="1783"/>
        <item x="947"/>
        <item x="793"/>
        <item x="1675"/>
        <item x="288"/>
        <item x="189"/>
        <item x="1356"/>
        <item x="2157"/>
        <item x="110"/>
        <item x="1623"/>
        <item x="2311"/>
        <item x="1912"/>
        <item x="820"/>
        <item x="2262"/>
        <item x="645"/>
        <item x="798"/>
        <item x="511"/>
        <item x="1639"/>
        <item x="939"/>
        <item x="1695"/>
        <item x="2119"/>
        <item x="1202"/>
        <item x="878"/>
        <item x="2174"/>
        <item x="157"/>
        <item x="1181"/>
        <item x="661"/>
        <item x="945"/>
        <item x="1307"/>
        <item x="223"/>
        <item x="1904"/>
        <item x="1505"/>
        <item x="1351"/>
        <item x="779"/>
        <item x="1198"/>
        <item x="806"/>
        <item x="303"/>
        <item x="1802"/>
        <item x="1360"/>
        <item x="850"/>
        <item x="2013"/>
        <item x="1137"/>
        <item x="60"/>
        <item x="1929"/>
        <item x="489"/>
        <item x="1964"/>
        <item x="146"/>
        <item x="176"/>
        <item x="2053"/>
        <item x="2357"/>
        <item x="992"/>
        <item x="1774"/>
        <item x="2365"/>
        <item x="2338"/>
        <item x="107"/>
        <item x="342"/>
        <item x="1273"/>
        <item x="2035"/>
        <item x="712"/>
        <item x="2337"/>
        <item x="24"/>
        <item x="1018"/>
        <item x="2180"/>
        <item x="1820"/>
        <item x="1626"/>
        <item x="205"/>
        <item x="2125"/>
        <item x="517"/>
        <item x="434"/>
        <item x="1232"/>
        <item x="1546"/>
        <item x="1117"/>
        <item x="352"/>
        <item x="976"/>
        <item x="351"/>
        <item x="877"/>
        <item x="1914"/>
        <item x="974"/>
        <item x="1190"/>
        <item x="541"/>
        <item x="1986"/>
        <item x="2250"/>
        <item x="725"/>
        <item x="1728"/>
        <item x="1612"/>
        <item x="825"/>
        <item x="1988"/>
        <item x="1063"/>
        <item x="2343"/>
        <item x="1114"/>
        <item x="10"/>
        <item x="523"/>
        <item x="85"/>
        <item x="2298"/>
        <item x="2128"/>
        <item x="549"/>
        <item x="765"/>
        <item x="292"/>
        <item x="761"/>
        <item x="458"/>
        <item x="58"/>
        <item x="2293"/>
        <item x="1945"/>
        <item x="125"/>
        <item x="1673"/>
        <item x="1863"/>
        <item x="1301"/>
        <item x="1527"/>
        <item x="1254"/>
        <item x="822"/>
        <item x="2303"/>
        <item x="2149"/>
        <item x="2227"/>
        <item x="2210"/>
        <item x="530"/>
        <item x="2140"/>
        <item x="1112"/>
        <item x="794"/>
        <item x="1691"/>
        <item x="1569"/>
        <item x="142"/>
        <item x="2351"/>
        <item x="2236"/>
        <item x="1252"/>
        <item x="1179"/>
        <item x="1754"/>
        <item x="1468"/>
        <item x="1984"/>
        <item x="1756"/>
        <item x="788"/>
        <item x="607"/>
        <item x="1572"/>
        <item x="1478"/>
        <item x="587"/>
        <item x="572"/>
        <item x="715"/>
        <item x="943"/>
        <item x="957"/>
        <item x="2106"/>
        <item x="1403"/>
        <item x="1236"/>
        <item x="1885"/>
        <item x="2156"/>
        <item x="81"/>
        <item x="354"/>
        <item x="632"/>
        <item x="123"/>
        <item x="1821"/>
        <item x="1891"/>
        <item x="656"/>
        <item x="1886"/>
        <item x="935"/>
        <item x="2292"/>
        <item x="73"/>
        <item x="796"/>
        <item x="688"/>
        <item x="2069"/>
        <item x="726"/>
        <item x="1025"/>
        <item x="612"/>
        <item x="1923"/>
        <item x="1435"/>
        <item x="171"/>
        <item x="18"/>
        <item x="578"/>
        <item x="880"/>
        <item x="606"/>
        <item x="561"/>
        <item x="1051"/>
        <item x="1818"/>
        <item x="1011"/>
        <item x="1620"/>
        <item x="1664"/>
        <item x="1580"/>
        <item x="451"/>
        <item x="1183"/>
        <item x="1231"/>
        <item x="1245"/>
        <item x="2147"/>
        <item x="1600"/>
        <item x="1786"/>
        <item x="1573"/>
        <item x="88"/>
        <item x="1733"/>
        <item x="3"/>
        <item x="2153"/>
        <item x="1262"/>
        <item x="871"/>
        <item x="1259"/>
        <item x="479"/>
        <item x="164"/>
        <item x="1302"/>
        <item x="1310"/>
        <item x="1059"/>
        <item x="2143"/>
        <item x="1762"/>
        <item x="291"/>
        <item x="1354"/>
        <item x="1480"/>
        <item x="1467"/>
        <item x="2023"/>
        <item x="282"/>
        <item x="322"/>
        <item x="2054"/>
        <item x="260"/>
        <item x="891"/>
        <item x="1921"/>
        <item x="554"/>
        <item x="21"/>
        <item x="2356"/>
        <item x="1587"/>
        <item x="1922"/>
        <item x="1807"/>
        <item x="2270"/>
        <item x="1956"/>
        <item x="737"/>
        <item x="1014"/>
        <item x="471"/>
        <item x="2067"/>
        <item x="998"/>
        <item x="1200"/>
        <item x="1123"/>
        <item x="313"/>
        <item x="2064"/>
        <item x="636"/>
        <item x="1813"/>
        <item x="831"/>
        <item x="2256"/>
        <item x="2124"/>
        <item x="420"/>
        <item x="1049"/>
        <item x="2114"/>
        <item x="236"/>
        <item x="1737"/>
        <item x="1196"/>
        <item x="1520"/>
        <item x="1763"/>
        <item x="807"/>
        <item x="1788"/>
        <item x="2360"/>
        <item x="944"/>
        <item x="1126"/>
        <item x="1233"/>
        <item x="1337"/>
        <item x="1433"/>
        <item x="1358"/>
        <item x="1716"/>
        <item x="1268"/>
        <item x="1534"/>
        <item x="1879"/>
        <item x="2329"/>
        <item x="1635"/>
        <item x="25"/>
        <item x="1594"/>
        <item x="2092"/>
        <item x="964"/>
        <item x="1487"/>
        <item x="980"/>
        <item x="2260"/>
        <item x="2137"/>
        <item x="215"/>
        <item x="2380"/>
        <item x="334"/>
        <item x="2162"/>
        <item x="1758"/>
        <item x="873"/>
        <item x="2341"/>
        <item x="1944"/>
        <item x="1397"/>
        <item x="1154"/>
        <item x="460"/>
        <item x="660"/>
        <item x="474"/>
        <item x="1182"/>
        <item x="512"/>
        <item x="1859"/>
        <item x="1911"/>
        <item x="1867"/>
        <item x="1069"/>
        <item x="1817"/>
        <item x="1404"/>
        <item x="1242"/>
        <item x="1146"/>
        <item x="119"/>
        <item x="1577"/>
        <item x="1298"/>
        <item x="1794"/>
        <item x="2367"/>
        <item x="2201"/>
        <item x="946"/>
        <item x="2348"/>
        <item x="144"/>
        <item x="1707"/>
        <item x="1965"/>
        <item x="1928"/>
        <item x="1994"/>
        <item x="962"/>
        <item x="1556"/>
        <item x="49"/>
        <item x="94"/>
        <item x="2025"/>
        <item x="2032"/>
        <item x="589"/>
        <item x="467"/>
        <item x="2101"/>
        <item x="2108"/>
        <item x="424"/>
        <item x="1906"/>
        <item x="1419"/>
        <item x="1595"/>
        <item x="67"/>
        <item x="341"/>
        <item x="2287"/>
        <item x="1601"/>
        <item x="469"/>
        <item x="1284"/>
        <item x="1013"/>
        <item x="2319"/>
        <item x="1959"/>
        <item x="1458"/>
        <item x="267"/>
        <item x="383"/>
        <item x="2148"/>
        <item x="1513"/>
        <item x="762"/>
        <item x="599"/>
        <item x="1309"/>
        <item x="503"/>
        <item x="182"/>
        <item x="350"/>
        <item x="593"/>
        <item x="1230"/>
        <item x="1795"/>
        <item x="1106"/>
        <item x="359"/>
        <item x="1475"/>
        <item x="881"/>
        <item x="279"/>
        <item x="500"/>
        <item x="1993"/>
        <item x="1124"/>
        <item x="1883"/>
        <item x="327"/>
        <item x="1270"/>
        <item x="1334"/>
        <item x="286"/>
        <item x="1902"/>
        <item x="308"/>
        <item x="113"/>
        <item x="135"/>
        <item x="664"/>
        <item x="1472"/>
        <item x="1996"/>
        <item x="1264"/>
        <item x="2007"/>
        <item x="8"/>
        <item x="491"/>
        <item x="1175"/>
        <item x="63"/>
        <item x="1241"/>
        <item x="101"/>
        <item x="1295"/>
        <item x="1550"/>
        <item x="2313"/>
        <item x="1893"/>
        <item x="481"/>
        <item x="338"/>
        <item x="2312"/>
        <item x="492"/>
        <item x="571"/>
        <item x="202"/>
        <item x="1486"/>
        <item x="1643"/>
        <item x="1091"/>
        <item x="1627"/>
        <item x="1093"/>
        <item x="1805"/>
        <item x="1107"/>
        <item x="1935"/>
        <item x="1349"/>
        <item x="2020"/>
        <item x="263"/>
        <item x="1277"/>
        <item x="811"/>
        <item x="1053"/>
        <item x="558"/>
        <item x="1504"/>
        <item x="1841"/>
        <item x="1147"/>
        <item x="1700"/>
        <item x="1862"/>
        <item x="160"/>
        <item x="1543"/>
        <item x="277"/>
        <item x="1621"/>
        <item x="61"/>
        <item x="1493"/>
        <item x="751"/>
        <item x="817"/>
        <item x="672"/>
        <item x="1436"/>
        <item x="1843"/>
        <item x="368"/>
        <item x="1443"/>
        <item x="2235"/>
        <item x="315"/>
        <item x="51"/>
        <item x="1113"/>
        <item x="2019"/>
        <item x="855"/>
        <item x="2050"/>
        <item x="2263"/>
        <item x="1116"/>
        <item x="699"/>
        <item x="1976"/>
        <item x="1694"/>
        <item x="1451"/>
        <item x="74"/>
        <item x="2057"/>
        <item x="1274"/>
        <item x="802"/>
        <item x="2038"/>
        <item x="772"/>
        <item x="2327"/>
        <item x="1185"/>
        <item x="1699"/>
        <item x="925"/>
        <item x="2246"/>
        <item x="225"/>
        <item x="1725"/>
        <item x="2003"/>
        <item x="1460"/>
        <item x="748"/>
        <item x="102"/>
        <item x="2080"/>
        <item x="1417"/>
        <item x="570"/>
        <item x="1761"/>
        <item x="1644"/>
        <item x="1476"/>
        <item x="1892"/>
        <item x="1100"/>
        <item x="747"/>
        <item x="720"/>
        <item x="981"/>
        <item x="1581"/>
        <item x="1171"/>
        <item x="2150"/>
        <item x="1410"/>
        <item x="2261"/>
        <item x="1797"/>
        <item x="1347"/>
        <item x="1187"/>
        <item x="243"/>
        <item x="1336"/>
        <item x="2310"/>
        <item x="78"/>
        <item x="2362"/>
        <item x="2219"/>
        <item x="1296"/>
        <item x="1405"/>
        <item x="121"/>
        <item x="2242"/>
        <item x="2094"/>
        <item x="2188"/>
        <item x="1768"/>
        <item x="1845"/>
        <item x="916"/>
        <item x="178"/>
        <item x="1446"/>
        <item x="1024"/>
        <item x="1237"/>
        <item x="1489"/>
        <item x="1642"/>
        <item x="545"/>
        <item x="603"/>
        <item x="1218"/>
        <item x="2253"/>
        <item x="2284"/>
        <item x="1597"/>
        <item x="534"/>
        <item x="1968"/>
        <item x="269"/>
        <item x="1975"/>
        <item x="1659"/>
        <item x="1031"/>
        <item x="608"/>
        <item x="1637"/>
        <item x="2206"/>
        <item x="1717"/>
        <item x="782"/>
        <item x="1641"/>
        <item x="1394"/>
        <item x="1450"/>
        <item x="2074"/>
        <item x="2244"/>
        <item x="276"/>
        <item x="1393"/>
        <item x="172"/>
        <item x="1293"/>
        <item x="690"/>
        <item x="1811"/>
        <item x="416"/>
        <item x="69"/>
        <item x="2231"/>
        <item x="1168"/>
        <item x="1331"/>
        <item x="1452"/>
        <item x="1969"/>
        <item x="1624"/>
        <item x="1775"/>
        <item x="155"/>
        <item x="287"/>
        <item x="1661"/>
        <item x="1997"/>
        <item x="435"/>
        <item x="332"/>
        <item x="931"/>
        <item x="185"/>
        <item x="1607"/>
        <item x="1834"/>
        <item x="2098"/>
        <item x="1228"/>
        <item x="876"/>
        <item x="864"/>
        <item x="1540"/>
        <item x="1247"/>
        <item x="1617"/>
        <item x="797"/>
        <item x="1563"/>
        <item x="742"/>
        <item x="141"/>
        <item x="564"/>
        <item x="1141"/>
        <item x="1152"/>
        <item x="789"/>
        <item x="1665"/>
        <item x="399"/>
        <item x="2196"/>
        <item x="2045"/>
        <item x="289"/>
        <item x="497"/>
        <item x="635"/>
        <item x="619"/>
        <item x="445"/>
        <item x="1029"/>
        <item x="1538"/>
        <item x="300"/>
        <item x="907"/>
        <item x="1900"/>
        <item x="211"/>
        <item x="1385"/>
        <item x="296"/>
        <item x="1575"/>
        <item x="166"/>
        <item x="232"/>
        <item x="1071"/>
        <item x="80"/>
        <item x="724"/>
        <item x="1709"/>
        <item x="1186"/>
        <item x="2164"/>
        <item x="213"/>
        <item x="358"/>
        <item x="581"/>
        <item x="2136"/>
        <item x="229"/>
        <item x="475"/>
        <item x="295"/>
        <item x="1020"/>
        <item x="853"/>
        <item x="1219"/>
        <item x="1604"/>
        <item x="139"/>
        <item x="82"/>
        <item x="430"/>
        <item x="513"/>
        <item x="1588"/>
        <item x="1535"/>
        <item x="1732"/>
        <item x="938"/>
        <item x="652"/>
        <item x="2204"/>
        <item x="1389"/>
        <item x="1991"/>
        <item x="1077"/>
        <item x="1153"/>
        <item x="2076"/>
        <item x="1744"/>
        <item x="623"/>
        <item x="272"/>
        <item x="1158"/>
        <item x="1082"/>
        <item x="2066"/>
        <item x="1097"/>
        <item x="2022"/>
        <item x="1285"/>
        <item x="839"/>
        <item x="948"/>
        <item x="326"/>
        <item x="968"/>
        <item x="1619"/>
        <item x="2078"/>
        <item x="537"/>
        <item x="1"/>
        <item x="362"/>
        <item x="852"/>
        <item x="2070"/>
        <item x="1308"/>
        <item x="2186"/>
        <item x="1565"/>
        <item x="556"/>
        <item x="746"/>
        <item x="1008"/>
        <item x="299"/>
        <item x="1157"/>
        <item x="909"/>
        <item x="1275"/>
        <item x="2240"/>
        <item x="363"/>
        <item x="803"/>
        <item x="1039"/>
        <item x="36"/>
        <item x="1377"/>
        <item x="521"/>
        <item x="1490"/>
        <item x="2042"/>
        <item x="126"/>
        <item x="2154"/>
        <item x="2096"/>
        <item x="1002"/>
        <item x="2011"/>
        <item x="1826"/>
        <item x="2213"/>
        <item x="1530"/>
        <item x="1837"/>
        <item x="1932"/>
        <item x="380"/>
        <item x="642"/>
        <item x="1343"/>
        <item x="1873"/>
        <item x="1614"/>
        <item x="373"/>
        <item x="2055"/>
        <item x="366"/>
        <item x="2230"/>
        <item x="874"/>
        <item x="2041"/>
        <item x="1400"/>
        <item x="651"/>
        <item x="1870"/>
        <item x="1824"/>
        <item x="2233"/>
        <item x="1979"/>
        <item x="2021"/>
        <item x="1692"/>
        <item x="247"/>
        <item x="924"/>
        <item x="1894"/>
        <item x="1598"/>
        <item x="280"/>
        <item x="2254"/>
        <item x="849"/>
        <item x="66"/>
        <item x="436"/>
        <item x="2268"/>
        <item x="108"/>
        <item x="1585"/>
        <item x="1402"/>
        <item x="452"/>
        <item x="1784"/>
        <item x="1724"/>
        <item x="1042"/>
        <item x="86"/>
        <item x="1142"/>
        <item x="1905"/>
        <item x="1909"/>
        <item x="654"/>
        <item x="650"/>
        <item x="628"/>
        <item x="1915"/>
        <item x="671"/>
        <item x="382"/>
        <item x="1522"/>
        <item x="1033"/>
        <item x="1532"/>
        <item x="1609"/>
        <item x="753"/>
        <item x="2228"/>
        <item x="843"/>
        <item x="1253"/>
        <item x="609"/>
        <item x="565"/>
        <item x="1822"/>
        <item x="1849"/>
        <item x="1000"/>
        <item x="1690"/>
        <item x="2370"/>
        <item x="242"/>
        <item x="600"/>
        <item x="1947"/>
        <item x="569"/>
        <item x="679"/>
        <item x="952"/>
        <item x="33"/>
        <item x="1628"/>
        <item x="1889"/>
        <item x="2205"/>
        <item x="2255"/>
        <item x="1777"/>
        <item x="1040"/>
        <item x="1517"/>
        <item x="1866"/>
        <item x="2187"/>
        <item x="258"/>
        <item x="2369"/>
        <item x="1990"/>
        <item x="1567"/>
        <item x="557"/>
        <item x="1149"/>
        <item x="1235"/>
        <item x="1361"/>
        <item x="2324"/>
        <item x="1943"/>
        <item x="536"/>
        <item x="248"/>
        <item x="2361"/>
        <item x="72"/>
        <item x="818"/>
        <item x="0"/>
        <item x="1582"/>
        <item x="2029"/>
        <item x="1299"/>
        <item x="1855"/>
        <item x="1177"/>
        <item x="1118"/>
        <item x="1432"/>
        <item x="696"/>
        <item x="756"/>
        <item x="65"/>
        <item x="1170"/>
        <item x="1067"/>
        <item x="2297"/>
        <item x="137"/>
        <item x="1640"/>
        <item x="138"/>
        <item x="1088"/>
        <item x="941"/>
        <item x="442"/>
        <item x="1701"/>
        <item x="1989"/>
        <item x="1471"/>
        <item x="2280"/>
        <item x="1850"/>
        <item x="983"/>
        <item x="1583"/>
        <item x="32"/>
        <item x="1083"/>
        <item x="477"/>
        <item x="2024"/>
        <item x="1164"/>
        <item x="1266"/>
        <item x="2131"/>
        <item x="2271"/>
        <item x="153"/>
        <item x="1246"/>
        <item x="965"/>
        <item x="757"/>
        <item x="665"/>
        <item x="1806"/>
        <item x="1333"/>
        <item x="1378"/>
        <item x="1796"/>
        <item x="700"/>
        <item x="2333"/>
        <item x="1026"/>
        <item x="2273"/>
        <item x="684"/>
        <item x="1864"/>
        <item x="2368"/>
        <item x="1345"/>
        <item x="1290"/>
        <item x="440"/>
        <item x="2037"/>
        <item x="422"/>
        <item x="1338"/>
        <item x="1629"/>
        <item x="1755"/>
        <item x="186"/>
        <item x="348"/>
        <item x="1220"/>
        <item x="718"/>
        <item x="219"/>
        <item x="1544"/>
        <item x="2243"/>
        <item x="641"/>
        <item x="579"/>
        <item x="647"/>
        <item x="361"/>
        <item x="895"/>
        <item x="596"/>
        <item x="727"/>
        <item x="2040"/>
        <item x="1926"/>
        <item x="1705"/>
        <item x="1981"/>
        <item x="999"/>
        <item x="1326"/>
        <item x="585"/>
        <item x="1003"/>
        <item x="816"/>
        <item x="894"/>
        <item x="759"/>
        <item x="2115"/>
        <item x="836"/>
        <item x="1939"/>
        <item x="2346"/>
        <item x="1767"/>
        <item x="604"/>
        <item x="2152"/>
        <item x="91"/>
        <item x="1662"/>
        <item x="655"/>
        <item x="812"/>
        <item x="1638"/>
        <item x="1414"/>
        <item x="842"/>
        <item x="2252"/>
        <item x="1537"/>
        <item x="1072"/>
        <item x="1634"/>
        <item x="1936"/>
        <item x="576"/>
        <item x="1865"/>
        <item x="863"/>
        <item x="274"/>
        <item x="397"/>
        <item x="1608"/>
        <item x="1074"/>
        <item x="923"/>
        <item x="870"/>
        <item x="1068"/>
        <item x="1483"/>
        <item x="1203"/>
        <item x="1793"/>
        <item x="1738"/>
        <item x="1652"/>
        <item x="2366"/>
        <item x="1084"/>
        <item x="919"/>
        <item x="415"/>
        <item x="1036"/>
        <item x="1323"/>
        <item x="1380"/>
        <item x="1897"/>
        <item x="1718"/>
        <item x="470"/>
        <item x="892"/>
        <item x="401"/>
        <item x="1658"/>
        <item x="1079"/>
        <item x="648"/>
        <item x="555"/>
        <item x="1416"/>
        <item x="774"/>
        <item x="991"/>
        <item x="1099"/>
        <item x="2176"/>
        <item x="791"/>
        <item x="1615"/>
        <item x="658"/>
        <item x="1209"/>
        <item x="1840"/>
        <item x="255"/>
        <item x="89"/>
        <item x="2217"/>
        <item x="2047"/>
        <item x="1045"/>
        <item x="240"/>
        <item x="438"/>
        <item x="2190"/>
        <item x="95"/>
        <item x="2048"/>
        <item x="371"/>
        <item x="1322"/>
        <item x="1087"/>
        <item x="2209"/>
        <item x="130"/>
        <item x="498"/>
        <item x="1562"/>
        <item x="2167"/>
        <item x="2178"/>
        <item x="502"/>
        <item x="1223"/>
        <item x="1161"/>
        <item x="1104"/>
        <item x="997"/>
        <item x="1554"/>
        <item x="1827"/>
        <item x="1457"/>
        <item x="465"/>
        <item x="1162"/>
        <item x="1215"/>
        <item x="1272"/>
        <item x="883"/>
        <item x="2248"/>
        <item x="386"/>
        <item x="890"/>
        <item x="795"/>
        <item x="1229"/>
        <item x="1770"/>
        <item x="1023"/>
        <item x="678"/>
        <item x="403"/>
        <item x="539"/>
        <item x="669"/>
        <item x="529"/>
        <item x="506"/>
        <item x="833"/>
        <item x="1773"/>
        <item x="1210"/>
        <item x="524"/>
        <item x="531"/>
        <item x="832"/>
        <item x="1021"/>
        <item x="1671"/>
        <item x="1191"/>
        <item x="1942"/>
        <item x="455"/>
        <item x="28"/>
        <item x="195"/>
        <item x="667"/>
        <item x="1782"/>
        <item x="393"/>
        <item x="752"/>
        <item x="914"/>
        <item x="128"/>
        <item x="1549"/>
        <item x="209"/>
        <item x="194"/>
        <item x="1857"/>
        <item x="1103"/>
        <item x="364"/>
        <item x="910"/>
        <item x="792"/>
        <item x="1340"/>
        <item x="702"/>
        <item x="2330"/>
        <item x="1426"/>
        <item x="823"/>
        <item x="507"/>
        <item x="1920"/>
        <item x="261"/>
        <item x="1211"/>
        <item x="1502"/>
        <item x="468"/>
        <item x="1697"/>
        <item x="1282"/>
        <item x="1199"/>
        <item x="808"/>
        <item x="429"/>
        <item x="131"/>
        <item x="1681"/>
        <item x="2087"/>
        <item x="226"/>
        <item x="355"/>
        <item x="866"/>
        <item x="46"/>
        <item x="1869"/>
        <item x="1208"/>
        <item x="453"/>
        <item x="1291"/>
        <item x="1555"/>
        <item x="898"/>
        <item x="106"/>
        <item x="1249"/>
        <item x="2282"/>
        <item x="1355"/>
        <item x="70"/>
        <item x="1590"/>
        <item x="1677"/>
        <item x="1444"/>
        <item x="2221"/>
        <item x="1434"/>
        <item x="246"/>
        <item x="844"/>
        <item x="294"/>
        <item x="951"/>
        <item x="659"/>
        <item x="970"/>
        <item x="828"/>
        <item x="2016"/>
        <item x="686"/>
        <item x="87"/>
        <item x="588"/>
        <item x="64"/>
        <item x="860"/>
        <item x="2197"/>
        <item x="1004"/>
        <item x="1951"/>
        <item x="584"/>
        <item x="369"/>
        <item x="2138"/>
        <item x="449"/>
        <item x="1715"/>
        <item x="1325"/>
        <item x="2075"/>
        <item x="136"/>
        <item x="1060"/>
        <item x="2185"/>
        <item x="1578"/>
        <item x="2339"/>
        <item x="566"/>
        <item x="27"/>
        <item x="526"/>
        <item x="2363"/>
        <item x="309"/>
        <item x="862"/>
        <item x="1314"/>
        <item x="1234"/>
        <item x="339"/>
        <item x="1172"/>
        <item x="145"/>
        <item x="911"/>
        <item x="1772"/>
        <item x="888"/>
        <item x="2081"/>
        <item x="1352"/>
        <item x="1851"/>
        <item x="7"/>
        <item x="1096"/>
        <item x="884"/>
        <item x="283"/>
        <item x="1910"/>
        <item x="1384"/>
        <item x="1044"/>
        <item x="1173"/>
        <item x="533"/>
        <item x="2335"/>
        <item x="504"/>
        <item x="1156"/>
        <item x="1366"/>
        <item x="904"/>
        <item x="1150"/>
        <item x="562"/>
        <item x="2289"/>
        <item x="1764"/>
        <item x="40"/>
        <item x="2135"/>
        <item x="2208"/>
        <item x="2034"/>
        <item x="1441"/>
        <item x="668"/>
        <item x="2117"/>
        <item x="1685"/>
        <item x="736"/>
        <item x="590"/>
        <item x="1288"/>
        <item x="1766"/>
        <item x="413"/>
        <item x="1374"/>
        <item x="1719"/>
        <item x="410"/>
        <item x="1017"/>
        <item x="2123"/>
        <item x="1570"/>
        <item x="1804"/>
        <item x="2100"/>
        <item x="1367"/>
        <item x="208"/>
        <item x="2112"/>
        <item x="1135"/>
        <item x="961"/>
        <item x="887"/>
        <item x="2218"/>
        <item x="335"/>
        <item x="1461"/>
        <item x="1469"/>
        <item x="244"/>
        <item x="559"/>
        <item x="1903"/>
        <item x="1300"/>
        <item x="2257"/>
        <item x="543"/>
        <item x="1428"/>
        <item x="2306"/>
        <item x="649"/>
        <item x="1440"/>
        <item x="84"/>
        <item x="1066"/>
        <item x="1180"/>
        <item x="349"/>
        <item x="407"/>
        <item x="304"/>
        <item x="776"/>
        <item x="394"/>
        <item x="1500"/>
        <item x="1739"/>
        <item x="256"/>
        <item x="357"/>
        <item x="1022"/>
        <item x="2107"/>
        <item x="719"/>
        <item x="2353"/>
        <item x="214"/>
        <item x="367"/>
        <item x="616"/>
        <item x="52"/>
        <item x="615"/>
        <item x="605"/>
        <item x="856"/>
        <item x="993"/>
        <item x="1898"/>
        <item x="2073"/>
        <item x="1140"/>
        <item x="1952"/>
        <item x="2086"/>
        <item x="1368"/>
        <item x="1516"/>
        <item x="704"/>
        <item x="638"/>
        <item x="1539"/>
        <item x="312"/>
        <item x="140"/>
        <item x="602"/>
        <item x="2354"/>
        <item x="1189"/>
        <item x="804"/>
        <item x="2371"/>
        <item x="1649"/>
        <item x="1395"/>
        <item x="2277"/>
        <item x="1391"/>
        <item x="1779"/>
        <item x="2183"/>
        <item x="2028"/>
        <item x="717"/>
        <item x="281"/>
        <item x="1257"/>
        <item x="43"/>
        <item x="1010"/>
        <item x="1810"/>
        <item x="2169"/>
        <item x="1908"/>
        <item x="1061"/>
        <item x="2325"/>
        <item x="323"/>
        <item x="1876"/>
        <item x="1160"/>
        <item x="2332"/>
        <item x="640"/>
        <item x="2239"/>
        <item x="879"/>
        <item x="2030"/>
        <item x="1769"/>
        <item x="740"/>
        <item x="1916"/>
        <item x="179"/>
        <item x="515"/>
        <item x="317"/>
        <item x="1292"/>
        <item x="595"/>
        <item x="97"/>
        <item x="697"/>
        <item x="30"/>
        <item x="1304"/>
        <item x="154"/>
        <item x="2344"/>
        <item x="1197"/>
        <item x="1825"/>
        <item x="1313"/>
        <item x="1667"/>
        <item x="848"/>
        <item x="1712"/>
        <item x="239"/>
        <item x="2008"/>
        <item x="1844"/>
        <item x="1801"/>
        <item x="2052"/>
        <item x="677"/>
        <item x="643"/>
        <item x="739"/>
        <item x="1260"/>
        <item x="745"/>
        <item x="1399"/>
        <item x="1238"/>
        <item x="1286"/>
        <item x="1696"/>
        <item x="2328"/>
        <item x="1592"/>
        <item x="2291"/>
        <item x="705"/>
        <item x="2216"/>
        <item x="2214"/>
        <item x="1967"/>
        <item x="1115"/>
        <item x="1327"/>
        <item x="2105"/>
        <item x="2266"/>
        <item x="1745"/>
        <item x="111"/>
        <item x="1526"/>
        <item x="2285"/>
        <item x="187"/>
        <item x="1760"/>
        <item x="1339"/>
        <item x="252"/>
        <item x="2224"/>
        <item x="1957"/>
        <item x="2002"/>
        <item x="495"/>
        <item x="594"/>
        <item x="1524"/>
        <item x="1683"/>
        <item x="2211"/>
        <item x="622"/>
        <item x="2318"/>
        <item x="1501"/>
        <item x="92"/>
        <item x="1267"/>
        <item x="956"/>
        <item x="1978"/>
        <item x="1948"/>
        <item x="1415"/>
        <item x="2301"/>
        <item x="744"/>
        <item x="575"/>
        <item x="2352"/>
        <item x="1625"/>
        <item x="298"/>
        <item x="954"/>
        <item x="580"/>
        <item x="1406"/>
        <item x="11"/>
        <item x="343"/>
        <item x="2071"/>
        <item x="1464"/>
        <item x="16"/>
        <item x="1812"/>
        <item x="1256"/>
        <item x="337"/>
        <item x="834"/>
        <item x="1329"/>
        <item x="2364"/>
        <item x="1303"/>
        <item x="2258"/>
        <item x="2294"/>
        <item x="1901"/>
        <item x="2129"/>
        <item x="2179"/>
        <item x="847"/>
        <item x="2192"/>
        <item x="548"/>
        <item x="39"/>
        <item x="1194"/>
        <item x="1201"/>
        <item x="167"/>
        <item x="1727"/>
        <item x="800"/>
        <item x="1216"/>
        <item x="1961"/>
        <item x="1109"/>
        <item x="940"/>
        <item x="392"/>
        <item x="115"/>
        <item x="528"/>
        <item x="1122"/>
        <item x="1136"/>
        <item x="972"/>
        <item x="1418"/>
        <item x="2161"/>
        <item x="133"/>
        <item x="1553"/>
        <item x="1521"/>
        <item x="193"/>
        <item x="1757"/>
        <item x="1711"/>
        <item x="708"/>
        <item x="221"/>
        <item x="29"/>
        <item x="1571"/>
        <item x="1437"/>
        <item x="1128"/>
        <item x="1281"/>
        <item x="47"/>
        <item x="1102"/>
        <item x="1412"/>
        <item x="1445"/>
        <item x="1132"/>
        <item x="858"/>
        <item x="2104"/>
        <item x="2126"/>
        <item x="1438"/>
        <item x="1682"/>
        <item x="2006"/>
        <item x="505"/>
        <item x="1494"/>
        <item x="2274"/>
        <item x="1019"/>
        <item x="2223"/>
        <item x="2342"/>
        <item x="2144"/>
        <item x="1547"/>
        <item x="56"/>
        <item x="2177"/>
        <item x="1089"/>
        <item x="1798"/>
        <item x="960"/>
        <item x="1648"/>
        <item x="443"/>
        <item x="2046"/>
        <item x="1001"/>
        <item x="68"/>
        <item x="2215"/>
        <item x="1449"/>
        <item x="1605"/>
        <item x="2286"/>
        <item x="1518"/>
        <item x="1896"/>
        <item x="1771"/>
        <item x="31"/>
        <item x="1408"/>
        <item x="868"/>
        <item x="285"/>
        <item x="1359"/>
        <item x="1790"/>
        <item x="496"/>
        <item x="2305"/>
        <item x="903"/>
        <item x="773"/>
        <item x="1430"/>
        <item x="577"/>
        <item x="1492"/>
        <item x="76"/>
        <item x="26"/>
        <item x="2139"/>
        <item x="305"/>
        <item x="1138"/>
        <item x="519"/>
        <item x="1372"/>
        <item x="780"/>
        <item x="1459"/>
        <item x="1559"/>
        <item x="777"/>
        <item x="1636"/>
        <item x="1611"/>
        <item x="1853"/>
        <item x="861"/>
        <item x="1086"/>
        <item x="979"/>
        <item x="1740"/>
        <item x="1005"/>
        <item x="1882"/>
        <item x="783"/>
        <item x="2202"/>
        <item x="930"/>
        <item x="1814"/>
        <item x="2265"/>
        <item x="1868"/>
        <item x="329"/>
        <item x="318"/>
        <item x="156"/>
        <item x="1743"/>
        <item x="1101"/>
        <item x="689"/>
        <item x="1591"/>
        <item x="1365"/>
        <item x="937"/>
        <item x="942"/>
        <item x="1324"/>
        <item x="188"/>
        <item x="1195"/>
        <item x="786"/>
        <item x="734"/>
        <item x="624"/>
        <item x="2245"/>
        <item x="627"/>
        <item x="1305"/>
        <item x="918"/>
        <item x="680"/>
        <item x="2111"/>
        <item x="1622"/>
        <item x="617"/>
        <item x="2163"/>
        <item x="2171"/>
        <item x="1455"/>
        <item x="1473"/>
        <item x="785"/>
        <item x="149"/>
        <item x="1048"/>
        <item x="1668"/>
        <item x="2308"/>
        <item x="206"/>
        <item x="1616"/>
        <item x="755"/>
        <item x="670"/>
        <item x="306"/>
        <item x="302"/>
        <item x="966"/>
        <item x="872"/>
        <item x="929"/>
        <item x="2358"/>
        <item x="2079"/>
        <item x="730"/>
        <item x="1693"/>
        <item x="1602"/>
        <item x="395"/>
        <item x="629"/>
        <item x="1225"/>
        <item x="949"/>
        <item x="1007"/>
        <item x="1656"/>
        <item x="1224"/>
        <item x="1706"/>
        <item x="59"/>
        <item x="1111"/>
        <item x="35"/>
        <item x="268"/>
        <item x="1676"/>
        <item x="2109"/>
        <item x="425"/>
        <item x="233"/>
        <item x="867"/>
        <item x="1895"/>
        <item x="1499"/>
        <item x="1954"/>
        <item x="1907"/>
        <item x="2191"/>
        <item x="2051"/>
        <item x="1819"/>
        <item x="2232"/>
        <item x="1710"/>
        <item x="1647"/>
        <item x="2068"/>
        <item x="1318"/>
        <item x="1125"/>
        <item x="1080"/>
        <item x="646"/>
        <item x="2336"/>
        <item x="1836"/>
        <item x="2296"/>
        <item x="1966"/>
        <item x="1995"/>
        <item x="216"/>
        <item x="958"/>
        <item x="675"/>
        <item x="1603"/>
        <item x="2133"/>
        <item x="2320"/>
        <item x="1765"/>
        <item x="6"/>
        <item x="2321"/>
        <item x="1319"/>
        <item x="2189"/>
        <item x="218"/>
        <item x="431"/>
        <item x="851"/>
        <item x="663"/>
        <item x="1880"/>
        <item x="134"/>
        <item x="2376"/>
        <item x="915"/>
        <item x="1973"/>
        <item x="2241"/>
        <item x="1645"/>
        <item x="994"/>
        <item x="1240"/>
        <item x="764"/>
        <item x="1030"/>
        <item x="547"/>
        <item x="1630"/>
        <item x="546"/>
        <item x="1057"/>
        <item x="728"/>
        <item x="714"/>
        <item x="1688"/>
        <item x="1660"/>
        <item x="2090"/>
        <item x="2091"/>
        <item x="2304"/>
        <item x="1094"/>
        <item x="1448"/>
        <item x="733"/>
        <item x="810"/>
        <item x="721"/>
        <item x="1421"/>
        <item x="1227"/>
        <item x="550"/>
        <item x="1785"/>
        <item x="1346"/>
        <item x="1913"/>
        <item x="150"/>
        <item x="1037"/>
        <item x="320"/>
        <item x="518"/>
        <item x="592"/>
        <item x="1470"/>
        <item x="1312"/>
        <item x="829"/>
        <item x="1407"/>
        <item x="784"/>
        <item x="2146"/>
        <item x="262"/>
        <item x="514"/>
        <item x="77"/>
        <item x="1204"/>
        <item x="743"/>
        <item x="480"/>
        <item x="1531"/>
        <item x="1650"/>
        <item x="1927"/>
        <item x="2036"/>
        <item x="488"/>
        <item x="2175"/>
        <item x="2044"/>
        <item x="1815"/>
        <item x="1250"/>
        <item x="1940"/>
        <item x="827"/>
        <item x="2309"/>
        <item x="563"/>
        <item x="1205"/>
        <item x="1787"/>
        <item x="826"/>
        <item x="1315"/>
        <item x="2181"/>
        <item x="2203"/>
        <item x="375"/>
        <item x="177"/>
        <item x="476"/>
        <item x="2350"/>
        <item x="472"/>
        <item x="2331"/>
        <item x="1557"/>
        <item x="618"/>
        <item x="1599"/>
        <item x="934"/>
        <item x="1651"/>
        <item x="2249"/>
        <item x="486"/>
        <item x="1930"/>
        <item x="2083"/>
        <item x="2015"/>
        <item x="98"/>
        <item x="2237"/>
        <item x="2225"/>
        <item x="114"/>
        <item x="953"/>
        <item x="716"/>
        <item x="427"/>
        <item x="404"/>
        <item x="1206"/>
        <item x="520"/>
        <item x="701"/>
        <item x="1213"/>
        <item x="598"/>
        <item x="290"/>
        <item x="127"/>
        <item x="212"/>
        <item x="553"/>
        <item x="162"/>
        <item x="1833"/>
        <item x="2251"/>
        <item x="1388"/>
        <item x="893"/>
        <item x="483"/>
        <item x="1050"/>
        <item x="1566"/>
        <item x="44"/>
        <item x="1985"/>
        <item x="228"/>
        <item x="1105"/>
        <item x="20"/>
        <item x="344"/>
        <item x="1251"/>
        <item x="1130"/>
        <item x="159"/>
        <item x="1159"/>
        <item x="1686"/>
        <item x="1411"/>
        <item x="1047"/>
        <item x="1054"/>
        <item x="1722"/>
        <item x="933"/>
        <item x="552"/>
        <item x="437"/>
        <item x="583"/>
        <item x="501"/>
        <item x="173"/>
        <item x="15"/>
        <item x="1133"/>
        <item x="1056"/>
        <item x="634"/>
        <item x="692"/>
        <item x="408"/>
        <item x="1789"/>
        <item x="389"/>
        <item x="1341"/>
        <item x="1442"/>
        <item x="100"/>
        <item x="227"/>
        <item x="38"/>
        <item x="1306"/>
        <item x="1735"/>
        <item x="463"/>
        <item x="109"/>
        <item x="639"/>
        <item x="1877"/>
        <item x="116"/>
        <item x="307"/>
        <item x="1918"/>
        <item x="706"/>
        <item x="197"/>
        <item x="1931"/>
        <item x="1098"/>
        <item x="815"/>
        <item x="768"/>
        <item x="1278"/>
        <item x="1809"/>
        <item x="118"/>
        <item x="421"/>
        <item x="266"/>
        <item x="426"/>
        <item x="175"/>
        <item x="2259"/>
        <item x="385"/>
        <item x="1574"/>
        <item x="1188"/>
        <item x="1982"/>
        <item x="2194"/>
        <item x="165"/>
        <item x="1689"/>
        <item x="1269"/>
        <item x="2269"/>
        <item x="1523"/>
        <item x="835"/>
        <item x="1363"/>
        <item x="151"/>
        <item x="1687"/>
        <item x="1828"/>
        <item x="1348"/>
        <item x="1586"/>
        <item x="1357"/>
        <item x="2118"/>
        <item x="1919"/>
        <item x="2127"/>
        <item x="653"/>
        <item x="1165"/>
        <item x="1633"/>
        <item x="2102"/>
        <item x="293"/>
        <item x="2155"/>
        <item x="2299"/>
        <item x="432"/>
        <item x="2222"/>
        <item x="1287"/>
        <item x="1548"/>
        <item x="1977"/>
        <item x="1854"/>
        <item x="2043"/>
        <item x="525"/>
        <item x="741"/>
        <item x="1941"/>
        <item x="1679"/>
        <item x="196"/>
        <item x="687"/>
        <item x="1085"/>
        <item x="2132"/>
        <item x="2012"/>
        <item x="62"/>
        <item x="750"/>
        <item x="1938"/>
        <item x="830"/>
        <item x="1958"/>
        <item x="1741"/>
        <item x="478"/>
        <item x="104"/>
        <item x="2072"/>
        <item x="1512"/>
        <item x="763"/>
        <item x="805"/>
        <item x="1610"/>
        <item x="731"/>
        <item x="821"/>
        <item x="1350"/>
        <item x="473"/>
        <item x="417"/>
        <item x="771"/>
        <item x="450"/>
        <item x="662"/>
        <item x="2166"/>
        <item x="1730"/>
        <item x="2121"/>
        <item x="582"/>
        <item x="1646"/>
        <item x="857"/>
        <item x="1561"/>
        <item x="1704"/>
        <item x="1166"/>
        <item x="989"/>
        <item x="1092"/>
        <item x="2295"/>
        <item x="985"/>
        <item x="17"/>
        <item x="824"/>
        <item x="1545"/>
        <item x="1874"/>
        <item x="1962"/>
        <item x="314"/>
        <item x="48"/>
        <item x="973"/>
        <item x="1613"/>
        <item x="45"/>
        <item x="13"/>
        <item x="2039"/>
        <item x="96"/>
        <item x="1271"/>
        <item x="336"/>
        <item x="1316"/>
        <item x="1090"/>
        <item x="1860"/>
        <item x="1373"/>
        <item x="982"/>
        <item x="758"/>
        <item x="1317"/>
        <item x="2103"/>
        <item x="412"/>
        <item x="1515"/>
        <item x="1749"/>
        <item x="2059"/>
        <item x="1606"/>
        <item x="1742"/>
        <item x="1878"/>
        <item x="1992"/>
        <item x="2116"/>
        <item x="1027"/>
        <item x="2113"/>
        <item x="1055"/>
        <item x="2063"/>
        <item x="1714"/>
        <item x="372"/>
        <item x="271"/>
        <item x="2009"/>
        <item x="1488"/>
        <item x="1465"/>
        <item x="1884"/>
        <item x="347"/>
        <item x="419"/>
        <item x="1888"/>
        <item x="124"/>
        <item x="1536"/>
        <item x="55"/>
        <item x="838"/>
        <item x="2323"/>
        <item x="614"/>
        <item x="42"/>
        <item x="900"/>
        <item x="2307"/>
        <item x="377"/>
        <item x="1134"/>
        <item x="1012"/>
        <item x="1482"/>
        <item x="217"/>
        <item x="1702"/>
        <item x="254"/>
        <item x="143"/>
        <item x="522"/>
        <item x="494"/>
        <item x="2229"/>
        <item x="147"/>
        <item x="1420"/>
        <item x="1593"/>
        <item x="2084"/>
        <item x="1830"/>
        <item x="41"/>
        <item x="57"/>
        <item x="1413"/>
        <item x="331"/>
        <item x="158"/>
        <item x="83"/>
        <item x="411"/>
        <item x="278"/>
        <item x="180"/>
        <item x="1062"/>
        <item x="1631"/>
        <item x="644"/>
        <item x="882"/>
        <item x="1035"/>
        <item x="1289"/>
        <item x="1723"/>
        <item x="365"/>
        <item x="1708"/>
        <item x="54"/>
        <item x="666"/>
        <item x="192"/>
        <item x="2058"/>
        <item x="869"/>
        <item x="2000"/>
        <item x="1479"/>
        <item x="499"/>
        <item x="1542"/>
        <item x="601"/>
        <item x="2151"/>
        <item x="2142"/>
        <item x="346"/>
        <item x="2158"/>
        <item x="1145"/>
        <item x="1121"/>
        <item x="1564"/>
        <item x="586"/>
        <item x="1481"/>
        <item x="2014"/>
        <item x="2315"/>
        <item x="1294"/>
        <item x="1311"/>
        <item x="1963"/>
        <item x="1747"/>
        <item x="356"/>
        <item x="2234"/>
        <item x="1720"/>
        <item x="2275"/>
        <item x="2"/>
        <item x="1192"/>
        <item x="1558"/>
        <item x="5"/>
        <item x="542"/>
        <item x="396"/>
        <item x="1541"/>
        <item x="766"/>
        <item x="2122"/>
        <item x="2314"/>
        <item x="1095"/>
        <item x="1848"/>
        <item x="220"/>
        <item x="1383"/>
        <item x="769"/>
        <item x="2077"/>
        <item x="1243"/>
        <item x="418"/>
        <item x="241"/>
        <item x="1934"/>
        <item x="1663"/>
        <item x="775"/>
        <item x="611"/>
        <item x="1332"/>
        <item x="630"/>
        <item x="1369"/>
        <item x="2378"/>
        <item x="657"/>
        <item x="374"/>
        <item x="971"/>
        <item x="316"/>
        <item x="2165"/>
        <item x="391"/>
        <item x="1726"/>
        <item x="2065"/>
        <item x="990"/>
        <item x="508"/>
        <item x="1431"/>
        <item x="190"/>
        <item x="845"/>
        <item x="732"/>
        <item x="234"/>
        <item x="310"/>
        <item x="927"/>
        <item x="707"/>
        <item x="22"/>
        <item x="2375"/>
        <item x="2141"/>
        <item x="1589"/>
        <item x="1509"/>
        <item x="2300"/>
        <item x="787"/>
        <item x="1495"/>
        <item x="79"/>
        <item x="409"/>
        <item x="1052"/>
        <item x="2288"/>
        <item x="2049"/>
        <item x="754"/>
        <item x="1297"/>
        <item x="1666"/>
        <item x="1872"/>
        <item x="1484"/>
        <item x="2184"/>
        <item x="1032"/>
        <item x="854"/>
        <item x="1980"/>
        <item x="1276"/>
        <item x="1924"/>
        <item x="93"/>
        <item x="168"/>
        <item x="510"/>
        <item x="1925"/>
        <item x="535"/>
        <item x="567"/>
        <item x="2198"/>
        <item x="1507"/>
        <item x="170"/>
        <item x="433"/>
        <item x="1835"/>
        <item x="1839"/>
        <item x="1387"/>
        <item x="324"/>
        <item x="1474"/>
        <item x="1657"/>
        <item x="2110"/>
        <item x="1148"/>
        <item x="1713"/>
        <item x="169"/>
        <item x="1108"/>
        <item x="1222"/>
        <item x="1176"/>
        <item x="1207"/>
        <item x="932"/>
        <item x="560"/>
        <item x="487"/>
        <item x="448"/>
        <item x="388"/>
        <item x="682"/>
        <item x="245"/>
        <item x="709"/>
        <item x="568"/>
        <item x="2200"/>
        <item x="2326"/>
        <item x="1511"/>
        <item x="265"/>
        <item x="53"/>
        <item x="1528"/>
        <item x="2290"/>
        <item x="414"/>
        <item x="819"/>
        <item x="912"/>
        <item x="801"/>
        <item x="695"/>
        <item x="735"/>
        <item x="2010"/>
        <item x="284"/>
        <item x="1618"/>
        <item x="1120"/>
        <item x="90"/>
        <item x="1454"/>
        <item x="181"/>
        <item x="896"/>
        <item x="597"/>
        <item x="428"/>
        <item x="610"/>
        <item x="928"/>
        <item x="2027"/>
        <item x="902"/>
        <item x="250"/>
        <item x="625"/>
        <item x="454"/>
        <item x="1960"/>
        <item x="459"/>
        <item x="1043"/>
        <item x="148"/>
        <item x="37"/>
        <item x="353"/>
        <item x="1214"/>
        <item x="1401"/>
        <item x="683"/>
        <item x="1596"/>
        <item x="370"/>
        <item x="330"/>
        <item x="886"/>
        <item x="1244"/>
        <item x="2267"/>
        <item x="2220"/>
        <item x="1823"/>
        <item x="509"/>
        <item x="631"/>
        <item x="1065"/>
        <item x="2334"/>
        <item x="203"/>
        <item x="1890"/>
        <item x="813"/>
        <item x="230"/>
        <item x="1560"/>
        <item x="2372"/>
        <item x="1375"/>
        <item x="2056"/>
        <item x="906"/>
        <item x="1261"/>
        <item x="1255"/>
        <item x="1398"/>
        <item x="1226"/>
        <item x="1933"/>
        <item x="1999"/>
        <item x="224"/>
        <item x="711"/>
        <item x="1871"/>
        <item x="328"/>
        <item x="693"/>
        <item x="484"/>
        <item x="1778"/>
        <item x="846"/>
        <item x="1342"/>
        <item x="490"/>
        <item x="423"/>
        <item x="2345"/>
        <item x="1015"/>
        <item x="251"/>
        <item x="987"/>
        <item x="1508"/>
        <item x="897"/>
        <item x="1184"/>
        <item x="1321"/>
        <item x="920"/>
        <item x="493"/>
        <item x="2373"/>
        <item x="2170"/>
        <item x="1466"/>
        <item x="204"/>
        <item x="1831"/>
        <item x="2089"/>
        <item x="1279"/>
        <item x="1852"/>
        <item x="23"/>
        <item x="1503"/>
        <item x="809"/>
        <item x="1803"/>
        <item x="340"/>
        <item x="1937"/>
        <item x="117"/>
        <item x="698"/>
        <item x="387"/>
        <item x="673"/>
        <item x="132"/>
        <item x="1330"/>
        <item x="1263"/>
        <item x="1998"/>
        <item x="200"/>
        <item x="1129"/>
        <item x="620"/>
        <item x="1776"/>
        <item x="1174"/>
        <item x="767"/>
        <item x="955"/>
        <item x="1041"/>
        <item x="231"/>
        <item x="1678"/>
        <item x="913"/>
        <item x="1344"/>
        <item x="400"/>
        <item x="2193"/>
        <item x="1424"/>
        <item x="1497"/>
        <item x="1439"/>
        <item x="1110"/>
        <item x="703"/>
        <item x="1169"/>
        <item x="319"/>
        <item x="1670"/>
        <item x="905"/>
        <item x="122"/>
        <item x="1780"/>
        <item x="2281"/>
        <item x="674"/>
        <item x="2031"/>
        <item x="1792"/>
        <item x="2272"/>
        <item x="50"/>
        <item x="174"/>
        <item x="681"/>
        <item x="969"/>
        <item x="889"/>
        <item x="1456"/>
        <item x="1073"/>
        <item x="1842"/>
        <item x="633"/>
        <item x="2130"/>
        <item x="446"/>
        <item x="199"/>
        <item x="376"/>
        <item x="1838"/>
        <item x="129"/>
        <item x="859"/>
        <item x="1144"/>
        <item x="1328"/>
        <item x="1953"/>
        <item x="1498"/>
        <item x="1477"/>
        <item x="161"/>
        <item x="1009"/>
        <item x="2322"/>
        <item x="2355"/>
        <item x="2159"/>
        <item x="1971"/>
        <item x="1028"/>
        <item x="885"/>
        <item x="1447"/>
        <item x="710"/>
        <item x="814"/>
        <item x="1320"/>
        <item x="1155"/>
        <item x="2018"/>
        <item x="790"/>
        <item x="2172"/>
        <item x="1078"/>
        <item x="875"/>
        <item x="573"/>
        <item x="384"/>
        <item x="1046"/>
        <item x="1386"/>
        <item x="1949"/>
        <item x="986"/>
        <item x="1379"/>
        <item x="1070"/>
        <item x="1131"/>
        <item x="1655"/>
        <item x="1729"/>
        <item x="1829"/>
        <item x="799"/>
        <item x="1163"/>
        <item x="1950"/>
        <item x="1353"/>
        <item x="1485"/>
        <item x="249"/>
        <item x="1736"/>
        <item x="722"/>
        <item x="1427"/>
        <item x="2088"/>
        <item x="1514"/>
        <item x="1423"/>
        <item x="1955"/>
        <item x="2340"/>
        <item x="1239"/>
        <item x="191"/>
        <item x="201"/>
        <item x="378"/>
        <item x="1672"/>
        <item x="770"/>
        <item x="381"/>
        <item x="2278"/>
        <item x="482"/>
        <item x="1751"/>
        <item x="2207"/>
        <item x="1076"/>
        <item x="1034"/>
        <item x="967"/>
        <item x="398"/>
        <item x="840"/>
        <item x="466"/>
        <item x="345"/>
        <item x="544"/>
        <item x="1800"/>
        <item x="1127"/>
        <item x="1808"/>
        <item x="152"/>
        <item x="325"/>
        <item x="723"/>
        <item x="996"/>
        <item x="1280"/>
        <item x="1698"/>
        <item x="1075"/>
        <item x="921"/>
        <item x="2001"/>
        <item x="1221"/>
        <item x="2349"/>
        <item x="406"/>
        <item x="2168"/>
        <item x="1653"/>
        <item x="1568"/>
        <item x="574"/>
        <item x="1381"/>
        <item x="1579"/>
        <item x="694"/>
        <item x="1875"/>
        <item x="613"/>
        <item x="1533"/>
        <item x="71"/>
        <item x="1425"/>
        <item x="691"/>
        <item x="301"/>
        <item x="1632"/>
        <item x="1016"/>
        <item x="264"/>
        <item x="1392"/>
        <item x="183"/>
        <item x="2238"/>
        <item x="1816"/>
        <item x="591"/>
        <item x="1552"/>
        <item x="1551"/>
        <item x="9"/>
        <item x="1006"/>
        <item x="1861"/>
        <item x="2004"/>
        <item x="1529"/>
        <item x="227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23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t="grand">
      <x/>
    </i>
  </rowItems>
  <colFields count="1">
    <field x="-2"/>
  </colFields>
  <colItems count="2">
    <i>
      <x/>
    </i>
    <i i="1">
      <x v="1"/>
    </i>
  </colItems>
  <dataFields count="2">
    <dataField name="Average of IMDB Score" fld="5" subtotal="average" baseField="0" baseItem="0" numFmtId="164"/>
    <dataField name="StdDevp of IMDB Score" fld="5" subtotal="stdDevp" baseField="0" baseItem="0"/>
  </dataFields>
  <formats count="54">
    <format dxfId="0">
      <pivotArea outline="0" collapsedLevelsAreSubtotals="1" fieldPosition="0"/>
    </format>
    <format dxfId="1">
      <pivotArea type="all" dataOnly="0" outline="0" fieldPosition="0"/>
    </format>
    <format dxfId="2">
      <pivotArea outline="0" collapsedLevelsAreSubtotals="1" fieldPosition="0"/>
    </format>
    <format dxfId="3">
      <pivotArea field="1" type="button" dataOnly="0" labelOnly="1" outline="0" axis="axisRow" fieldPosition="0"/>
    </format>
    <format dxfId="4">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
      <pivotArea dataOnly="0" labelOnly="1" outline="0"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
      <pivotArea dataOnly="0" labelOnly="1" outline="0"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
      <pivotArea dataOnly="0" labelOnly="1" outline="0"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
      <pivotArea dataOnly="0" labelOnly="1" outline="0"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
      <pivotArea dataOnly="0" labelOnly="1" outline="0"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
      <pivotArea dataOnly="0" labelOnly="1" outline="0"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
      <pivotArea dataOnly="0" labelOnly="1" outline="0"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
      <pivotArea dataOnly="0" labelOnly="1" outline="0"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3">
      <pivotArea dataOnly="0" labelOnly="1" outline="0"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4">
      <pivotArea dataOnly="0" labelOnly="1" outline="0"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5">
      <pivotArea dataOnly="0" labelOnly="1" outline="0"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6">
      <pivotArea dataOnly="0" labelOnly="1" outline="0"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7">
      <pivotArea dataOnly="0" labelOnly="1" outline="0"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
      <pivotArea dataOnly="0" labelOnly="1" outline="0"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9">
      <pivotArea dataOnly="0" labelOnly="1" outline="0"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0">
      <pivotArea dataOnly="0" labelOnly="1" outline="0"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1">
      <pivotArea dataOnly="0" labelOnly="1" outline="0"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2">
      <pivotArea dataOnly="0" labelOnly="1" outline="0"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3">
      <pivotArea dataOnly="0" labelOnly="1" outline="0"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4">
      <pivotArea dataOnly="0" labelOnly="1" outline="0"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5">
      <pivotArea dataOnly="0" labelOnly="1" outline="0"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6">
      <pivotArea dataOnly="0" labelOnly="1" outline="0"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7">
      <pivotArea dataOnly="0" labelOnly="1" outline="0"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8">
      <pivotArea dataOnly="0" labelOnly="1" outline="0"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9">
      <pivotArea dataOnly="0" labelOnly="1" outline="0"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0">
      <pivotArea dataOnly="0" labelOnly="1" outline="0" fieldPosition="0">
        <references count="1">
          <reference field="1"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1">
      <pivotArea dataOnly="0" labelOnly="1" outline="0" fieldPosition="0">
        <references count="1">
          <reference field="1"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2">
      <pivotArea dataOnly="0" labelOnly="1" outline="0" fieldPosition="0">
        <references count="1">
          <reference field="1"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3">
      <pivotArea dataOnly="0" labelOnly="1" outline="0" fieldPosition="0">
        <references count="1">
          <reference field="1"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4">
      <pivotArea dataOnly="0" labelOnly="1" outline="0" fieldPosition="0">
        <references count="1">
          <reference field="1"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5">
      <pivotArea dataOnly="0" labelOnly="1" outline="0" fieldPosition="0">
        <references count="1">
          <reference field="1"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6">
      <pivotArea dataOnly="0" labelOnly="1" outline="0" fieldPosition="0">
        <references count="1">
          <reference field="1"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7">
      <pivotArea dataOnly="0" labelOnly="1" outline="0" fieldPosition="0">
        <references count="1">
          <reference field="1"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8">
      <pivotArea dataOnly="0" labelOnly="1" outline="0" fieldPosition="0">
        <references count="1">
          <reference field="1"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9">
      <pivotArea dataOnly="0" labelOnly="1" outline="0" fieldPosition="0">
        <references count="1">
          <reference field="1"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0">
      <pivotArea dataOnly="0" labelOnly="1" outline="0" fieldPosition="0">
        <references count="1">
          <reference field="1"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1">
      <pivotArea dataOnly="0" labelOnly="1" outline="0" fieldPosition="0">
        <references count="1">
          <reference field="1"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2">
      <pivotArea dataOnly="0" labelOnly="1" outline="0" fieldPosition="0">
        <references count="1">
          <reference field="1"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3">
      <pivotArea dataOnly="0" labelOnly="1" outline="0" fieldPosition="0">
        <references count="1">
          <reference field="1"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4">
      <pivotArea dataOnly="0" labelOnly="1" outline="0" fieldPosition="0">
        <references count="1">
          <reference field="1"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5">
      <pivotArea dataOnly="0" labelOnly="1" outline="0" fieldPosition="0">
        <references count="1">
          <reference field="1"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6">
      <pivotArea dataOnly="0" labelOnly="1" outline="0" fieldPosition="0">
        <references count="1">
          <reference field="1"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7">
      <pivotArea dataOnly="0" labelOnly="1" outline="0" fieldPosition="0">
        <references count="1">
          <reference field="1"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8">
      <pivotArea dataOnly="0" labelOnly="1" outline="0" fieldPosition="0">
        <references count="1">
          <reference field="1"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9">
      <pivotArea dataOnly="0" labelOnly="1" outline="0" fieldPosition="0">
        <references count="1">
          <reference field="1"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50">
      <pivotArea dataOnly="0" labelOnly="1" outline="0" fieldPosition="0">
        <references count="1">
          <reference field="1"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51">
      <pivotArea dataOnly="0" labelOnly="1" outline="0" fieldPosition="0">
        <references count="1">
          <reference field="1" count="31">
            <x v="2350"/>
            <x v="2351"/>
            <x v="2352"/>
            <x v="2353"/>
            <x v="2354"/>
            <x v="2355"/>
            <x v="2356"/>
            <x v="2357"/>
            <x v="2358"/>
            <x v="2359"/>
            <x v="2360"/>
            <x v="2361"/>
            <x v="2362"/>
            <x v="2363"/>
            <x v="2364"/>
            <x v="2365"/>
            <x v="2366"/>
            <x v="2367"/>
            <x v="2368"/>
            <x v="2369"/>
            <x v="2370"/>
            <x v="2371"/>
            <x v="2372"/>
            <x v="2373"/>
            <x v="2374"/>
            <x v="2375"/>
            <x v="2376"/>
            <x v="2377"/>
            <x v="2378"/>
            <x v="2379"/>
            <x v="2380"/>
          </reference>
        </references>
      </pivotArea>
    </format>
    <format dxfId="52">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EE4778EE-DFED-A84E-ACBB-945AE0E47AD7}" sourceName="Language">
  <extLst>
    <x:ext xmlns:x15="http://schemas.microsoft.com/office/spreadsheetml/2010/11/main" uri="{2F2917AC-EB37-4324-AD4E-5DD8C200BD13}">
      <x15:tableSlicerCache tableId="6"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1" xr10:uid="{4450C525-EE0F-5642-9D57-D239CCCE2F81}" cache="Slicer_Language" caption="Language" rowHeight="336550"/>
  <slicer name="Language 2" xr10:uid="{59DF6355-AC6E-B045-851B-F1C7E326ACB0}" cache="Slicer_Language" caption="Language" rowHeight="336550"/>
  <slicer name="Language" xr10:uid="{EB3776A7-9177-3140-BC35-82F7224CB5D8}" cache="Slicer_Language" caption="Language" startItem="7"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A54553-275C-3B4E-8613-C5A91FB901D7}" name="Table1" displayName="Table1" ref="A1:H4791" headerRowDxfId="93" dataDxfId="92" tableBorderDxfId="91">
  <autoFilter ref="A1:H4791" xr:uid="{58A54553-275C-3B4E-8613-C5A91FB901D7}"/>
  <tableColumns count="8">
    <tableColumn id="1" xr3:uid="{16CA9FB7-AFB4-ED40-880E-E64F9C59F16B}" name="Movie Name" totalsRowLabel="Total" dataDxfId="90" totalsRowDxfId="75"/>
    <tableColumn id="2" xr3:uid="{1BCE87BE-AC14-9540-B2D4-BBC2BD77C6CE}" name="Director" dataDxfId="89" totalsRowDxfId="76"/>
    <tableColumn id="3" xr3:uid="{F2F9B89B-B0DA-864B-BB28-A81903A3B23A}" name="Genre" dataDxfId="88" totalsRowDxfId="77"/>
    <tableColumn id="4" xr3:uid="{74008541-C024-5A4A-BC72-2EF6EC5F63D7}" name="Language" dataDxfId="87" totalsRowDxfId="78"/>
    <tableColumn id="5" xr3:uid="{72EB8BCE-9523-2242-9CF8-687D854ED205}" name="Duration" dataDxfId="86" totalsRowDxfId="79"/>
    <tableColumn id="6" xr3:uid="{F7BB94F9-A54F-4E4F-86A0-570660A67E7A}" name="IMDB Score" dataDxfId="85" totalsRowDxfId="80"/>
    <tableColumn id="7" xr3:uid="{C98FF3C3-99D4-0D4F-BA99-A2DE5065A01E}" name="Budget" dataDxfId="84" totalsRowDxfId="81"/>
    <tableColumn id="8" xr3:uid="{46D86338-01DF-CC48-9E7E-6B99436F1185}" name="Gross" totalsRowFunction="sum" dataDxfId="83" totalsRowDxfId="8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F27F20-0116-5C4F-AFEC-F26478F6CBBE}">
  <we:reference id="WA200009152" version="1.0.0.4" store="Omex" storeType="OMEX"/>
  <we:alternateReferences>
    <we:reference id="WA200009152" version="1.0.0.4" store="WA20000915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69CE-2461-6B47-B18C-EF73650489A9}">
  <dimension ref="A1:J4791"/>
  <sheetViews>
    <sheetView zoomScale="58" workbookViewId="0">
      <selection activeCell="F12" sqref="F12"/>
    </sheetView>
  </sheetViews>
  <sheetFormatPr baseColWidth="10" defaultRowHeight="22"/>
  <cols>
    <col min="1" max="1" width="40.625" customWidth="1"/>
    <col min="2" max="2" width="33.625" bestFit="1" customWidth="1"/>
    <col min="3" max="3" width="13.5" bestFit="1" customWidth="1"/>
    <col min="4" max="4" width="12.5" bestFit="1" customWidth="1"/>
    <col min="5" max="5" width="11.5" bestFit="1" customWidth="1"/>
    <col min="6" max="6" width="14.5" bestFit="1" customWidth="1"/>
    <col min="7" max="7" width="12.75" bestFit="1" customWidth="1"/>
    <col min="8" max="8" width="11.625" bestFit="1" customWidth="1"/>
    <col min="9" max="9" width="13.5" bestFit="1" customWidth="1"/>
    <col min="11" max="11" width="16" customWidth="1"/>
    <col min="12" max="12" width="14.375" customWidth="1"/>
  </cols>
  <sheetData>
    <row r="1" spans="1:10" ht="23">
      <c r="A1" s="1" t="s">
        <v>0</v>
      </c>
      <c r="B1" s="11" t="s">
        <v>1</v>
      </c>
      <c r="C1" s="11" t="s">
        <v>2</v>
      </c>
      <c r="D1" s="11" t="s">
        <v>3</v>
      </c>
      <c r="E1" s="11" t="s">
        <v>4</v>
      </c>
      <c r="F1" s="11" t="s">
        <v>5</v>
      </c>
      <c r="G1" s="11" t="s">
        <v>6</v>
      </c>
      <c r="H1" s="11" t="s">
        <v>7</v>
      </c>
      <c r="I1" s="5" t="s">
        <v>7259</v>
      </c>
    </row>
    <row r="2" spans="1:10" ht="23">
      <c r="A2" s="2" t="s">
        <v>8</v>
      </c>
      <c r="B2" s="9" t="s">
        <v>9</v>
      </c>
      <c r="C2" s="9" t="s">
        <v>10</v>
      </c>
      <c r="D2" s="9" t="s">
        <v>11</v>
      </c>
      <c r="E2" s="9">
        <v>178</v>
      </c>
      <c r="F2" s="9">
        <v>7.9</v>
      </c>
      <c r="G2" s="9">
        <v>237000000</v>
      </c>
      <c r="H2" s="9">
        <v>760505847</v>
      </c>
      <c r="I2" s="5">
        <f>IMDB_Movies!$H2-IMDB_Movies!$G2</f>
        <v>523505847</v>
      </c>
    </row>
    <row r="3" spans="1:10" ht="23">
      <c r="A3" s="3" t="s">
        <v>12</v>
      </c>
      <c r="B3" s="10" t="s">
        <v>13</v>
      </c>
      <c r="C3" s="10" t="s">
        <v>10</v>
      </c>
      <c r="D3" s="10" t="s">
        <v>11</v>
      </c>
      <c r="E3" s="10">
        <v>169</v>
      </c>
      <c r="F3" s="10">
        <v>7.1</v>
      </c>
      <c r="G3" s="10">
        <v>300000000</v>
      </c>
      <c r="H3" s="10">
        <v>309404152</v>
      </c>
      <c r="I3" s="5">
        <f>IMDB_Movies!$H3-IMDB_Movies!$G3</f>
        <v>9404152</v>
      </c>
      <c r="J3" s="8"/>
    </row>
    <row r="4" spans="1:10" ht="23">
      <c r="A4" s="2" t="s">
        <v>14</v>
      </c>
      <c r="B4" s="9" t="s">
        <v>15</v>
      </c>
      <c r="C4" s="9" t="s">
        <v>10</v>
      </c>
      <c r="D4" s="9" t="s">
        <v>11</v>
      </c>
      <c r="E4" s="9">
        <v>148</v>
      </c>
      <c r="F4" s="9">
        <v>6.8</v>
      </c>
      <c r="G4" s="9">
        <v>245000000</v>
      </c>
      <c r="H4" s="9">
        <v>200074175</v>
      </c>
      <c r="I4" s="5">
        <f>IMDB_Movies!$H4-IMDB_Movies!$G4</f>
        <v>-44925825</v>
      </c>
    </row>
    <row r="5" spans="1:10" ht="23">
      <c r="A5" s="3" t="s">
        <v>16</v>
      </c>
      <c r="B5" s="10" t="s">
        <v>17</v>
      </c>
      <c r="C5" s="10" t="s">
        <v>10</v>
      </c>
      <c r="D5" s="10" t="s">
        <v>11</v>
      </c>
      <c r="E5" s="10">
        <v>164</v>
      </c>
      <c r="F5" s="10">
        <v>8.5</v>
      </c>
      <c r="G5" s="10">
        <v>250000000</v>
      </c>
      <c r="H5" s="10">
        <v>448130642</v>
      </c>
      <c r="I5" s="5">
        <f>IMDB_Movies!$H5-IMDB_Movies!$G5</f>
        <v>198130642</v>
      </c>
    </row>
    <row r="6" spans="1:10" ht="23">
      <c r="A6" s="2" t="s">
        <v>18</v>
      </c>
      <c r="B6" s="9" t="s">
        <v>19</v>
      </c>
      <c r="C6" s="9" t="s">
        <v>10</v>
      </c>
      <c r="D6" s="9" t="s">
        <v>11</v>
      </c>
      <c r="E6" s="9">
        <v>132</v>
      </c>
      <c r="F6" s="9">
        <v>6.6</v>
      </c>
      <c r="G6" s="9">
        <v>263700000</v>
      </c>
      <c r="H6" s="9">
        <v>73058679</v>
      </c>
      <c r="I6" s="5">
        <f>IMDB_Movies!$H6-IMDB_Movies!$G6</f>
        <v>-190641321</v>
      </c>
    </row>
    <row r="7" spans="1:10" ht="23">
      <c r="A7" s="3" t="s">
        <v>20</v>
      </c>
      <c r="B7" s="10" t="s">
        <v>21</v>
      </c>
      <c r="C7" s="10" t="s">
        <v>10</v>
      </c>
      <c r="D7" s="10" t="s">
        <v>11</v>
      </c>
      <c r="E7" s="10">
        <v>156</v>
      </c>
      <c r="F7" s="10">
        <v>6.2</v>
      </c>
      <c r="G7" s="10">
        <v>258000000</v>
      </c>
      <c r="H7" s="10">
        <v>336530303</v>
      </c>
      <c r="I7" s="5">
        <f>IMDB_Movies!$H7-IMDB_Movies!$G7</f>
        <v>78530303</v>
      </c>
    </row>
    <row r="8" spans="1:10" ht="23">
      <c r="A8" s="2" t="s">
        <v>22</v>
      </c>
      <c r="B8" s="9" t="s">
        <v>23</v>
      </c>
      <c r="C8" s="9" t="s">
        <v>24</v>
      </c>
      <c r="D8" s="9" t="s">
        <v>11</v>
      </c>
      <c r="E8" s="9">
        <v>100</v>
      </c>
      <c r="F8" s="9">
        <v>7.8</v>
      </c>
      <c r="G8" s="9">
        <v>260000000</v>
      </c>
      <c r="H8" s="9">
        <v>200807262</v>
      </c>
      <c r="I8" s="5">
        <f>IMDB_Movies!$H8-IMDB_Movies!$G8</f>
        <v>-59192738</v>
      </c>
    </row>
    <row r="9" spans="1:10" ht="23">
      <c r="A9" s="3" t="s">
        <v>25</v>
      </c>
      <c r="B9" s="10" t="s">
        <v>26</v>
      </c>
      <c r="C9" s="10" t="s">
        <v>10</v>
      </c>
      <c r="D9" s="10" t="s">
        <v>11</v>
      </c>
      <c r="E9" s="10">
        <v>141</v>
      </c>
      <c r="F9" s="10">
        <v>7.5</v>
      </c>
      <c r="G9" s="10">
        <v>250000000</v>
      </c>
      <c r="H9" s="10">
        <v>458991599</v>
      </c>
      <c r="I9" s="5">
        <f>IMDB_Movies!$H9-IMDB_Movies!$G9</f>
        <v>208991599</v>
      </c>
    </row>
    <row r="10" spans="1:10" ht="23">
      <c r="A10" s="2" t="s">
        <v>27</v>
      </c>
      <c r="B10" s="9" t="s">
        <v>28</v>
      </c>
      <c r="C10" s="9" t="s">
        <v>24</v>
      </c>
      <c r="D10" s="9" t="s">
        <v>11</v>
      </c>
      <c r="E10" s="9">
        <v>153</v>
      </c>
      <c r="F10" s="9">
        <v>7.5</v>
      </c>
      <c r="G10" s="9">
        <v>250000000</v>
      </c>
      <c r="H10" s="9">
        <v>301956980</v>
      </c>
      <c r="I10" s="5">
        <f>IMDB_Movies!$H10-IMDB_Movies!$G10</f>
        <v>51956980</v>
      </c>
    </row>
    <row r="11" spans="1:10" ht="23">
      <c r="A11" s="3" t="s">
        <v>29</v>
      </c>
      <c r="B11" s="10" t="s">
        <v>30</v>
      </c>
      <c r="C11" s="10" t="s">
        <v>10</v>
      </c>
      <c r="D11" s="10" t="s">
        <v>11</v>
      </c>
      <c r="E11" s="10">
        <v>183</v>
      </c>
      <c r="F11" s="10">
        <v>6.9</v>
      </c>
      <c r="G11" s="10">
        <v>250000000</v>
      </c>
      <c r="H11" s="10">
        <v>330249062</v>
      </c>
      <c r="I11" s="5">
        <f>IMDB_Movies!$H11-IMDB_Movies!$G11</f>
        <v>80249062</v>
      </c>
    </row>
    <row r="12" spans="1:10" ht="23">
      <c r="A12" s="2" t="s">
        <v>31</v>
      </c>
      <c r="B12" s="9" t="s">
        <v>32</v>
      </c>
      <c r="C12" s="9" t="s">
        <v>10</v>
      </c>
      <c r="D12" s="9" t="s">
        <v>11</v>
      </c>
      <c r="E12" s="9">
        <v>169</v>
      </c>
      <c r="F12" s="9">
        <v>6.1</v>
      </c>
      <c r="G12" s="9">
        <v>209000000</v>
      </c>
      <c r="H12" s="9">
        <v>200069408</v>
      </c>
      <c r="I12" s="5">
        <f>IMDB_Movies!$H12-IMDB_Movies!$G12</f>
        <v>-8930592</v>
      </c>
    </row>
    <row r="13" spans="1:10" ht="23">
      <c r="A13" s="3" t="s">
        <v>33</v>
      </c>
      <c r="B13" s="10" t="s">
        <v>34</v>
      </c>
      <c r="C13" s="10" t="s">
        <v>10</v>
      </c>
      <c r="D13" s="10" t="s">
        <v>11</v>
      </c>
      <c r="E13" s="10">
        <v>106</v>
      </c>
      <c r="F13" s="10">
        <v>6.7</v>
      </c>
      <c r="G13" s="10">
        <v>200000000</v>
      </c>
      <c r="H13" s="10">
        <v>168368427</v>
      </c>
      <c r="I13" s="5">
        <f>IMDB_Movies!$H13-IMDB_Movies!$G13</f>
        <v>-31631573</v>
      </c>
    </row>
    <row r="14" spans="1:10" ht="23">
      <c r="A14" s="2" t="s">
        <v>35</v>
      </c>
      <c r="B14" s="9" t="s">
        <v>13</v>
      </c>
      <c r="C14" s="9" t="s">
        <v>10</v>
      </c>
      <c r="D14" s="9" t="s">
        <v>11</v>
      </c>
      <c r="E14" s="9">
        <v>151</v>
      </c>
      <c r="F14" s="9">
        <v>7.3</v>
      </c>
      <c r="G14" s="9">
        <v>225000000</v>
      </c>
      <c r="H14" s="9">
        <v>423032628</v>
      </c>
      <c r="I14" s="5">
        <f>IMDB_Movies!$H14-IMDB_Movies!$G14</f>
        <v>198032628</v>
      </c>
    </row>
    <row r="15" spans="1:10" ht="23">
      <c r="A15" s="3" t="s">
        <v>36</v>
      </c>
      <c r="B15" s="10" t="s">
        <v>13</v>
      </c>
      <c r="C15" s="10" t="s">
        <v>10</v>
      </c>
      <c r="D15" s="10" t="s">
        <v>11</v>
      </c>
      <c r="E15" s="10">
        <v>150</v>
      </c>
      <c r="F15" s="10">
        <v>6.5</v>
      </c>
      <c r="G15" s="10">
        <v>215000000</v>
      </c>
      <c r="H15" s="10">
        <v>89289910</v>
      </c>
      <c r="I15" s="5">
        <f>IMDB_Movies!$H15-IMDB_Movies!$G15</f>
        <v>-125710090</v>
      </c>
    </row>
    <row r="16" spans="1:10" ht="23">
      <c r="A16" s="2" t="s">
        <v>37</v>
      </c>
      <c r="B16" s="9" t="s">
        <v>30</v>
      </c>
      <c r="C16" s="9" t="s">
        <v>10</v>
      </c>
      <c r="D16" s="9" t="s">
        <v>11</v>
      </c>
      <c r="E16" s="9">
        <v>143</v>
      </c>
      <c r="F16" s="9">
        <v>7.2</v>
      </c>
      <c r="G16" s="9">
        <v>225000000</v>
      </c>
      <c r="H16" s="9">
        <v>291021565</v>
      </c>
      <c r="I16" s="5">
        <f>IMDB_Movies!$H16-IMDB_Movies!$G16</f>
        <v>66021565</v>
      </c>
    </row>
    <row r="17" spans="1:9" ht="23">
      <c r="A17" s="3" t="s">
        <v>38</v>
      </c>
      <c r="B17" s="10" t="s">
        <v>39</v>
      </c>
      <c r="C17" s="10" t="s">
        <v>10</v>
      </c>
      <c r="D17" s="10" t="s">
        <v>11</v>
      </c>
      <c r="E17" s="10">
        <v>150</v>
      </c>
      <c r="F17" s="10">
        <v>6.6</v>
      </c>
      <c r="G17" s="10">
        <v>225000000</v>
      </c>
      <c r="H17" s="10">
        <v>141614023</v>
      </c>
      <c r="I17" s="5">
        <f>IMDB_Movies!$H17-IMDB_Movies!$G17</f>
        <v>-83385977</v>
      </c>
    </row>
    <row r="18" spans="1:9" ht="23">
      <c r="A18" s="2" t="s">
        <v>40</v>
      </c>
      <c r="B18" s="9" t="s">
        <v>26</v>
      </c>
      <c r="C18" s="9" t="s">
        <v>10</v>
      </c>
      <c r="D18" s="9" t="s">
        <v>11</v>
      </c>
      <c r="E18" s="9">
        <v>173</v>
      </c>
      <c r="F18" s="9">
        <v>8.1</v>
      </c>
      <c r="G18" s="9">
        <v>220000000</v>
      </c>
      <c r="H18" s="9">
        <v>623279547</v>
      </c>
      <c r="I18" s="5">
        <f>IMDB_Movies!$H18-IMDB_Movies!$G18</f>
        <v>403279547</v>
      </c>
    </row>
    <row r="19" spans="1:9" ht="23">
      <c r="A19" s="3" t="s">
        <v>41</v>
      </c>
      <c r="B19" s="10" t="s">
        <v>42</v>
      </c>
      <c r="C19" s="10" t="s">
        <v>10</v>
      </c>
      <c r="D19" s="10" t="s">
        <v>11</v>
      </c>
      <c r="E19" s="10">
        <v>136</v>
      </c>
      <c r="F19" s="10">
        <v>6.7</v>
      </c>
      <c r="G19" s="10">
        <v>250000000</v>
      </c>
      <c r="H19" s="10">
        <v>241063875</v>
      </c>
      <c r="I19" s="5">
        <f>IMDB_Movies!$H19-IMDB_Movies!$G19</f>
        <v>-8936125</v>
      </c>
    </row>
    <row r="20" spans="1:9" ht="23">
      <c r="A20" s="2" t="s">
        <v>43</v>
      </c>
      <c r="B20" s="9" t="s">
        <v>44</v>
      </c>
      <c r="C20" s="9" t="s">
        <v>10</v>
      </c>
      <c r="D20" s="9" t="s">
        <v>11</v>
      </c>
      <c r="E20" s="9">
        <v>106</v>
      </c>
      <c r="F20" s="9">
        <v>6.8</v>
      </c>
      <c r="G20" s="9">
        <v>225000000</v>
      </c>
      <c r="H20" s="9">
        <v>179020854</v>
      </c>
      <c r="I20" s="5">
        <f>IMDB_Movies!$H20-IMDB_Movies!$G20</f>
        <v>-45979146</v>
      </c>
    </row>
    <row r="21" spans="1:9" ht="23">
      <c r="A21" s="3" t="s">
        <v>45</v>
      </c>
      <c r="B21" s="10" t="s">
        <v>46</v>
      </c>
      <c r="C21" s="10" t="s">
        <v>24</v>
      </c>
      <c r="D21" s="10" t="s">
        <v>11</v>
      </c>
      <c r="E21" s="10">
        <v>164</v>
      </c>
      <c r="F21" s="10">
        <v>7.5</v>
      </c>
      <c r="G21" s="10">
        <v>250000000</v>
      </c>
      <c r="H21" s="10">
        <v>255108370</v>
      </c>
      <c r="I21" s="5">
        <f>IMDB_Movies!$H21-IMDB_Movies!$G21</f>
        <v>5108370</v>
      </c>
    </row>
    <row r="22" spans="1:9" ht="23">
      <c r="A22" s="2" t="s">
        <v>47</v>
      </c>
      <c r="B22" s="9" t="s">
        <v>48</v>
      </c>
      <c r="C22" s="9" t="s">
        <v>10</v>
      </c>
      <c r="D22" s="9" t="s">
        <v>11</v>
      </c>
      <c r="E22" s="9">
        <v>153</v>
      </c>
      <c r="F22" s="9">
        <v>7</v>
      </c>
      <c r="G22" s="9">
        <v>230000000</v>
      </c>
      <c r="H22" s="9">
        <v>262030663</v>
      </c>
      <c r="I22" s="5">
        <f>IMDB_Movies!$H22-IMDB_Movies!$G22</f>
        <v>32030663</v>
      </c>
    </row>
    <row r="23" spans="1:9" ht="23">
      <c r="A23" s="3" t="s">
        <v>49</v>
      </c>
      <c r="B23" s="10" t="s">
        <v>50</v>
      </c>
      <c r="C23" s="10" t="s">
        <v>10</v>
      </c>
      <c r="D23" s="10" t="s">
        <v>11</v>
      </c>
      <c r="E23" s="10">
        <v>156</v>
      </c>
      <c r="F23" s="10">
        <v>6.7</v>
      </c>
      <c r="G23" s="10">
        <v>200000000</v>
      </c>
      <c r="H23" s="10">
        <v>105219735</v>
      </c>
      <c r="I23" s="5">
        <f>IMDB_Movies!$H23-IMDB_Movies!$G23</f>
        <v>-94780265</v>
      </c>
    </row>
    <row r="24" spans="1:9" ht="23">
      <c r="A24" s="2" t="s">
        <v>51</v>
      </c>
      <c r="B24" s="9" t="s">
        <v>46</v>
      </c>
      <c r="C24" s="9" t="s">
        <v>24</v>
      </c>
      <c r="D24" s="9" t="s">
        <v>11</v>
      </c>
      <c r="E24" s="9">
        <v>186</v>
      </c>
      <c r="F24" s="9">
        <v>7.9</v>
      </c>
      <c r="G24" s="9">
        <v>225000000</v>
      </c>
      <c r="H24" s="9">
        <v>258355354</v>
      </c>
      <c r="I24" s="5">
        <f>IMDB_Movies!$H24-IMDB_Movies!$G24</f>
        <v>33355354</v>
      </c>
    </row>
    <row r="25" spans="1:9" ht="23">
      <c r="A25" s="3" t="s">
        <v>52</v>
      </c>
      <c r="B25" s="10" t="s">
        <v>53</v>
      </c>
      <c r="C25" s="10" t="s">
        <v>24</v>
      </c>
      <c r="D25" s="10" t="s">
        <v>11</v>
      </c>
      <c r="E25" s="10">
        <v>113</v>
      </c>
      <c r="F25" s="10">
        <v>6.1</v>
      </c>
      <c r="G25" s="10">
        <v>180000000</v>
      </c>
      <c r="H25" s="10">
        <v>70083519</v>
      </c>
      <c r="I25" s="5">
        <f>IMDB_Movies!$H25-IMDB_Movies!$G25</f>
        <v>-109916481</v>
      </c>
    </row>
    <row r="26" spans="1:9" ht="23">
      <c r="A26" s="2" t="s">
        <v>54</v>
      </c>
      <c r="B26" s="9" t="s">
        <v>46</v>
      </c>
      <c r="C26" s="9" t="s">
        <v>10</v>
      </c>
      <c r="D26" s="9" t="s">
        <v>11</v>
      </c>
      <c r="E26" s="9">
        <v>201</v>
      </c>
      <c r="F26" s="9">
        <v>7.2</v>
      </c>
      <c r="G26" s="9">
        <v>207000000</v>
      </c>
      <c r="H26" s="9">
        <v>218051260</v>
      </c>
      <c r="I26" s="5">
        <f>IMDB_Movies!$H26-IMDB_Movies!$G26</f>
        <v>11051260</v>
      </c>
    </row>
    <row r="27" spans="1:9" ht="23">
      <c r="A27" s="3" t="s">
        <v>55</v>
      </c>
      <c r="B27" s="10" t="s">
        <v>9</v>
      </c>
      <c r="C27" s="10" t="s">
        <v>56</v>
      </c>
      <c r="D27" s="10" t="s">
        <v>11</v>
      </c>
      <c r="E27" s="10">
        <v>194</v>
      </c>
      <c r="F27" s="10">
        <v>7.7</v>
      </c>
      <c r="G27" s="10">
        <v>200000000</v>
      </c>
      <c r="H27" s="10">
        <v>658672302</v>
      </c>
      <c r="I27" s="5">
        <f>IMDB_Movies!$H27-IMDB_Movies!$G27</f>
        <v>458672302</v>
      </c>
    </row>
    <row r="28" spans="1:9" ht="23">
      <c r="A28" s="2" t="s">
        <v>57</v>
      </c>
      <c r="B28" s="9" t="s">
        <v>58</v>
      </c>
      <c r="C28" s="9" t="s">
        <v>10</v>
      </c>
      <c r="D28" s="9" t="s">
        <v>11</v>
      </c>
      <c r="E28" s="9">
        <v>147</v>
      </c>
      <c r="F28" s="9">
        <v>8.1999999999999993</v>
      </c>
      <c r="G28" s="9">
        <v>250000000</v>
      </c>
      <c r="H28" s="9">
        <v>407197282</v>
      </c>
      <c r="I28" s="5">
        <f>IMDB_Movies!$H28-IMDB_Movies!$G28</f>
        <v>157197282</v>
      </c>
    </row>
    <row r="29" spans="1:9" ht="23">
      <c r="A29" s="3" t="s">
        <v>59</v>
      </c>
      <c r="B29" s="10" t="s">
        <v>60</v>
      </c>
      <c r="C29" s="10" t="s">
        <v>10</v>
      </c>
      <c r="D29" s="10" t="s">
        <v>11</v>
      </c>
      <c r="E29" s="10">
        <v>131</v>
      </c>
      <c r="F29" s="10">
        <v>5.9</v>
      </c>
      <c r="G29" s="10">
        <v>209000000</v>
      </c>
      <c r="H29" s="10">
        <v>65173160</v>
      </c>
      <c r="I29" s="5">
        <f>IMDB_Movies!$H29-IMDB_Movies!$G29</f>
        <v>-143826840</v>
      </c>
    </row>
    <row r="30" spans="1:9" ht="23">
      <c r="A30" s="2" t="s">
        <v>61</v>
      </c>
      <c r="B30" s="9" t="s">
        <v>62</v>
      </c>
      <c r="C30" s="9" t="s">
        <v>10</v>
      </c>
      <c r="D30" s="9" t="s">
        <v>11</v>
      </c>
      <c r="E30" s="9">
        <v>124</v>
      </c>
      <c r="F30" s="9">
        <v>7</v>
      </c>
      <c r="G30" s="9">
        <v>150000000</v>
      </c>
      <c r="H30" s="9">
        <v>652177271</v>
      </c>
      <c r="I30" s="5">
        <f>IMDB_Movies!$H30-IMDB_Movies!$G30</f>
        <v>502177271</v>
      </c>
    </row>
    <row r="31" spans="1:9" ht="23">
      <c r="A31" s="3" t="s">
        <v>63</v>
      </c>
      <c r="B31" s="10" t="s">
        <v>15</v>
      </c>
      <c r="C31" s="10" t="s">
        <v>10</v>
      </c>
      <c r="D31" s="10" t="s">
        <v>11</v>
      </c>
      <c r="E31" s="10">
        <v>143</v>
      </c>
      <c r="F31" s="10">
        <v>7.8</v>
      </c>
      <c r="G31" s="10">
        <v>200000000</v>
      </c>
      <c r="H31" s="10">
        <v>304360277</v>
      </c>
      <c r="I31" s="5">
        <f>IMDB_Movies!$H31-IMDB_Movies!$G31</f>
        <v>104360277</v>
      </c>
    </row>
    <row r="32" spans="1:9" ht="23">
      <c r="A32" s="2" t="s">
        <v>64</v>
      </c>
      <c r="B32" s="9" t="s">
        <v>21</v>
      </c>
      <c r="C32" s="9" t="s">
        <v>10</v>
      </c>
      <c r="D32" s="9" t="s">
        <v>11</v>
      </c>
      <c r="E32" s="9">
        <v>135</v>
      </c>
      <c r="F32" s="9">
        <v>7.3</v>
      </c>
      <c r="G32" s="9">
        <v>200000000</v>
      </c>
      <c r="H32" s="9">
        <v>373377893</v>
      </c>
      <c r="I32" s="5">
        <f>IMDB_Movies!$H32-IMDB_Movies!$G32</f>
        <v>173377893</v>
      </c>
    </row>
    <row r="33" spans="1:9" ht="23">
      <c r="A33" s="3" t="s">
        <v>65</v>
      </c>
      <c r="B33" s="10" t="s">
        <v>66</v>
      </c>
      <c r="C33" s="10" t="s">
        <v>10</v>
      </c>
      <c r="D33" s="10" t="s">
        <v>11</v>
      </c>
      <c r="E33" s="10">
        <v>195</v>
      </c>
      <c r="F33" s="10">
        <v>7.2</v>
      </c>
      <c r="G33" s="10">
        <v>200000000</v>
      </c>
      <c r="H33" s="10">
        <v>408992272</v>
      </c>
      <c r="I33" s="5">
        <f>IMDB_Movies!$H33-IMDB_Movies!$G33</f>
        <v>208992272</v>
      </c>
    </row>
    <row r="34" spans="1:9" ht="23">
      <c r="A34" s="2" t="s">
        <v>67</v>
      </c>
      <c r="B34" s="9" t="s">
        <v>68</v>
      </c>
      <c r="C34" s="9" t="s">
        <v>24</v>
      </c>
      <c r="D34" s="9" t="s">
        <v>11</v>
      </c>
      <c r="E34" s="9">
        <v>108</v>
      </c>
      <c r="F34" s="9">
        <v>6.5</v>
      </c>
      <c r="G34" s="9">
        <v>200000000</v>
      </c>
      <c r="H34" s="9">
        <v>334185206</v>
      </c>
      <c r="I34" s="5">
        <f>IMDB_Movies!$H34-IMDB_Movies!$G34</f>
        <v>134185206</v>
      </c>
    </row>
    <row r="35" spans="1:9" ht="23">
      <c r="A35" s="3" t="s">
        <v>69</v>
      </c>
      <c r="B35" s="10" t="s">
        <v>70</v>
      </c>
      <c r="C35" s="10" t="s">
        <v>10</v>
      </c>
      <c r="D35" s="10" t="s">
        <v>11</v>
      </c>
      <c r="E35" s="10">
        <v>104</v>
      </c>
      <c r="F35" s="10">
        <v>6.8</v>
      </c>
      <c r="G35" s="10">
        <v>210000000</v>
      </c>
      <c r="H35" s="10">
        <v>234360014</v>
      </c>
      <c r="I35" s="5">
        <f>IMDB_Movies!$H35-IMDB_Movies!$G35</f>
        <v>24360014</v>
      </c>
    </row>
    <row r="36" spans="1:9" ht="23">
      <c r="A36" s="2" t="s">
        <v>71</v>
      </c>
      <c r="B36" s="9" t="s">
        <v>72</v>
      </c>
      <c r="C36" s="9" t="s">
        <v>24</v>
      </c>
      <c r="D36" s="9" t="s">
        <v>11</v>
      </c>
      <c r="E36" s="9">
        <v>104</v>
      </c>
      <c r="F36" s="9">
        <v>7.3</v>
      </c>
      <c r="G36" s="9">
        <v>200000000</v>
      </c>
      <c r="H36" s="9">
        <v>268488329</v>
      </c>
      <c r="I36" s="5">
        <f>IMDB_Movies!$H36-IMDB_Movies!$G36</f>
        <v>68488329</v>
      </c>
    </row>
    <row r="37" spans="1:9" ht="23">
      <c r="A37" s="3" t="s">
        <v>73</v>
      </c>
      <c r="B37" s="10" t="s">
        <v>74</v>
      </c>
      <c r="C37" s="10" t="s">
        <v>10</v>
      </c>
      <c r="D37" s="10" t="s">
        <v>11</v>
      </c>
      <c r="E37" s="10">
        <v>150</v>
      </c>
      <c r="F37" s="10">
        <v>6</v>
      </c>
      <c r="G37" s="10">
        <v>200000000</v>
      </c>
      <c r="H37" s="10">
        <v>402076689</v>
      </c>
      <c r="I37" s="5">
        <f>IMDB_Movies!$H37-IMDB_Movies!$G37</f>
        <v>202076689</v>
      </c>
    </row>
    <row r="38" spans="1:9" ht="23">
      <c r="A38" s="2" t="s">
        <v>75</v>
      </c>
      <c r="B38" s="9" t="s">
        <v>74</v>
      </c>
      <c r="C38" s="9" t="s">
        <v>10</v>
      </c>
      <c r="D38" s="9" t="s">
        <v>11</v>
      </c>
      <c r="E38" s="9">
        <v>165</v>
      </c>
      <c r="F38" s="9">
        <v>5.7</v>
      </c>
      <c r="G38" s="9">
        <v>210000000</v>
      </c>
      <c r="H38" s="9">
        <v>245428137</v>
      </c>
      <c r="I38" s="5">
        <f>IMDB_Movies!$H38-IMDB_Movies!$G38</f>
        <v>35428137</v>
      </c>
    </row>
    <row r="39" spans="1:9" ht="23">
      <c r="A39" s="3" t="s">
        <v>76</v>
      </c>
      <c r="B39" s="10" t="s">
        <v>21</v>
      </c>
      <c r="C39" s="10" t="s">
        <v>24</v>
      </c>
      <c r="D39" s="10" t="s">
        <v>11</v>
      </c>
      <c r="E39" s="10">
        <v>130</v>
      </c>
      <c r="F39" s="10">
        <v>6.4</v>
      </c>
      <c r="G39" s="10">
        <v>215000000</v>
      </c>
      <c r="H39" s="10">
        <v>234903076</v>
      </c>
      <c r="I39" s="5">
        <f>IMDB_Movies!$H39-IMDB_Movies!$G39</f>
        <v>19903076</v>
      </c>
    </row>
    <row r="40" spans="1:9" ht="23">
      <c r="A40" s="2" t="s">
        <v>77</v>
      </c>
      <c r="B40" s="9" t="s">
        <v>48</v>
      </c>
      <c r="C40" s="9" t="s">
        <v>10</v>
      </c>
      <c r="D40" s="9" t="s">
        <v>11</v>
      </c>
      <c r="E40" s="9">
        <v>142</v>
      </c>
      <c r="F40" s="9">
        <v>6.7</v>
      </c>
      <c r="G40" s="9">
        <v>200000000</v>
      </c>
      <c r="H40" s="9">
        <v>202853933</v>
      </c>
      <c r="I40" s="5">
        <f>IMDB_Movies!$H40-IMDB_Movies!$G40</f>
        <v>2853933</v>
      </c>
    </row>
    <row r="41" spans="1:9" ht="23">
      <c r="A41" s="3" t="s">
        <v>78</v>
      </c>
      <c r="B41" s="10" t="s">
        <v>79</v>
      </c>
      <c r="C41" s="10" t="s">
        <v>10</v>
      </c>
      <c r="D41" s="10" t="s">
        <v>11</v>
      </c>
      <c r="E41" s="10">
        <v>125</v>
      </c>
      <c r="F41" s="10">
        <v>6.8</v>
      </c>
      <c r="G41" s="10">
        <v>170000000</v>
      </c>
      <c r="H41" s="10">
        <v>172051787</v>
      </c>
      <c r="I41" s="5">
        <f>IMDB_Movies!$H41-IMDB_Movies!$G41</f>
        <v>2051787</v>
      </c>
    </row>
    <row r="42" spans="1:9" ht="23">
      <c r="A42" s="2" t="s">
        <v>80</v>
      </c>
      <c r="B42" s="9" t="s">
        <v>81</v>
      </c>
      <c r="C42" s="9" t="s">
        <v>24</v>
      </c>
      <c r="D42" s="9" t="s">
        <v>11</v>
      </c>
      <c r="E42" s="9">
        <v>106</v>
      </c>
      <c r="F42" s="9">
        <v>6.3</v>
      </c>
      <c r="G42" s="9">
        <v>200000000</v>
      </c>
      <c r="H42" s="9">
        <v>191450875</v>
      </c>
      <c r="I42" s="5">
        <f>IMDB_Movies!$H42-IMDB_Movies!$G42</f>
        <v>-8549125</v>
      </c>
    </row>
    <row r="43" spans="1:9" ht="23">
      <c r="A43" s="3" t="s">
        <v>82</v>
      </c>
      <c r="B43" s="10" t="s">
        <v>83</v>
      </c>
      <c r="C43" s="10" t="s">
        <v>10</v>
      </c>
      <c r="D43" s="10" t="s">
        <v>11</v>
      </c>
      <c r="E43" s="10">
        <v>123</v>
      </c>
      <c r="F43" s="10">
        <v>5.6</v>
      </c>
      <c r="G43" s="10">
        <v>200000000</v>
      </c>
      <c r="H43" s="10">
        <v>116593191</v>
      </c>
      <c r="I43" s="5">
        <f>IMDB_Movies!$H43-IMDB_Movies!$G43</f>
        <v>-83406809</v>
      </c>
    </row>
    <row r="44" spans="1:9" ht="23">
      <c r="A44" s="2" t="s">
        <v>84</v>
      </c>
      <c r="B44" s="9" t="s">
        <v>85</v>
      </c>
      <c r="C44" s="9" t="s">
        <v>24</v>
      </c>
      <c r="D44" s="9" t="s">
        <v>11</v>
      </c>
      <c r="E44" s="9">
        <v>103</v>
      </c>
      <c r="F44" s="9">
        <v>8.3000000000000007</v>
      </c>
      <c r="G44" s="9">
        <v>200000000</v>
      </c>
      <c r="H44" s="9">
        <v>414984497</v>
      </c>
      <c r="I44" s="5">
        <f>IMDB_Movies!$H44-IMDB_Movies!$G44</f>
        <v>214984497</v>
      </c>
    </row>
    <row r="45" spans="1:9" ht="23">
      <c r="A45" s="3" t="s">
        <v>86</v>
      </c>
      <c r="B45" s="10" t="s">
        <v>87</v>
      </c>
      <c r="C45" s="10" t="s">
        <v>10</v>
      </c>
      <c r="D45" s="10" t="s">
        <v>11</v>
      </c>
      <c r="E45" s="10">
        <v>118</v>
      </c>
      <c r="F45" s="10">
        <v>6.6</v>
      </c>
      <c r="G45" s="10">
        <v>200000000</v>
      </c>
      <c r="H45" s="10">
        <v>125320003</v>
      </c>
      <c r="I45" s="5">
        <f>IMDB_Movies!$H45-IMDB_Movies!$G45</f>
        <v>-74679997</v>
      </c>
    </row>
    <row r="46" spans="1:9" ht="23">
      <c r="A46" s="2" t="s">
        <v>88</v>
      </c>
      <c r="B46" s="9" t="s">
        <v>89</v>
      </c>
      <c r="C46" s="9" t="s">
        <v>10</v>
      </c>
      <c r="D46" s="9" t="s">
        <v>11</v>
      </c>
      <c r="E46" s="9">
        <v>140</v>
      </c>
      <c r="F46" s="9">
        <v>7.2</v>
      </c>
      <c r="G46" s="9">
        <v>190000000</v>
      </c>
      <c r="H46" s="9">
        <v>350034110</v>
      </c>
      <c r="I46" s="5">
        <f>IMDB_Movies!$H46-IMDB_Movies!$G46</f>
        <v>160034110</v>
      </c>
    </row>
    <row r="47" spans="1:9" ht="23">
      <c r="A47" s="3" t="s">
        <v>90</v>
      </c>
      <c r="B47" s="10" t="s">
        <v>34</v>
      </c>
      <c r="C47" s="10" t="s">
        <v>10</v>
      </c>
      <c r="D47" s="10" t="s">
        <v>11</v>
      </c>
      <c r="E47" s="10">
        <v>123</v>
      </c>
      <c r="F47" s="10">
        <v>7</v>
      </c>
      <c r="G47" s="10">
        <v>190000000</v>
      </c>
      <c r="H47" s="10">
        <v>202351611</v>
      </c>
      <c r="I47" s="5">
        <f>IMDB_Movies!$H47-IMDB_Movies!$G47</f>
        <v>12351611</v>
      </c>
    </row>
    <row r="48" spans="1:9" ht="23">
      <c r="A48" s="2" t="s">
        <v>91</v>
      </c>
      <c r="B48" s="9" t="s">
        <v>32</v>
      </c>
      <c r="C48" s="9" t="s">
        <v>10</v>
      </c>
      <c r="D48" s="9" t="s">
        <v>11</v>
      </c>
      <c r="E48" s="9">
        <v>149</v>
      </c>
      <c r="F48" s="9">
        <v>8</v>
      </c>
      <c r="G48" s="9">
        <v>200000000</v>
      </c>
      <c r="H48" s="9">
        <v>233914986</v>
      </c>
      <c r="I48" s="5">
        <f>IMDB_Movies!$H48-IMDB_Movies!$G48</f>
        <v>33914986</v>
      </c>
    </row>
    <row r="49" spans="1:9" ht="23">
      <c r="A49" s="3" t="s">
        <v>92</v>
      </c>
      <c r="B49" s="10" t="s">
        <v>93</v>
      </c>
      <c r="C49" s="10" t="s">
        <v>10</v>
      </c>
      <c r="D49" s="10" t="s">
        <v>11</v>
      </c>
      <c r="E49" s="10">
        <v>132</v>
      </c>
      <c r="F49" s="10">
        <v>7.8</v>
      </c>
      <c r="G49" s="10">
        <v>190000000</v>
      </c>
      <c r="H49" s="10">
        <v>228756232</v>
      </c>
      <c r="I49" s="5">
        <f>IMDB_Movies!$H49-IMDB_Movies!$G49</f>
        <v>38756232</v>
      </c>
    </row>
    <row r="50" spans="1:9" ht="23">
      <c r="A50" s="2" t="s">
        <v>94</v>
      </c>
      <c r="B50" s="9" t="s">
        <v>32</v>
      </c>
      <c r="C50" s="9" t="s">
        <v>24</v>
      </c>
      <c r="D50" s="9" t="s">
        <v>11</v>
      </c>
      <c r="E50" s="9">
        <v>114</v>
      </c>
      <c r="F50" s="9">
        <v>6.3</v>
      </c>
      <c r="G50" s="9">
        <v>195000000</v>
      </c>
      <c r="H50" s="9">
        <v>65171860</v>
      </c>
      <c r="I50" s="5">
        <f>IMDB_Movies!$H50-IMDB_Movies!$G50</f>
        <v>-129828140</v>
      </c>
    </row>
    <row r="51" spans="1:9" ht="23">
      <c r="A51" s="3" t="s">
        <v>95</v>
      </c>
      <c r="B51" s="10" t="s">
        <v>96</v>
      </c>
      <c r="C51" s="10" t="s">
        <v>56</v>
      </c>
      <c r="D51" s="10" t="s">
        <v>11</v>
      </c>
      <c r="E51" s="10">
        <v>143</v>
      </c>
      <c r="F51" s="10">
        <v>7.3</v>
      </c>
      <c r="G51" s="10">
        <v>105000000</v>
      </c>
      <c r="H51" s="10">
        <v>144812796</v>
      </c>
      <c r="I51" s="5">
        <f>IMDB_Movies!$H51-IMDB_Movies!$G51</f>
        <v>39812796</v>
      </c>
    </row>
    <row r="52" spans="1:9" ht="23">
      <c r="A52" s="2" t="s">
        <v>97</v>
      </c>
      <c r="B52" s="9" t="s">
        <v>98</v>
      </c>
      <c r="C52" s="9" t="s">
        <v>10</v>
      </c>
      <c r="D52" s="9" t="s">
        <v>11</v>
      </c>
      <c r="E52" s="9">
        <v>116</v>
      </c>
      <c r="F52" s="9">
        <v>6.6</v>
      </c>
      <c r="G52" s="9">
        <v>200000000</v>
      </c>
      <c r="H52" s="9">
        <v>90755643</v>
      </c>
      <c r="I52" s="5">
        <f>IMDB_Movies!$H52-IMDB_Movies!$G52</f>
        <v>-109244357</v>
      </c>
    </row>
    <row r="53" spans="1:9" ht="23">
      <c r="A53" s="3" t="s">
        <v>99</v>
      </c>
      <c r="B53" s="10" t="s">
        <v>100</v>
      </c>
      <c r="C53" s="10" t="s">
        <v>10</v>
      </c>
      <c r="D53" s="10" t="s">
        <v>11</v>
      </c>
      <c r="E53" s="10">
        <v>131</v>
      </c>
      <c r="F53" s="10">
        <v>7</v>
      </c>
      <c r="G53" s="10">
        <v>190000000</v>
      </c>
      <c r="H53" s="10">
        <v>101785482</v>
      </c>
      <c r="I53" s="5">
        <f>IMDB_Movies!$H53-IMDB_Movies!$G53</f>
        <v>-88214518</v>
      </c>
    </row>
    <row r="54" spans="1:9" ht="23">
      <c r="A54" s="2" t="s">
        <v>101</v>
      </c>
      <c r="B54" s="9" t="s">
        <v>74</v>
      </c>
      <c r="C54" s="9" t="s">
        <v>10</v>
      </c>
      <c r="D54" s="9" t="s">
        <v>11</v>
      </c>
      <c r="E54" s="9">
        <v>154</v>
      </c>
      <c r="F54" s="9">
        <v>6.3</v>
      </c>
      <c r="G54" s="9">
        <v>195000000</v>
      </c>
      <c r="H54" s="9">
        <v>352358779</v>
      </c>
      <c r="I54" s="5">
        <f>IMDB_Movies!$H54-IMDB_Movies!$G54</f>
        <v>157358779</v>
      </c>
    </row>
    <row r="55" spans="1:9" ht="23">
      <c r="A55" s="3" t="s">
        <v>102</v>
      </c>
      <c r="B55" s="10" t="s">
        <v>103</v>
      </c>
      <c r="C55" s="10" t="s">
        <v>10</v>
      </c>
      <c r="D55" s="10" t="s">
        <v>11</v>
      </c>
      <c r="E55" s="10">
        <v>122</v>
      </c>
      <c r="F55" s="10">
        <v>6.2</v>
      </c>
      <c r="G55" s="10">
        <v>185000000</v>
      </c>
      <c r="H55" s="10">
        <v>317011114</v>
      </c>
      <c r="I55" s="5">
        <f>IMDB_Movies!$H55-IMDB_Movies!$G55</f>
        <v>132011114</v>
      </c>
    </row>
    <row r="56" spans="1:9" ht="23">
      <c r="A56" s="2" t="s">
        <v>104</v>
      </c>
      <c r="B56" s="9" t="s">
        <v>105</v>
      </c>
      <c r="C56" s="9" t="s">
        <v>24</v>
      </c>
      <c r="D56" s="9" t="s">
        <v>11</v>
      </c>
      <c r="E56" s="9">
        <v>93</v>
      </c>
      <c r="F56" s="9">
        <v>6.8</v>
      </c>
      <c r="G56" s="9">
        <v>20000000</v>
      </c>
      <c r="H56" s="9">
        <v>123070338</v>
      </c>
      <c r="I56" s="5">
        <f>IMDB_Movies!$H56-IMDB_Movies!$G56</f>
        <v>103070338</v>
      </c>
    </row>
    <row r="57" spans="1:9" ht="23">
      <c r="A57" s="3" t="s">
        <v>106</v>
      </c>
      <c r="B57" s="10" t="s">
        <v>107</v>
      </c>
      <c r="C57" s="10" t="s">
        <v>24</v>
      </c>
      <c r="D57" s="10" t="s">
        <v>11</v>
      </c>
      <c r="E57" s="10">
        <v>93</v>
      </c>
      <c r="F57" s="10">
        <v>7.2</v>
      </c>
      <c r="G57" s="10">
        <v>185000000</v>
      </c>
      <c r="H57" s="10">
        <v>237282182</v>
      </c>
      <c r="I57" s="5">
        <f>IMDB_Movies!$H57-IMDB_Movies!$G57</f>
        <v>52282182</v>
      </c>
    </row>
    <row r="58" spans="1:9" ht="23">
      <c r="A58" s="2" t="s">
        <v>108</v>
      </c>
      <c r="B58" s="9" t="s">
        <v>109</v>
      </c>
      <c r="C58" s="9" t="s">
        <v>10</v>
      </c>
      <c r="D58" s="9" t="s">
        <v>11</v>
      </c>
      <c r="E58" s="9">
        <v>122</v>
      </c>
      <c r="F58" s="9">
        <v>7.5</v>
      </c>
      <c r="G58" s="9">
        <v>185000000</v>
      </c>
      <c r="H58" s="9">
        <v>130468626</v>
      </c>
      <c r="I58" s="5">
        <f>IMDB_Movies!$H58-IMDB_Movies!$G58</f>
        <v>-54531374</v>
      </c>
    </row>
    <row r="59" spans="1:9" ht="23">
      <c r="A59" s="3" t="s">
        <v>110</v>
      </c>
      <c r="B59" s="10" t="s">
        <v>19</v>
      </c>
      <c r="C59" s="10" t="s">
        <v>24</v>
      </c>
      <c r="D59" s="10" t="s">
        <v>11</v>
      </c>
      <c r="E59" s="10">
        <v>98</v>
      </c>
      <c r="F59" s="10">
        <v>8.4</v>
      </c>
      <c r="G59" s="10">
        <v>180000000</v>
      </c>
      <c r="H59" s="10">
        <v>223806889</v>
      </c>
      <c r="I59" s="5">
        <f>IMDB_Movies!$H59-IMDB_Movies!$G59</f>
        <v>43806889</v>
      </c>
    </row>
    <row r="60" spans="1:9" ht="23">
      <c r="A60" s="2" t="s">
        <v>111</v>
      </c>
      <c r="B60" s="9" t="s">
        <v>70</v>
      </c>
      <c r="C60" s="9" t="s">
        <v>10</v>
      </c>
      <c r="D60" s="9" t="s">
        <v>11</v>
      </c>
      <c r="E60" s="9">
        <v>91</v>
      </c>
      <c r="F60" s="9">
        <v>6.2</v>
      </c>
      <c r="G60" s="9">
        <v>140000000</v>
      </c>
      <c r="H60" s="9">
        <v>140080850</v>
      </c>
      <c r="I60" s="5">
        <f>IMDB_Movies!$H60-IMDB_Movies!$G60</f>
        <v>80850</v>
      </c>
    </row>
    <row r="61" spans="1:9" ht="23">
      <c r="A61" s="3" t="s">
        <v>112</v>
      </c>
      <c r="B61" s="10" t="s">
        <v>113</v>
      </c>
      <c r="C61" s="10" t="s">
        <v>10</v>
      </c>
      <c r="D61" s="10" t="s">
        <v>11</v>
      </c>
      <c r="E61" s="10">
        <v>158</v>
      </c>
      <c r="F61" s="10">
        <v>5.8</v>
      </c>
      <c r="G61" s="10">
        <v>200000000</v>
      </c>
      <c r="H61" s="10">
        <v>166112167</v>
      </c>
      <c r="I61" s="5">
        <f>IMDB_Movies!$H61-IMDB_Movies!$G61</f>
        <v>-33887833</v>
      </c>
    </row>
    <row r="62" spans="1:9" ht="23">
      <c r="A62" s="2" t="s">
        <v>114</v>
      </c>
      <c r="B62" s="9" t="s">
        <v>115</v>
      </c>
      <c r="C62" s="9" t="s">
        <v>116</v>
      </c>
      <c r="D62" s="9" t="s">
        <v>11</v>
      </c>
      <c r="E62" s="9">
        <v>96</v>
      </c>
      <c r="F62" s="9">
        <v>6.8</v>
      </c>
      <c r="G62" s="9">
        <v>200000000</v>
      </c>
      <c r="H62" s="9">
        <v>137850096</v>
      </c>
      <c r="I62" s="5">
        <f>IMDB_Movies!$H62-IMDB_Movies!$G62</f>
        <v>-62149904</v>
      </c>
    </row>
    <row r="63" spans="1:9" ht="23">
      <c r="A63" s="3" t="s">
        <v>117</v>
      </c>
      <c r="B63" s="10" t="s">
        <v>118</v>
      </c>
      <c r="C63" s="10" t="s">
        <v>10</v>
      </c>
      <c r="D63" s="10" t="s">
        <v>11</v>
      </c>
      <c r="E63" s="10">
        <v>127</v>
      </c>
      <c r="F63" s="10">
        <v>5.4</v>
      </c>
      <c r="G63" s="10">
        <v>176000000</v>
      </c>
      <c r="H63" s="10">
        <v>47375327</v>
      </c>
      <c r="I63" s="5">
        <f>IMDB_Movies!$H63-IMDB_Movies!$G63</f>
        <v>-128624673</v>
      </c>
    </row>
    <row r="64" spans="1:9" ht="23">
      <c r="A64" s="2" t="s">
        <v>119</v>
      </c>
      <c r="B64" s="9" t="s">
        <v>28</v>
      </c>
      <c r="C64" s="9" t="s">
        <v>10</v>
      </c>
      <c r="D64" s="9" t="s">
        <v>11</v>
      </c>
      <c r="E64" s="9">
        <v>110</v>
      </c>
      <c r="F64" s="9">
        <v>6.6</v>
      </c>
      <c r="G64" s="9">
        <v>180000000</v>
      </c>
      <c r="H64" s="9">
        <v>124051759</v>
      </c>
      <c r="I64" s="5">
        <f>IMDB_Movies!$H64-IMDB_Movies!$G64</f>
        <v>-55948241</v>
      </c>
    </row>
    <row r="65" spans="1:9" ht="23">
      <c r="A65" s="3" t="s">
        <v>120</v>
      </c>
      <c r="B65" s="10" t="s">
        <v>39</v>
      </c>
      <c r="C65" s="10" t="s">
        <v>24</v>
      </c>
      <c r="D65" s="10" t="s">
        <v>11</v>
      </c>
      <c r="E65" s="10">
        <v>150</v>
      </c>
      <c r="F65" s="10">
        <v>6.9</v>
      </c>
      <c r="G65" s="10">
        <v>180000000</v>
      </c>
      <c r="H65" s="10">
        <v>291709845</v>
      </c>
      <c r="I65" s="5">
        <f>IMDB_Movies!$H65-IMDB_Movies!$G65</f>
        <v>111709845</v>
      </c>
    </row>
    <row r="66" spans="1:9" ht="23">
      <c r="A66" s="2" t="s">
        <v>121</v>
      </c>
      <c r="B66" s="9" t="s">
        <v>32</v>
      </c>
      <c r="C66" s="9" t="s">
        <v>10</v>
      </c>
      <c r="D66" s="9" t="s">
        <v>11</v>
      </c>
      <c r="E66" s="9">
        <v>144</v>
      </c>
      <c r="F66" s="9">
        <v>7.3</v>
      </c>
      <c r="G66" s="9">
        <v>178000000</v>
      </c>
      <c r="H66" s="9">
        <v>154985087</v>
      </c>
      <c r="I66" s="5">
        <f>IMDB_Movies!$H66-IMDB_Movies!$G66</f>
        <v>-23014913</v>
      </c>
    </row>
    <row r="67" spans="1:9" ht="23">
      <c r="A67" s="3" t="s">
        <v>122</v>
      </c>
      <c r="B67" s="10" t="s">
        <v>17</v>
      </c>
      <c r="C67" s="10" t="s">
        <v>10</v>
      </c>
      <c r="D67" s="10" t="s">
        <v>11</v>
      </c>
      <c r="E67" s="10">
        <v>152</v>
      </c>
      <c r="F67" s="10">
        <v>9</v>
      </c>
      <c r="G67" s="10">
        <v>185000000</v>
      </c>
      <c r="H67" s="10">
        <v>533316061</v>
      </c>
      <c r="I67" s="5">
        <f>IMDB_Movies!$H67-IMDB_Movies!$G67</f>
        <v>348316061</v>
      </c>
    </row>
    <row r="68" spans="1:9" ht="23">
      <c r="A68" s="2" t="s">
        <v>123</v>
      </c>
      <c r="B68" s="9" t="s">
        <v>124</v>
      </c>
      <c r="C68" s="9" t="s">
        <v>24</v>
      </c>
      <c r="D68" s="9" t="s">
        <v>11</v>
      </c>
      <c r="E68" s="9">
        <v>96</v>
      </c>
      <c r="F68" s="9">
        <v>8.3000000000000007</v>
      </c>
      <c r="G68" s="9">
        <v>175000000</v>
      </c>
      <c r="H68" s="9">
        <v>292979556</v>
      </c>
      <c r="I68" s="5">
        <f>IMDB_Movies!$H68-IMDB_Movies!$G68</f>
        <v>117979556</v>
      </c>
    </row>
    <row r="69" spans="1:9" ht="23">
      <c r="A69" s="3" t="s">
        <v>125</v>
      </c>
      <c r="B69" s="10" t="s">
        <v>126</v>
      </c>
      <c r="C69" s="10" t="s">
        <v>10</v>
      </c>
      <c r="D69" s="10" t="s">
        <v>11</v>
      </c>
      <c r="E69" s="10">
        <v>94</v>
      </c>
      <c r="F69" s="10">
        <v>6.5</v>
      </c>
      <c r="G69" s="10">
        <v>175000000</v>
      </c>
      <c r="H69" s="10">
        <v>198332128</v>
      </c>
      <c r="I69" s="5">
        <f>IMDB_Movies!$H69-IMDB_Movies!$G69</f>
        <v>23332128</v>
      </c>
    </row>
    <row r="70" spans="1:9" ht="23">
      <c r="A70" s="2" t="s">
        <v>127</v>
      </c>
      <c r="B70" s="9" t="s">
        <v>128</v>
      </c>
      <c r="C70" s="9" t="s">
        <v>10</v>
      </c>
      <c r="D70" s="9" t="s">
        <v>11</v>
      </c>
      <c r="E70" s="9">
        <v>126</v>
      </c>
      <c r="F70" s="9">
        <v>7.9</v>
      </c>
      <c r="G70" s="9">
        <v>140000000</v>
      </c>
      <c r="H70" s="9">
        <v>318298180</v>
      </c>
      <c r="I70" s="5">
        <f>IMDB_Movies!$H70-IMDB_Movies!$G70</f>
        <v>178298180</v>
      </c>
    </row>
    <row r="71" spans="1:9" ht="23">
      <c r="A71" s="3" t="s">
        <v>129</v>
      </c>
      <c r="B71" s="10" t="s">
        <v>130</v>
      </c>
      <c r="C71" s="10" t="s">
        <v>24</v>
      </c>
      <c r="D71" s="10" t="s">
        <v>11</v>
      </c>
      <c r="E71" s="10">
        <v>126</v>
      </c>
      <c r="F71" s="10">
        <v>7.5</v>
      </c>
      <c r="G71" s="10">
        <v>170000000</v>
      </c>
      <c r="H71" s="10">
        <v>73820094</v>
      </c>
      <c r="I71" s="5">
        <f>IMDB_Movies!$H71-IMDB_Movies!$G71</f>
        <v>-96179906</v>
      </c>
    </row>
    <row r="72" spans="1:9" ht="23">
      <c r="A72" s="2" t="s">
        <v>131</v>
      </c>
      <c r="B72" s="9" t="s">
        <v>44</v>
      </c>
      <c r="C72" s="9" t="s">
        <v>10</v>
      </c>
      <c r="D72" s="9" t="s">
        <v>11</v>
      </c>
      <c r="E72" s="9">
        <v>106</v>
      </c>
      <c r="F72" s="9">
        <v>4.8</v>
      </c>
      <c r="G72" s="9">
        <v>170000000</v>
      </c>
      <c r="H72" s="9">
        <v>113745408</v>
      </c>
      <c r="I72" s="5">
        <f>IMDB_Movies!$H72-IMDB_Movies!$G72</f>
        <v>-56254592</v>
      </c>
    </row>
    <row r="73" spans="1:9" ht="23">
      <c r="A73" s="3" t="s">
        <v>132</v>
      </c>
      <c r="B73" s="10" t="s">
        <v>133</v>
      </c>
      <c r="C73" s="10" t="s">
        <v>10</v>
      </c>
      <c r="D73" s="10" t="s">
        <v>11</v>
      </c>
      <c r="E73" s="10">
        <v>112</v>
      </c>
      <c r="F73" s="10">
        <v>5.2</v>
      </c>
      <c r="G73" s="10">
        <v>145000000</v>
      </c>
      <c r="H73" s="10">
        <v>102176165</v>
      </c>
      <c r="I73" s="5">
        <f>IMDB_Movies!$H73-IMDB_Movies!$G73</f>
        <v>-42823835</v>
      </c>
    </row>
    <row r="74" spans="1:9" ht="23">
      <c r="A74" s="2" t="s">
        <v>134</v>
      </c>
      <c r="B74" s="9" t="s">
        <v>135</v>
      </c>
      <c r="C74" s="9" t="s">
        <v>10</v>
      </c>
      <c r="D74" s="9" t="s">
        <v>11</v>
      </c>
      <c r="E74" s="9">
        <v>123</v>
      </c>
      <c r="F74" s="9">
        <v>6.9</v>
      </c>
      <c r="G74" s="9">
        <v>175000000</v>
      </c>
      <c r="H74" s="9">
        <v>161087183</v>
      </c>
      <c r="I74" s="5">
        <f>IMDB_Movies!$H74-IMDB_Movies!$G74</f>
        <v>-13912817</v>
      </c>
    </row>
    <row r="75" spans="1:9" ht="23">
      <c r="A75" s="3" t="s">
        <v>136</v>
      </c>
      <c r="B75" s="10" t="s">
        <v>137</v>
      </c>
      <c r="C75" s="10" t="s">
        <v>138</v>
      </c>
      <c r="D75" s="10" t="s">
        <v>11</v>
      </c>
      <c r="E75" s="10">
        <v>96</v>
      </c>
      <c r="F75" s="10">
        <v>5.4</v>
      </c>
      <c r="G75" s="10">
        <v>175000000</v>
      </c>
      <c r="H75" s="10">
        <v>100289690</v>
      </c>
      <c r="I75" s="5">
        <f>IMDB_Movies!$H75-IMDB_Movies!$G75</f>
        <v>-74710310</v>
      </c>
    </row>
    <row r="76" spans="1:9" ht="23">
      <c r="A76" s="2" t="s">
        <v>139</v>
      </c>
      <c r="B76" s="9" t="s">
        <v>140</v>
      </c>
      <c r="C76" s="9" t="s">
        <v>10</v>
      </c>
      <c r="D76" s="9" t="s">
        <v>11</v>
      </c>
      <c r="E76" s="9">
        <v>113</v>
      </c>
      <c r="F76" s="9">
        <v>7.9</v>
      </c>
      <c r="G76" s="9">
        <v>178000000</v>
      </c>
      <c r="H76" s="9">
        <v>100189501</v>
      </c>
      <c r="I76" s="5">
        <f>IMDB_Movies!$H76-IMDB_Movies!$G76</f>
        <v>-77810499</v>
      </c>
    </row>
    <row r="77" spans="1:9" ht="23">
      <c r="A77" s="3" t="s">
        <v>141</v>
      </c>
      <c r="B77" s="10" t="s">
        <v>142</v>
      </c>
      <c r="C77" s="10" t="s">
        <v>10</v>
      </c>
      <c r="D77" s="10" t="s">
        <v>11</v>
      </c>
      <c r="E77" s="10">
        <v>176</v>
      </c>
      <c r="F77" s="10">
        <v>6.1</v>
      </c>
      <c r="G77" s="10">
        <v>175000000</v>
      </c>
      <c r="H77" s="10">
        <v>88246220</v>
      </c>
      <c r="I77" s="5">
        <f>IMDB_Movies!$H77-IMDB_Movies!$G77</f>
        <v>-86753780</v>
      </c>
    </row>
    <row r="78" spans="1:9" ht="23">
      <c r="A78" s="2" t="s">
        <v>143</v>
      </c>
      <c r="B78" s="9" t="s">
        <v>144</v>
      </c>
      <c r="C78" s="9" t="s">
        <v>10</v>
      </c>
      <c r="D78" s="9" t="s">
        <v>11</v>
      </c>
      <c r="E78" s="9">
        <v>118</v>
      </c>
      <c r="F78" s="9">
        <v>5.8</v>
      </c>
      <c r="G78" s="9">
        <v>175000000</v>
      </c>
      <c r="H78" s="9">
        <v>150167630</v>
      </c>
      <c r="I78" s="5">
        <f>IMDB_Movies!$H78-IMDB_Movies!$G78</f>
        <v>-24832370</v>
      </c>
    </row>
    <row r="79" spans="1:9" ht="23">
      <c r="A79" s="3" t="s">
        <v>145</v>
      </c>
      <c r="B79" s="10" t="s">
        <v>124</v>
      </c>
      <c r="C79" s="10" t="s">
        <v>24</v>
      </c>
      <c r="D79" s="10" t="s">
        <v>11</v>
      </c>
      <c r="E79" s="10">
        <v>95</v>
      </c>
      <c r="F79" s="10">
        <v>8.3000000000000007</v>
      </c>
      <c r="G79" s="10">
        <v>175000000</v>
      </c>
      <c r="H79" s="10">
        <v>356454367</v>
      </c>
      <c r="I79" s="5">
        <f>IMDB_Movies!$H79-IMDB_Movies!$G79</f>
        <v>181454367</v>
      </c>
    </row>
    <row r="80" spans="1:9" ht="23">
      <c r="A80" s="2" t="s">
        <v>146</v>
      </c>
      <c r="B80" s="9" t="s">
        <v>128</v>
      </c>
      <c r="C80" s="9" t="s">
        <v>24</v>
      </c>
      <c r="D80" s="9" t="s">
        <v>11</v>
      </c>
      <c r="E80" s="9">
        <v>106</v>
      </c>
      <c r="F80" s="9">
        <v>7.8</v>
      </c>
      <c r="G80" s="9">
        <v>175000000</v>
      </c>
      <c r="H80" s="9">
        <v>362645141</v>
      </c>
      <c r="I80" s="5">
        <f>IMDB_Movies!$H80-IMDB_Movies!$G80</f>
        <v>187645141</v>
      </c>
    </row>
    <row r="81" spans="1:9" ht="23">
      <c r="A81" s="3" t="s">
        <v>147</v>
      </c>
      <c r="B81" s="10" t="s">
        <v>128</v>
      </c>
      <c r="C81" s="10" t="s">
        <v>10</v>
      </c>
      <c r="D81" s="10" t="s">
        <v>11</v>
      </c>
      <c r="E81" s="10">
        <v>124</v>
      </c>
      <c r="F81" s="10">
        <v>7</v>
      </c>
      <c r="G81" s="10">
        <v>200000000</v>
      </c>
      <c r="H81" s="10">
        <v>312057433</v>
      </c>
      <c r="I81" s="5">
        <f>IMDB_Movies!$H81-IMDB_Movies!$G81</f>
        <v>112057433</v>
      </c>
    </row>
    <row r="82" spans="1:9" ht="23">
      <c r="A82" s="2" t="s">
        <v>148</v>
      </c>
      <c r="B82" s="9" t="s">
        <v>149</v>
      </c>
      <c r="C82" s="9" t="s">
        <v>10</v>
      </c>
      <c r="D82" s="9" t="s">
        <v>11</v>
      </c>
      <c r="E82" s="9">
        <v>132</v>
      </c>
      <c r="F82" s="9">
        <v>6.1</v>
      </c>
      <c r="G82" s="9">
        <v>170000000</v>
      </c>
      <c r="H82" s="9">
        <v>155111815</v>
      </c>
      <c r="I82" s="5">
        <f>IMDB_Movies!$H82-IMDB_Movies!$G82</f>
        <v>-14888185</v>
      </c>
    </row>
    <row r="83" spans="1:9" ht="23">
      <c r="A83" s="3" t="s">
        <v>150</v>
      </c>
      <c r="B83" s="10" t="s">
        <v>151</v>
      </c>
      <c r="C83" s="10" t="s">
        <v>10</v>
      </c>
      <c r="D83" s="10" t="s">
        <v>11</v>
      </c>
      <c r="E83" s="10">
        <v>97</v>
      </c>
      <c r="F83" s="10">
        <v>7</v>
      </c>
      <c r="G83" s="10">
        <v>180000000</v>
      </c>
      <c r="H83" s="10">
        <v>241407328</v>
      </c>
      <c r="I83" s="5">
        <f>IMDB_Movies!$H83-IMDB_Movies!$G83</f>
        <v>61407328</v>
      </c>
    </row>
    <row r="84" spans="1:9" ht="23">
      <c r="A84" s="2" t="s">
        <v>152</v>
      </c>
      <c r="B84" s="9" t="s">
        <v>153</v>
      </c>
      <c r="C84" s="9" t="s">
        <v>10</v>
      </c>
      <c r="D84" s="9" t="s">
        <v>11</v>
      </c>
      <c r="E84" s="9">
        <v>130</v>
      </c>
      <c r="F84" s="9">
        <v>7.6</v>
      </c>
      <c r="G84" s="9">
        <v>170000000</v>
      </c>
      <c r="H84" s="9">
        <v>208543795</v>
      </c>
      <c r="I84" s="5">
        <f>IMDB_Movies!$H84-IMDB_Movies!$G84</f>
        <v>38543795</v>
      </c>
    </row>
    <row r="85" spans="1:9" ht="23">
      <c r="A85" s="3" t="s">
        <v>154</v>
      </c>
      <c r="B85" s="10" t="s">
        <v>155</v>
      </c>
      <c r="C85" s="10" t="s">
        <v>10</v>
      </c>
      <c r="D85" s="10" t="s">
        <v>11</v>
      </c>
      <c r="E85" s="10">
        <v>109</v>
      </c>
      <c r="F85" s="10">
        <v>4.5</v>
      </c>
      <c r="G85" s="10">
        <v>20000000</v>
      </c>
      <c r="H85" s="10">
        <v>25078937</v>
      </c>
      <c r="I85" s="5">
        <f>IMDB_Movies!$H85-IMDB_Movies!$G85</f>
        <v>5078937</v>
      </c>
    </row>
    <row r="86" spans="1:9" ht="23">
      <c r="A86" s="2" t="s">
        <v>156</v>
      </c>
      <c r="B86" s="9" t="s">
        <v>157</v>
      </c>
      <c r="C86" s="9" t="s">
        <v>10</v>
      </c>
      <c r="D86" s="9" t="s">
        <v>11</v>
      </c>
      <c r="E86" s="9">
        <v>128</v>
      </c>
      <c r="F86" s="9">
        <v>6.3</v>
      </c>
      <c r="G86" s="9">
        <v>175000000</v>
      </c>
      <c r="H86" s="9">
        <v>38297305</v>
      </c>
      <c r="I86" s="5">
        <f>IMDB_Movies!$H86-IMDB_Movies!$G86</f>
        <v>-136702695</v>
      </c>
    </row>
    <row r="87" spans="1:9" ht="23">
      <c r="A87" s="3" t="s">
        <v>158</v>
      </c>
      <c r="B87" s="10" t="s">
        <v>58</v>
      </c>
      <c r="C87" s="10" t="s">
        <v>10</v>
      </c>
      <c r="D87" s="10" t="s">
        <v>11</v>
      </c>
      <c r="E87" s="10">
        <v>136</v>
      </c>
      <c r="F87" s="10">
        <v>7.8</v>
      </c>
      <c r="G87" s="10">
        <v>170000000</v>
      </c>
      <c r="H87" s="10">
        <v>259746958</v>
      </c>
      <c r="I87" s="5">
        <f>IMDB_Movies!$H87-IMDB_Movies!$G87</f>
        <v>89746958</v>
      </c>
    </row>
    <row r="88" spans="1:9" ht="23">
      <c r="A88" s="2" t="s">
        <v>159</v>
      </c>
      <c r="B88" s="9" t="s">
        <v>160</v>
      </c>
      <c r="C88" s="9" t="s">
        <v>24</v>
      </c>
      <c r="D88" s="9" t="s">
        <v>11</v>
      </c>
      <c r="E88" s="9">
        <v>93</v>
      </c>
      <c r="F88" s="9">
        <v>6.4</v>
      </c>
      <c r="G88" s="9">
        <v>165000000</v>
      </c>
      <c r="H88" s="9">
        <v>238371987</v>
      </c>
      <c r="I88" s="5">
        <f>IMDB_Movies!$H88-IMDB_Movies!$G88</f>
        <v>73371987</v>
      </c>
    </row>
    <row r="89" spans="1:9" ht="23">
      <c r="A89" s="3" t="s">
        <v>161</v>
      </c>
      <c r="B89" s="10" t="s">
        <v>162</v>
      </c>
      <c r="C89" s="10" t="s">
        <v>10</v>
      </c>
      <c r="D89" s="10" t="s">
        <v>11</v>
      </c>
      <c r="E89" s="10">
        <v>130</v>
      </c>
      <c r="F89" s="10">
        <v>6.5</v>
      </c>
      <c r="G89" s="10">
        <v>190000000</v>
      </c>
      <c r="H89" s="10">
        <v>93417865</v>
      </c>
      <c r="I89" s="5">
        <f>IMDB_Movies!$H89-IMDB_Movies!$G89</f>
        <v>-96582135</v>
      </c>
    </row>
    <row r="90" spans="1:9" ht="23">
      <c r="A90" s="2" t="s">
        <v>163</v>
      </c>
      <c r="B90" s="9" t="s">
        <v>164</v>
      </c>
      <c r="C90" s="9" t="s">
        <v>10</v>
      </c>
      <c r="D90" s="9" t="s">
        <v>11</v>
      </c>
      <c r="E90" s="9">
        <v>102</v>
      </c>
      <c r="F90" s="9">
        <v>7.9</v>
      </c>
      <c r="G90" s="9">
        <v>165000000</v>
      </c>
      <c r="H90" s="9">
        <v>222487711</v>
      </c>
      <c r="I90" s="5">
        <f>IMDB_Movies!$H90-IMDB_Movies!$G90</f>
        <v>57487711</v>
      </c>
    </row>
    <row r="91" spans="1:9" ht="23">
      <c r="A91" s="3" t="s">
        <v>165</v>
      </c>
      <c r="B91" s="10" t="s">
        <v>166</v>
      </c>
      <c r="C91" s="10" t="s">
        <v>24</v>
      </c>
      <c r="D91" s="10" t="s">
        <v>11</v>
      </c>
      <c r="E91" s="10">
        <v>101</v>
      </c>
      <c r="F91" s="10">
        <v>7.8</v>
      </c>
      <c r="G91" s="10">
        <v>165000000</v>
      </c>
      <c r="H91" s="10">
        <v>189412677</v>
      </c>
      <c r="I91" s="5">
        <f>IMDB_Movies!$H91-IMDB_Movies!$G91</f>
        <v>24412677</v>
      </c>
    </row>
    <row r="92" spans="1:9" ht="23">
      <c r="A92" s="2" t="s">
        <v>167</v>
      </c>
      <c r="B92" s="9" t="s">
        <v>115</v>
      </c>
      <c r="C92" s="9" t="s">
        <v>24</v>
      </c>
      <c r="D92" s="9" t="s">
        <v>11</v>
      </c>
      <c r="E92" s="9">
        <v>100</v>
      </c>
      <c r="F92" s="9">
        <v>6.6</v>
      </c>
      <c r="G92" s="9">
        <v>165000000</v>
      </c>
      <c r="H92" s="9">
        <v>665426</v>
      </c>
      <c r="I92" s="5">
        <f>IMDB_Movies!$H92-IMDB_Movies!$G92</f>
        <v>-164334574</v>
      </c>
    </row>
    <row r="93" spans="1:9" ht="23">
      <c r="A93" s="3" t="s">
        <v>168</v>
      </c>
      <c r="B93" s="10" t="s">
        <v>113</v>
      </c>
      <c r="C93" s="10" t="s">
        <v>10</v>
      </c>
      <c r="D93" s="10" t="s">
        <v>11</v>
      </c>
      <c r="E93" s="10">
        <v>120</v>
      </c>
      <c r="F93" s="10">
        <v>5.5</v>
      </c>
      <c r="G93" s="10">
        <v>165000000</v>
      </c>
      <c r="H93" s="10">
        <v>102315545</v>
      </c>
      <c r="I93" s="5">
        <f>IMDB_Movies!$H93-IMDB_Movies!$G93</f>
        <v>-62684455</v>
      </c>
    </row>
    <row r="94" spans="1:9" ht="23">
      <c r="A94" s="2" t="s">
        <v>169</v>
      </c>
      <c r="B94" s="9" t="s">
        <v>170</v>
      </c>
      <c r="C94" s="9" t="s">
        <v>24</v>
      </c>
      <c r="D94" s="9" t="s">
        <v>11</v>
      </c>
      <c r="E94" s="9">
        <v>98</v>
      </c>
      <c r="F94" s="9">
        <v>8.1999999999999993</v>
      </c>
      <c r="G94" s="9">
        <v>165000000</v>
      </c>
      <c r="H94" s="9">
        <v>217387997</v>
      </c>
      <c r="I94" s="5">
        <f>IMDB_Movies!$H94-IMDB_Movies!$G94</f>
        <v>52387997</v>
      </c>
    </row>
    <row r="95" spans="1:9" ht="23">
      <c r="A95" s="3" t="s">
        <v>171</v>
      </c>
      <c r="B95" s="10" t="s">
        <v>172</v>
      </c>
      <c r="C95" s="10" t="s">
        <v>10</v>
      </c>
      <c r="D95" s="10" t="s">
        <v>11</v>
      </c>
      <c r="E95" s="10">
        <v>109</v>
      </c>
      <c r="F95" s="10">
        <v>6.4</v>
      </c>
      <c r="G95" s="10">
        <v>200000000</v>
      </c>
      <c r="H95" s="10">
        <v>150350192</v>
      </c>
      <c r="I95" s="5">
        <f>IMDB_Movies!$H95-IMDB_Movies!$G95</f>
        <v>-49649808</v>
      </c>
    </row>
    <row r="96" spans="1:9" ht="23">
      <c r="A96" s="2" t="s">
        <v>173</v>
      </c>
      <c r="B96" s="9" t="s">
        <v>174</v>
      </c>
      <c r="C96" s="9" t="s">
        <v>10</v>
      </c>
      <c r="D96" s="9" t="s">
        <v>11</v>
      </c>
      <c r="E96" s="9">
        <v>121</v>
      </c>
      <c r="F96" s="9">
        <v>8.1</v>
      </c>
      <c r="G96" s="9">
        <v>170000000</v>
      </c>
      <c r="H96" s="9">
        <v>333130696</v>
      </c>
      <c r="I96" s="5">
        <f>IMDB_Movies!$H96-IMDB_Movies!$G96</f>
        <v>163130696</v>
      </c>
    </row>
    <row r="97" spans="1:9" ht="23">
      <c r="A97" s="3" t="s">
        <v>175</v>
      </c>
      <c r="B97" s="10" t="s">
        <v>17</v>
      </c>
      <c r="C97" s="10" t="s">
        <v>24</v>
      </c>
      <c r="D97" s="10" t="s">
        <v>11</v>
      </c>
      <c r="E97" s="10">
        <v>169</v>
      </c>
      <c r="F97" s="10">
        <v>8.6</v>
      </c>
      <c r="G97" s="10">
        <v>165000000</v>
      </c>
      <c r="H97" s="10">
        <v>187991439</v>
      </c>
      <c r="I97" s="5">
        <f>IMDB_Movies!$H97-IMDB_Movies!$G97</f>
        <v>22991439</v>
      </c>
    </row>
    <row r="98" spans="1:9" ht="23">
      <c r="A98" s="2" t="s">
        <v>176</v>
      </c>
      <c r="B98" s="9" t="s">
        <v>17</v>
      </c>
      <c r="C98" s="9" t="s">
        <v>10</v>
      </c>
      <c r="D98" s="9" t="s">
        <v>11</v>
      </c>
      <c r="E98" s="9">
        <v>148</v>
      </c>
      <c r="F98" s="9">
        <v>8.8000000000000007</v>
      </c>
      <c r="G98" s="9">
        <v>160000000</v>
      </c>
      <c r="H98" s="9">
        <v>292568851</v>
      </c>
      <c r="I98" s="5">
        <f>IMDB_Movies!$H98-IMDB_Movies!$G98</f>
        <v>132568851</v>
      </c>
    </row>
    <row r="99" spans="1:9" ht="23">
      <c r="A99" s="3" t="s">
        <v>177</v>
      </c>
      <c r="B99" s="10" t="s">
        <v>178</v>
      </c>
      <c r="C99" s="10" t="s">
        <v>10</v>
      </c>
      <c r="D99" s="10" t="s">
        <v>179</v>
      </c>
      <c r="E99" s="10">
        <v>120</v>
      </c>
      <c r="F99" s="10">
        <v>8.1999999999999993</v>
      </c>
      <c r="G99" s="10">
        <v>20000000</v>
      </c>
      <c r="H99" s="10">
        <v>25078937</v>
      </c>
      <c r="I99" s="5">
        <f>IMDB_Movies!$H99-IMDB_Movies!$G99</f>
        <v>5078937</v>
      </c>
    </row>
    <row r="100" spans="1:9" ht="23">
      <c r="A100" s="2" t="s">
        <v>180</v>
      </c>
      <c r="B100" s="9" t="s">
        <v>46</v>
      </c>
      <c r="C100" s="9" t="s">
        <v>24</v>
      </c>
      <c r="D100" s="9" t="s">
        <v>11</v>
      </c>
      <c r="E100" s="9">
        <v>182</v>
      </c>
      <c r="F100" s="9">
        <v>7.9</v>
      </c>
      <c r="G100" s="9">
        <v>180000000</v>
      </c>
      <c r="H100" s="9">
        <v>303001229</v>
      </c>
      <c r="I100" s="5">
        <f>IMDB_Movies!$H100-IMDB_Movies!$G100</f>
        <v>123001229</v>
      </c>
    </row>
    <row r="101" spans="1:9" ht="23">
      <c r="A101" s="3" t="s">
        <v>181</v>
      </c>
      <c r="B101" s="10" t="s">
        <v>133</v>
      </c>
      <c r="C101" s="10" t="s">
        <v>10</v>
      </c>
      <c r="D101" s="10" t="s">
        <v>11</v>
      </c>
      <c r="E101" s="10">
        <v>106</v>
      </c>
      <c r="F101" s="10">
        <v>6.7</v>
      </c>
      <c r="G101" s="10">
        <v>38000000</v>
      </c>
      <c r="H101" s="10">
        <v>144512310</v>
      </c>
      <c r="I101" s="5">
        <f>IMDB_Movies!$H101-IMDB_Movies!$G101</f>
        <v>106512310</v>
      </c>
    </row>
    <row r="102" spans="1:9" ht="23">
      <c r="A102" s="2" t="s">
        <v>182</v>
      </c>
      <c r="B102" s="9" t="s">
        <v>183</v>
      </c>
      <c r="C102" s="9" t="s">
        <v>56</v>
      </c>
      <c r="D102" s="9" t="s">
        <v>11</v>
      </c>
      <c r="E102" s="9">
        <v>166</v>
      </c>
      <c r="F102" s="9">
        <v>7.8</v>
      </c>
      <c r="G102" s="9">
        <v>150000000</v>
      </c>
      <c r="H102" s="9">
        <v>127490802</v>
      </c>
      <c r="I102" s="5">
        <f>IMDB_Movies!$H102-IMDB_Movies!$G102</f>
        <v>-22509198</v>
      </c>
    </row>
    <row r="103" spans="1:9" ht="23">
      <c r="A103" s="3" t="s">
        <v>184</v>
      </c>
      <c r="B103" s="10" t="s">
        <v>185</v>
      </c>
      <c r="C103" s="10" t="s">
        <v>10</v>
      </c>
      <c r="D103" s="10" t="s">
        <v>11</v>
      </c>
      <c r="E103" s="10">
        <v>132</v>
      </c>
      <c r="F103" s="10">
        <v>7.8</v>
      </c>
      <c r="G103" s="10">
        <v>160000000</v>
      </c>
      <c r="H103" s="10">
        <v>146405371</v>
      </c>
      <c r="I103" s="5">
        <f>IMDB_Movies!$H103-IMDB_Movies!$G103</f>
        <v>-13594629</v>
      </c>
    </row>
    <row r="104" spans="1:9" ht="23">
      <c r="A104" s="2" t="s">
        <v>186</v>
      </c>
      <c r="B104" s="9" t="s">
        <v>187</v>
      </c>
      <c r="C104" s="9" t="s">
        <v>24</v>
      </c>
      <c r="D104" s="9" t="s">
        <v>11</v>
      </c>
      <c r="E104" s="9">
        <v>137</v>
      </c>
      <c r="F104" s="9">
        <v>6.6</v>
      </c>
      <c r="G104" s="9">
        <v>160000000</v>
      </c>
      <c r="H104" s="9">
        <v>281666058</v>
      </c>
      <c r="I104" s="5">
        <f>IMDB_Movies!$H104-IMDB_Movies!$G104</f>
        <v>121666058</v>
      </c>
    </row>
    <row r="105" spans="1:9" ht="23">
      <c r="A105" s="3" t="s">
        <v>188</v>
      </c>
      <c r="B105" s="10" t="s">
        <v>189</v>
      </c>
      <c r="C105" s="10" t="s">
        <v>10</v>
      </c>
      <c r="D105" s="10" t="s">
        <v>11</v>
      </c>
      <c r="E105" s="10">
        <v>109</v>
      </c>
      <c r="F105" s="10">
        <v>6.1</v>
      </c>
      <c r="G105" s="10">
        <v>150000000</v>
      </c>
      <c r="H105" s="10">
        <v>63143812</v>
      </c>
      <c r="I105" s="5">
        <f>IMDB_Movies!$H105-IMDB_Movies!$G105</f>
        <v>-86856188</v>
      </c>
    </row>
    <row r="106" spans="1:9" ht="23">
      <c r="A106" s="2" t="s">
        <v>190</v>
      </c>
      <c r="B106" s="9" t="s">
        <v>191</v>
      </c>
      <c r="C106" s="9" t="s">
        <v>10</v>
      </c>
      <c r="D106" s="9" t="s">
        <v>11</v>
      </c>
      <c r="E106" s="9">
        <v>98</v>
      </c>
      <c r="F106" s="9">
        <v>5.6</v>
      </c>
      <c r="G106" s="9">
        <v>160000000</v>
      </c>
      <c r="H106" s="9">
        <v>60655503</v>
      </c>
      <c r="I106" s="5">
        <f>IMDB_Movies!$H106-IMDB_Movies!$G106</f>
        <v>-99344497</v>
      </c>
    </row>
    <row r="107" spans="1:9" ht="23">
      <c r="A107" s="3" t="s">
        <v>192</v>
      </c>
      <c r="B107" s="10" t="s">
        <v>193</v>
      </c>
      <c r="C107" s="10" t="s">
        <v>24</v>
      </c>
      <c r="D107" s="10" t="s">
        <v>11</v>
      </c>
      <c r="E107" s="10">
        <v>113</v>
      </c>
      <c r="F107" s="10">
        <v>6.4</v>
      </c>
      <c r="G107" s="10">
        <v>170000000</v>
      </c>
      <c r="H107" s="10">
        <v>76846624</v>
      </c>
      <c r="I107" s="5">
        <f>IMDB_Movies!$H107-IMDB_Movies!$G107</f>
        <v>-93153376</v>
      </c>
    </row>
    <row r="108" spans="1:9" ht="23">
      <c r="A108" s="2" t="s">
        <v>194</v>
      </c>
      <c r="B108" s="9" t="s">
        <v>195</v>
      </c>
      <c r="C108" s="9" t="s">
        <v>24</v>
      </c>
      <c r="D108" s="9" t="s">
        <v>11</v>
      </c>
      <c r="E108" s="9">
        <v>93</v>
      </c>
      <c r="F108" s="9">
        <v>6.1</v>
      </c>
      <c r="G108" s="9">
        <v>160000000</v>
      </c>
      <c r="H108" s="9">
        <v>320706665</v>
      </c>
      <c r="I108" s="5">
        <f>IMDB_Movies!$H108-IMDB_Movies!$G108</f>
        <v>160706665</v>
      </c>
    </row>
    <row r="109" spans="1:9" ht="23">
      <c r="A109" s="3" t="s">
        <v>196</v>
      </c>
      <c r="B109" s="10" t="s">
        <v>197</v>
      </c>
      <c r="C109" s="10" t="s">
        <v>10</v>
      </c>
      <c r="D109" s="10" t="s">
        <v>11</v>
      </c>
      <c r="E109" s="10">
        <v>123</v>
      </c>
      <c r="F109" s="10">
        <v>7.3</v>
      </c>
      <c r="G109" s="10">
        <v>160000000</v>
      </c>
      <c r="H109" s="10">
        <v>46978995</v>
      </c>
      <c r="I109" s="5">
        <f>IMDB_Movies!$H109-IMDB_Movies!$G109</f>
        <v>-113021005</v>
      </c>
    </row>
    <row r="110" spans="1:9" ht="23">
      <c r="A110" s="2" t="s">
        <v>198</v>
      </c>
      <c r="B110" s="9" t="s">
        <v>199</v>
      </c>
      <c r="C110" s="9" t="s">
        <v>10</v>
      </c>
      <c r="D110" s="9" t="s">
        <v>11</v>
      </c>
      <c r="E110" s="9">
        <v>126</v>
      </c>
      <c r="F110" s="9">
        <v>6.6</v>
      </c>
      <c r="G110" s="9">
        <v>155000000</v>
      </c>
      <c r="H110" s="9">
        <v>89732035</v>
      </c>
      <c r="I110" s="5">
        <f>IMDB_Movies!$H110-IMDB_Movies!$G110</f>
        <v>-65267965</v>
      </c>
    </row>
    <row r="111" spans="1:9" ht="23">
      <c r="A111" s="3" t="s">
        <v>200</v>
      </c>
      <c r="B111" s="10" t="s">
        <v>201</v>
      </c>
      <c r="C111" s="10" t="s">
        <v>24</v>
      </c>
      <c r="D111" s="10" t="s">
        <v>11</v>
      </c>
      <c r="E111" s="10">
        <v>113</v>
      </c>
      <c r="F111" s="10">
        <v>6.3</v>
      </c>
      <c r="G111" s="10">
        <v>155000000</v>
      </c>
      <c r="H111" s="10">
        <v>104383624</v>
      </c>
      <c r="I111" s="5">
        <f>IMDB_Movies!$H111-IMDB_Movies!$G111</f>
        <v>-50616376</v>
      </c>
    </row>
    <row r="112" spans="1:9" ht="23">
      <c r="A112" s="2" t="s">
        <v>202</v>
      </c>
      <c r="B112" s="9" t="s">
        <v>74</v>
      </c>
      <c r="C112" s="9" t="s">
        <v>10</v>
      </c>
      <c r="D112" s="9" t="s">
        <v>11</v>
      </c>
      <c r="E112" s="9">
        <v>184</v>
      </c>
      <c r="F112" s="9">
        <v>6.1</v>
      </c>
      <c r="G112" s="9">
        <v>140000000</v>
      </c>
      <c r="H112" s="9">
        <v>198539855</v>
      </c>
      <c r="I112" s="5">
        <f>IMDB_Movies!$H112-IMDB_Movies!$G112</f>
        <v>58539855</v>
      </c>
    </row>
    <row r="113" spans="1:9" ht="23">
      <c r="A113" s="3" t="s">
        <v>203</v>
      </c>
      <c r="B113" s="10" t="s">
        <v>74</v>
      </c>
      <c r="C113" s="10" t="s">
        <v>10</v>
      </c>
      <c r="D113" s="10" t="s">
        <v>11</v>
      </c>
      <c r="E113" s="10">
        <v>144</v>
      </c>
      <c r="F113" s="10">
        <v>7.1</v>
      </c>
      <c r="G113" s="10">
        <v>150000000</v>
      </c>
      <c r="H113" s="10">
        <v>318759914</v>
      </c>
      <c r="I113" s="5">
        <f>IMDB_Movies!$H113-IMDB_Movies!$G113</f>
        <v>168759914</v>
      </c>
    </row>
    <row r="114" spans="1:9" ht="23">
      <c r="A114" s="2" t="s">
        <v>204</v>
      </c>
      <c r="B114" s="9" t="s">
        <v>205</v>
      </c>
      <c r="C114" s="9" t="s">
        <v>10</v>
      </c>
      <c r="D114" s="9" t="s">
        <v>11</v>
      </c>
      <c r="E114" s="9">
        <v>206</v>
      </c>
      <c r="F114" s="9">
        <v>5.5</v>
      </c>
      <c r="G114" s="9">
        <v>155000000</v>
      </c>
      <c r="H114" s="9">
        <v>34293771</v>
      </c>
      <c r="I114" s="5">
        <f>IMDB_Movies!$H114-IMDB_Movies!$G114</f>
        <v>-120706229</v>
      </c>
    </row>
    <row r="115" spans="1:9" ht="23">
      <c r="A115" s="3" t="s">
        <v>206</v>
      </c>
      <c r="B115" s="10" t="s">
        <v>28</v>
      </c>
      <c r="C115" s="10" t="s">
        <v>24</v>
      </c>
      <c r="D115" s="10" t="s">
        <v>11</v>
      </c>
      <c r="E115" s="10">
        <v>138</v>
      </c>
      <c r="F115" s="10">
        <v>7.5</v>
      </c>
      <c r="G115" s="10">
        <v>150000000</v>
      </c>
      <c r="H115" s="10">
        <v>292000866</v>
      </c>
      <c r="I115" s="5">
        <f>IMDB_Movies!$H115-IMDB_Movies!$G115</f>
        <v>142000866</v>
      </c>
    </row>
    <row r="116" spans="1:9" ht="23">
      <c r="A116" s="2" t="s">
        <v>207</v>
      </c>
      <c r="B116" s="9" t="s">
        <v>98</v>
      </c>
      <c r="C116" s="9" t="s">
        <v>24</v>
      </c>
      <c r="D116" s="9" t="s">
        <v>11</v>
      </c>
      <c r="E116" s="9">
        <v>157</v>
      </c>
      <c r="F116" s="9">
        <v>7.6</v>
      </c>
      <c r="G116" s="9">
        <v>150000000</v>
      </c>
      <c r="H116" s="9">
        <v>289994397</v>
      </c>
      <c r="I116" s="5">
        <f>IMDB_Movies!$H116-IMDB_Movies!$G116</f>
        <v>139994397</v>
      </c>
    </row>
    <row r="117" spans="1:9" ht="23">
      <c r="A117" s="3" t="s">
        <v>208</v>
      </c>
      <c r="B117" s="10" t="s">
        <v>60</v>
      </c>
      <c r="C117" s="10" t="s">
        <v>10</v>
      </c>
      <c r="D117" s="10" t="s">
        <v>11</v>
      </c>
      <c r="E117" s="10">
        <v>102</v>
      </c>
      <c r="F117" s="10">
        <v>6.4</v>
      </c>
      <c r="G117" s="10">
        <v>150000000</v>
      </c>
      <c r="H117" s="10">
        <v>227946274</v>
      </c>
      <c r="I117" s="5">
        <f>IMDB_Movies!$H117-IMDB_Movies!$G117</f>
        <v>77946274</v>
      </c>
    </row>
    <row r="118" spans="1:9" ht="23">
      <c r="A118" s="2" t="s">
        <v>209</v>
      </c>
      <c r="B118" s="9" t="s">
        <v>187</v>
      </c>
      <c r="C118" s="9" t="s">
        <v>56</v>
      </c>
      <c r="D118" s="9" t="s">
        <v>11</v>
      </c>
      <c r="E118" s="9">
        <v>104</v>
      </c>
      <c r="F118" s="9">
        <v>7.2</v>
      </c>
      <c r="G118" s="9">
        <v>150000000</v>
      </c>
      <c r="H118" s="9">
        <v>256386216</v>
      </c>
      <c r="I118" s="5">
        <f>IMDB_Movies!$H118-IMDB_Movies!$G118</f>
        <v>106386216</v>
      </c>
    </row>
    <row r="119" spans="1:9" ht="23">
      <c r="A119" s="3" t="s">
        <v>210</v>
      </c>
      <c r="B119" s="10" t="s">
        <v>68</v>
      </c>
      <c r="C119" s="10" t="s">
        <v>24</v>
      </c>
      <c r="D119" s="10" t="s">
        <v>11</v>
      </c>
      <c r="E119" s="10">
        <v>115</v>
      </c>
      <c r="F119" s="10">
        <v>6.7</v>
      </c>
      <c r="G119" s="10">
        <v>150000000</v>
      </c>
      <c r="H119" s="10">
        <v>206456431</v>
      </c>
      <c r="I119" s="5">
        <f>IMDB_Movies!$H119-IMDB_Movies!$G119</f>
        <v>56456431</v>
      </c>
    </row>
    <row r="120" spans="1:9" ht="23">
      <c r="A120" s="2" t="s">
        <v>211</v>
      </c>
      <c r="B120" s="9" t="s">
        <v>162</v>
      </c>
      <c r="C120" s="9" t="s">
        <v>116</v>
      </c>
      <c r="D120" s="9" t="s">
        <v>11</v>
      </c>
      <c r="E120" s="9">
        <v>111</v>
      </c>
      <c r="F120" s="9">
        <v>8</v>
      </c>
      <c r="G120" s="9">
        <v>150000000</v>
      </c>
      <c r="H120" s="9">
        <v>206435493</v>
      </c>
      <c r="I120" s="5">
        <f>IMDB_Movies!$H120-IMDB_Movies!$G120</f>
        <v>56435493</v>
      </c>
    </row>
    <row r="121" spans="1:9" ht="23">
      <c r="A121" s="3" t="s">
        <v>212</v>
      </c>
      <c r="B121" s="10" t="s">
        <v>17</v>
      </c>
      <c r="C121" s="10" t="s">
        <v>10</v>
      </c>
      <c r="D121" s="10" t="s">
        <v>11</v>
      </c>
      <c r="E121" s="10">
        <v>128</v>
      </c>
      <c r="F121" s="10">
        <v>8.3000000000000007</v>
      </c>
      <c r="G121" s="10">
        <v>150000000</v>
      </c>
      <c r="H121" s="10">
        <v>205343774</v>
      </c>
      <c r="I121" s="5">
        <f>IMDB_Movies!$H121-IMDB_Movies!$G121</f>
        <v>55343774</v>
      </c>
    </row>
    <row r="122" spans="1:9" ht="23">
      <c r="A122" s="2" t="s">
        <v>213</v>
      </c>
      <c r="B122" s="9" t="s">
        <v>214</v>
      </c>
      <c r="C122" s="9" t="s">
        <v>10</v>
      </c>
      <c r="D122" s="9" t="s">
        <v>11</v>
      </c>
      <c r="E122" s="9">
        <v>89</v>
      </c>
      <c r="F122" s="9">
        <v>6.7</v>
      </c>
      <c r="G122" s="9">
        <v>150000000</v>
      </c>
      <c r="H122" s="9">
        <v>179982968</v>
      </c>
      <c r="I122" s="5">
        <f>IMDB_Movies!$H122-IMDB_Movies!$G122</f>
        <v>29982968</v>
      </c>
    </row>
    <row r="123" spans="1:9" ht="23">
      <c r="A123" s="3" t="s">
        <v>215</v>
      </c>
      <c r="B123" s="10" t="s">
        <v>216</v>
      </c>
      <c r="C123" s="10" t="s">
        <v>24</v>
      </c>
      <c r="D123" s="10" t="s">
        <v>11</v>
      </c>
      <c r="E123" s="10">
        <v>105</v>
      </c>
      <c r="F123" s="10">
        <v>5.9</v>
      </c>
      <c r="G123" s="10">
        <v>150000000</v>
      </c>
      <c r="H123" s="10">
        <v>177243721</v>
      </c>
      <c r="I123" s="5">
        <f>IMDB_Movies!$H123-IMDB_Movies!$G123</f>
        <v>27243721</v>
      </c>
    </row>
    <row r="124" spans="1:9" ht="23">
      <c r="A124" s="2" t="s">
        <v>217</v>
      </c>
      <c r="B124" s="9" t="s">
        <v>218</v>
      </c>
      <c r="C124" s="9" t="s">
        <v>10</v>
      </c>
      <c r="D124" s="9" t="s">
        <v>11</v>
      </c>
      <c r="E124" s="9">
        <v>119</v>
      </c>
      <c r="F124" s="9">
        <v>6.7</v>
      </c>
      <c r="G124" s="9">
        <v>150000000</v>
      </c>
      <c r="H124" s="9">
        <v>179883016</v>
      </c>
      <c r="I124" s="5">
        <f>IMDB_Movies!$H124-IMDB_Movies!$G124</f>
        <v>29883016</v>
      </c>
    </row>
    <row r="125" spans="1:9" ht="23">
      <c r="A125" s="3" t="s">
        <v>219</v>
      </c>
      <c r="B125" s="10" t="s">
        <v>118</v>
      </c>
      <c r="C125" s="10" t="s">
        <v>10</v>
      </c>
      <c r="D125" s="10" t="s">
        <v>11</v>
      </c>
      <c r="E125" s="10">
        <v>129</v>
      </c>
      <c r="F125" s="10">
        <v>6.7</v>
      </c>
      <c r="G125" s="10">
        <v>150000000</v>
      </c>
      <c r="H125" s="10">
        <v>139259759</v>
      </c>
      <c r="I125" s="5">
        <f>IMDB_Movies!$H125-IMDB_Movies!$G125</f>
        <v>-10740241</v>
      </c>
    </row>
    <row r="126" spans="1:9" ht="23">
      <c r="A126" s="2" t="s">
        <v>220</v>
      </c>
      <c r="B126" s="9" t="s">
        <v>221</v>
      </c>
      <c r="C126" s="9" t="s">
        <v>24</v>
      </c>
      <c r="D126" s="9" t="s">
        <v>11</v>
      </c>
      <c r="E126" s="9">
        <v>102</v>
      </c>
      <c r="F126" s="9">
        <v>7.6</v>
      </c>
      <c r="G126" s="9">
        <v>150000000</v>
      </c>
      <c r="H126" s="9">
        <v>400736600</v>
      </c>
      <c r="I126" s="5">
        <f>IMDB_Movies!$H126-IMDB_Movies!$G126</f>
        <v>250736600</v>
      </c>
    </row>
    <row r="127" spans="1:9" ht="23">
      <c r="A127" s="3" t="s">
        <v>222</v>
      </c>
      <c r="B127" s="10" t="s">
        <v>118</v>
      </c>
      <c r="C127" s="10" t="s">
        <v>10</v>
      </c>
      <c r="D127" s="10" t="s">
        <v>11</v>
      </c>
      <c r="E127" s="10">
        <v>138</v>
      </c>
      <c r="F127" s="10">
        <v>7.2</v>
      </c>
      <c r="G127" s="10">
        <v>150000000</v>
      </c>
      <c r="H127" s="10">
        <v>281492479</v>
      </c>
      <c r="I127" s="5">
        <f>IMDB_Movies!$H127-IMDB_Movies!$G127</f>
        <v>131492479</v>
      </c>
    </row>
    <row r="128" spans="1:9" ht="23">
      <c r="A128" s="2" t="s">
        <v>223</v>
      </c>
      <c r="B128" s="9" t="s">
        <v>199</v>
      </c>
      <c r="C128" s="9" t="s">
        <v>10</v>
      </c>
      <c r="D128" s="9" t="s">
        <v>11</v>
      </c>
      <c r="E128" s="9">
        <v>112</v>
      </c>
      <c r="F128" s="9">
        <v>7.1</v>
      </c>
      <c r="G128" s="9">
        <v>170000000</v>
      </c>
      <c r="H128" s="9">
        <v>206360018</v>
      </c>
      <c r="I128" s="5">
        <f>IMDB_Movies!$H128-IMDB_Movies!$G128</f>
        <v>36360018</v>
      </c>
    </row>
    <row r="129" spans="1:9" ht="23">
      <c r="A129" s="3" t="s">
        <v>224</v>
      </c>
      <c r="B129" s="10" t="s">
        <v>225</v>
      </c>
      <c r="C129" s="10" t="s">
        <v>10</v>
      </c>
      <c r="D129" s="10" t="s">
        <v>11</v>
      </c>
      <c r="E129" s="10">
        <v>120</v>
      </c>
      <c r="F129" s="10">
        <v>8.1</v>
      </c>
      <c r="G129" s="10">
        <v>150000000</v>
      </c>
      <c r="H129" s="10">
        <v>153629485</v>
      </c>
      <c r="I129" s="5">
        <f>IMDB_Movies!$H129-IMDB_Movies!$G129</f>
        <v>3629485</v>
      </c>
    </row>
    <row r="130" spans="1:9" ht="23">
      <c r="A130" s="2" t="s">
        <v>226</v>
      </c>
      <c r="B130" s="9" t="s">
        <v>227</v>
      </c>
      <c r="C130" s="9" t="s">
        <v>228</v>
      </c>
      <c r="D130" s="9" t="s">
        <v>11</v>
      </c>
      <c r="E130" s="9">
        <v>146</v>
      </c>
      <c r="F130" s="9">
        <v>6.7</v>
      </c>
      <c r="G130" s="9">
        <v>150000000</v>
      </c>
      <c r="H130" s="9">
        <v>133375846</v>
      </c>
      <c r="I130" s="5">
        <f>IMDB_Movies!$H130-IMDB_Movies!$G130</f>
        <v>-16624154</v>
      </c>
    </row>
    <row r="131" spans="1:9" ht="23">
      <c r="A131" s="3" t="s">
        <v>229</v>
      </c>
      <c r="B131" s="10" t="s">
        <v>230</v>
      </c>
      <c r="C131" s="10" t="s">
        <v>10</v>
      </c>
      <c r="D131" s="10" t="s">
        <v>11</v>
      </c>
      <c r="E131" s="10">
        <v>115</v>
      </c>
      <c r="F131" s="10">
        <v>7</v>
      </c>
      <c r="G131" s="10">
        <v>150000000</v>
      </c>
      <c r="H131" s="10">
        <v>181015141</v>
      </c>
      <c r="I131" s="5">
        <f>IMDB_Movies!$H131-IMDB_Movies!$G131</f>
        <v>31015141</v>
      </c>
    </row>
    <row r="132" spans="1:9" ht="23">
      <c r="A132" s="2" t="s">
        <v>231</v>
      </c>
      <c r="B132" s="9" t="s">
        <v>232</v>
      </c>
      <c r="C132" s="9" t="s">
        <v>24</v>
      </c>
      <c r="D132" s="9" t="s">
        <v>11</v>
      </c>
      <c r="E132" s="9">
        <v>96</v>
      </c>
      <c r="F132" s="9">
        <v>6.9</v>
      </c>
      <c r="G132" s="9">
        <v>150000000</v>
      </c>
      <c r="H132" s="9">
        <v>114053579</v>
      </c>
      <c r="I132" s="5">
        <f>IMDB_Movies!$H132-IMDB_Movies!$G132</f>
        <v>-35946421</v>
      </c>
    </row>
    <row r="133" spans="1:9" ht="23">
      <c r="A133" s="3" t="s">
        <v>233</v>
      </c>
      <c r="B133" s="10" t="s">
        <v>234</v>
      </c>
      <c r="C133" s="10" t="s">
        <v>10</v>
      </c>
      <c r="D133" s="10" t="s">
        <v>11</v>
      </c>
      <c r="E133" s="10">
        <v>88</v>
      </c>
      <c r="F133" s="10">
        <v>5.0999999999999996</v>
      </c>
      <c r="G133" s="10">
        <v>150000000</v>
      </c>
      <c r="H133" s="10">
        <v>119420252</v>
      </c>
      <c r="I133" s="5">
        <f>IMDB_Movies!$H133-IMDB_Movies!$G133</f>
        <v>-30579748</v>
      </c>
    </row>
    <row r="134" spans="1:9" ht="23">
      <c r="A134" s="2" t="s">
        <v>235</v>
      </c>
      <c r="B134" s="9" t="s">
        <v>236</v>
      </c>
      <c r="C134" s="9" t="s">
        <v>10</v>
      </c>
      <c r="D134" s="9" t="s">
        <v>11</v>
      </c>
      <c r="E134" s="9">
        <v>99</v>
      </c>
      <c r="F134" s="9">
        <v>5.8</v>
      </c>
      <c r="G134" s="9">
        <v>150000000</v>
      </c>
      <c r="H134" s="9">
        <v>83640426</v>
      </c>
      <c r="I134" s="5">
        <f>IMDB_Movies!$H134-IMDB_Movies!$G134</f>
        <v>-66359574</v>
      </c>
    </row>
    <row r="135" spans="1:9" ht="23">
      <c r="A135" s="3" t="s">
        <v>237</v>
      </c>
      <c r="B135" s="10" t="s">
        <v>68</v>
      </c>
      <c r="C135" s="10" t="s">
        <v>138</v>
      </c>
      <c r="D135" s="10" t="s">
        <v>11</v>
      </c>
      <c r="E135" s="10">
        <v>113</v>
      </c>
      <c r="F135" s="10">
        <v>6.2</v>
      </c>
      <c r="G135" s="10">
        <v>100000000</v>
      </c>
      <c r="H135" s="10">
        <v>79711678</v>
      </c>
      <c r="I135" s="5">
        <f>IMDB_Movies!$H135-IMDB_Movies!$G135</f>
        <v>-20288322</v>
      </c>
    </row>
    <row r="136" spans="1:9" ht="23">
      <c r="A136" s="2" t="s">
        <v>238</v>
      </c>
      <c r="B136" s="9" t="s">
        <v>239</v>
      </c>
      <c r="C136" s="9" t="s">
        <v>10</v>
      </c>
      <c r="D136" s="9" t="s">
        <v>11</v>
      </c>
      <c r="E136" s="9">
        <v>131</v>
      </c>
      <c r="F136" s="9">
        <v>7.4</v>
      </c>
      <c r="G136" s="9">
        <v>150000000</v>
      </c>
      <c r="H136" s="9">
        <v>195000874</v>
      </c>
      <c r="I136" s="5">
        <f>IMDB_Movies!$H136-IMDB_Movies!$G136</f>
        <v>45000874</v>
      </c>
    </row>
    <row r="137" spans="1:9" ht="23">
      <c r="A137" s="3" t="s">
        <v>240</v>
      </c>
      <c r="B137" s="10" t="s">
        <v>241</v>
      </c>
      <c r="C137" s="10" t="s">
        <v>56</v>
      </c>
      <c r="D137" s="10" t="s">
        <v>11</v>
      </c>
      <c r="E137" s="10">
        <v>119</v>
      </c>
      <c r="F137" s="10">
        <v>5.8</v>
      </c>
      <c r="G137" s="10">
        <v>150000000</v>
      </c>
      <c r="H137" s="10">
        <v>61937495</v>
      </c>
      <c r="I137" s="5">
        <f>IMDB_Movies!$H137-IMDB_Movies!$G137</f>
        <v>-88062505</v>
      </c>
    </row>
    <row r="138" spans="1:9" ht="23">
      <c r="A138" s="2" t="s">
        <v>242</v>
      </c>
      <c r="B138" s="9" t="s">
        <v>243</v>
      </c>
      <c r="C138" s="9" t="s">
        <v>24</v>
      </c>
      <c r="D138" s="9" t="s">
        <v>11</v>
      </c>
      <c r="E138" s="9">
        <v>91</v>
      </c>
      <c r="F138" s="9">
        <v>6.2</v>
      </c>
      <c r="G138" s="9">
        <v>150000000</v>
      </c>
      <c r="H138" s="9">
        <v>126597121</v>
      </c>
      <c r="I138" s="5">
        <f>IMDB_Movies!$H138-IMDB_Movies!$G138</f>
        <v>-23402879</v>
      </c>
    </row>
    <row r="139" spans="1:9" ht="23">
      <c r="A139" s="3" t="s">
        <v>244</v>
      </c>
      <c r="B139" s="10" t="s">
        <v>245</v>
      </c>
      <c r="C139" s="10" t="s">
        <v>10</v>
      </c>
      <c r="D139" s="10" t="s">
        <v>11</v>
      </c>
      <c r="E139" s="10">
        <v>90</v>
      </c>
      <c r="F139" s="10">
        <v>7.3</v>
      </c>
      <c r="G139" s="10">
        <v>150000000</v>
      </c>
      <c r="H139" s="10">
        <v>165230261</v>
      </c>
      <c r="I139" s="5">
        <f>IMDB_Movies!$H139-IMDB_Movies!$G139</f>
        <v>15230261</v>
      </c>
    </row>
    <row r="140" spans="1:9" ht="23">
      <c r="A140" s="2" t="s">
        <v>246</v>
      </c>
      <c r="B140" s="9" t="s">
        <v>247</v>
      </c>
      <c r="C140" s="9" t="s">
        <v>10</v>
      </c>
      <c r="D140" s="9" t="s">
        <v>11</v>
      </c>
      <c r="E140" s="9">
        <v>103</v>
      </c>
      <c r="F140" s="9">
        <v>4.2</v>
      </c>
      <c r="G140" s="9">
        <v>150000000</v>
      </c>
      <c r="H140" s="9">
        <v>131564731</v>
      </c>
      <c r="I140" s="5">
        <f>IMDB_Movies!$H140-IMDB_Movies!$G140</f>
        <v>-18435269</v>
      </c>
    </row>
    <row r="141" spans="1:9" ht="23">
      <c r="A141" s="3" t="s">
        <v>248</v>
      </c>
      <c r="B141" s="10" t="s">
        <v>93</v>
      </c>
      <c r="C141" s="10" t="s">
        <v>10</v>
      </c>
      <c r="D141" s="10" t="s">
        <v>11</v>
      </c>
      <c r="E141" s="10">
        <v>124</v>
      </c>
      <c r="F141" s="10">
        <v>6.9</v>
      </c>
      <c r="G141" s="10">
        <v>150000000</v>
      </c>
      <c r="H141" s="10">
        <v>133382309</v>
      </c>
      <c r="I141" s="5">
        <f>IMDB_Movies!$H141-IMDB_Movies!$G141</f>
        <v>-16617691</v>
      </c>
    </row>
    <row r="142" spans="1:9" ht="23">
      <c r="A142" s="2" t="s">
        <v>249</v>
      </c>
      <c r="B142" s="9" t="s">
        <v>113</v>
      </c>
      <c r="C142" s="9" t="s">
        <v>10</v>
      </c>
      <c r="D142" s="9" t="s">
        <v>11</v>
      </c>
      <c r="E142" s="9">
        <v>131</v>
      </c>
      <c r="F142" s="9">
        <v>6.4</v>
      </c>
      <c r="G142" s="9">
        <v>150000000</v>
      </c>
      <c r="H142" s="9">
        <v>73103784</v>
      </c>
      <c r="I142" s="5">
        <f>IMDB_Movies!$H142-IMDB_Movies!$G142</f>
        <v>-76896216</v>
      </c>
    </row>
    <row r="143" spans="1:9" ht="23">
      <c r="A143" s="3" t="s">
        <v>250</v>
      </c>
      <c r="B143" s="10" t="s">
        <v>251</v>
      </c>
      <c r="C143" s="10" t="s">
        <v>10</v>
      </c>
      <c r="D143" s="10" t="s">
        <v>11</v>
      </c>
      <c r="E143" s="10">
        <v>88</v>
      </c>
      <c r="F143" s="10">
        <v>5.4</v>
      </c>
      <c r="G143" s="10">
        <v>150000000</v>
      </c>
      <c r="H143" s="10">
        <v>21379315</v>
      </c>
      <c r="I143" s="5">
        <f>IMDB_Movies!$H143-IMDB_Movies!$G143</f>
        <v>-128620685</v>
      </c>
    </row>
    <row r="144" spans="1:9" ht="23">
      <c r="A144" s="2" t="s">
        <v>252</v>
      </c>
      <c r="B144" s="9" t="s">
        <v>253</v>
      </c>
      <c r="C144" s="9" t="s">
        <v>24</v>
      </c>
      <c r="D144" s="9" t="s">
        <v>11</v>
      </c>
      <c r="E144" s="9">
        <v>85</v>
      </c>
      <c r="F144" s="9">
        <v>6.7</v>
      </c>
      <c r="G144" s="9">
        <v>149000000</v>
      </c>
      <c r="H144" s="9">
        <v>64459316</v>
      </c>
      <c r="I144" s="5">
        <f>IMDB_Movies!$H144-IMDB_Movies!$G144</f>
        <v>-84540684</v>
      </c>
    </row>
    <row r="145" spans="1:9" ht="23">
      <c r="A145" s="3" t="s">
        <v>254</v>
      </c>
      <c r="B145" s="10" t="s">
        <v>255</v>
      </c>
      <c r="C145" s="10" t="s">
        <v>24</v>
      </c>
      <c r="D145" s="10" t="s">
        <v>11</v>
      </c>
      <c r="E145" s="10">
        <v>111</v>
      </c>
      <c r="F145" s="10">
        <v>5.8</v>
      </c>
      <c r="G145" s="10">
        <v>150000000</v>
      </c>
      <c r="H145" s="10">
        <v>34964818</v>
      </c>
      <c r="I145" s="5">
        <f>IMDB_Movies!$H145-IMDB_Movies!$G145</f>
        <v>-115035182</v>
      </c>
    </row>
    <row r="146" spans="1:9" ht="23">
      <c r="A146" s="2" t="s">
        <v>256</v>
      </c>
      <c r="B146" s="9" t="s">
        <v>257</v>
      </c>
      <c r="C146" s="9" t="s">
        <v>24</v>
      </c>
      <c r="D146" s="9" t="s">
        <v>11</v>
      </c>
      <c r="E146" s="9">
        <v>92</v>
      </c>
      <c r="F146" s="9">
        <v>6.9</v>
      </c>
      <c r="G146" s="9">
        <v>145000000</v>
      </c>
      <c r="H146" s="9">
        <v>111505642</v>
      </c>
      <c r="I146" s="5">
        <f>IMDB_Movies!$H146-IMDB_Movies!$G146</f>
        <v>-33494358</v>
      </c>
    </row>
    <row r="147" spans="1:9" ht="23">
      <c r="A147" s="3" t="s">
        <v>258</v>
      </c>
      <c r="B147" s="10" t="s">
        <v>191</v>
      </c>
      <c r="C147" s="10" t="s">
        <v>24</v>
      </c>
      <c r="D147" s="10" t="s">
        <v>11</v>
      </c>
      <c r="E147" s="10">
        <v>196</v>
      </c>
      <c r="F147" s="10">
        <v>7.2</v>
      </c>
      <c r="G147" s="10">
        <v>175000000</v>
      </c>
      <c r="H147" s="10">
        <v>133228348</v>
      </c>
      <c r="I147" s="5">
        <f>IMDB_Movies!$H147-IMDB_Movies!$G147</f>
        <v>-41771652</v>
      </c>
    </row>
    <row r="148" spans="1:9" ht="23">
      <c r="A148" s="2" t="s">
        <v>259</v>
      </c>
      <c r="B148" s="9" t="s">
        <v>214</v>
      </c>
      <c r="C148" s="9" t="s">
        <v>24</v>
      </c>
      <c r="D148" s="9" t="s">
        <v>11</v>
      </c>
      <c r="E148" s="9">
        <v>93</v>
      </c>
      <c r="F148" s="9">
        <v>6.9</v>
      </c>
      <c r="G148" s="9">
        <v>145000000</v>
      </c>
      <c r="H148" s="9">
        <v>216366733</v>
      </c>
      <c r="I148" s="5">
        <f>IMDB_Movies!$H148-IMDB_Movies!$G148</f>
        <v>71366733</v>
      </c>
    </row>
    <row r="149" spans="1:9" ht="23">
      <c r="A149" s="3" t="s">
        <v>260</v>
      </c>
      <c r="B149" s="10" t="s">
        <v>261</v>
      </c>
      <c r="C149" s="10" t="s">
        <v>10</v>
      </c>
      <c r="D149" s="10" t="s">
        <v>11</v>
      </c>
      <c r="E149" s="10">
        <v>133</v>
      </c>
      <c r="F149" s="10">
        <v>6.1</v>
      </c>
      <c r="G149" s="10">
        <v>142000000</v>
      </c>
      <c r="H149" s="10">
        <v>160201106</v>
      </c>
      <c r="I149" s="5">
        <f>IMDB_Movies!$H149-IMDB_Movies!$G149</f>
        <v>18201106</v>
      </c>
    </row>
    <row r="150" spans="1:9" ht="23">
      <c r="A150" s="2" t="s">
        <v>262</v>
      </c>
      <c r="B150" s="9" t="s">
        <v>263</v>
      </c>
      <c r="C150" s="9" t="s">
        <v>10</v>
      </c>
      <c r="D150" s="9" t="s">
        <v>11</v>
      </c>
      <c r="E150" s="9">
        <v>116</v>
      </c>
      <c r="F150" s="9">
        <v>5.5</v>
      </c>
      <c r="G150" s="9">
        <v>144000000</v>
      </c>
      <c r="H150" s="9">
        <v>118099659</v>
      </c>
      <c r="I150" s="5">
        <f>IMDB_Movies!$H150-IMDB_Movies!$G150</f>
        <v>-25900341</v>
      </c>
    </row>
    <row r="151" spans="1:9" ht="23">
      <c r="A151" s="3" t="s">
        <v>264</v>
      </c>
      <c r="B151" s="10" t="s">
        <v>74</v>
      </c>
      <c r="C151" s="10" t="s">
        <v>10</v>
      </c>
      <c r="D151" s="10" t="s">
        <v>11</v>
      </c>
      <c r="E151" s="10">
        <v>153</v>
      </c>
      <c r="F151" s="10">
        <v>6.6</v>
      </c>
      <c r="G151" s="10">
        <v>140000000</v>
      </c>
      <c r="H151" s="10">
        <v>201573391</v>
      </c>
      <c r="I151" s="5">
        <f>IMDB_Movies!$H151-IMDB_Movies!$G151</f>
        <v>61573391</v>
      </c>
    </row>
    <row r="152" spans="1:9" ht="23">
      <c r="A152" s="2" t="s">
        <v>265</v>
      </c>
      <c r="B152" s="9" t="s">
        <v>44</v>
      </c>
      <c r="C152" s="9" t="s">
        <v>10</v>
      </c>
      <c r="D152" s="9" t="s">
        <v>11</v>
      </c>
      <c r="E152" s="9">
        <v>88</v>
      </c>
      <c r="F152" s="9">
        <v>6.1</v>
      </c>
      <c r="G152" s="9">
        <v>140000000</v>
      </c>
      <c r="H152" s="9">
        <v>190418803</v>
      </c>
      <c r="I152" s="5">
        <f>IMDB_Movies!$H152-IMDB_Movies!$G152</f>
        <v>50418803</v>
      </c>
    </row>
    <row r="153" spans="1:9" ht="23">
      <c r="A153" s="3" t="s">
        <v>266</v>
      </c>
      <c r="B153" s="10" t="s">
        <v>115</v>
      </c>
      <c r="C153" s="10" t="s">
        <v>10</v>
      </c>
      <c r="D153" s="10" t="s">
        <v>11</v>
      </c>
      <c r="E153" s="10">
        <v>115</v>
      </c>
      <c r="F153" s="10">
        <v>6.3</v>
      </c>
      <c r="G153" s="10">
        <v>150000000</v>
      </c>
      <c r="H153" s="10">
        <v>82161969</v>
      </c>
      <c r="I153" s="5">
        <f>IMDB_Movies!$H153-IMDB_Movies!$G153</f>
        <v>-67838031</v>
      </c>
    </row>
    <row r="154" spans="1:9" ht="23">
      <c r="A154" s="2" t="s">
        <v>267</v>
      </c>
      <c r="B154" s="9" t="s">
        <v>268</v>
      </c>
      <c r="C154" s="9" t="s">
        <v>10</v>
      </c>
      <c r="D154" s="9" t="s">
        <v>11</v>
      </c>
      <c r="E154" s="9">
        <v>95</v>
      </c>
      <c r="F154" s="9">
        <v>7.2</v>
      </c>
      <c r="G154" s="9">
        <v>145000000</v>
      </c>
      <c r="H154" s="9">
        <v>143523463</v>
      </c>
      <c r="I154" s="5">
        <f>IMDB_Movies!$H154-IMDB_Movies!$G154</f>
        <v>-1476537</v>
      </c>
    </row>
    <row r="155" spans="1:9" ht="23">
      <c r="A155" s="3" t="s">
        <v>269</v>
      </c>
      <c r="B155" s="10" t="s">
        <v>162</v>
      </c>
      <c r="C155" s="10" t="s">
        <v>10</v>
      </c>
      <c r="D155" s="10" t="s">
        <v>11</v>
      </c>
      <c r="E155" s="10">
        <v>133</v>
      </c>
      <c r="F155" s="10">
        <v>7.4</v>
      </c>
      <c r="G155" s="10">
        <v>145000000</v>
      </c>
      <c r="H155" s="10">
        <v>209364921</v>
      </c>
      <c r="I155" s="5">
        <f>IMDB_Movies!$H155-IMDB_Movies!$G155</f>
        <v>64364921</v>
      </c>
    </row>
    <row r="156" spans="1:9" ht="23">
      <c r="A156" s="2" t="s">
        <v>270</v>
      </c>
      <c r="B156" s="9" t="s">
        <v>271</v>
      </c>
      <c r="C156" s="9" t="s">
        <v>24</v>
      </c>
      <c r="D156" s="9" t="s">
        <v>11</v>
      </c>
      <c r="E156" s="9">
        <v>97</v>
      </c>
      <c r="F156" s="9">
        <v>7.3</v>
      </c>
      <c r="G156" s="9">
        <v>145000000</v>
      </c>
      <c r="H156" s="9">
        <v>103400692</v>
      </c>
      <c r="I156" s="5">
        <f>IMDB_Movies!$H156-IMDB_Movies!$G156</f>
        <v>-41599308</v>
      </c>
    </row>
    <row r="157" spans="1:9" ht="23">
      <c r="A157" s="3" t="s">
        <v>272</v>
      </c>
      <c r="B157" s="10" t="s">
        <v>273</v>
      </c>
      <c r="C157" s="10" t="s">
        <v>138</v>
      </c>
      <c r="D157" s="10" t="s">
        <v>11</v>
      </c>
      <c r="E157" s="10">
        <v>90</v>
      </c>
      <c r="F157" s="10">
        <v>6.1</v>
      </c>
      <c r="G157" s="10">
        <v>100000000</v>
      </c>
      <c r="H157" s="10">
        <v>110332737</v>
      </c>
      <c r="I157" s="5">
        <f>IMDB_Movies!$H157-IMDB_Movies!$G157</f>
        <v>10332737</v>
      </c>
    </row>
    <row r="158" spans="1:9" ht="23">
      <c r="A158" s="2" t="s">
        <v>274</v>
      </c>
      <c r="B158" s="9" t="s">
        <v>275</v>
      </c>
      <c r="C158" s="9" t="s">
        <v>10</v>
      </c>
      <c r="D158" s="9" t="s">
        <v>11</v>
      </c>
      <c r="E158" s="9">
        <v>154</v>
      </c>
      <c r="F158" s="9">
        <v>7.7</v>
      </c>
      <c r="G158" s="9">
        <v>140000000</v>
      </c>
      <c r="H158" s="9">
        <v>111110575</v>
      </c>
      <c r="I158" s="5">
        <f>IMDB_Movies!$H158-IMDB_Movies!$G158</f>
        <v>-28889425</v>
      </c>
    </row>
    <row r="159" spans="1:9" ht="23">
      <c r="A159" s="3" t="s">
        <v>276</v>
      </c>
      <c r="B159" s="10" t="s">
        <v>50</v>
      </c>
      <c r="C159" s="10" t="s">
        <v>10</v>
      </c>
      <c r="D159" s="10" t="s">
        <v>11</v>
      </c>
      <c r="E159" s="10">
        <v>150</v>
      </c>
      <c r="F159" s="10">
        <v>6.1</v>
      </c>
      <c r="G159" s="10">
        <v>140000000</v>
      </c>
      <c r="H159" s="10">
        <v>65007045</v>
      </c>
      <c r="I159" s="5">
        <f>IMDB_Movies!$H159-IMDB_Movies!$G159</f>
        <v>-74992955</v>
      </c>
    </row>
    <row r="160" spans="1:9" ht="23">
      <c r="A160" s="2" t="s">
        <v>277</v>
      </c>
      <c r="B160" s="9" t="s">
        <v>93</v>
      </c>
      <c r="C160" s="9" t="s">
        <v>10</v>
      </c>
      <c r="D160" s="9" t="s">
        <v>11</v>
      </c>
      <c r="E160" s="9">
        <v>127</v>
      </c>
      <c r="F160" s="9">
        <v>8</v>
      </c>
      <c r="G160" s="9">
        <v>150000000</v>
      </c>
      <c r="H160" s="9">
        <v>257704099</v>
      </c>
      <c r="I160" s="5">
        <f>IMDB_Movies!$H160-IMDB_Movies!$G160</f>
        <v>107704099</v>
      </c>
    </row>
    <row r="161" spans="1:9" ht="23">
      <c r="A161" s="3" t="s">
        <v>278</v>
      </c>
      <c r="B161" s="10" t="s">
        <v>21</v>
      </c>
      <c r="C161" s="10" t="s">
        <v>10</v>
      </c>
      <c r="D161" s="10" t="s">
        <v>11</v>
      </c>
      <c r="E161" s="10">
        <v>121</v>
      </c>
      <c r="F161" s="10">
        <v>7.3</v>
      </c>
      <c r="G161" s="10">
        <v>139000000</v>
      </c>
      <c r="H161" s="10">
        <v>403706375</v>
      </c>
      <c r="I161" s="5">
        <f>IMDB_Movies!$H161-IMDB_Movies!$G161</f>
        <v>264706375</v>
      </c>
    </row>
    <row r="162" spans="1:9" ht="23">
      <c r="A162" s="2" t="s">
        <v>279</v>
      </c>
      <c r="B162" s="9" t="s">
        <v>170</v>
      </c>
      <c r="C162" s="9" t="s">
        <v>10</v>
      </c>
      <c r="D162" s="9" t="s">
        <v>11</v>
      </c>
      <c r="E162" s="9">
        <v>102</v>
      </c>
      <c r="F162" s="9">
        <v>7.9</v>
      </c>
      <c r="G162" s="9">
        <v>145000000</v>
      </c>
      <c r="H162" s="9">
        <v>176997107</v>
      </c>
      <c r="I162" s="5">
        <f>IMDB_Movies!$H162-IMDB_Movies!$G162</f>
        <v>31997107</v>
      </c>
    </row>
    <row r="163" spans="1:9" ht="23">
      <c r="A163" s="3" t="s">
        <v>280</v>
      </c>
      <c r="B163" s="10" t="s">
        <v>281</v>
      </c>
      <c r="C163" s="10" t="s">
        <v>10</v>
      </c>
      <c r="D163" s="10" t="s">
        <v>11</v>
      </c>
      <c r="E163" s="10">
        <v>126</v>
      </c>
      <c r="F163" s="10">
        <v>5.5</v>
      </c>
      <c r="G163" s="10">
        <v>140000000</v>
      </c>
      <c r="H163" s="10">
        <v>31141074</v>
      </c>
      <c r="I163" s="5">
        <f>IMDB_Movies!$H163-IMDB_Movies!$G163</f>
        <v>-108858926</v>
      </c>
    </row>
    <row r="164" spans="1:9" ht="23">
      <c r="A164" s="2" t="s">
        <v>282</v>
      </c>
      <c r="B164" s="9" t="s">
        <v>133</v>
      </c>
      <c r="C164" s="9" t="s">
        <v>10</v>
      </c>
      <c r="D164" s="9" t="s">
        <v>11</v>
      </c>
      <c r="E164" s="9">
        <v>121</v>
      </c>
      <c r="F164" s="9">
        <v>5</v>
      </c>
      <c r="G164" s="9">
        <v>135000000</v>
      </c>
      <c r="H164" s="9">
        <v>31704416</v>
      </c>
      <c r="I164" s="5">
        <f>IMDB_Movies!$H164-IMDB_Movies!$G164</f>
        <v>-103295584</v>
      </c>
    </row>
    <row r="165" spans="1:9" ht="23">
      <c r="A165" s="3" t="s">
        <v>283</v>
      </c>
      <c r="B165" s="10" t="s">
        <v>30</v>
      </c>
      <c r="C165" s="10" t="s">
        <v>10</v>
      </c>
      <c r="D165" s="10" t="s">
        <v>11</v>
      </c>
      <c r="E165" s="10">
        <v>215</v>
      </c>
      <c r="F165" s="10">
        <v>7.7</v>
      </c>
      <c r="G165" s="10">
        <v>130000000</v>
      </c>
      <c r="H165" s="10">
        <v>107503316</v>
      </c>
      <c r="I165" s="5">
        <f>IMDB_Movies!$H165-IMDB_Movies!$G165</f>
        <v>-22496684</v>
      </c>
    </row>
    <row r="166" spans="1:9" ht="23">
      <c r="A166" s="2" t="s">
        <v>284</v>
      </c>
      <c r="B166" s="9" t="s">
        <v>285</v>
      </c>
      <c r="C166" s="9" t="s">
        <v>10</v>
      </c>
      <c r="D166" s="9" t="s">
        <v>11</v>
      </c>
      <c r="E166" s="9">
        <v>127</v>
      </c>
      <c r="F166" s="9">
        <v>6.6</v>
      </c>
      <c r="G166" s="9">
        <v>140000000</v>
      </c>
      <c r="H166" s="9">
        <v>129734803</v>
      </c>
      <c r="I166" s="5">
        <f>IMDB_Movies!$H166-IMDB_Movies!$G166</f>
        <v>-10265197</v>
      </c>
    </row>
    <row r="167" spans="1:9" ht="23">
      <c r="A167" s="3" t="s">
        <v>286</v>
      </c>
      <c r="B167" s="10" t="s">
        <v>287</v>
      </c>
      <c r="C167" s="10" t="s">
        <v>10</v>
      </c>
      <c r="D167" s="10" t="s">
        <v>11</v>
      </c>
      <c r="E167" s="10">
        <v>138</v>
      </c>
      <c r="F167" s="10">
        <v>5.7</v>
      </c>
      <c r="G167" s="10">
        <v>137000000</v>
      </c>
      <c r="H167" s="10">
        <v>132122995</v>
      </c>
      <c r="I167" s="5">
        <f>IMDB_Movies!$H167-IMDB_Movies!$G167</f>
        <v>-4877005</v>
      </c>
    </row>
    <row r="168" spans="1:9" ht="23">
      <c r="A168" s="2" t="s">
        <v>288</v>
      </c>
      <c r="B168" s="9" t="s">
        <v>289</v>
      </c>
      <c r="C168" s="9" t="s">
        <v>10</v>
      </c>
      <c r="D168" s="9" t="s">
        <v>11</v>
      </c>
      <c r="E168" s="9">
        <v>122</v>
      </c>
      <c r="F168" s="9">
        <v>5.8</v>
      </c>
      <c r="G168" s="9">
        <v>130000000</v>
      </c>
      <c r="H168" s="9">
        <v>122512052</v>
      </c>
      <c r="I168" s="5">
        <f>IMDB_Movies!$H168-IMDB_Movies!$G168</f>
        <v>-7487948</v>
      </c>
    </row>
    <row r="169" spans="1:9" ht="23">
      <c r="A169" s="3" t="s">
        <v>290</v>
      </c>
      <c r="B169" s="10" t="s">
        <v>291</v>
      </c>
      <c r="C169" s="10" t="s">
        <v>10</v>
      </c>
      <c r="D169" s="10" t="s">
        <v>11</v>
      </c>
      <c r="E169" s="10">
        <v>124</v>
      </c>
      <c r="F169" s="10">
        <v>6</v>
      </c>
      <c r="G169" s="10">
        <v>130000000</v>
      </c>
      <c r="H169" s="10">
        <v>68642452</v>
      </c>
      <c r="I169" s="5">
        <f>IMDB_Movies!$H169-IMDB_Movies!$G169</f>
        <v>-61357548</v>
      </c>
    </row>
    <row r="170" spans="1:9" ht="23">
      <c r="A170" s="2" t="s">
        <v>292</v>
      </c>
      <c r="B170" s="9" t="s">
        <v>293</v>
      </c>
      <c r="C170" s="9" t="s">
        <v>10</v>
      </c>
      <c r="D170" s="9" t="s">
        <v>11</v>
      </c>
      <c r="E170" s="9">
        <v>106</v>
      </c>
      <c r="F170" s="9">
        <v>6.4</v>
      </c>
      <c r="G170" s="9">
        <v>137000000</v>
      </c>
      <c r="H170" s="9">
        <v>32131830</v>
      </c>
      <c r="I170" s="5">
        <f>IMDB_Movies!$H170-IMDB_Movies!$G170</f>
        <v>-104868170</v>
      </c>
    </row>
    <row r="171" spans="1:9" ht="23">
      <c r="A171" s="3" t="s">
        <v>294</v>
      </c>
      <c r="B171" s="10" t="s">
        <v>241</v>
      </c>
      <c r="C171" s="10" t="s">
        <v>10</v>
      </c>
      <c r="D171" s="10" t="s">
        <v>11</v>
      </c>
      <c r="E171" s="10">
        <v>124</v>
      </c>
      <c r="F171" s="10">
        <v>6.9</v>
      </c>
      <c r="G171" s="10">
        <v>140000000</v>
      </c>
      <c r="H171" s="10">
        <v>176636816</v>
      </c>
      <c r="I171" s="5">
        <f>IMDB_Movies!$H171-IMDB_Movies!$G171</f>
        <v>36636816</v>
      </c>
    </row>
    <row r="172" spans="1:9" ht="23">
      <c r="A172" s="2" t="s">
        <v>295</v>
      </c>
      <c r="B172" s="9" t="s">
        <v>201</v>
      </c>
      <c r="C172" s="9" t="s">
        <v>10</v>
      </c>
      <c r="D172" s="9" t="s">
        <v>11</v>
      </c>
      <c r="E172" s="9">
        <v>128</v>
      </c>
      <c r="F172" s="9">
        <v>6.4</v>
      </c>
      <c r="G172" s="9">
        <v>135000000</v>
      </c>
      <c r="H172" s="9">
        <v>126930660</v>
      </c>
      <c r="I172" s="5">
        <f>IMDB_Movies!$H172-IMDB_Movies!$G172</f>
        <v>-8069340</v>
      </c>
    </row>
    <row r="173" spans="1:9" ht="23">
      <c r="A173" s="3" t="s">
        <v>296</v>
      </c>
      <c r="B173" s="10" t="s">
        <v>297</v>
      </c>
      <c r="C173" s="10" t="s">
        <v>10</v>
      </c>
      <c r="D173" s="10" t="s">
        <v>11</v>
      </c>
      <c r="E173" s="10">
        <v>138</v>
      </c>
      <c r="F173" s="10">
        <v>7.4</v>
      </c>
      <c r="G173" s="10">
        <v>150000000</v>
      </c>
      <c r="H173" s="10">
        <v>93926386</v>
      </c>
      <c r="I173" s="5">
        <f>IMDB_Movies!$H173-IMDB_Movies!$G173</f>
        <v>-56073614</v>
      </c>
    </row>
    <row r="174" spans="1:9" ht="23">
      <c r="A174" s="2" t="s">
        <v>298</v>
      </c>
      <c r="B174" s="9" t="s">
        <v>299</v>
      </c>
      <c r="C174" s="9" t="s">
        <v>24</v>
      </c>
      <c r="D174" s="9" t="s">
        <v>11</v>
      </c>
      <c r="E174" s="9">
        <v>115</v>
      </c>
      <c r="F174" s="9">
        <v>5.5</v>
      </c>
      <c r="G174" s="9">
        <v>120000000</v>
      </c>
      <c r="H174" s="9">
        <v>292298923</v>
      </c>
      <c r="I174" s="5">
        <f>IMDB_Movies!$H174-IMDB_Movies!$G174</f>
        <v>172298923</v>
      </c>
    </row>
    <row r="175" spans="1:9" ht="23">
      <c r="A175" s="3" t="s">
        <v>300</v>
      </c>
      <c r="B175" s="10" t="s">
        <v>225</v>
      </c>
      <c r="C175" s="10" t="s">
        <v>116</v>
      </c>
      <c r="D175" s="10" t="s">
        <v>11</v>
      </c>
      <c r="E175" s="10">
        <v>100</v>
      </c>
      <c r="F175" s="10">
        <v>5.9</v>
      </c>
      <c r="G175" s="10">
        <v>135000000</v>
      </c>
      <c r="H175" s="10">
        <v>63992328</v>
      </c>
      <c r="I175" s="5">
        <f>IMDB_Movies!$H175-IMDB_Movies!$G175</f>
        <v>-71007672</v>
      </c>
    </row>
    <row r="176" spans="1:9" ht="23">
      <c r="A176" s="2" t="s">
        <v>301</v>
      </c>
      <c r="B176" s="9" t="s">
        <v>302</v>
      </c>
      <c r="C176" s="9" t="s">
        <v>10</v>
      </c>
      <c r="D176" s="9" t="s">
        <v>11</v>
      </c>
      <c r="E176" s="9">
        <v>135</v>
      </c>
      <c r="F176" s="9">
        <v>6.8</v>
      </c>
      <c r="G176" s="9">
        <v>150000000</v>
      </c>
      <c r="H176" s="9">
        <v>134518390</v>
      </c>
      <c r="I176" s="5">
        <f>IMDB_Movies!$H176-IMDB_Movies!$G176</f>
        <v>-15481610</v>
      </c>
    </row>
    <row r="177" spans="1:9" ht="23">
      <c r="A177" s="3" t="s">
        <v>303</v>
      </c>
      <c r="B177" s="10" t="s">
        <v>103</v>
      </c>
      <c r="C177" s="10" t="s">
        <v>24</v>
      </c>
      <c r="D177" s="10" t="s">
        <v>11</v>
      </c>
      <c r="E177" s="10">
        <v>117</v>
      </c>
      <c r="F177" s="10">
        <v>6.8</v>
      </c>
      <c r="G177" s="10">
        <v>140000000</v>
      </c>
      <c r="H177" s="10">
        <v>52792307</v>
      </c>
      <c r="I177" s="5">
        <f>IMDB_Movies!$H177-IMDB_Movies!$G177</f>
        <v>-87207693</v>
      </c>
    </row>
    <row r="178" spans="1:9" ht="23">
      <c r="A178" s="2" t="s">
        <v>304</v>
      </c>
      <c r="B178" s="9" t="s">
        <v>305</v>
      </c>
      <c r="C178" s="9" t="s">
        <v>24</v>
      </c>
      <c r="D178" s="9" t="s">
        <v>11</v>
      </c>
      <c r="E178" s="9">
        <v>156</v>
      </c>
      <c r="F178" s="9">
        <v>8.1</v>
      </c>
      <c r="G178" s="9">
        <v>135000000</v>
      </c>
      <c r="H178" s="9">
        <v>183635922</v>
      </c>
      <c r="I178" s="5">
        <f>IMDB_Movies!$H178-IMDB_Movies!$G178</f>
        <v>48635922</v>
      </c>
    </row>
    <row r="179" spans="1:9" ht="23">
      <c r="A179" s="3" t="s">
        <v>306</v>
      </c>
      <c r="B179" s="10" t="s">
        <v>307</v>
      </c>
      <c r="C179" s="10" t="s">
        <v>24</v>
      </c>
      <c r="D179" s="10" t="s">
        <v>11</v>
      </c>
      <c r="E179" s="10">
        <v>96</v>
      </c>
      <c r="F179" s="10">
        <v>6.5</v>
      </c>
      <c r="G179" s="10">
        <v>135000000</v>
      </c>
      <c r="H179" s="10">
        <v>83024900</v>
      </c>
      <c r="I179" s="5">
        <f>IMDB_Movies!$H179-IMDB_Movies!$G179</f>
        <v>-51975100</v>
      </c>
    </row>
    <row r="180" spans="1:9" ht="23">
      <c r="A180" s="2" t="s">
        <v>308</v>
      </c>
      <c r="B180" s="9" t="s">
        <v>13</v>
      </c>
      <c r="C180" s="9" t="s">
        <v>24</v>
      </c>
      <c r="D180" s="9" t="s">
        <v>11</v>
      </c>
      <c r="E180" s="9">
        <v>107</v>
      </c>
      <c r="F180" s="9">
        <v>7.2</v>
      </c>
      <c r="G180" s="9">
        <v>135000000</v>
      </c>
      <c r="H180" s="9">
        <v>123207194</v>
      </c>
      <c r="I180" s="5">
        <f>IMDB_Movies!$H180-IMDB_Movies!$G180</f>
        <v>-11792806</v>
      </c>
    </row>
    <row r="181" spans="1:9" ht="23">
      <c r="A181" s="3" t="s">
        <v>309</v>
      </c>
      <c r="B181" s="10" t="s">
        <v>214</v>
      </c>
      <c r="C181" s="10" t="s">
        <v>24</v>
      </c>
      <c r="D181" s="10" t="s">
        <v>11</v>
      </c>
      <c r="E181" s="10">
        <v>92</v>
      </c>
      <c r="F181" s="10">
        <v>6.7</v>
      </c>
      <c r="G181" s="10">
        <v>132000000</v>
      </c>
      <c r="H181" s="10">
        <v>83348920</v>
      </c>
      <c r="I181" s="5">
        <f>IMDB_Movies!$H181-IMDB_Movies!$G181</f>
        <v>-48651080</v>
      </c>
    </row>
    <row r="182" spans="1:9" ht="23">
      <c r="A182" s="2" t="s">
        <v>310</v>
      </c>
      <c r="B182" s="9" t="s">
        <v>311</v>
      </c>
      <c r="C182" s="9" t="s">
        <v>10</v>
      </c>
      <c r="D182" s="9" t="s">
        <v>11</v>
      </c>
      <c r="E182" s="9">
        <v>115</v>
      </c>
      <c r="F182" s="9">
        <v>8.1</v>
      </c>
      <c r="G182" s="9">
        <v>110000000</v>
      </c>
      <c r="H182" s="9">
        <v>227137090</v>
      </c>
      <c r="I182" s="5">
        <f>IMDB_Movies!$H182-IMDB_Movies!$G182</f>
        <v>117137090</v>
      </c>
    </row>
    <row r="183" spans="1:9" ht="23">
      <c r="A183" s="3" t="s">
        <v>312</v>
      </c>
      <c r="B183" s="10" t="s">
        <v>313</v>
      </c>
      <c r="C183" s="10" t="s">
        <v>10</v>
      </c>
      <c r="D183" s="10" t="s">
        <v>11</v>
      </c>
      <c r="E183" s="10">
        <v>92</v>
      </c>
      <c r="F183" s="10">
        <v>7.6</v>
      </c>
      <c r="G183" s="10">
        <v>130000000</v>
      </c>
      <c r="H183" s="10">
        <v>215395021</v>
      </c>
      <c r="I183" s="5">
        <f>IMDB_Movies!$H183-IMDB_Movies!$G183</f>
        <v>85395021</v>
      </c>
    </row>
    <row r="184" spans="1:9" ht="23">
      <c r="A184" s="2" t="s">
        <v>314</v>
      </c>
      <c r="B184" s="9" t="s">
        <v>315</v>
      </c>
      <c r="C184" s="9" t="s">
        <v>10</v>
      </c>
      <c r="D184" s="9" t="s">
        <v>11</v>
      </c>
      <c r="E184" s="9">
        <v>117</v>
      </c>
      <c r="F184" s="9">
        <v>7.4</v>
      </c>
      <c r="G184" s="9">
        <v>130000000</v>
      </c>
      <c r="H184" s="9">
        <v>180191634</v>
      </c>
      <c r="I184" s="5">
        <f>IMDB_Movies!$H184-IMDB_Movies!$G184</f>
        <v>50191634</v>
      </c>
    </row>
    <row r="185" spans="1:9" ht="23">
      <c r="A185" s="3" t="s">
        <v>316</v>
      </c>
      <c r="B185" s="10" t="s">
        <v>187</v>
      </c>
      <c r="C185" s="10" t="s">
        <v>24</v>
      </c>
      <c r="D185" s="10" t="s">
        <v>11</v>
      </c>
      <c r="E185" s="10">
        <v>146</v>
      </c>
      <c r="F185" s="10">
        <v>7.6</v>
      </c>
      <c r="G185" s="10">
        <v>130000000</v>
      </c>
      <c r="H185" s="10">
        <v>424645577</v>
      </c>
      <c r="I185" s="5">
        <f>IMDB_Movies!$H185-IMDB_Movies!$G185</f>
        <v>294645577</v>
      </c>
    </row>
    <row r="186" spans="1:9" ht="23">
      <c r="A186" s="2" t="s">
        <v>317</v>
      </c>
      <c r="B186" s="9" t="s">
        <v>318</v>
      </c>
      <c r="C186" s="9" t="s">
        <v>24</v>
      </c>
      <c r="D186" s="9" t="s">
        <v>11</v>
      </c>
      <c r="E186" s="9">
        <v>94</v>
      </c>
      <c r="F186" s="9">
        <v>6.7</v>
      </c>
      <c r="G186" s="9">
        <v>135000000</v>
      </c>
      <c r="H186" s="9">
        <v>177343675</v>
      </c>
      <c r="I186" s="5">
        <f>IMDB_Movies!$H186-IMDB_Movies!$G186</f>
        <v>42343675</v>
      </c>
    </row>
    <row r="187" spans="1:9" ht="23">
      <c r="A187" s="3" t="s">
        <v>319</v>
      </c>
      <c r="B187" s="10" t="s">
        <v>103</v>
      </c>
      <c r="C187" s="10" t="s">
        <v>24</v>
      </c>
      <c r="D187" s="10" t="s">
        <v>11</v>
      </c>
      <c r="E187" s="10">
        <v>116</v>
      </c>
      <c r="F187" s="10">
        <v>6.5</v>
      </c>
      <c r="G187" s="10">
        <v>132000000</v>
      </c>
      <c r="H187" s="10">
        <v>234277056</v>
      </c>
      <c r="I187" s="5">
        <f>IMDB_Movies!$H187-IMDB_Movies!$G187</f>
        <v>102277056</v>
      </c>
    </row>
    <row r="188" spans="1:9" ht="23">
      <c r="A188" s="2" t="s">
        <v>320</v>
      </c>
      <c r="B188" s="9" t="s">
        <v>74</v>
      </c>
      <c r="C188" s="9" t="s">
        <v>10</v>
      </c>
      <c r="D188" s="9" t="s">
        <v>11</v>
      </c>
      <c r="E188" s="9">
        <v>147</v>
      </c>
      <c r="F188" s="9">
        <v>6.6</v>
      </c>
      <c r="G188" s="9">
        <v>130000000</v>
      </c>
      <c r="H188" s="9">
        <v>138396624</v>
      </c>
      <c r="I188" s="5">
        <f>IMDB_Movies!$H188-IMDB_Movies!$G188</f>
        <v>8396624</v>
      </c>
    </row>
    <row r="189" spans="1:9" ht="23">
      <c r="A189" s="3" t="s">
        <v>321</v>
      </c>
      <c r="B189" s="10" t="s">
        <v>195</v>
      </c>
      <c r="C189" s="10" t="s">
        <v>10</v>
      </c>
      <c r="D189" s="10" t="s">
        <v>11</v>
      </c>
      <c r="E189" s="10">
        <v>90</v>
      </c>
      <c r="F189" s="10">
        <v>6.7</v>
      </c>
      <c r="G189" s="10">
        <v>130000000</v>
      </c>
      <c r="H189" s="10">
        <v>149234747</v>
      </c>
      <c r="I189" s="5">
        <f>IMDB_Movies!$H189-IMDB_Movies!$G189</f>
        <v>19234747</v>
      </c>
    </row>
    <row r="190" spans="1:9" ht="23">
      <c r="A190" s="2" t="s">
        <v>322</v>
      </c>
      <c r="B190" s="9" t="s">
        <v>323</v>
      </c>
      <c r="C190" s="9" t="s">
        <v>10</v>
      </c>
      <c r="D190" s="9" t="s">
        <v>11</v>
      </c>
      <c r="E190" s="9">
        <v>101</v>
      </c>
      <c r="F190" s="9">
        <v>6.4</v>
      </c>
      <c r="G190" s="9">
        <v>110000000</v>
      </c>
      <c r="H190" s="9">
        <v>118311368</v>
      </c>
      <c r="I190" s="5">
        <f>IMDB_Movies!$H190-IMDB_Movies!$G190</f>
        <v>8311368</v>
      </c>
    </row>
    <row r="191" spans="1:9" ht="23">
      <c r="A191" s="3" t="s">
        <v>324</v>
      </c>
      <c r="B191" s="10" t="s">
        <v>325</v>
      </c>
      <c r="C191" s="10" t="s">
        <v>10</v>
      </c>
      <c r="D191" s="10" t="s">
        <v>11</v>
      </c>
      <c r="E191" s="10">
        <v>138</v>
      </c>
      <c r="F191" s="10">
        <v>5.8</v>
      </c>
      <c r="G191" s="10">
        <v>125000000</v>
      </c>
      <c r="H191" s="10">
        <v>101160529</v>
      </c>
      <c r="I191" s="5">
        <f>IMDB_Movies!$H191-IMDB_Movies!$G191</f>
        <v>-23839471</v>
      </c>
    </row>
    <row r="192" spans="1:9" ht="23">
      <c r="A192" s="2" t="s">
        <v>326</v>
      </c>
      <c r="B192" s="9" t="s">
        <v>103</v>
      </c>
      <c r="C192" s="9" t="s">
        <v>10</v>
      </c>
      <c r="D192" s="9" t="s">
        <v>11</v>
      </c>
      <c r="E192" s="9">
        <v>107</v>
      </c>
      <c r="F192" s="9">
        <v>7.4</v>
      </c>
      <c r="G192" s="9">
        <v>135000000</v>
      </c>
      <c r="H192" s="9">
        <v>77564037</v>
      </c>
      <c r="I192" s="5">
        <f>IMDB_Movies!$H192-IMDB_Movies!$G192</f>
        <v>-57435963</v>
      </c>
    </row>
    <row r="193" spans="1:9" ht="23">
      <c r="A193" s="3" t="s">
        <v>327</v>
      </c>
      <c r="B193" s="10" t="s">
        <v>328</v>
      </c>
      <c r="C193" s="10" t="s">
        <v>24</v>
      </c>
      <c r="D193" s="10" t="s">
        <v>11</v>
      </c>
      <c r="E193" s="10">
        <v>142</v>
      </c>
      <c r="F193" s="10">
        <v>7.8</v>
      </c>
      <c r="G193" s="10">
        <v>130000000</v>
      </c>
      <c r="H193" s="10">
        <v>249358727</v>
      </c>
      <c r="I193" s="5">
        <f>IMDB_Movies!$H193-IMDB_Movies!$G193</f>
        <v>119358727</v>
      </c>
    </row>
    <row r="194" spans="1:9" ht="23">
      <c r="A194" s="2" t="s">
        <v>329</v>
      </c>
      <c r="B194" s="9" t="s">
        <v>96</v>
      </c>
      <c r="C194" s="9" t="s">
        <v>24</v>
      </c>
      <c r="D194" s="9" t="s">
        <v>11</v>
      </c>
      <c r="E194" s="9">
        <v>165</v>
      </c>
      <c r="F194" s="9">
        <v>6.6</v>
      </c>
      <c r="G194" s="9">
        <v>130000000</v>
      </c>
      <c r="H194" s="9">
        <v>49551662</v>
      </c>
      <c r="I194" s="5">
        <f>IMDB_Movies!$H194-IMDB_Movies!$G194</f>
        <v>-80448338</v>
      </c>
    </row>
    <row r="195" spans="1:9" ht="23">
      <c r="A195" s="3" t="s">
        <v>330</v>
      </c>
      <c r="B195" s="10" t="s">
        <v>247</v>
      </c>
      <c r="C195" s="10" t="s">
        <v>10</v>
      </c>
      <c r="D195" s="10" t="s">
        <v>11</v>
      </c>
      <c r="E195" s="10">
        <v>100</v>
      </c>
      <c r="F195" s="10">
        <v>4.9000000000000004</v>
      </c>
      <c r="G195" s="10">
        <v>130000000</v>
      </c>
      <c r="H195" s="10">
        <v>60522097</v>
      </c>
      <c r="I195" s="5">
        <f>IMDB_Movies!$H195-IMDB_Movies!$G195</f>
        <v>-69477903</v>
      </c>
    </row>
    <row r="196" spans="1:9" ht="23">
      <c r="A196" s="2" t="s">
        <v>331</v>
      </c>
      <c r="B196" s="9" t="s">
        <v>332</v>
      </c>
      <c r="C196" s="9" t="s">
        <v>24</v>
      </c>
      <c r="D196" s="9" t="s">
        <v>11</v>
      </c>
      <c r="E196" s="9">
        <v>82</v>
      </c>
      <c r="F196" s="9">
        <v>6.5</v>
      </c>
      <c r="G196" s="9">
        <v>127500000</v>
      </c>
      <c r="H196" s="9">
        <v>137748063</v>
      </c>
      <c r="I196" s="5">
        <f>IMDB_Movies!$H196-IMDB_Movies!$G196</f>
        <v>10248063</v>
      </c>
    </row>
    <row r="197" spans="1:9" ht="23">
      <c r="A197" s="3" t="s">
        <v>333</v>
      </c>
      <c r="B197" s="10" t="s">
        <v>216</v>
      </c>
      <c r="C197" s="10" t="s">
        <v>24</v>
      </c>
      <c r="D197" s="10" t="s">
        <v>11</v>
      </c>
      <c r="E197" s="10">
        <v>98</v>
      </c>
      <c r="F197" s="10">
        <v>6.2</v>
      </c>
      <c r="G197" s="10">
        <v>127000000</v>
      </c>
      <c r="H197" s="10">
        <v>113733726</v>
      </c>
      <c r="I197" s="5">
        <f>IMDB_Movies!$H197-IMDB_Movies!$G197</f>
        <v>-13266274</v>
      </c>
    </row>
    <row r="198" spans="1:9" ht="23">
      <c r="A198" s="2" t="s">
        <v>334</v>
      </c>
      <c r="B198" s="9" t="s">
        <v>335</v>
      </c>
      <c r="C198" s="9" t="s">
        <v>10</v>
      </c>
      <c r="D198" s="9" t="s">
        <v>11</v>
      </c>
      <c r="E198" s="9">
        <v>95</v>
      </c>
      <c r="F198" s="9">
        <v>7.3</v>
      </c>
      <c r="G198" s="9">
        <v>130000000</v>
      </c>
      <c r="H198" s="9">
        <v>148337537</v>
      </c>
      <c r="I198" s="5">
        <f>IMDB_Movies!$H198-IMDB_Movies!$G198</f>
        <v>18337537</v>
      </c>
    </row>
    <row r="199" spans="1:9" ht="23">
      <c r="A199" s="3" t="s">
        <v>336</v>
      </c>
      <c r="B199" s="10" t="s">
        <v>337</v>
      </c>
      <c r="C199" s="10" t="s">
        <v>24</v>
      </c>
      <c r="D199" s="10" t="s">
        <v>11</v>
      </c>
      <c r="E199" s="10">
        <v>159</v>
      </c>
      <c r="F199" s="10">
        <v>7.5</v>
      </c>
      <c r="G199" s="10">
        <v>125000000</v>
      </c>
      <c r="H199" s="10">
        <v>317557891</v>
      </c>
      <c r="I199" s="5">
        <f>IMDB_Movies!$H199-IMDB_Movies!$G199</f>
        <v>192557891</v>
      </c>
    </row>
    <row r="200" spans="1:9" ht="23">
      <c r="A200" s="2" t="s">
        <v>338</v>
      </c>
      <c r="B200" s="9" t="s">
        <v>339</v>
      </c>
      <c r="C200" s="9" t="s">
        <v>10</v>
      </c>
      <c r="D200" s="9" t="s">
        <v>11</v>
      </c>
      <c r="E200" s="9">
        <v>96</v>
      </c>
      <c r="F200" s="9">
        <v>5.6</v>
      </c>
      <c r="G200" s="9">
        <v>130000000</v>
      </c>
      <c r="H200" s="9">
        <v>33592415</v>
      </c>
      <c r="I200" s="5">
        <f>IMDB_Movies!$H200-IMDB_Movies!$G200</f>
        <v>-96407585</v>
      </c>
    </row>
    <row r="201" spans="1:9" ht="23">
      <c r="A201" s="3" t="s">
        <v>340</v>
      </c>
      <c r="B201" s="10" t="s">
        <v>13</v>
      </c>
      <c r="C201" s="10" t="s">
        <v>10</v>
      </c>
      <c r="D201" s="10" t="s">
        <v>11</v>
      </c>
      <c r="E201" s="10">
        <v>143</v>
      </c>
      <c r="F201" s="10">
        <v>8.1</v>
      </c>
      <c r="G201" s="10">
        <v>140000000</v>
      </c>
      <c r="H201" s="10">
        <v>305388685</v>
      </c>
      <c r="I201" s="5">
        <f>IMDB_Movies!$H201-IMDB_Movies!$G201</f>
        <v>165388685</v>
      </c>
    </row>
    <row r="202" spans="1:9" ht="23">
      <c r="A202" s="2" t="s">
        <v>341</v>
      </c>
      <c r="B202" s="9" t="s">
        <v>187</v>
      </c>
      <c r="C202" s="9" t="s">
        <v>24</v>
      </c>
      <c r="D202" s="9" t="s">
        <v>11</v>
      </c>
      <c r="E202" s="9">
        <v>123</v>
      </c>
      <c r="F202" s="9">
        <v>6.7</v>
      </c>
      <c r="G202" s="9">
        <v>125000000</v>
      </c>
      <c r="H202" s="9">
        <v>337103873</v>
      </c>
      <c r="I202" s="5">
        <f>IMDB_Movies!$H202-IMDB_Movies!$G202</f>
        <v>212103873</v>
      </c>
    </row>
    <row r="203" spans="1:9" ht="23">
      <c r="A203" s="3" t="s">
        <v>342</v>
      </c>
      <c r="B203" s="10" t="s">
        <v>227</v>
      </c>
      <c r="C203" s="10" t="s">
        <v>228</v>
      </c>
      <c r="D203" s="10" t="s">
        <v>11</v>
      </c>
      <c r="E203" s="10">
        <v>174</v>
      </c>
      <c r="F203" s="10">
        <v>6.6</v>
      </c>
      <c r="G203" s="10">
        <v>125000000</v>
      </c>
      <c r="H203" s="10">
        <v>217536138</v>
      </c>
      <c r="I203" s="5">
        <f>IMDB_Movies!$H203-IMDB_Movies!$G203</f>
        <v>92536138</v>
      </c>
    </row>
    <row r="204" spans="1:9" ht="23">
      <c r="A204" s="2" t="s">
        <v>343</v>
      </c>
      <c r="B204" s="9" t="s">
        <v>344</v>
      </c>
      <c r="C204" s="9" t="s">
        <v>24</v>
      </c>
      <c r="D204" s="9" t="s">
        <v>11</v>
      </c>
      <c r="E204" s="9">
        <v>101</v>
      </c>
      <c r="F204" s="9">
        <v>6.4</v>
      </c>
      <c r="G204" s="9">
        <v>103000000</v>
      </c>
      <c r="H204" s="9">
        <v>131536019</v>
      </c>
      <c r="I204" s="5">
        <f>IMDB_Movies!$H204-IMDB_Movies!$G204</f>
        <v>28536019</v>
      </c>
    </row>
    <row r="205" spans="1:9" ht="23">
      <c r="A205" s="3" t="s">
        <v>345</v>
      </c>
      <c r="B205" s="10" t="s">
        <v>32</v>
      </c>
      <c r="C205" s="10" t="s">
        <v>10</v>
      </c>
      <c r="D205" s="10" t="s">
        <v>11</v>
      </c>
      <c r="E205" s="10">
        <v>134</v>
      </c>
      <c r="F205" s="10">
        <v>7.5</v>
      </c>
      <c r="G205" s="10">
        <v>110000000</v>
      </c>
      <c r="H205" s="10">
        <v>214948780</v>
      </c>
      <c r="I205" s="5">
        <f>IMDB_Movies!$H205-IMDB_Movies!$G205</f>
        <v>104948780</v>
      </c>
    </row>
    <row r="206" spans="1:9" ht="23">
      <c r="A206" s="2" t="s">
        <v>346</v>
      </c>
      <c r="B206" s="9" t="s">
        <v>109</v>
      </c>
      <c r="C206" s="9" t="s">
        <v>10</v>
      </c>
      <c r="D206" s="9" t="s">
        <v>11</v>
      </c>
      <c r="E206" s="9">
        <v>132</v>
      </c>
      <c r="F206" s="9">
        <v>7.3</v>
      </c>
      <c r="G206" s="9">
        <v>125000000</v>
      </c>
      <c r="H206" s="9">
        <v>209805005</v>
      </c>
      <c r="I206" s="5">
        <f>IMDB_Movies!$H206-IMDB_Movies!$G206</f>
        <v>84805005</v>
      </c>
    </row>
    <row r="207" spans="1:9" ht="23">
      <c r="A207" s="3" t="s">
        <v>347</v>
      </c>
      <c r="B207" s="10" t="s">
        <v>348</v>
      </c>
      <c r="C207" s="10" t="s">
        <v>10</v>
      </c>
      <c r="D207" s="10" t="s">
        <v>11</v>
      </c>
      <c r="E207" s="10">
        <v>129</v>
      </c>
      <c r="F207" s="10">
        <v>7.5</v>
      </c>
      <c r="G207" s="10">
        <v>125000000</v>
      </c>
      <c r="H207" s="10">
        <v>186830669</v>
      </c>
      <c r="I207" s="5">
        <f>IMDB_Movies!$H207-IMDB_Movies!$G207</f>
        <v>61830669</v>
      </c>
    </row>
    <row r="208" spans="1:9" ht="23">
      <c r="A208" s="2" t="s">
        <v>349</v>
      </c>
      <c r="B208" s="9" t="s">
        <v>302</v>
      </c>
      <c r="C208" s="9" t="s">
        <v>10</v>
      </c>
      <c r="D208" s="9" t="s">
        <v>11</v>
      </c>
      <c r="E208" s="9">
        <v>106</v>
      </c>
      <c r="F208" s="9">
        <v>5.8</v>
      </c>
      <c r="G208" s="9">
        <v>125000000</v>
      </c>
      <c r="H208" s="9">
        <v>163192114</v>
      </c>
      <c r="I208" s="5">
        <f>IMDB_Movies!$H208-IMDB_Movies!$G208</f>
        <v>38192114</v>
      </c>
    </row>
    <row r="209" spans="1:9" ht="23">
      <c r="A209" s="3" t="s">
        <v>350</v>
      </c>
      <c r="B209" s="10" t="s">
        <v>351</v>
      </c>
      <c r="C209" s="10" t="s">
        <v>10</v>
      </c>
      <c r="D209" s="10" t="s">
        <v>11</v>
      </c>
      <c r="E209" s="10">
        <v>113</v>
      </c>
      <c r="F209" s="10">
        <v>7.5</v>
      </c>
      <c r="G209" s="10">
        <v>65000000</v>
      </c>
      <c r="H209" s="10">
        <v>119412921</v>
      </c>
      <c r="I209" s="5">
        <f>IMDB_Movies!$H209-IMDB_Movies!$G209</f>
        <v>54412921</v>
      </c>
    </row>
    <row r="210" spans="1:9" ht="23">
      <c r="A210" s="2" t="s">
        <v>352</v>
      </c>
      <c r="B210" s="9" t="s">
        <v>353</v>
      </c>
      <c r="C210" s="9" t="s">
        <v>10</v>
      </c>
      <c r="D210" s="9" t="s">
        <v>11</v>
      </c>
      <c r="E210" s="9">
        <v>102</v>
      </c>
      <c r="F210" s="9">
        <v>6.6</v>
      </c>
      <c r="G210" s="9">
        <v>85000000</v>
      </c>
      <c r="H210" s="9">
        <v>32694788</v>
      </c>
      <c r="I210" s="5">
        <f>IMDB_Movies!$H210-IMDB_Movies!$G210</f>
        <v>-52305212</v>
      </c>
    </row>
    <row r="211" spans="1:9" ht="23">
      <c r="A211" s="3" t="s">
        <v>354</v>
      </c>
      <c r="B211" s="10" t="s">
        <v>355</v>
      </c>
      <c r="C211" s="10" t="s">
        <v>10</v>
      </c>
      <c r="D211" s="10" t="s">
        <v>11</v>
      </c>
      <c r="E211" s="10">
        <v>135</v>
      </c>
      <c r="F211" s="10">
        <v>6.7</v>
      </c>
      <c r="G211" s="10">
        <v>125000000</v>
      </c>
      <c r="H211" s="10">
        <v>113165635</v>
      </c>
      <c r="I211" s="5">
        <f>IMDB_Movies!$H211-IMDB_Movies!$G211</f>
        <v>-11834365</v>
      </c>
    </row>
    <row r="212" spans="1:9" ht="23">
      <c r="A212" s="2" t="s">
        <v>356</v>
      </c>
      <c r="B212" s="9" t="s">
        <v>357</v>
      </c>
      <c r="C212" s="9" t="s">
        <v>10</v>
      </c>
      <c r="D212" s="9" t="s">
        <v>11</v>
      </c>
      <c r="E212" s="9">
        <v>125</v>
      </c>
      <c r="F212" s="9">
        <v>3.7</v>
      </c>
      <c r="G212" s="9">
        <v>125000000</v>
      </c>
      <c r="H212" s="9">
        <v>107285004</v>
      </c>
      <c r="I212" s="5">
        <f>IMDB_Movies!$H212-IMDB_Movies!$G212</f>
        <v>-17714996</v>
      </c>
    </row>
    <row r="213" spans="1:9" ht="23">
      <c r="A213" s="3" t="s">
        <v>358</v>
      </c>
      <c r="B213" s="10" t="s">
        <v>227</v>
      </c>
      <c r="C213" s="10" t="s">
        <v>138</v>
      </c>
      <c r="D213" s="10" t="s">
        <v>11</v>
      </c>
      <c r="E213" s="10">
        <v>110</v>
      </c>
      <c r="F213" s="10">
        <v>6</v>
      </c>
      <c r="G213" s="10">
        <v>123000000</v>
      </c>
      <c r="H213" s="10">
        <v>260031035</v>
      </c>
      <c r="I213" s="5">
        <f>IMDB_Movies!$H213-IMDB_Movies!$G213</f>
        <v>137031035</v>
      </c>
    </row>
    <row r="214" spans="1:9" ht="23">
      <c r="A214" s="2" t="s">
        <v>359</v>
      </c>
      <c r="B214" s="9" t="s">
        <v>113</v>
      </c>
      <c r="C214" s="9" t="s">
        <v>10</v>
      </c>
      <c r="D214" s="9" t="s">
        <v>11</v>
      </c>
      <c r="E214" s="9">
        <v>124</v>
      </c>
      <c r="F214" s="9">
        <v>6.4</v>
      </c>
      <c r="G214" s="9">
        <v>125000000</v>
      </c>
      <c r="H214" s="9">
        <v>186739919</v>
      </c>
      <c r="I214" s="5">
        <f>IMDB_Movies!$H214-IMDB_Movies!$G214</f>
        <v>61739919</v>
      </c>
    </row>
    <row r="215" spans="1:9" ht="23">
      <c r="A215" s="3" t="s">
        <v>360</v>
      </c>
      <c r="B215" s="10" t="s">
        <v>361</v>
      </c>
      <c r="C215" s="10" t="s">
        <v>10</v>
      </c>
      <c r="D215" s="10" t="s">
        <v>11</v>
      </c>
      <c r="E215" s="10">
        <v>123</v>
      </c>
      <c r="F215" s="10">
        <v>6.1</v>
      </c>
      <c r="G215" s="10">
        <v>125000000</v>
      </c>
      <c r="H215" s="10">
        <v>215397307</v>
      </c>
      <c r="I215" s="5">
        <f>IMDB_Movies!$H215-IMDB_Movies!$G215</f>
        <v>90397307</v>
      </c>
    </row>
    <row r="216" spans="1:9" ht="23">
      <c r="A216" s="2" t="s">
        <v>362</v>
      </c>
      <c r="B216" s="9" t="s">
        <v>191</v>
      </c>
      <c r="C216" s="9" t="s">
        <v>10</v>
      </c>
      <c r="D216" s="9" t="s">
        <v>11</v>
      </c>
      <c r="E216" s="9">
        <v>130</v>
      </c>
      <c r="F216" s="9">
        <v>6.4</v>
      </c>
      <c r="G216" s="9">
        <v>140000000</v>
      </c>
      <c r="H216" s="9">
        <v>182618434</v>
      </c>
      <c r="I216" s="5">
        <f>IMDB_Movies!$H216-IMDB_Movies!$G216</f>
        <v>42618434</v>
      </c>
    </row>
    <row r="217" spans="1:9" ht="23">
      <c r="A217" s="3" t="s">
        <v>363</v>
      </c>
      <c r="B217" s="10" t="s">
        <v>364</v>
      </c>
      <c r="C217" s="10" t="s">
        <v>10</v>
      </c>
      <c r="D217" s="10" t="s">
        <v>11</v>
      </c>
      <c r="E217" s="10">
        <v>92</v>
      </c>
      <c r="F217" s="10">
        <v>5.6</v>
      </c>
      <c r="G217" s="10">
        <v>130000000</v>
      </c>
      <c r="H217" s="10">
        <v>131920333</v>
      </c>
      <c r="I217" s="5">
        <f>IMDB_Movies!$H217-IMDB_Movies!$G217</f>
        <v>1920333</v>
      </c>
    </row>
    <row r="218" spans="1:9" ht="23">
      <c r="A218" s="2" t="s">
        <v>365</v>
      </c>
      <c r="B218" s="9" t="s">
        <v>287</v>
      </c>
      <c r="C218" s="9" t="s">
        <v>24</v>
      </c>
      <c r="D218" s="9" t="s">
        <v>11</v>
      </c>
      <c r="E218" s="9">
        <v>127</v>
      </c>
      <c r="F218" s="9">
        <v>8</v>
      </c>
      <c r="G218" s="9">
        <v>120000000</v>
      </c>
      <c r="H218" s="9">
        <v>124976634</v>
      </c>
      <c r="I218" s="5">
        <f>IMDB_Movies!$H218-IMDB_Movies!$G218</f>
        <v>4976634</v>
      </c>
    </row>
    <row r="219" spans="1:9" ht="23">
      <c r="A219" s="3" t="s">
        <v>366</v>
      </c>
      <c r="B219" s="10" t="s">
        <v>367</v>
      </c>
      <c r="C219" s="10" t="s">
        <v>10</v>
      </c>
      <c r="D219" s="10" t="s">
        <v>11</v>
      </c>
      <c r="E219" s="10">
        <v>123</v>
      </c>
      <c r="F219" s="10">
        <v>5.2</v>
      </c>
      <c r="G219" s="10">
        <v>110000000</v>
      </c>
      <c r="H219" s="10">
        <v>115802596</v>
      </c>
      <c r="I219" s="5">
        <f>IMDB_Movies!$H219-IMDB_Movies!$G219</f>
        <v>5802596</v>
      </c>
    </row>
    <row r="220" spans="1:9" ht="23">
      <c r="A220" s="2" t="s">
        <v>368</v>
      </c>
      <c r="B220" s="9" t="s">
        <v>311</v>
      </c>
      <c r="C220" s="9" t="s">
        <v>10</v>
      </c>
      <c r="D220" s="9" t="s">
        <v>11</v>
      </c>
      <c r="E220" s="9">
        <v>123</v>
      </c>
      <c r="F220" s="9">
        <v>7.1</v>
      </c>
      <c r="G220" s="9">
        <v>120000000</v>
      </c>
      <c r="H220" s="9">
        <v>108521835</v>
      </c>
      <c r="I220" s="5">
        <f>IMDB_Movies!$H220-IMDB_Movies!$G220</f>
        <v>-11478165</v>
      </c>
    </row>
    <row r="221" spans="1:9" ht="23">
      <c r="A221" s="3" t="s">
        <v>369</v>
      </c>
      <c r="B221" s="10" t="s">
        <v>87</v>
      </c>
      <c r="C221" s="10" t="s">
        <v>10</v>
      </c>
      <c r="D221" s="10" t="s">
        <v>11</v>
      </c>
      <c r="E221" s="10">
        <v>107</v>
      </c>
      <c r="F221" s="10">
        <v>4.8</v>
      </c>
      <c r="G221" s="10">
        <v>120000000</v>
      </c>
      <c r="H221" s="10">
        <v>100685880</v>
      </c>
      <c r="I221" s="5">
        <f>IMDB_Movies!$H221-IMDB_Movies!$G221</f>
        <v>-19314120</v>
      </c>
    </row>
    <row r="222" spans="1:9" ht="23">
      <c r="A222" s="2" t="s">
        <v>370</v>
      </c>
      <c r="B222" s="9" t="s">
        <v>50</v>
      </c>
      <c r="C222" s="9" t="s">
        <v>24</v>
      </c>
      <c r="D222" s="9" t="s">
        <v>11</v>
      </c>
      <c r="E222" s="9">
        <v>124</v>
      </c>
      <c r="F222" s="9">
        <v>7</v>
      </c>
      <c r="G222" s="9">
        <v>130000000</v>
      </c>
      <c r="H222" s="9">
        <v>126464904</v>
      </c>
      <c r="I222" s="5">
        <f>IMDB_Movies!$H222-IMDB_Movies!$G222</f>
        <v>-3535096</v>
      </c>
    </row>
    <row r="223" spans="1:9" ht="23">
      <c r="A223" s="3" t="s">
        <v>371</v>
      </c>
      <c r="B223" s="10" t="s">
        <v>257</v>
      </c>
      <c r="C223" s="10" t="s">
        <v>24</v>
      </c>
      <c r="D223" s="10" t="s">
        <v>11</v>
      </c>
      <c r="E223" s="10">
        <v>77</v>
      </c>
      <c r="F223" s="10">
        <v>5.4</v>
      </c>
      <c r="G223" s="10">
        <v>120000000</v>
      </c>
      <c r="H223" s="10">
        <v>64736114</v>
      </c>
      <c r="I223" s="5">
        <f>IMDB_Movies!$H223-IMDB_Movies!$G223</f>
        <v>-55263886</v>
      </c>
    </row>
    <row r="224" spans="1:9" ht="23">
      <c r="A224" s="2" t="s">
        <v>372</v>
      </c>
      <c r="B224" s="9" t="s">
        <v>373</v>
      </c>
      <c r="C224" s="9" t="s">
        <v>10</v>
      </c>
      <c r="D224" s="9" t="s">
        <v>11</v>
      </c>
      <c r="E224" s="9">
        <v>109</v>
      </c>
      <c r="F224" s="9">
        <v>6.6</v>
      </c>
      <c r="G224" s="9">
        <v>115000000</v>
      </c>
      <c r="H224" s="9">
        <v>93050117</v>
      </c>
      <c r="I224" s="5">
        <f>IMDB_Movies!$H224-IMDB_Movies!$G224</f>
        <v>-21949883</v>
      </c>
    </row>
    <row r="225" spans="1:9" ht="23">
      <c r="A225" s="3" t="s">
        <v>374</v>
      </c>
      <c r="B225" s="10" t="s">
        <v>375</v>
      </c>
      <c r="C225" s="10" t="s">
        <v>10</v>
      </c>
      <c r="D225" s="10" t="s">
        <v>11</v>
      </c>
      <c r="E225" s="10">
        <v>134</v>
      </c>
      <c r="F225" s="10">
        <v>6.7</v>
      </c>
      <c r="G225" s="10">
        <v>105000000</v>
      </c>
      <c r="H225" s="10">
        <v>57637485</v>
      </c>
      <c r="I225" s="5">
        <f>IMDB_Movies!$H225-IMDB_Movies!$G225</f>
        <v>-47362515</v>
      </c>
    </row>
    <row r="226" spans="1:9" ht="23">
      <c r="A226" s="2" t="s">
        <v>376</v>
      </c>
      <c r="B226" s="9" t="s">
        <v>377</v>
      </c>
      <c r="C226" s="9" t="s">
        <v>10</v>
      </c>
      <c r="D226" s="9" t="s">
        <v>11</v>
      </c>
      <c r="E226" s="9">
        <v>117</v>
      </c>
      <c r="F226" s="9">
        <v>6.2</v>
      </c>
      <c r="G226" s="9">
        <v>100000000</v>
      </c>
      <c r="H226" s="9">
        <v>58607007</v>
      </c>
      <c r="I226" s="5">
        <f>IMDB_Movies!$H226-IMDB_Movies!$G226</f>
        <v>-41392993</v>
      </c>
    </row>
    <row r="227" spans="1:9" ht="23">
      <c r="A227" s="3" t="s">
        <v>378</v>
      </c>
      <c r="B227" s="10" t="s">
        <v>118</v>
      </c>
      <c r="C227" s="10" t="s">
        <v>10</v>
      </c>
      <c r="D227" s="10" t="s">
        <v>11</v>
      </c>
      <c r="E227" s="10">
        <v>135</v>
      </c>
      <c r="F227" s="10">
        <v>6.1</v>
      </c>
      <c r="G227" s="10">
        <v>120000000</v>
      </c>
      <c r="H227" s="10">
        <v>43929341</v>
      </c>
      <c r="I227" s="5">
        <f>IMDB_Movies!$H227-IMDB_Movies!$G227</f>
        <v>-76070659</v>
      </c>
    </row>
    <row r="228" spans="1:9" ht="23">
      <c r="A228" s="2" t="s">
        <v>379</v>
      </c>
      <c r="B228" s="9" t="s">
        <v>380</v>
      </c>
      <c r="C228" s="9" t="s">
        <v>138</v>
      </c>
      <c r="D228" s="9" t="s">
        <v>11</v>
      </c>
      <c r="E228" s="9">
        <v>121</v>
      </c>
      <c r="F228" s="9">
        <v>5.3</v>
      </c>
      <c r="G228" s="9">
        <v>120000000</v>
      </c>
      <c r="H228" s="9">
        <v>30212620</v>
      </c>
      <c r="I228" s="5">
        <f>IMDB_Movies!$H228-IMDB_Movies!$G228</f>
        <v>-89787380</v>
      </c>
    </row>
    <row r="229" spans="1:9" ht="23">
      <c r="A229" s="3" t="s">
        <v>381</v>
      </c>
      <c r="B229" s="10" t="s">
        <v>382</v>
      </c>
      <c r="C229" s="10" t="s">
        <v>10</v>
      </c>
      <c r="D229" s="10" t="s">
        <v>11</v>
      </c>
      <c r="E229" s="10">
        <v>117</v>
      </c>
      <c r="F229" s="10">
        <v>6.3</v>
      </c>
      <c r="G229" s="10">
        <v>117000000</v>
      </c>
      <c r="H229" s="10">
        <v>76418654</v>
      </c>
      <c r="I229" s="5">
        <f>IMDB_Movies!$H229-IMDB_Movies!$G229</f>
        <v>-40581346</v>
      </c>
    </row>
    <row r="230" spans="1:9" ht="23">
      <c r="A230" s="2" t="s">
        <v>383</v>
      </c>
      <c r="B230" s="9" t="s">
        <v>79</v>
      </c>
      <c r="C230" s="9" t="s">
        <v>10</v>
      </c>
      <c r="D230" s="9" t="s">
        <v>11</v>
      </c>
      <c r="E230" s="9">
        <v>124</v>
      </c>
      <c r="F230" s="9">
        <v>7</v>
      </c>
      <c r="G230" s="9">
        <v>120000000</v>
      </c>
      <c r="H230" s="9">
        <v>89021735</v>
      </c>
      <c r="I230" s="5">
        <f>IMDB_Movies!$H230-IMDB_Movies!$G230</f>
        <v>-30978265</v>
      </c>
    </row>
    <row r="231" spans="1:9" ht="23">
      <c r="A231" s="3" t="s">
        <v>384</v>
      </c>
      <c r="B231" s="10" t="s">
        <v>385</v>
      </c>
      <c r="C231" s="10" t="s">
        <v>10</v>
      </c>
      <c r="D231" s="10" t="s">
        <v>11</v>
      </c>
      <c r="E231" s="10">
        <v>140</v>
      </c>
      <c r="F231" s="10">
        <v>7.6</v>
      </c>
      <c r="G231" s="10">
        <v>113000000</v>
      </c>
      <c r="H231" s="10">
        <v>380262555</v>
      </c>
      <c r="I231" s="5">
        <f>IMDB_Movies!$H231-IMDB_Movies!$G231</f>
        <v>267262555</v>
      </c>
    </row>
    <row r="232" spans="1:9" ht="23">
      <c r="A232" s="2" t="s">
        <v>386</v>
      </c>
      <c r="B232" s="9" t="s">
        <v>385</v>
      </c>
      <c r="C232" s="9" t="s">
        <v>10</v>
      </c>
      <c r="D232" s="9" t="s">
        <v>11</v>
      </c>
      <c r="E232" s="9">
        <v>142</v>
      </c>
      <c r="F232" s="9">
        <v>6.7</v>
      </c>
      <c r="G232" s="9">
        <v>115000000</v>
      </c>
      <c r="H232" s="9">
        <v>310675583</v>
      </c>
      <c r="I232" s="5">
        <f>IMDB_Movies!$H232-IMDB_Movies!$G232</f>
        <v>195675583</v>
      </c>
    </row>
    <row r="233" spans="1:9" ht="23">
      <c r="A233" s="3" t="s">
        <v>387</v>
      </c>
      <c r="B233" s="10" t="s">
        <v>124</v>
      </c>
      <c r="C233" s="10" t="s">
        <v>24</v>
      </c>
      <c r="D233" s="10" t="s">
        <v>11</v>
      </c>
      <c r="E233" s="10">
        <v>92</v>
      </c>
      <c r="F233" s="10">
        <v>8.1</v>
      </c>
      <c r="G233" s="10">
        <v>115000000</v>
      </c>
      <c r="H233" s="10">
        <v>289907418</v>
      </c>
      <c r="I233" s="5">
        <f>IMDB_Movies!$H233-IMDB_Movies!$G233</f>
        <v>174907418</v>
      </c>
    </row>
    <row r="234" spans="1:9" ht="23">
      <c r="A234" s="2" t="s">
        <v>388</v>
      </c>
      <c r="B234" s="9" t="s">
        <v>382</v>
      </c>
      <c r="C234" s="9" t="s">
        <v>10</v>
      </c>
      <c r="D234" s="9" t="s">
        <v>11</v>
      </c>
      <c r="E234" s="9">
        <v>138</v>
      </c>
      <c r="F234" s="9">
        <v>6.7</v>
      </c>
      <c r="G234" s="9">
        <v>120000000</v>
      </c>
      <c r="H234" s="9">
        <v>132550960</v>
      </c>
      <c r="I234" s="5">
        <f>IMDB_Movies!$H234-IMDB_Movies!$G234</f>
        <v>12550960</v>
      </c>
    </row>
    <row r="235" spans="1:9" ht="23">
      <c r="A235" s="3" t="s">
        <v>389</v>
      </c>
      <c r="B235" s="10" t="s">
        <v>385</v>
      </c>
      <c r="C235" s="10" t="s">
        <v>10</v>
      </c>
      <c r="D235" s="10" t="s">
        <v>11</v>
      </c>
      <c r="E235" s="10">
        <v>136</v>
      </c>
      <c r="F235" s="10">
        <v>6.5</v>
      </c>
      <c r="G235" s="10">
        <v>115000000</v>
      </c>
      <c r="H235" s="10">
        <v>474544677</v>
      </c>
      <c r="I235" s="5">
        <f>IMDB_Movies!$H235-IMDB_Movies!$G235</f>
        <v>359544677</v>
      </c>
    </row>
    <row r="236" spans="1:9" ht="23">
      <c r="A236" s="2" t="s">
        <v>390</v>
      </c>
      <c r="B236" s="9" t="s">
        <v>391</v>
      </c>
      <c r="C236" s="9" t="s">
        <v>24</v>
      </c>
      <c r="D236" s="9" t="s">
        <v>11</v>
      </c>
      <c r="E236" s="9">
        <v>98</v>
      </c>
      <c r="F236" s="9">
        <v>7.3</v>
      </c>
      <c r="G236" s="9">
        <v>135000000</v>
      </c>
      <c r="H236" s="9">
        <v>187165546</v>
      </c>
      <c r="I236" s="5">
        <f>IMDB_Movies!$H236-IMDB_Movies!$G236</f>
        <v>52165546</v>
      </c>
    </row>
    <row r="237" spans="1:9" ht="23">
      <c r="A237" s="3" t="s">
        <v>392</v>
      </c>
      <c r="B237" s="10" t="s">
        <v>393</v>
      </c>
      <c r="C237" s="10" t="s">
        <v>24</v>
      </c>
      <c r="D237" s="10" t="s">
        <v>394</v>
      </c>
      <c r="E237" s="10">
        <v>116</v>
      </c>
      <c r="F237" s="10">
        <v>5.0999999999999996</v>
      </c>
      <c r="G237" s="10">
        <v>78000000</v>
      </c>
      <c r="H237" s="10">
        <v>25078937</v>
      </c>
      <c r="I237" s="5">
        <f>IMDB_Movies!$H237-IMDB_Movies!$G237</f>
        <v>-52921063</v>
      </c>
    </row>
    <row r="238" spans="1:9" ht="23">
      <c r="A238" s="2" t="s">
        <v>395</v>
      </c>
      <c r="B238" s="9" t="s">
        <v>361</v>
      </c>
      <c r="C238" s="9" t="s">
        <v>10</v>
      </c>
      <c r="D238" s="9" t="s">
        <v>11</v>
      </c>
      <c r="E238" s="9">
        <v>153</v>
      </c>
      <c r="F238" s="9">
        <v>6</v>
      </c>
      <c r="G238" s="9">
        <v>115000000</v>
      </c>
      <c r="H238" s="9">
        <v>40911830</v>
      </c>
      <c r="I238" s="5">
        <f>IMDB_Movies!$H238-IMDB_Movies!$G238</f>
        <v>-74088170</v>
      </c>
    </row>
    <row r="239" spans="1:9" ht="23">
      <c r="A239" s="3" t="s">
        <v>396</v>
      </c>
      <c r="B239" s="10" t="s">
        <v>397</v>
      </c>
      <c r="C239" s="10" t="s">
        <v>10</v>
      </c>
      <c r="D239" s="10" t="s">
        <v>11</v>
      </c>
      <c r="E239" s="10">
        <v>120</v>
      </c>
      <c r="F239" s="10">
        <v>6.1</v>
      </c>
      <c r="G239" s="10">
        <v>115000000</v>
      </c>
      <c r="H239" s="10">
        <v>47952020</v>
      </c>
      <c r="I239" s="5">
        <f>IMDB_Movies!$H239-IMDB_Movies!$G239</f>
        <v>-67047980</v>
      </c>
    </row>
    <row r="240" spans="1:9" ht="23">
      <c r="A240" s="2" t="s">
        <v>398</v>
      </c>
      <c r="B240" s="9" t="s">
        <v>236</v>
      </c>
      <c r="C240" s="9" t="s">
        <v>10</v>
      </c>
      <c r="D240" s="9" t="s">
        <v>11</v>
      </c>
      <c r="E240" s="9">
        <v>101</v>
      </c>
      <c r="F240" s="9">
        <v>5.9</v>
      </c>
      <c r="G240" s="9">
        <v>125000000</v>
      </c>
      <c r="H240" s="9">
        <v>190871240</v>
      </c>
      <c r="I240" s="5">
        <f>IMDB_Movies!$H240-IMDB_Movies!$G240</f>
        <v>65871240</v>
      </c>
    </row>
    <row r="241" spans="1:9" ht="23">
      <c r="A241" s="3" t="s">
        <v>399</v>
      </c>
      <c r="B241" s="10" t="s">
        <v>328</v>
      </c>
      <c r="C241" s="10" t="s">
        <v>24</v>
      </c>
      <c r="D241" s="10" t="s">
        <v>11</v>
      </c>
      <c r="E241" s="10">
        <v>91</v>
      </c>
      <c r="F241" s="10">
        <v>7.8</v>
      </c>
      <c r="G241" s="10">
        <v>100000000</v>
      </c>
      <c r="H241" s="10">
        <v>274084951</v>
      </c>
      <c r="I241" s="5">
        <f>IMDB_Movies!$H241-IMDB_Movies!$G241</f>
        <v>174084951</v>
      </c>
    </row>
    <row r="242" spans="1:9" ht="23">
      <c r="A242" s="2" t="s">
        <v>400</v>
      </c>
      <c r="B242" s="9" t="s">
        <v>401</v>
      </c>
      <c r="C242" s="9" t="s">
        <v>10</v>
      </c>
      <c r="D242" s="9" t="s">
        <v>11</v>
      </c>
      <c r="E242" s="9">
        <v>108</v>
      </c>
      <c r="F242" s="9">
        <v>5.8</v>
      </c>
      <c r="G242" s="9">
        <v>116000000</v>
      </c>
      <c r="H242" s="9">
        <v>67155742</v>
      </c>
      <c r="I242" s="5">
        <f>IMDB_Movies!$H242-IMDB_Movies!$G242</f>
        <v>-48844258</v>
      </c>
    </row>
    <row r="243" spans="1:9" ht="23">
      <c r="A243" s="3" t="s">
        <v>402</v>
      </c>
      <c r="B243" s="10" t="s">
        <v>403</v>
      </c>
      <c r="C243" s="10" t="s">
        <v>10</v>
      </c>
      <c r="D243" s="10" t="s">
        <v>11</v>
      </c>
      <c r="E243" s="10">
        <v>112</v>
      </c>
      <c r="F243" s="10">
        <v>6.3</v>
      </c>
      <c r="G243" s="10">
        <v>135000000</v>
      </c>
      <c r="H243" s="10">
        <v>81638674</v>
      </c>
      <c r="I243" s="5">
        <f>IMDB_Movies!$H243-IMDB_Movies!$G243</f>
        <v>-53361326</v>
      </c>
    </row>
    <row r="244" spans="1:9" ht="23">
      <c r="A244" s="2" t="s">
        <v>404</v>
      </c>
      <c r="B244" s="9" t="s">
        <v>405</v>
      </c>
      <c r="C244" s="9" t="s">
        <v>10</v>
      </c>
      <c r="D244" s="9" t="s">
        <v>11</v>
      </c>
      <c r="E244" s="9">
        <v>100</v>
      </c>
      <c r="F244" s="9">
        <v>4.3</v>
      </c>
      <c r="G244" s="9">
        <v>120000000</v>
      </c>
      <c r="H244" s="9">
        <v>56114221</v>
      </c>
      <c r="I244" s="5">
        <f>IMDB_Movies!$H244-IMDB_Movies!$G244</f>
        <v>-63885779</v>
      </c>
    </row>
    <row r="245" spans="1:9" ht="23">
      <c r="A245" s="3" t="s">
        <v>406</v>
      </c>
      <c r="B245" s="10" t="s">
        <v>216</v>
      </c>
      <c r="C245" s="10" t="s">
        <v>10</v>
      </c>
      <c r="D245" s="10" t="s">
        <v>11</v>
      </c>
      <c r="E245" s="10">
        <v>108</v>
      </c>
      <c r="F245" s="10">
        <v>6.4</v>
      </c>
      <c r="G245" s="10">
        <v>110000000</v>
      </c>
      <c r="H245" s="10">
        <v>250863268</v>
      </c>
      <c r="I245" s="5">
        <f>IMDB_Movies!$H245-IMDB_Movies!$G245</f>
        <v>140863268</v>
      </c>
    </row>
    <row r="246" spans="1:9" ht="23">
      <c r="A246" s="2" t="s">
        <v>407</v>
      </c>
      <c r="B246" s="9" t="s">
        <v>408</v>
      </c>
      <c r="C246" s="9" t="s">
        <v>10</v>
      </c>
      <c r="D246" s="9" t="s">
        <v>11</v>
      </c>
      <c r="E246" s="9">
        <v>114</v>
      </c>
      <c r="F246" s="9">
        <v>6.1</v>
      </c>
      <c r="G246" s="9">
        <v>110000000</v>
      </c>
      <c r="H246" s="9">
        <v>155181732</v>
      </c>
      <c r="I246" s="5">
        <f>IMDB_Movies!$H246-IMDB_Movies!$G246</f>
        <v>45181732</v>
      </c>
    </row>
    <row r="247" spans="1:9" ht="23">
      <c r="A247" s="3" t="s">
        <v>409</v>
      </c>
      <c r="B247" s="10" t="s">
        <v>410</v>
      </c>
      <c r="C247" s="10" t="s">
        <v>10</v>
      </c>
      <c r="D247" s="10" t="s">
        <v>11</v>
      </c>
      <c r="E247" s="10">
        <v>119</v>
      </c>
      <c r="F247" s="10">
        <v>6.5</v>
      </c>
      <c r="G247" s="10">
        <v>110000000</v>
      </c>
      <c r="H247" s="10">
        <v>125332007</v>
      </c>
      <c r="I247" s="5">
        <f>IMDB_Movies!$H247-IMDB_Movies!$G247</f>
        <v>15332007</v>
      </c>
    </row>
    <row r="248" spans="1:9" ht="23">
      <c r="A248" s="2" t="s">
        <v>411</v>
      </c>
      <c r="B248" s="9" t="s">
        <v>113</v>
      </c>
      <c r="C248" s="9" t="s">
        <v>10</v>
      </c>
      <c r="D248" s="9" t="s">
        <v>11</v>
      </c>
      <c r="E248" s="9">
        <v>142</v>
      </c>
      <c r="F248" s="9">
        <v>7.1</v>
      </c>
      <c r="G248" s="9">
        <v>110000000</v>
      </c>
      <c r="H248" s="9">
        <v>113330342</v>
      </c>
      <c r="I248" s="5">
        <f>IMDB_Movies!$H248-IMDB_Movies!$G248</f>
        <v>3330342</v>
      </c>
    </row>
    <row r="249" spans="1:9" ht="23">
      <c r="A249" s="3" t="s">
        <v>412</v>
      </c>
      <c r="B249" s="10" t="s">
        <v>413</v>
      </c>
      <c r="C249" s="10" t="s">
        <v>414</v>
      </c>
      <c r="D249" s="10" t="s">
        <v>11</v>
      </c>
      <c r="E249" s="10">
        <v>125</v>
      </c>
      <c r="F249" s="10">
        <v>6.4</v>
      </c>
      <c r="G249" s="10">
        <v>110000000</v>
      </c>
      <c r="H249" s="10">
        <v>125531634</v>
      </c>
      <c r="I249" s="5">
        <f>IMDB_Movies!$H249-IMDB_Movies!$G249</f>
        <v>15531634</v>
      </c>
    </row>
    <row r="250" spans="1:9" ht="23">
      <c r="A250" s="2" t="s">
        <v>415</v>
      </c>
      <c r="B250" s="9" t="s">
        <v>140</v>
      </c>
      <c r="C250" s="9" t="s">
        <v>10</v>
      </c>
      <c r="D250" s="9" t="s">
        <v>11</v>
      </c>
      <c r="E250" s="9">
        <v>126</v>
      </c>
      <c r="F250" s="9">
        <v>6.5</v>
      </c>
      <c r="G250" s="9">
        <v>120000000</v>
      </c>
      <c r="H250" s="9">
        <v>186336103</v>
      </c>
      <c r="I250" s="5">
        <f>IMDB_Movies!$H250-IMDB_Movies!$G250</f>
        <v>66336103</v>
      </c>
    </row>
    <row r="251" spans="1:9" ht="23">
      <c r="A251" s="3" t="s">
        <v>416</v>
      </c>
      <c r="B251" s="10" t="s">
        <v>339</v>
      </c>
      <c r="C251" s="10" t="s">
        <v>24</v>
      </c>
      <c r="D251" s="10" t="s">
        <v>11</v>
      </c>
      <c r="E251" s="10">
        <v>119</v>
      </c>
      <c r="F251" s="10">
        <v>6.3</v>
      </c>
      <c r="G251" s="10">
        <v>110000000</v>
      </c>
      <c r="H251" s="10">
        <v>129995817</v>
      </c>
      <c r="I251" s="5">
        <f>IMDB_Movies!$H251-IMDB_Movies!$G251</f>
        <v>19995817</v>
      </c>
    </row>
    <row r="252" spans="1:9" ht="23">
      <c r="A252" s="2" t="s">
        <v>417</v>
      </c>
      <c r="B252" s="9" t="s">
        <v>130</v>
      </c>
      <c r="C252" s="9" t="s">
        <v>418</v>
      </c>
      <c r="D252" s="9" t="s">
        <v>11</v>
      </c>
      <c r="E252" s="9">
        <v>170</v>
      </c>
      <c r="F252" s="9">
        <v>7.5</v>
      </c>
      <c r="G252" s="9">
        <v>110000000</v>
      </c>
      <c r="H252" s="9">
        <v>102608827</v>
      </c>
      <c r="I252" s="5">
        <f>IMDB_Movies!$H252-IMDB_Movies!$G252</f>
        <v>-7391173</v>
      </c>
    </row>
    <row r="253" spans="1:9" ht="23">
      <c r="A253" s="3" t="s">
        <v>419</v>
      </c>
      <c r="B253" s="10" t="s">
        <v>126</v>
      </c>
      <c r="C253" s="10" t="s">
        <v>24</v>
      </c>
      <c r="D253" s="10" t="s">
        <v>11</v>
      </c>
      <c r="E253" s="10">
        <v>85</v>
      </c>
      <c r="F253" s="10">
        <v>4.9000000000000004</v>
      </c>
      <c r="G253" s="10">
        <v>112000000</v>
      </c>
      <c r="H253" s="10">
        <v>42776259</v>
      </c>
      <c r="I253" s="5">
        <f>IMDB_Movies!$H253-IMDB_Movies!$G253</f>
        <v>-69223741</v>
      </c>
    </row>
    <row r="254" spans="1:9" ht="23">
      <c r="A254" s="2" t="s">
        <v>420</v>
      </c>
      <c r="B254" s="9" t="s">
        <v>421</v>
      </c>
      <c r="C254" s="9" t="s">
        <v>10</v>
      </c>
      <c r="D254" s="9" t="s">
        <v>11</v>
      </c>
      <c r="E254" s="9">
        <v>119</v>
      </c>
      <c r="F254" s="9">
        <v>5.8</v>
      </c>
      <c r="G254" s="9">
        <v>120000000</v>
      </c>
      <c r="H254" s="9">
        <v>98780042</v>
      </c>
      <c r="I254" s="5">
        <f>IMDB_Movies!$H254-IMDB_Movies!$G254</f>
        <v>-21219958</v>
      </c>
    </row>
    <row r="255" spans="1:9" ht="23">
      <c r="A255" s="3" t="s">
        <v>422</v>
      </c>
      <c r="B255" s="10" t="s">
        <v>423</v>
      </c>
      <c r="C255" s="10" t="s">
        <v>10</v>
      </c>
      <c r="D255" s="10" t="s">
        <v>11</v>
      </c>
      <c r="E255" s="10">
        <v>102</v>
      </c>
      <c r="F255" s="10">
        <v>6.2</v>
      </c>
      <c r="G255" s="10">
        <v>110000000</v>
      </c>
      <c r="H255" s="10">
        <v>106369117</v>
      </c>
      <c r="I255" s="5">
        <f>IMDB_Movies!$H255-IMDB_Movies!$G255</f>
        <v>-3630883</v>
      </c>
    </row>
    <row r="256" spans="1:9" ht="23">
      <c r="A256" s="2" t="s">
        <v>424</v>
      </c>
      <c r="B256" s="9" t="s">
        <v>425</v>
      </c>
      <c r="C256" s="9" t="s">
        <v>24</v>
      </c>
      <c r="D256" s="9" t="s">
        <v>11</v>
      </c>
      <c r="E256" s="9">
        <v>103</v>
      </c>
      <c r="F256" s="9">
        <v>5.5</v>
      </c>
      <c r="G256" s="9">
        <v>110000000</v>
      </c>
      <c r="H256" s="9">
        <v>142614158</v>
      </c>
      <c r="I256" s="5">
        <f>IMDB_Movies!$H256-IMDB_Movies!$G256</f>
        <v>32614158</v>
      </c>
    </row>
    <row r="257" spans="1:9" ht="23">
      <c r="A257" s="3" t="s">
        <v>426</v>
      </c>
      <c r="B257" s="10" t="s">
        <v>427</v>
      </c>
      <c r="C257" s="10" t="s">
        <v>116</v>
      </c>
      <c r="D257" s="10" t="s">
        <v>11</v>
      </c>
      <c r="E257" s="10">
        <v>76</v>
      </c>
      <c r="F257" s="10">
        <v>5.4</v>
      </c>
      <c r="G257" s="10">
        <v>110000000</v>
      </c>
      <c r="H257" s="10">
        <v>50026353</v>
      </c>
      <c r="I257" s="5">
        <f>IMDB_Movies!$H257-IMDB_Movies!$G257</f>
        <v>-59973647</v>
      </c>
    </row>
    <row r="258" spans="1:9" ht="23">
      <c r="A258" s="2" t="s">
        <v>428</v>
      </c>
      <c r="B258" s="9" t="s">
        <v>339</v>
      </c>
      <c r="C258" s="9" t="s">
        <v>10</v>
      </c>
      <c r="D258" s="9" t="s">
        <v>11</v>
      </c>
      <c r="E258" s="9">
        <v>120</v>
      </c>
      <c r="F258" s="9">
        <v>5.8</v>
      </c>
      <c r="G258" s="9">
        <v>110000000</v>
      </c>
      <c r="H258" s="9">
        <v>66002193</v>
      </c>
      <c r="I258" s="5">
        <f>IMDB_Movies!$H258-IMDB_Movies!$G258</f>
        <v>-43997807</v>
      </c>
    </row>
    <row r="259" spans="1:9" ht="23">
      <c r="A259" s="3" t="s">
        <v>429</v>
      </c>
      <c r="B259" s="10" t="s">
        <v>216</v>
      </c>
      <c r="C259" s="10" t="s">
        <v>10</v>
      </c>
      <c r="D259" s="10" t="s">
        <v>11</v>
      </c>
      <c r="E259" s="10">
        <v>127</v>
      </c>
      <c r="F259" s="10">
        <v>7.1</v>
      </c>
      <c r="G259" s="10">
        <v>110000000</v>
      </c>
      <c r="H259" s="10">
        <v>85463309</v>
      </c>
      <c r="I259" s="5">
        <f>IMDB_Movies!$H259-IMDB_Movies!$G259</f>
        <v>-24536691</v>
      </c>
    </row>
    <row r="260" spans="1:9" ht="23">
      <c r="A260" s="2" t="s">
        <v>430</v>
      </c>
      <c r="B260" s="9" t="s">
        <v>425</v>
      </c>
      <c r="C260" s="9" t="s">
        <v>24</v>
      </c>
      <c r="D260" s="9" t="s">
        <v>11</v>
      </c>
      <c r="E260" s="9">
        <v>105</v>
      </c>
      <c r="F260" s="9">
        <v>5.4</v>
      </c>
      <c r="G260" s="9">
        <v>105000000</v>
      </c>
      <c r="H260" s="9">
        <v>71017784</v>
      </c>
      <c r="I260" s="5">
        <f>IMDB_Movies!$H260-IMDB_Movies!$G260</f>
        <v>-33982216</v>
      </c>
    </row>
    <row r="261" spans="1:9" ht="23">
      <c r="A261" s="3" t="s">
        <v>431</v>
      </c>
      <c r="B261" s="10" t="s">
        <v>432</v>
      </c>
      <c r="C261" s="10" t="s">
        <v>10</v>
      </c>
      <c r="D261" s="10" t="s">
        <v>11</v>
      </c>
      <c r="E261" s="10">
        <v>121</v>
      </c>
      <c r="F261" s="10">
        <v>3.7</v>
      </c>
      <c r="G261" s="10">
        <v>160000000</v>
      </c>
      <c r="H261" s="10">
        <v>48068396</v>
      </c>
      <c r="I261" s="5">
        <f>IMDB_Movies!$H261-IMDB_Movies!$G261</f>
        <v>-111931604</v>
      </c>
    </row>
    <row r="262" spans="1:9" ht="23">
      <c r="A262" s="2" t="s">
        <v>433</v>
      </c>
      <c r="B262" s="9" t="s">
        <v>218</v>
      </c>
      <c r="C262" s="9" t="s">
        <v>10</v>
      </c>
      <c r="D262" s="9" t="s">
        <v>11</v>
      </c>
      <c r="E262" s="9">
        <v>114</v>
      </c>
      <c r="F262" s="9">
        <v>6.7</v>
      </c>
      <c r="G262" s="9">
        <v>110000000</v>
      </c>
      <c r="H262" s="9">
        <v>61656849</v>
      </c>
      <c r="I262" s="5">
        <f>IMDB_Movies!$H262-IMDB_Movies!$G262</f>
        <v>-48343151</v>
      </c>
    </row>
    <row r="263" spans="1:9" ht="23">
      <c r="A263" s="3" t="s">
        <v>434</v>
      </c>
      <c r="B263" s="10" t="s">
        <v>435</v>
      </c>
      <c r="C263" s="10" t="s">
        <v>10</v>
      </c>
      <c r="D263" s="10" t="s">
        <v>11</v>
      </c>
      <c r="E263" s="10">
        <v>129</v>
      </c>
      <c r="F263" s="10">
        <v>7.2</v>
      </c>
      <c r="G263" s="10">
        <v>110000000</v>
      </c>
      <c r="H263" s="10">
        <v>134520804</v>
      </c>
      <c r="I263" s="5">
        <f>IMDB_Movies!$H263-IMDB_Movies!$G263</f>
        <v>24520804</v>
      </c>
    </row>
    <row r="264" spans="1:9" ht="23">
      <c r="A264" s="2" t="s">
        <v>436</v>
      </c>
      <c r="B264" s="9" t="s">
        <v>46</v>
      </c>
      <c r="C264" s="9" t="s">
        <v>10</v>
      </c>
      <c r="D264" s="9" t="s">
        <v>11</v>
      </c>
      <c r="E264" s="9">
        <v>171</v>
      </c>
      <c r="F264" s="9">
        <v>8.8000000000000007</v>
      </c>
      <c r="G264" s="9">
        <v>93000000</v>
      </c>
      <c r="H264" s="9">
        <v>313837577</v>
      </c>
      <c r="I264" s="5">
        <f>IMDB_Movies!$H264-IMDB_Movies!$G264</f>
        <v>220837577</v>
      </c>
    </row>
    <row r="265" spans="1:9" ht="23">
      <c r="A265" s="3" t="s">
        <v>437</v>
      </c>
      <c r="B265" s="10" t="s">
        <v>438</v>
      </c>
      <c r="C265" s="10" t="s">
        <v>10</v>
      </c>
      <c r="D265" s="10" t="s">
        <v>11</v>
      </c>
      <c r="E265" s="10">
        <v>120</v>
      </c>
      <c r="F265" s="10">
        <v>5.8</v>
      </c>
      <c r="G265" s="10">
        <v>110000000</v>
      </c>
      <c r="H265" s="10">
        <v>24004159</v>
      </c>
      <c r="I265" s="5">
        <f>IMDB_Movies!$H265-IMDB_Movies!$G265</f>
        <v>-85995841</v>
      </c>
    </row>
    <row r="266" spans="1:9" ht="23">
      <c r="A266" s="2" t="s">
        <v>439</v>
      </c>
      <c r="B266" s="9" t="s">
        <v>440</v>
      </c>
      <c r="C266" s="9" t="s">
        <v>418</v>
      </c>
      <c r="D266" s="9" t="s">
        <v>11</v>
      </c>
      <c r="E266" s="9">
        <v>165</v>
      </c>
      <c r="F266" s="9">
        <v>6.8</v>
      </c>
      <c r="G266" s="9">
        <v>107000000</v>
      </c>
      <c r="H266" s="9">
        <v>58183966</v>
      </c>
      <c r="I266" s="5">
        <f>IMDB_Movies!$H266-IMDB_Movies!$G266</f>
        <v>-48816034</v>
      </c>
    </row>
    <row r="267" spans="1:9" ht="23">
      <c r="A267" s="3" t="s">
        <v>441</v>
      </c>
      <c r="B267" s="10" t="s">
        <v>442</v>
      </c>
      <c r="C267" s="10" t="s">
        <v>24</v>
      </c>
      <c r="D267" s="10" t="s">
        <v>11</v>
      </c>
      <c r="E267" s="10">
        <v>82</v>
      </c>
      <c r="F267" s="10">
        <v>3.8</v>
      </c>
      <c r="G267" s="10">
        <v>109000000</v>
      </c>
      <c r="H267" s="10">
        <v>100446895</v>
      </c>
      <c r="I267" s="5">
        <f>IMDB_Movies!$H267-IMDB_Movies!$G267</f>
        <v>-8553105</v>
      </c>
    </row>
    <row r="268" spans="1:9" ht="23">
      <c r="A268" s="2" t="s">
        <v>443</v>
      </c>
      <c r="B268" s="9" t="s">
        <v>281</v>
      </c>
      <c r="C268" s="9" t="s">
        <v>10</v>
      </c>
      <c r="D268" s="9" t="s">
        <v>11</v>
      </c>
      <c r="E268" s="9">
        <v>115</v>
      </c>
      <c r="F268" s="9">
        <v>7.1</v>
      </c>
      <c r="G268" s="9">
        <v>120000000</v>
      </c>
      <c r="H268" s="9">
        <v>144795350</v>
      </c>
      <c r="I268" s="5">
        <f>IMDB_Movies!$H268-IMDB_Movies!$G268</f>
        <v>24795350</v>
      </c>
    </row>
    <row r="269" spans="1:9" ht="23">
      <c r="A269" s="3" t="s">
        <v>444</v>
      </c>
      <c r="B269" s="10" t="s">
        <v>50</v>
      </c>
      <c r="C269" s="10" t="s">
        <v>10</v>
      </c>
      <c r="D269" s="10" t="s">
        <v>11</v>
      </c>
      <c r="E269" s="10">
        <v>194</v>
      </c>
      <c r="F269" s="10">
        <v>7.2</v>
      </c>
      <c r="G269" s="10">
        <v>130000000</v>
      </c>
      <c r="H269" s="10">
        <v>47396698</v>
      </c>
      <c r="I269" s="5">
        <f>IMDB_Movies!$H269-IMDB_Movies!$G269</f>
        <v>-82603302</v>
      </c>
    </row>
    <row r="270" spans="1:9" ht="23">
      <c r="A270" s="2" t="s">
        <v>445</v>
      </c>
      <c r="B270" s="9" t="s">
        <v>257</v>
      </c>
      <c r="C270" s="9" t="s">
        <v>24</v>
      </c>
      <c r="D270" s="9" t="s">
        <v>11</v>
      </c>
      <c r="E270" s="9">
        <v>84</v>
      </c>
      <c r="F270" s="9">
        <v>5.9</v>
      </c>
      <c r="G270" s="9">
        <v>133000000</v>
      </c>
      <c r="H270" s="9">
        <v>140015224</v>
      </c>
      <c r="I270" s="5">
        <f>IMDB_Movies!$H270-IMDB_Movies!$G270</f>
        <v>7015224</v>
      </c>
    </row>
    <row r="271" spans="1:9" ht="23">
      <c r="A271" s="3" t="s">
        <v>446</v>
      </c>
      <c r="B271" s="10" t="s">
        <v>447</v>
      </c>
      <c r="C271" s="10" t="s">
        <v>116</v>
      </c>
      <c r="D271" s="10" t="s">
        <v>11</v>
      </c>
      <c r="E271" s="10">
        <v>97</v>
      </c>
      <c r="F271" s="10">
        <v>7.1</v>
      </c>
      <c r="G271" s="10">
        <v>105000000</v>
      </c>
      <c r="H271" s="10">
        <v>104374107</v>
      </c>
      <c r="I271" s="5">
        <f>IMDB_Movies!$H271-IMDB_Movies!$G271</f>
        <v>-625893</v>
      </c>
    </row>
    <row r="272" spans="1:9" ht="23">
      <c r="A272" s="2" t="s">
        <v>448</v>
      </c>
      <c r="B272" s="9" t="s">
        <v>50</v>
      </c>
      <c r="C272" s="9" t="s">
        <v>24</v>
      </c>
      <c r="D272" s="9" t="s">
        <v>11</v>
      </c>
      <c r="E272" s="9">
        <v>151</v>
      </c>
      <c r="F272" s="9">
        <v>8.1</v>
      </c>
      <c r="G272" s="9">
        <v>108000000</v>
      </c>
      <c r="H272" s="9">
        <v>228430993</v>
      </c>
      <c r="I272" s="5">
        <f>IMDB_Movies!$H272-IMDB_Movies!$G272</f>
        <v>120430993</v>
      </c>
    </row>
    <row r="273" spans="1:9" ht="23">
      <c r="A273" s="3" t="s">
        <v>449</v>
      </c>
      <c r="B273" s="10" t="s">
        <v>74</v>
      </c>
      <c r="C273" s="10" t="s">
        <v>10</v>
      </c>
      <c r="D273" s="10" t="s">
        <v>11</v>
      </c>
      <c r="E273" s="10">
        <v>136</v>
      </c>
      <c r="F273" s="10">
        <v>6.9</v>
      </c>
      <c r="G273" s="10">
        <v>126000000</v>
      </c>
      <c r="H273" s="10">
        <v>35799026</v>
      </c>
      <c r="I273" s="5">
        <f>IMDB_Movies!$H273-IMDB_Movies!$G273</f>
        <v>-90200974</v>
      </c>
    </row>
    <row r="274" spans="1:9" ht="23">
      <c r="A274" s="2" t="s">
        <v>450</v>
      </c>
      <c r="B274" s="9" t="s">
        <v>451</v>
      </c>
      <c r="C274" s="9" t="s">
        <v>138</v>
      </c>
      <c r="D274" s="9" t="s">
        <v>11</v>
      </c>
      <c r="E274" s="9">
        <v>104</v>
      </c>
      <c r="F274" s="9">
        <v>4.4000000000000004</v>
      </c>
      <c r="G274" s="9">
        <v>90000000</v>
      </c>
      <c r="H274" s="9">
        <v>6712451</v>
      </c>
      <c r="I274" s="5">
        <f>IMDB_Movies!$H274-IMDB_Movies!$G274</f>
        <v>-83287549</v>
      </c>
    </row>
    <row r="275" spans="1:9" ht="23">
      <c r="A275" s="3" t="s">
        <v>452</v>
      </c>
      <c r="B275" s="10" t="s">
        <v>453</v>
      </c>
      <c r="C275" s="10" t="s">
        <v>10</v>
      </c>
      <c r="D275" s="10" t="s">
        <v>11</v>
      </c>
      <c r="E275" s="10">
        <v>127</v>
      </c>
      <c r="F275" s="10">
        <v>6.5</v>
      </c>
      <c r="G275" s="10">
        <v>90000000</v>
      </c>
      <c r="H275" s="10">
        <v>101643008</v>
      </c>
      <c r="I275" s="5">
        <f>IMDB_Movies!$H275-IMDB_Movies!$G275</f>
        <v>11643008</v>
      </c>
    </row>
    <row r="276" spans="1:9" ht="23">
      <c r="A276" s="2" t="s">
        <v>454</v>
      </c>
      <c r="B276" s="9" t="s">
        <v>50</v>
      </c>
      <c r="C276" s="9" t="s">
        <v>10</v>
      </c>
      <c r="D276" s="9" t="s">
        <v>11</v>
      </c>
      <c r="E276" s="9">
        <v>171</v>
      </c>
      <c r="F276" s="9">
        <v>8.5</v>
      </c>
      <c r="G276" s="9">
        <v>103000000</v>
      </c>
      <c r="H276" s="9">
        <v>187670866</v>
      </c>
      <c r="I276" s="5">
        <f>IMDB_Movies!$H276-IMDB_Movies!$G276</f>
        <v>84670866</v>
      </c>
    </row>
    <row r="277" spans="1:9" ht="23">
      <c r="A277" s="3" t="s">
        <v>455</v>
      </c>
      <c r="B277" s="10" t="s">
        <v>103</v>
      </c>
      <c r="C277" s="10" t="s">
        <v>10</v>
      </c>
      <c r="D277" s="10" t="s">
        <v>11</v>
      </c>
      <c r="E277" s="10">
        <v>145</v>
      </c>
      <c r="F277" s="10">
        <v>7.7</v>
      </c>
      <c r="G277" s="10">
        <v>102000000</v>
      </c>
      <c r="H277" s="10">
        <v>132014112</v>
      </c>
      <c r="I277" s="5">
        <f>IMDB_Movies!$H277-IMDB_Movies!$G277</f>
        <v>30014112</v>
      </c>
    </row>
    <row r="278" spans="1:9" ht="23">
      <c r="A278" s="2" t="s">
        <v>456</v>
      </c>
      <c r="B278" s="9" t="s">
        <v>337</v>
      </c>
      <c r="C278" s="9" t="s">
        <v>24</v>
      </c>
      <c r="D278" s="9" t="s">
        <v>11</v>
      </c>
      <c r="E278" s="9">
        <v>174</v>
      </c>
      <c r="F278" s="9">
        <v>7.4</v>
      </c>
      <c r="G278" s="9">
        <v>100000000</v>
      </c>
      <c r="H278" s="9">
        <v>261970615</v>
      </c>
      <c r="I278" s="5">
        <f>IMDB_Movies!$H278-IMDB_Movies!$G278</f>
        <v>161970615</v>
      </c>
    </row>
    <row r="279" spans="1:9" ht="23">
      <c r="A279" s="3" t="s">
        <v>457</v>
      </c>
      <c r="B279" s="10" t="s">
        <v>83</v>
      </c>
      <c r="C279" s="10" t="s">
        <v>10</v>
      </c>
      <c r="D279" s="10" t="s">
        <v>11</v>
      </c>
      <c r="E279" s="10">
        <v>144</v>
      </c>
      <c r="F279" s="10">
        <v>8</v>
      </c>
      <c r="G279" s="10">
        <v>150000000</v>
      </c>
      <c r="H279" s="10">
        <v>167007184</v>
      </c>
      <c r="I279" s="5">
        <f>IMDB_Movies!$H279-IMDB_Movies!$G279</f>
        <v>17007184</v>
      </c>
    </row>
    <row r="280" spans="1:9" ht="23">
      <c r="A280" s="2" t="s">
        <v>458</v>
      </c>
      <c r="B280" s="9" t="s">
        <v>68</v>
      </c>
      <c r="C280" s="9" t="s">
        <v>10</v>
      </c>
      <c r="D280" s="9" t="s">
        <v>11</v>
      </c>
      <c r="E280" s="9">
        <v>119</v>
      </c>
      <c r="F280" s="9">
        <v>5.7</v>
      </c>
      <c r="G280" s="9">
        <v>100000000</v>
      </c>
      <c r="H280" s="9">
        <v>180011740</v>
      </c>
      <c r="I280" s="5">
        <f>IMDB_Movies!$H280-IMDB_Movies!$G280</f>
        <v>80011740</v>
      </c>
    </row>
    <row r="281" spans="1:9" ht="23">
      <c r="A281" s="3" t="s">
        <v>459</v>
      </c>
      <c r="B281" s="10" t="s">
        <v>9</v>
      </c>
      <c r="C281" s="10" t="s">
        <v>10</v>
      </c>
      <c r="D281" s="10" t="s">
        <v>11</v>
      </c>
      <c r="E281" s="10">
        <v>153</v>
      </c>
      <c r="F281" s="10">
        <v>8.5</v>
      </c>
      <c r="G281" s="10">
        <v>102000000</v>
      </c>
      <c r="H281" s="10">
        <v>204843350</v>
      </c>
      <c r="I281" s="5">
        <f>IMDB_Movies!$H281-IMDB_Movies!$G281</f>
        <v>102843350</v>
      </c>
    </row>
    <row r="282" spans="1:9" ht="23">
      <c r="A282" s="2" t="s">
        <v>460</v>
      </c>
      <c r="B282" s="9" t="s">
        <v>440</v>
      </c>
      <c r="C282" s="9" t="s">
        <v>418</v>
      </c>
      <c r="D282" s="9" t="s">
        <v>11</v>
      </c>
      <c r="E282" s="9">
        <v>140</v>
      </c>
      <c r="F282" s="9">
        <v>7</v>
      </c>
      <c r="G282" s="9">
        <v>100000000</v>
      </c>
      <c r="H282" s="9">
        <v>97030725</v>
      </c>
      <c r="I282" s="5">
        <f>IMDB_Movies!$H282-IMDB_Movies!$G282</f>
        <v>-2969275</v>
      </c>
    </row>
    <row r="283" spans="1:9" ht="23">
      <c r="A283" s="3" t="s">
        <v>461</v>
      </c>
      <c r="B283" s="10" t="s">
        <v>50</v>
      </c>
      <c r="C283" s="10" t="s">
        <v>418</v>
      </c>
      <c r="D283" s="10" t="s">
        <v>11</v>
      </c>
      <c r="E283" s="10">
        <v>176</v>
      </c>
      <c r="F283" s="10">
        <v>7.8</v>
      </c>
      <c r="G283" s="10">
        <v>100000000</v>
      </c>
      <c r="H283" s="10">
        <v>130127620</v>
      </c>
      <c r="I283" s="5">
        <f>IMDB_Movies!$H283-IMDB_Movies!$G283</f>
        <v>30127620</v>
      </c>
    </row>
    <row r="284" spans="1:9" ht="23">
      <c r="A284" s="2" t="s">
        <v>462</v>
      </c>
      <c r="B284" s="9" t="s">
        <v>9</v>
      </c>
      <c r="C284" s="9" t="s">
        <v>10</v>
      </c>
      <c r="D284" s="9" t="s">
        <v>11</v>
      </c>
      <c r="E284" s="9">
        <v>141</v>
      </c>
      <c r="F284" s="9">
        <v>7.2</v>
      </c>
      <c r="G284" s="9">
        <v>115000000</v>
      </c>
      <c r="H284" s="9">
        <v>146282411</v>
      </c>
      <c r="I284" s="5">
        <f>IMDB_Movies!$H284-IMDB_Movies!$G284</f>
        <v>31282411</v>
      </c>
    </row>
    <row r="285" spans="1:9" ht="23">
      <c r="A285" s="3" t="s">
        <v>463</v>
      </c>
      <c r="B285" s="10" t="s">
        <v>464</v>
      </c>
      <c r="C285" s="10" t="s">
        <v>10</v>
      </c>
      <c r="D285" s="10" t="s">
        <v>11</v>
      </c>
      <c r="E285" s="10">
        <v>106</v>
      </c>
      <c r="F285" s="10">
        <v>6.4</v>
      </c>
      <c r="G285" s="10">
        <v>100000000</v>
      </c>
      <c r="H285" s="10">
        <v>65452312</v>
      </c>
      <c r="I285" s="5">
        <f>IMDB_Movies!$H285-IMDB_Movies!$G285</f>
        <v>-34547688</v>
      </c>
    </row>
    <row r="286" spans="1:9" ht="23">
      <c r="A286" s="2" t="s">
        <v>465</v>
      </c>
      <c r="B286" s="9" t="s">
        <v>466</v>
      </c>
      <c r="C286" s="9" t="s">
        <v>138</v>
      </c>
      <c r="D286" s="9" t="s">
        <v>11</v>
      </c>
      <c r="E286" s="9">
        <v>98</v>
      </c>
      <c r="F286" s="9">
        <v>5.5</v>
      </c>
      <c r="G286" s="9">
        <v>100000000</v>
      </c>
      <c r="H286" s="9">
        <v>148383780</v>
      </c>
      <c r="I286" s="5">
        <f>IMDB_Movies!$H286-IMDB_Movies!$G286</f>
        <v>48383780</v>
      </c>
    </row>
    <row r="287" spans="1:9" ht="23">
      <c r="A287" s="3" t="s">
        <v>467</v>
      </c>
      <c r="B287" s="10" t="s">
        <v>468</v>
      </c>
      <c r="C287" s="10" t="s">
        <v>10</v>
      </c>
      <c r="D287" s="10" t="s">
        <v>11</v>
      </c>
      <c r="E287" s="10">
        <v>116</v>
      </c>
      <c r="F287" s="10">
        <v>6.7</v>
      </c>
      <c r="G287" s="10">
        <v>100000000</v>
      </c>
      <c r="H287" s="10">
        <v>119219978</v>
      </c>
      <c r="I287" s="5">
        <f>IMDB_Movies!$H287-IMDB_Movies!$G287</f>
        <v>19219978</v>
      </c>
    </row>
    <row r="288" spans="1:9" ht="23">
      <c r="A288" s="2" t="s">
        <v>469</v>
      </c>
      <c r="B288" s="9" t="s">
        <v>470</v>
      </c>
      <c r="C288" s="9" t="s">
        <v>10</v>
      </c>
      <c r="D288" s="9" t="s">
        <v>11</v>
      </c>
      <c r="E288" s="9">
        <v>115</v>
      </c>
      <c r="F288" s="9">
        <v>6.1</v>
      </c>
      <c r="G288" s="9">
        <v>100000000</v>
      </c>
      <c r="H288" s="9">
        <v>101228120</v>
      </c>
      <c r="I288" s="5">
        <f>IMDB_Movies!$H288-IMDB_Movies!$G288</f>
        <v>1228120</v>
      </c>
    </row>
    <row r="289" spans="1:9" ht="23">
      <c r="A289" s="3" t="s">
        <v>471</v>
      </c>
      <c r="B289" s="10" t="s">
        <v>472</v>
      </c>
      <c r="C289" s="10" t="s">
        <v>56</v>
      </c>
      <c r="D289" s="10" t="s">
        <v>11</v>
      </c>
      <c r="E289" s="10">
        <v>165</v>
      </c>
      <c r="F289" s="10">
        <v>8.5</v>
      </c>
      <c r="G289" s="10">
        <v>100000000</v>
      </c>
      <c r="H289" s="10">
        <v>162804648</v>
      </c>
      <c r="I289" s="5">
        <f>IMDB_Movies!$H289-IMDB_Movies!$G289</f>
        <v>62804648</v>
      </c>
    </row>
    <row r="290" spans="1:9" ht="23">
      <c r="A290" s="2" t="s">
        <v>473</v>
      </c>
      <c r="B290" s="9" t="s">
        <v>474</v>
      </c>
      <c r="C290" s="9" t="s">
        <v>116</v>
      </c>
      <c r="D290" s="9" t="s">
        <v>11</v>
      </c>
      <c r="E290" s="9">
        <v>91</v>
      </c>
      <c r="F290" s="9">
        <v>6.9</v>
      </c>
      <c r="G290" s="9">
        <v>100000000</v>
      </c>
      <c r="H290" s="9">
        <v>100117603</v>
      </c>
      <c r="I290" s="5">
        <f>IMDB_Movies!$H290-IMDB_Movies!$G290</f>
        <v>117603</v>
      </c>
    </row>
    <row r="291" spans="1:9" ht="23">
      <c r="A291" s="3" t="s">
        <v>475</v>
      </c>
      <c r="B291" s="10" t="s">
        <v>476</v>
      </c>
      <c r="C291" s="10" t="s">
        <v>24</v>
      </c>
      <c r="D291" s="10" t="s">
        <v>11</v>
      </c>
      <c r="E291" s="10">
        <v>78</v>
      </c>
      <c r="F291" s="10">
        <v>7.3</v>
      </c>
      <c r="G291" s="10">
        <v>100000000</v>
      </c>
      <c r="H291" s="10">
        <v>89296573</v>
      </c>
      <c r="I291" s="5">
        <f>IMDB_Movies!$H291-IMDB_Movies!$G291</f>
        <v>-10703427</v>
      </c>
    </row>
    <row r="292" spans="1:9" ht="23">
      <c r="A292" s="2" t="s">
        <v>477</v>
      </c>
      <c r="B292" s="9" t="s">
        <v>478</v>
      </c>
      <c r="C292" s="9" t="s">
        <v>10</v>
      </c>
      <c r="D292" s="9" t="s">
        <v>11</v>
      </c>
      <c r="E292" s="9">
        <v>103</v>
      </c>
      <c r="F292" s="9">
        <v>6.7</v>
      </c>
      <c r="G292" s="9">
        <v>92000000</v>
      </c>
      <c r="H292" s="9">
        <v>85017401</v>
      </c>
      <c r="I292" s="5">
        <f>IMDB_Movies!$H292-IMDB_Movies!$G292</f>
        <v>-6982599</v>
      </c>
    </row>
    <row r="293" spans="1:9" ht="23">
      <c r="A293" s="3" t="s">
        <v>479</v>
      </c>
      <c r="B293" s="10" t="s">
        <v>189</v>
      </c>
      <c r="C293" s="10" t="s">
        <v>10</v>
      </c>
      <c r="D293" s="10" t="s">
        <v>11</v>
      </c>
      <c r="E293" s="10">
        <v>131</v>
      </c>
      <c r="F293" s="10">
        <v>6.9</v>
      </c>
      <c r="G293" s="10">
        <v>100000000</v>
      </c>
      <c r="H293" s="10">
        <v>173005002</v>
      </c>
      <c r="I293" s="5">
        <f>IMDB_Movies!$H293-IMDB_Movies!$G293</f>
        <v>73005002</v>
      </c>
    </row>
    <row r="294" spans="1:9" ht="23">
      <c r="A294" s="2" t="s">
        <v>480</v>
      </c>
      <c r="B294" s="9" t="s">
        <v>481</v>
      </c>
      <c r="C294" s="9" t="s">
        <v>10</v>
      </c>
      <c r="D294" s="9" t="s">
        <v>11</v>
      </c>
      <c r="E294" s="9">
        <v>104</v>
      </c>
      <c r="F294" s="9">
        <v>5.0999999999999996</v>
      </c>
      <c r="G294" s="9">
        <v>100000000</v>
      </c>
      <c r="H294" s="9">
        <v>75030163</v>
      </c>
      <c r="I294" s="5">
        <f>IMDB_Movies!$H294-IMDB_Movies!$G294</f>
        <v>-24969837</v>
      </c>
    </row>
    <row r="295" spans="1:9" ht="23">
      <c r="A295" s="3" t="s">
        <v>482</v>
      </c>
      <c r="B295" s="10" t="s">
        <v>483</v>
      </c>
      <c r="C295" s="10" t="s">
        <v>24</v>
      </c>
      <c r="D295" s="10" t="s">
        <v>11</v>
      </c>
      <c r="E295" s="10">
        <v>101</v>
      </c>
      <c r="F295" s="10">
        <v>6.8</v>
      </c>
      <c r="G295" s="10">
        <v>100000000</v>
      </c>
      <c r="H295" s="10">
        <v>77222184</v>
      </c>
      <c r="I295" s="5">
        <f>IMDB_Movies!$H295-IMDB_Movies!$G295</f>
        <v>-22777816</v>
      </c>
    </row>
    <row r="296" spans="1:9" ht="23">
      <c r="A296" s="2" t="s">
        <v>484</v>
      </c>
      <c r="B296" s="9" t="s">
        <v>485</v>
      </c>
      <c r="C296" s="9" t="s">
        <v>24</v>
      </c>
      <c r="D296" s="9" t="s">
        <v>11</v>
      </c>
      <c r="E296" s="9">
        <v>102</v>
      </c>
      <c r="F296" s="9">
        <v>6.7</v>
      </c>
      <c r="G296" s="9">
        <v>100000000</v>
      </c>
      <c r="H296" s="9">
        <v>107515297</v>
      </c>
      <c r="I296" s="5">
        <f>IMDB_Movies!$H296-IMDB_Movies!$G296</f>
        <v>7515297</v>
      </c>
    </row>
    <row r="297" spans="1:9" ht="23">
      <c r="A297" s="3" t="s">
        <v>486</v>
      </c>
      <c r="B297" s="10" t="s">
        <v>487</v>
      </c>
      <c r="C297" s="10" t="s">
        <v>10</v>
      </c>
      <c r="D297" s="10" t="s">
        <v>11</v>
      </c>
      <c r="E297" s="10">
        <v>103</v>
      </c>
      <c r="F297" s="10">
        <v>6</v>
      </c>
      <c r="G297" s="10">
        <v>100000000</v>
      </c>
      <c r="H297" s="10">
        <v>67631157</v>
      </c>
      <c r="I297" s="5">
        <f>IMDB_Movies!$H297-IMDB_Movies!$G297</f>
        <v>-32368843</v>
      </c>
    </row>
    <row r="298" spans="1:9" ht="23">
      <c r="A298" s="2" t="s">
        <v>488</v>
      </c>
      <c r="B298" s="9" t="s">
        <v>489</v>
      </c>
      <c r="C298" s="9" t="s">
        <v>10</v>
      </c>
      <c r="D298" s="9" t="s">
        <v>11</v>
      </c>
      <c r="E298" s="9">
        <v>121</v>
      </c>
      <c r="F298" s="9">
        <v>5.7</v>
      </c>
      <c r="G298" s="9">
        <v>83000000</v>
      </c>
      <c r="H298" s="9">
        <v>66862068</v>
      </c>
      <c r="I298" s="5">
        <f>IMDB_Movies!$H298-IMDB_Movies!$G298</f>
        <v>-16137932</v>
      </c>
    </row>
    <row r="299" spans="1:9" ht="23">
      <c r="A299" s="3" t="s">
        <v>490</v>
      </c>
      <c r="B299" s="10" t="s">
        <v>275</v>
      </c>
      <c r="C299" s="10" t="s">
        <v>24</v>
      </c>
      <c r="D299" s="10" t="s">
        <v>11</v>
      </c>
      <c r="E299" s="10">
        <v>143</v>
      </c>
      <c r="F299" s="10">
        <v>8</v>
      </c>
      <c r="G299" s="10">
        <v>100000000</v>
      </c>
      <c r="H299" s="10">
        <v>57366262</v>
      </c>
      <c r="I299" s="5">
        <f>IMDB_Movies!$H299-IMDB_Movies!$G299</f>
        <v>-42633738</v>
      </c>
    </row>
    <row r="300" spans="1:9" ht="23">
      <c r="A300" s="2" t="s">
        <v>491</v>
      </c>
      <c r="B300" s="9" t="s">
        <v>130</v>
      </c>
      <c r="C300" s="9" t="s">
        <v>418</v>
      </c>
      <c r="D300" s="9" t="s">
        <v>11</v>
      </c>
      <c r="E300" s="9">
        <v>240</v>
      </c>
      <c r="F300" s="9">
        <v>8.1999999999999993</v>
      </c>
      <c r="G300" s="9">
        <v>100000000</v>
      </c>
      <c r="H300" s="9">
        <v>116866727</v>
      </c>
      <c r="I300" s="5">
        <f>IMDB_Movies!$H300-IMDB_Movies!$G300</f>
        <v>16866727</v>
      </c>
    </row>
    <row r="301" spans="1:9" ht="23">
      <c r="A301" s="3" t="s">
        <v>492</v>
      </c>
      <c r="B301" s="10" t="s">
        <v>357</v>
      </c>
      <c r="C301" s="10" t="s">
        <v>10</v>
      </c>
      <c r="D301" s="10" t="s">
        <v>11</v>
      </c>
      <c r="E301" s="10">
        <v>121</v>
      </c>
      <c r="F301" s="10">
        <v>5.4</v>
      </c>
      <c r="G301" s="10">
        <v>100000000</v>
      </c>
      <c r="H301" s="10">
        <v>184031112</v>
      </c>
      <c r="I301" s="5">
        <f>IMDB_Movies!$H301-IMDB_Movies!$G301</f>
        <v>84031112</v>
      </c>
    </row>
    <row r="302" spans="1:9" ht="23">
      <c r="A302" s="2" t="s">
        <v>493</v>
      </c>
      <c r="B302" s="9" t="s">
        <v>351</v>
      </c>
      <c r="C302" s="9" t="s">
        <v>10</v>
      </c>
      <c r="D302" s="9" t="s">
        <v>11</v>
      </c>
      <c r="E302" s="9">
        <v>129</v>
      </c>
      <c r="F302" s="9">
        <v>7.2</v>
      </c>
      <c r="G302" s="9">
        <v>105000000</v>
      </c>
      <c r="H302" s="9">
        <v>54700065</v>
      </c>
      <c r="I302" s="5">
        <f>IMDB_Movies!$H302-IMDB_Movies!$G302</f>
        <v>-50299935</v>
      </c>
    </row>
    <row r="303" spans="1:9" ht="23">
      <c r="A303" s="3" t="s">
        <v>494</v>
      </c>
      <c r="B303" s="10" t="s">
        <v>495</v>
      </c>
      <c r="C303" s="10" t="s">
        <v>56</v>
      </c>
      <c r="D303" s="10" t="s">
        <v>11</v>
      </c>
      <c r="E303" s="10">
        <v>172</v>
      </c>
      <c r="F303" s="10">
        <v>7.5</v>
      </c>
      <c r="G303" s="10">
        <v>102000000</v>
      </c>
      <c r="H303" s="10">
        <v>27098580</v>
      </c>
      <c r="I303" s="5">
        <f>IMDB_Movies!$H303-IMDB_Movies!$G303</f>
        <v>-74901420</v>
      </c>
    </row>
    <row r="304" spans="1:9" ht="23">
      <c r="A304" s="2" t="s">
        <v>496</v>
      </c>
      <c r="B304" s="9" t="s">
        <v>30</v>
      </c>
      <c r="C304" s="9" t="s">
        <v>10</v>
      </c>
      <c r="D304" s="9" t="s">
        <v>11</v>
      </c>
      <c r="E304" s="9">
        <v>101</v>
      </c>
      <c r="F304" s="9">
        <v>7</v>
      </c>
      <c r="G304" s="9">
        <v>80000000</v>
      </c>
      <c r="H304" s="9">
        <v>55673333</v>
      </c>
      <c r="I304" s="5">
        <f>IMDB_Movies!$H304-IMDB_Movies!$G304</f>
        <v>-24326667</v>
      </c>
    </row>
    <row r="305" spans="1:9" ht="23">
      <c r="A305" s="3" t="s">
        <v>497</v>
      </c>
      <c r="B305" s="10" t="s">
        <v>498</v>
      </c>
      <c r="C305" s="10" t="s">
        <v>10</v>
      </c>
      <c r="D305" s="10" t="s">
        <v>11</v>
      </c>
      <c r="E305" s="10">
        <v>87</v>
      </c>
      <c r="F305" s="10">
        <v>3.3</v>
      </c>
      <c r="G305" s="10">
        <v>100000000</v>
      </c>
      <c r="H305" s="10">
        <v>40198710</v>
      </c>
      <c r="I305" s="5">
        <f>IMDB_Movies!$H305-IMDB_Movies!$G305</f>
        <v>-59801290</v>
      </c>
    </row>
    <row r="306" spans="1:9" ht="23">
      <c r="A306" s="2" t="s">
        <v>499</v>
      </c>
      <c r="B306" s="9" t="s">
        <v>70</v>
      </c>
      <c r="C306" s="9" t="s">
        <v>10</v>
      </c>
      <c r="D306" s="9" t="s">
        <v>11</v>
      </c>
      <c r="E306" s="9">
        <v>101</v>
      </c>
      <c r="F306" s="9">
        <v>6</v>
      </c>
      <c r="G306" s="9">
        <v>100000000</v>
      </c>
      <c r="H306" s="9">
        <v>72660029</v>
      </c>
      <c r="I306" s="5">
        <f>IMDB_Movies!$H306-IMDB_Movies!$G306</f>
        <v>-27339971</v>
      </c>
    </row>
    <row r="307" spans="1:9" ht="23">
      <c r="A307" s="3" t="s">
        <v>500</v>
      </c>
      <c r="B307" s="10" t="s">
        <v>447</v>
      </c>
      <c r="C307" s="10" t="s">
        <v>24</v>
      </c>
      <c r="D307" s="10" t="s">
        <v>11</v>
      </c>
      <c r="E307" s="10">
        <v>95</v>
      </c>
      <c r="F307" s="10">
        <v>7.1</v>
      </c>
      <c r="G307" s="10">
        <v>140000000</v>
      </c>
      <c r="H307" s="10">
        <v>38120554</v>
      </c>
      <c r="I307" s="5">
        <f>IMDB_Movies!$H307-IMDB_Movies!$G307</f>
        <v>-101879446</v>
      </c>
    </row>
    <row r="308" spans="1:9" ht="23">
      <c r="A308" s="2" t="s">
        <v>501</v>
      </c>
      <c r="B308" s="9" t="s">
        <v>502</v>
      </c>
      <c r="C308" s="9" t="s">
        <v>24</v>
      </c>
      <c r="D308" s="9" t="s">
        <v>11</v>
      </c>
      <c r="E308" s="9">
        <v>102</v>
      </c>
      <c r="F308" s="9">
        <v>5.4</v>
      </c>
      <c r="G308" s="9">
        <v>100000000</v>
      </c>
      <c r="H308" s="9">
        <v>49392095</v>
      </c>
      <c r="I308" s="5">
        <f>IMDB_Movies!$H308-IMDB_Movies!$G308</f>
        <v>-50607905</v>
      </c>
    </row>
    <row r="309" spans="1:9" ht="23">
      <c r="A309" s="3" t="s">
        <v>503</v>
      </c>
      <c r="B309" s="10" t="s">
        <v>504</v>
      </c>
      <c r="C309" s="10" t="s">
        <v>10</v>
      </c>
      <c r="D309" s="10" t="s">
        <v>11</v>
      </c>
      <c r="E309" s="10">
        <v>131</v>
      </c>
      <c r="F309" s="10">
        <v>6.1</v>
      </c>
      <c r="G309" s="10">
        <v>90000000</v>
      </c>
      <c r="H309" s="10">
        <v>39292022</v>
      </c>
      <c r="I309" s="5">
        <f>IMDB_Movies!$H309-IMDB_Movies!$G309</f>
        <v>-50707978</v>
      </c>
    </row>
    <row r="310" spans="1:9" ht="23">
      <c r="A310" s="2" t="s">
        <v>505</v>
      </c>
      <c r="B310" s="9" t="s">
        <v>506</v>
      </c>
      <c r="C310" s="9" t="s">
        <v>10</v>
      </c>
      <c r="D310" s="9" t="s">
        <v>11</v>
      </c>
      <c r="E310" s="9">
        <v>114</v>
      </c>
      <c r="F310" s="9">
        <v>5.3</v>
      </c>
      <c r="G310" s="9">
        <v>105000000</v>
      </c>
      <c r="H310" s="9">
        <v>28772222</v>
      </c>
      <c r="I310" s="5">
        <f>IMDB_Movies!$H310-IMDB_Movies!$G310</f>
        <v>-76227778</v>
      </c>
    </row>
    <row r="311" spans="1:9" ht="23">
      <c r="A311" s="3" t="s">
        <v>507</v>
      </c>
      <c r="B311" s="10" t="s">
        <v>508</v>
      </c>
      <c r="C311" s="10" t="s">
        <v>138</v>
      </c>
      <c r="D311" s="10" t="s">
        <v>11</v>
      </c>
      <c r="E311" s="10">
        <v>94</v>
      </c>
      <c r="F311" s="10">
        <v>2.2000000000000002</v>
      </c>
      <c r="G311" s="10">
        <v>84000000</v>
      </c>
      <c r="H311" s="10">
        <v>17010646</v>
      </c>
      <c r="I311" s="5">
        <f>IMDB_Movies!$H311-IMDB_Movies!$G311</f>
        <v>-66989354</v>
      </c>
    </row>
    <row r="312" spans="1:9" ht="23">
      <c r="A312" s="2" t="s">
        <v>509</v>
      </c>
      <c r="B312" s="9" t="s">
        <v>227</v>
      </c>
      <c r="C312" s="9" t="s">
        <v>10</v>
      </c>
      <c r="D312" s="9" t="s">
        <v>11</v>
      </c>
      <c r="E312" s="9">
        <v>122</v>
      </c>
      <c r="F312" s="9">
        <v>7</v>
      </c>
      <c r="G312" s="9">
        <v>100000000</v>
      </c>
      <c r="H312" s="9">
        <v>24985612</v>
      </c>
      <c r="I312" s="5">
        <f>IMDB_Movies!$H312-IMDB_Movies!$G312</f>
        <v>-75014388</v>
      </c>
    </row>
    <row r="313" spans="1:9" ht="23">
      <c r="A313" s="3" t="s">
        <v>510</v>
      </c>
      <c r="B313" s="10" t="s">
        <v>511</v>
      </c>
      <c r="C313" s="10" t="s">
        <v>10</v>
      </c>
      <c r="D313" s="10" t="s">
        <v>11</v>
      </c>
      <c r="E313" s="10">
        <v>95</v>
      </c>
      <c r="F313" s="10">
        <v>3.8</v>
      </c>
      <c r="G313" s="10">
        <v>100000000</v>
      </c>
      <c r="H313" s="10">
        <v>4411102</v>
      </c>
      <c r="I313" s="5">
        <f>IMDB_Movies!$H313-IMDB_Movies!$G313</f>
        <v>-95588898</v>
      </c>
    </row>
    <row r="314" spans="1:9" ht="23">
      <c r="A314" s="2" t="s">
        <v>512</v>
      </c>
      <c r="B314" s="9" t="s">
        <v>311</v>
      </c>
      <c r="C314" s="9" t="s">
        <v>10</v>
      </c>
      <c r="D314" s="9" t="s">
        <v>11</v>
      </c>
      <c r="E314" s="9">
        <v>115</v>
      </c>
      <c r="F314" s="9">
        <v>6.9</v>
      </c>
      <c r="G314" s="9">
        <v>100000000</v>
      </c>
      <c r="H314" s="9">
        <v>35024475</v>
      </c>
      <c r="I314" s="5">
        <f>IMDB_Movies!$H314-IMDB_Movies!$G314</f>
        <v>-64975525</v>
      </c>
    </row>
    <row r="315" spans="1:9" ht="23">
      <c r="A315" s="3" t="s">
        <v>513</v>
      </c>
      <c r="B315" s="10" t="s">
        <v>514</v>
      </c>
      <c r="C315" s="10" t="s">
        <v>24</v>
      </c>
      <c r="D315" s="10" t="s">
        <v>11</v>
      </c>
      <c r="E315" s="10">
        <v>88</v>
      </c>
      <c r="F315" s="10">
        <v>7.2</v>
      </c>
      <c r="G315" s="10">
        <v>99000000</v>
      </c>
      <c r="H315" s="10">
        <v>130174897</v>
      </c>
      <c r="I315" s="5">
        <f>IMDB_Movies!$H315-IMDB_Movies!$G315</f>
        <v>31174897</v>
      </c>
    </row>
    <row r="316" spans="1:9" ht="23">
      <c r="A316" s="2" t="s">
        <v>515</v>
      </c>
      <c r="B316" s="9" t="s">
        <v>516</v>
      </c>
      <c r="C316" s="9" t="s">
        <v>56</v>
      </c>
      <c r="D316" s="9" t="s">
        <v>11</v>
      </c>
      <c r="E316" s="9">
        <v>110</v>
      </c>
      <c r="F316" s="9">
        <v>7.3</v>
      </c>
      <c r="G316" s="9">
        <v>10000000</v>
      </c>
      <c r="H316" s="9">
        <v>10200000</v>
      </c>
      <c r="I316" s="5">
        <f>IMDB_Movies!$H316-IMDB_Movies!$G316</f>
        <v>200000</v>
      </c>
    </row>
    <row r="317" spans="1:9" ht="23">
      <c r="A317" s="3" t="s">
        <v>517</v>
      </c>
      <c r="B317" s="10" t="s">
        <v>144</v>
      </c>
      <c r="C317" s="10" t="s">
        <v>10</v>
      </c>
      <c r="D317" s="10" t="s">
        <v>11</v>
      </c>
      <c r="E317" s="10">
        <v>130</v>
      </c>
      <c r="F317" s="10">
        <v>6.3</v>
      </c>
      <c r="G317" s="10">
        <v>98000000</v>
      </c>
      <c r="H317" s="10">
        <v>202007640</v>
      </c>
      <c r="I317" s="5">
        <f>IMDB_Movies!$H317-IMDB_Movies!$G317</f>
        <v>104007640</v>
      </c>
    </row>
    <row r="318" spans="1:9" ht="23">
      <c r="A318" s="2" t="s">
        <v>518</v>
      </c>
      <c r="B318" s="9" t="s">
        <v>130</v>
      </c>
      <c r="C318" s="9" t="s">
        <v>414</v>
      </c>
      <c r="D318" s="9" t="s">
        <v>11</v>
      </c>
      <c r="E318" s="9">
        <v>216</v>
      </c>
      <c r="F318" s="9">
        <v>7.5</v>
      </c>
      <c r="G318" s="9">
        <v>100000000</v>
      </c>
      <c r="H318" s="9">
        <v>77679638</v>
      </c>
      <c r="I318" s="5">
        <f>IMDB_Movies!$H318-IMDB_Movies!$G318</f>
        <v>-22320362</v>
      </c>
    </row>
    <row r="319" spans="1:9" ht="23">
      <c r="A319" s="3" t="s">
        <v>519</v>
      </c>
      <c r="B319" s="10" t="s">
        <v>520</v>
      </c>
      <c r="C319" s="10" t="s">
        <v>56</v>
      </c>
      <c r="D319" s="10" t="s">
        <v>521</v>
      </c>
      <c r="E319" s="10">
        <v>146</v>
      </c>
      <c r="F319" s="10">
        <v>7.6</v>
      </c>
      <c r="G319" s="10">
        <v>94000000</v>
      </c>
      <c r="H319" s="10">
        <v>9213</v>
      </c>
      <c r="I319" s="5">
        <f>IMDB_Movies!$H319-IMDB_Movies!$G319</f>
        <v>-93990787</v>
      </c>
    </row>
    <row r="320" spans="1:9" ht="23">
      <c r="A320" s="2" t="s">
        <v>522</v>
      </c>
      <c r="B320" s="9" t="s">
        <v>523</v>
      </c>
      <c r="C320" s="9" t="s">
        <v>116</v>
      </c>
      <c r="D320" s="9" t="s">
        <v>11</v>
      </c>
      <c r="E320" s="9">
        <v>85</v>
      </c>
      <c r="F320" s="9">
        <v>6.8</v>
      </c>
      <c r="G320" s="9">
        <v>100000000</v>
      </c>
      <c r="H320" s="9">
        <v>58867694</v>
      </c>
      <c r="I320" s="5">
        <f>IMDB_Movies!$H320-IMDB_Movies!$G320</f>
        <v>-41132306</v>
      </c>
    </row>
    <row r="321" spans="1:9" ht="23">
      <c r="A321" s="3" t="s">
        <v>524</v>
      </c>
      <c r="B321" s="10" t="s">
        <v>525</v>
      </c>
      <c r="C321" s="10" t="s">
        <v>138</v>
      </c>
      <c r="D321" s="10" t="s">
        <v>11</v>
      </c>
      <c r="E321" s="10">
        <v>93</v>
      </c>
      <c r="F321" s="10">
        <v>5.2</v>
      </c>
      <c r="G321" s="10">
        <v>90000000</v>
      </c>
      <c r="H321" s="10">
        <v>59475623</v>
      </c>
      <c r="I321" s="5">
        <f>IMDB_Movies!$H321-IMDB_Movies!$G321</f>
        <v>-30524377</v>
      </c>
    </row>
    <row r="322" spans="1:9" ht="23">
      <c r="A322" s="2" t="s">
        <v>526</v>
      </c>
      <c r="B322" s="9" t="s">
        <v>50</v>
      </c>
      <c r="C322" s="9" t="s">
        <v>56</v>
      </c>
      <c r="D322" s="9" t="s">
        <v>11</v>
      </c>
      <c r="E322" s="9">
        <v>152</v>
      </c>
      <c r="F322" s="9">
        <v>7.7</v>
      </c>
      <c r="G322" s="9">
        <v>92000000</v>
      </c>
      <c r="H322" s="9">
        <v>108638745</v>
      </c>
      <c r="I322" s="5">
        <f>IMDB_Movies!$H322-IMDB_Movies!$G322</f>
        <v>16638745</v>
      </c>
    </row>
    <row r="323" spans="1:9" ht="23">
      <c r="A323" s="3" t="s">
        <v>527</v>
      </c>
      <c r="B323" s="10" t="s">
        <v>528</v>
      </c>
      <c r="C323" s="10" t="s">
        <v>138</v>
      </c>
      <c r="D323" s="10" t="s">
        <v>11</v>
      </c>
      <c r="E323" s="10">
        <v>85</v>
      </c>
      <c r="F323" s="10">
        <v>6.2</v>
      </c>
      <c r="G323" s="10">
        <v>95000000</v>
      </c>
      <c r="H323" s="10">
        <v>86897182</v>
      </c>
      <c r="I323" s="5">
        <f>IMDB_Movies!$H323-IMDB_Movies!$G323</f>
        <v>-8102818</v>
      </c>
    </row>
    <row r="324" spans="1:9" ht="23">
      <c r="A324" s="2" t="s">
        <v>529</v>
      </c>
      <c r="B324" s="9" t="s">
        <v>530</v>
      </c>
      <c r="C324" s="9" t="s">
        <v>10</v>
      </c>
      <c r="D324" s="9" t="s">
        <v>11</v>
      </c>
      <c r="E324" s="9">
        <v>126</v>
      </c>
      <c r="F324" s="9">
        <v>7.7</v>
      </c>
      <c r="G324" s="9">
        <v>93000000</v>
      </c>
      <c r="H324" s="9">
        <v>63540020</v>
      </c>
      <c r="I324" s="5">
        <f>IMDB_Movies!$H324-IMDB_Movies!$G324</f>
        <v>-29459980</v>
      </c>
    </row>
    <row r="325" spans="1:9" ht="23">
      <c r="A325" s="3" t="s">
        <v>531</v>
      </c>
      <c r="B325" s="10" t="s">
        <v>532</v>
      </c>
      <c r="C325" s="10" t="s">
        <v>138</v>
      </c>
      <c r="D325" s="10" t="s">
        <v>11</v>
      </c>
      <c r="E325" s="10">
        <v>146</v>
      </c>
      <c r="F325" s="10">
        <v>4.3</v>
      </c>
      <c r="G325" s="10">
        <v>100000000</v>
      </c>
      <c r="H325" s="10">
        <v>95328937</v>
      </c>
      <c r="I325" s="5">
        <f>IMDB_Movies!$H325-IMDB_Movies!$G325</f>
        <v>-4671063</v>
      </c>
    </row>
    <row r="326" spans="1:9" ht="23">
      <c r="A326" s="2" t="s">
        <v>533</v>
      </c>
      <c r="B326" s="9" t="s">
        <v>534</v>
      </c>
      <c r="C326" s="9" t="s">
        <v>24</v>
      </c>
      <c r="D326" s="9" t="s">
        <v>11</v>
      </c>
      <c r="E326" s="9">
        <v>89</v>
      </c>
      <c r="F326" s="9">
        <v>6.9</v>
      </c>
      <c r="G326" s="9">
        <v>95000000</v>
      </c>
      <c r="H326" s="9">
        <v>50802661</v>
      </c>
      <c r="I326" s="5">
        <f>IMDB_Movies!$H326-IMDB_Movies!$G326</f>
        <v>-44197339</v>
      </c>
    </row>
    <row r="327" spans="1:9" ht="23">
      <c r="A327" s="3" t="s">
        <v>535</v>
      </c>
      <c r="B327" s="10" t="s">
        <v>514</v>
      </c>
      <c r="C327" s="10" t="s">
        <v>24</v>
      </c>
      <c r="D327" s="10" t="s">
        <v>11</v>
      </c>
      <c r="E327" s="10">
        <v>88</v>
      </c>
      <c r="F327" s="10">
        <v>6.6</v>
      </c>
      <c r="G327" s="10">
        <v>95000000</v>
      </c>
      <c r="H327" s="10">
        <v>161317423</v>
      </c>
      <c r="I327" s="5">
        <f>IMDB_Movies!$H327-IMDB_Movies!$G327</f>
        <v>66317423</v>
      </c>
    </row>
    <row r="328" spans="1:9" ht="23">
      <c r="A328" s="2" t="s">
        <v>536</v>
      </c>
      <c r="B328" s="9" t="s">
        <v>230</v>
      </c>
      <c r="C328" s="9" t="s">
        <v>56</v>
      </c>
      <c r="D328" s="9" t="s">
        <v>11</v>
      </c>
      <c r="E328" s="9">
        <v>105</v>
      </c>
      <c r="F328" s="9">
        <v>7</v>
      </c>
      <c r="G328" s="9">
        <v>95000000</v>
      </c>
      <c r="H328" s="9">
        <v>201148159</v>
      </c>
      <c r="I328" s="5">
        <f>IMDB_Movies!$H328-IMDB_Movies!$G328</f>
        <v>106148159</v>
      </c>
    </row>
    <row r="329" spans="1:9" ht="23">
      <c r="A329" s="3" t="s">
        <v>537</v>
      </c>
      <c r="B329" s="10" t="s">
        <v>46</v>
      </c>
      <c r="C329" s="10" t="s">
        <v>56</v>
      </c>
      <c r="D329" s="10" t="s">
        <v>11</v>
      </c>
      <c r="E329" s="10">
        <v>135</v>
      </c>
      <c r="F329" s="10">
        <v>6.7</v>
      </c>
      <c r="G329" s="10">
        <v>65000000</v>
      </c>
      <c r="H329" s="10">
        <v>43982842</v>
      </c>
      <c r="I329" s="5">
        <f>IMDB_Movies!$H329-IMDB_Movies!$G329</f>
        <v>-21017158</v>
      </c>
    </row>
    <row r="330" spans="1:9" ht="23">
      <c r="A330" s="2" t="s">
        <v>538</v>
      </c>
      <c r="B330" s="9" t="s">
        <v>19</v>
      </c>
      <c r="C330" s="9" t="s">
        <v>24</v>
      </c>
      <c r="D330" s="9" t="s">
        <v>11</v>
      </c>
      <c r="E330" s="9">
        <v>100</v>
      </c>
      <c r="F330" s="9">
        <v>8.1999999999999993</v>
      </c>
      <c r="G330" s="9">
        <v>94000000</v>
      </c>
      <c r="H330" s="9">
        <v>380838870</v>
      </c>
      <c r="I330" s="5">
        <f>IMDB_Movies!$H330-IMDB_Movies!$G330</f>
        <v>286838870</v>
      </c>
    </row>
    <row r="331" spans="1:9" ht="23">
      <c r="A331" s="3" t="s">
        <v>539</v>
      </c>
      <c r="B331" s="10" t="s">
        <v>46</v>
      </c>
      <c r="C331" s="10" t="s">
        <v>10</v>
      </c>
      <c r="D331" s="10" t="s">
        <v>11</v>
      </c>
      <c r="E331" s="10">
        <v>192</v>
      </c>
      <c r="F331" s="10">
        <v>8.9</v>
      </c>
      <c r="G331" s="10">
        <v>94000000</v>
      </c>
      <c r="H331" s="10">
        <v>377019252</v>
      </c>
      <c r="I331" s="5">
        <f>IMDB_Movies!$H331-IMDB_Movies!$G331</f>
        <v>283019252</v>
      </c>
    </row>
    <row r="332" spans="1:9" ht="23">
      <c r="A332" s="2" t="s">
        <v>540</v>
      </c>
      <c r="B332" s="9" t="s">
        <v>46</v>
      </c>
      <c r="C332" s="9" t="s">
        <v>10</v>
      </c>
      <c r="D332" s="9" t="s">
        <v>11</v>
      </c>
      <c r="E332" s="9">
        <v>172</v>
      </c>
      <c r="F332" s="9">
        <v>8.6999999999999993</v>
      </c>
      <c r="G332" s="9">
        <v>94000000</v>
      </c>
      <c r="H332" s="9">
        <v>340478898</v>
      </c>
      <c r="I332" s="5">
        <f>IMDB_Movies!$H332-IMDB_Movies!$G332</f>
        <v>246478898</v>
      </c>
    </row>
    <row r="333" spans="1:9" ht="23">
      <c r="A333" s="3" t="s">
        <v>541</v>
      </c>
      <c r="B333" s="10" t="s">
        <v>542</v>
      </c>
      <c r="C333" s="10" t="s">
        <v>10</v>
      </c>
      <c r="D333" s="10" t="s">
        <v>11</v>
      </c>
      <c r="E333" s="10">
        <v>102</v>
      </c>
      <c r="F333" s="10">
        <v>5.5</v>
      </c>
      <c r="G333" s="10">
        <v>95000000</v>
      </c>
      <c r="H333" s="10">
        <v>17176900</v>
      </c>
      <c r="I333" s="5">
        <f>IMDB_Movies!$H333-IMDB_Movies!$G333</f>
        <v>-77823100</v>
      </c>
    </row>
    <row r="334" spans="1:9" ht="23">
      <c r="A334" s="2" t="s">
        <v>543</v>
      </c>
      <c r="B334" s="9" t="s">
        <v>478</v>
      </c>
      <c r="C334" s="9" t="s">
        <v>10</v>
      </c>
      <c r="D334" s="9" t="s">
        <v>11</v>
      </c>
      <c r="E334" s="9">
        <v>100</v>
      </c>
      <c r="F334" s="9">
        <v>5.7</v>
      </c>
      <c r="G334" s="9">
        <v>115000000</v>
      </c>
      <c r="H334" s="9">
        <v>131144183</v>
      </c>
      <c r="I334" s="5">
        <f>IMDB_Movies!$H334-IMDB_Movies!$G334</f>
        <v>16144183</v>
      </c>
    </row>
    <row r="335" spans="1:9" ht="23">
      <c r="A335" s="3" t="s">
        <v>544</v>
      </c>
      <c r="B335" s="10" t="s">
        <v>545</v>
      </c>
      <c r="C335" s="10" t="s">
        <v>56</v>
      </c>
      <c r="D335" s="10" t="s">
        <v>11</v>
      </c>
      <c r="E335" s="10">
        <v>119</v>
      </c>
      <c r="F335" s="10">
        <v>6.3</v>
      </c>
      <c r="G335" s="10">
        <v>100000000</v>
      </c>
      <c r="H335" s="10">
        <v>23014504</v>
      </c>
      <c r="I335" s="5">
        <f>IMDB_Movies!$H335-IMDB_Movies!$G335</f>
        <v>-76985496</v>
      </c>
    </row>
    <row r="336" spans="1:9" ht="23">
      <c r="A336" s="2" t="s">
        <v>546</v>
      </c>
      <c r="B336" s="9" t="s">
        <v>241</v>
      </c>
      <c r="C336" s="9" t="s">
        <v>10</v>
      </c>
      <c r="D336" s="9" t="s">
        <v>11</v>
      </c>
      <c r="E336" s="9">
        <v>92</v>
      </c>
      <c r="F336" s="9">
        <v>5.9</v>
      </c>
      <c r="G336" s="9">
        <v>93000000</v>
      </c>
      <c r="H336" s="9">
        <v>181166115</v>
      </c>
      <c r="I336" s="5">
        <f>IMDB_Movies!$H336-IMDB_Movies!$G336</f>
        <v>88166115</v>
      </c>
    </row>
    <row r="337" spans="1:9" ht="23">
      <c r="A337" s="3" t="s">
        <v>547</v>
      </c>
      <c r="B337" s="10" t="s">
        <v>548</v>
      </c>
      <c r="C337" s="10" t="s">
        <v>10</v>
      </c>
      <c r="D337" s="10" t="s">
        <v>11</v>
      </c>
      <c r="E337" s="10">
        <v>105</v>
      </c>
      <c r="F337" s="10">
        <v>7.6</v>
      </c>
      <c r="G337" s="10">
        <v>93000000</v>
      </c>
      <c r="H337" s="10">
        <v>176740650</v>
      </c>
      <c r="I337" s="5">
        <f>IMDB_Movies!$H337-IMDB_Movies!$G337</f>
        <v>83740650</v>
      </c>
    </row>
    <row r="338" spans="1:9" ht="23">
      <c r="A338" s="2" t="s">
        <v>549</v>
      </c>
      <c r="B338" s="9" t="s">
        <v>550</v>
      </c>
      <c r="C338" s="9" t="s">
        <v>24</v>
      </c>
      <c r="D338" s="9" t="s">
        <v>11</v>
      </c>
      <c r="E338" s="9">
        <v>107</v>
      </c>
      <c r="F338" s="9">
        <v>6.6</v>
      </c>
      <c r="G338" s="9">
        <v>90000000</v>
      </c>
      <c r="H338" s="9">
        <v>71148699</v>
      </c>
      <c r="I338" s="5">
        <f>IMDB_Movies!$H338-IMDB_Movies!$G338</f>
        <v>-18851301</v>
      </c>
    </row>
    <row r="339" spans="1:9" ht="23">
      <c r="A339" s="3" t="s">
        <v>551</v>
      </c>
      <c r="B339" s="10" t="s">
        <v>552</v>
      </c>
      <c r="C339" s="10" t="s">
        <v>10</v>
      </c>
      <c r="D339" s="10" t="s">
        <v>11</v>
      </c>
      <c r="E339" s="10">
        <v>101</v>
      </c>
      <c r="F339" s="10">
        <v>5.3</v>
      </c>
      <c r="G339" s="10">
        <v>92000000</v>
      </c>
      <c r="H339" s="10">
        <v>67344392</v>
      </c>
      <c r="I339" s="5">
        <f>IMDB_Movies!$H339-IMDB_Movies!$G339</f>
        <v>-24655608</v>
      </c>
    </row>
    <row r="340" spans="1:9" ht="23">
      <c r="A340" s="2" t="s">
        <v>553</v>
      </c>
      <c r="B340" s="9" t="s">
        <v>554</v>
      </c>
      <c r="C340" s="9" t="s">
        <v>56</v>
      </c>
      <c r="D340" s="9" t="s">
        <v>11</v>
      </c>
      <c r="E340" s="9">
        <v>137</v>
      </c>
      <c r="F340" s="9">
        <v>6</v>
      </c>
      <c r="G340" s="9">
        <v>107000000</v>
      </c>
      <c r="H340" s="9">
        <v>22406362</v>
      </c>
      <c r="I340" s="5">
        <f>IMDB_Movies!$H340-IMDB_Movies!$G340</f>
        <v>-84593638</v>
      </c>
    </row>
    <row r="341" spans="1:9" ht="23">
      <c r="A341" s="3" t="s">
        <v>555</v>
      </c>
      <c r="B341" s="10" t="s">
        <v>162</v>
      </c>
      <c r="C341" s="10" t="s">
        <v>10</v>
      </c>
      <c r="D341" s="10" t="s">
        <v>11</v>
      </c>
      <c r="E341" s="10">
        <v>115</v>
      </c>
      <c r="F341" s="10">
        <v>8</v>
      </c>
      <c r="G341" s="10">
        <v>92000000</v>
      </c>
      <c r="H341" s="10">
        <v>261437578</v>
      </c>
      <c r="I341" s="5">
        <f>IMDB_Movies!$H341-IMDB_Movies!$G341</f>
        <v>169437578</v>
      </c>
    </row>
    <row r="342" spans="1:9" ht="23">
      <c r="A342" s="2" t="s">
        <v>556</v>
      </c>
      <c r="B342" s="9" t="s">
        <v>557</v>
      </c>
      <c r="C342" s="9" t="s">
        <v>10</v>
      </c>
      <c r="D342" s="9" t="s">
        <v>11</v>
      </c>
      <c r="E342" s="9">
        <v>124</v>
      </c>
      <c r="F342" s="9">
        <v>5.6</v>
      </c>
      <c r="G342" s="9">
        <v>98000000</v>
      </c>
      <c r="H342" s="9">
        <v>11000000</v>
      </c>
      <c r="I342" s="5">
        <f>IMDB_Movies!$H342-IMDB_Movies!$G342</f>
        <v>-87000000</v>
      </c>
    </row>
    <row r="343" spans="1:9" ht="23">
      <c r="A343" s="3" t="s">
        <v>558</v>
      </c>
      <c r="B343" s="10" t="s">
        <v>337</v>
      </c>
      <c r="C343" s="10" t="s">
        <v>24</v>
      </c>
      <c r="D343" s="10" t="s">
        <v>11</v>
      </c>
      <c r="E343" s="10">
        <v>118</v>
      </c>
      <c r="F343" s="10">
        <v>5.9</v>
      </c>
      <c r="G343" s="10">
        <v>95000000</v>
      </c>
      <c r="H343" s="10">
        <v>88761720</v>
      </c>
      <c r="I343" s="5">
        <f>IMDB_Movies!$H343-IMDB_Movies!$G343</f>
        <v>-6238280</v>
      </c>
    </row>
    <row r="344" spans="1:9" ht="23">
      <c r="A344" s="2" t="s">
        <v>559</v>
      </c>
      <c r="B344" s="9" t="s">
        <v>44</v>
      </c>
      <c r="C344" s="9" t="s">
        <v>24</v>
      </c>
      <c r="D344" s="9" t="s">
        <v>11</v>
      </c>
      <c r="E344" s="9">
        <v>98</v>
      </c>
      <c r="F344" s="9">
        <v>7.3</v>
      </c>
      <c r="G344" s="9">
        <v>90000000</v>
      </c>
      <c r="H344" s="9">
        <v>250147615</v>
      </c>
      <c r="I344" s="5">
        <f>IMDB_Movies!$H344-IMDB_Movies!$G344</f>
        <v>160147615</v>
      </c>
    </row>
    <row r="345" spans="1:9" ht="23">
      <c r="A345" s="3" t="s">
        <v>560</v>
      </c>
      <c r="B345" s="10" t="s">
        <v>81</v>
      </c>
      <c r="C345" s="10" t="s">
        <v>24</v>
      </c>
      <c r="D345" s="10" t="s">
        <v>11</v>
      </c>
      <c r="E345" s="10">
        <v>82</v>
      </c>
      <c r="F345" s="10">
        <v>7.9</v>
      </c>
      <c r="G345" s="10">
        <v>90000000</v>
      </c>
      <c r="H345" s="10">
        <v>245823397</v>
      </c>
      <c r="I345" s="5">
        <f>IMDB_Movies!$H345-IMDB_Movies!$G345</f>
        <v>155823397</v>
      </c>
    </row>
    <row r="346" spans="1:9" ht="23">
      <c r="A346" s="2" t="s">
        <v>561</v>
      </c>
      <c r="B346" s="9" t="s">
        <v>464</v>
      </c>
      <c r="C346" s="9" t="s">
        <v>10</v>
      </c>
      <c r="D346" s="9" t="s">
        <v>11</v>
      </c>
      <c r="E346" s="9">
        <v>98</v>
      </c>
      <c r="F346" s="9">
        <v>6.8</v>
      </c>
      <c r="G346" s="9">
        <v>100000000</v>
      </c>
      <c r="H346" s="9">
        <v>81557479</v>
      </c>
      <c r="I346" s="5">
        <f>IMDB_Movies!$H346-IMDB_Movies!$G346</f>
        <v>-18442521</v>
      </c>
    </row>
    <row r="347" spans="1:9" ht="23">
      <c r="A347" s="3" t="s">
        <v>562</v>
      </c>
      <c r="B347" s="10" t="s">
        <v>70</v>
      </c>
      <c r="C347" s="10" t="s">
        <v>10</v>
      </c>
      <c r="D347" s="10" t="s">
        <v>11</v>
      </c>
      <c r="E347" s="10">
        <v>90</v>
      </c>
      <c r="F347" s="10">
        <v>6.6</v>
      </c>
      <c r="G347" s="10">
        <v>90000000</v>
      </c>
      <c r="H347" s="10">
        <v>226138454</v>
      </c>
      <c r="I347" s="5">
        <f>IMDB_Movies!$H347-IMDB_Movies!$G347</f>
        <v>136138454</v>
      </c>
    </row>
    <row r="348" spans="1:9" ht="23">
      <c r="A348" s="2" t="s">
        <v>563</v>
      </c>
      <c r="B348" s="9" t="s">
        <v>115</v>
      </c>
      <c r="C348" s="9" t="s">
        <v>56</v>
      </c>
      <c r="D348" s="9" t="s">
        <v>11</v>
      </c>
      <c r="E348" s="9">
        <v>130</v>
      </c>
      <c r="F348" s="9">
        <v>6.6</v>
      </c>
      <c r="G348" s="9">
        <v>100000000</v>
      </c>
      <c r="H348" s="9">
        <v>155370362</v>
      </c>
      <c r="I348" s="5">
        <f>IMDB_Movies!$H348-IMDB_Movies!$G348</f>
        <v>55370362</v>
      </c>
    </row>
    <row r="349" spans="1:9" ht="23">
      <c r="A349" s="3" t="s">
        <v>564</v>
      </c>
      <c r="B349" s="10" t="s">
        <v>565</v>
      </c>
      <c r="C349" s="10" t="s">
        <v>116</v>
      </c>
      <c r="D349" s="10" t="s">
        <v>11</v>
      </c>
      <c r="E349" s="10">
        <v>90</v>
      </c>
      <c r="F349" s="10">
        <v>7</v>
      </c>
      <c r="G349" s="10">
        <v>100000000</v>
      </c>
      <c r="H349" s="10">
        <v>124870275</v>
      </c>
      <c r="I349" s="5">
        <f>IMDB_Movies!$H349-IMDB_Movies!$G349</f>
        <v>24870275</v>
      </c>
    </row>
    <row r="350" spans="1:9" ht="23">
      <c r="A350" s="2" t="s">
        <v>566</v>
      </c>
      <c r="B350" s="9" t="s">
        <v>344</v>
      </c>
      <c r="C350" s="9" t="s">
        <v>10</v>
      </c>
      <c r="D350" s="9" t="s">
        <v>11</v>
      </c>
      <c r="E350" s="9">
        <v>94</v>
      </c>
      <c r="F350" s="9">
        <v>7</v>
      </c>
      <c r="G350" s="9">
        <v>90000000</v>
      </c>
      <c r="H350" s="9">
        <v>196573705</v>
      </c>
      <c r="I350" s="5">
        <f>IMDB_Movies!$H350-IMDB_Movies!$G350</f>
        <v>106573705</v>
      </c>
    </row>
    <row r="351" spans="1:9" ht="23">
      <c r="A351" s="3" t="s">
        <v>567</v>
      </c>
      <c r="B351" s="10" t="s">
        <v>568</v>
      </c>
      <c r="C351" s="10" t="s">
        <v>24</v>
      </c>
      <c r="D351" s="10" t="s">
        <v>11</v>
      </c>
      <c r="E351" s="10">
        <v>114</v>
      </c>
      <c r="F351" s="10">
        <v>7.3</v>
      </c>
      <c r="G351" s="10">
        <v>90000000</v>
      </c>
      <c r="H351" s="10">
        <v>58229120</v>
      </c>
      <c r="I351" s="5">
        <f>IMDB_Movies!$H351-IMDB_Movies!$G351</f>
        <v>-31770880</v>
      </c>
    </row>
    <row r="352" spans="1:9" ht="23">
      <c r="A352" s="2" t="s">
        <v>569</v>
      </c>
      <c r="B352" s="9" t="s">
        <v>87</v>
      </c>
      <c r="C352" s="9" t="s">
        <v>10</v>
      </c>
      <c r="D352" s="9" t="s">
        <v>11</v>
      </c>
      <c r="E352" s="9">
        <v>94</v>
      </c>
      <c r="F352" s="9">
        <v>5.5</v>
      </c>
      <c r="G352" s="9">
        <v>92000000</v>
      </c>
      <c r="H352" s="9">
        <v>125305545</v>
      </c>
      <c r="I352" s="5">
        <f>IMDB_Movies!$H352-IMDB_Movies!$G352</f>
        <v>33305545</v>
      </c>
    </row>
    <row r="353" spans="1:9" ht="23">
      <c r="A353" s="3" t="s">
        <v>570</v>
      </c>
      <c r="B353" s="10" t="s">
        <v>130</v>
      </c>
      <c r="C353" s="10" t="s">
        <v>414</v>
      </c>
      <c r="D353" s="10" t="s">
        <v>11</v>
      </c>
      <c r="E353" s="10">
        <v>151</v>
      </c>
      <c r="F353" s="10">
        <v>8.5</v>
      </c>
      <c r="G353" s="10">
        <v>90000000</v>
      </c>
      <c r="H353" s="10">
        <v>132373442</v>
      </c>
      <c r="I353" s="5">
        <f>IMDB_Movies!$H353-IMDB_Movies!$G353</f>
        <v>42373442</v>
      </c>
    </row>
    <row r="354" spans="1:9" ht="23">
      <c r="A354" s="2" t="s">
        <v>571</v>
      </c>
      <c r="B354" s="9" t="s">
        <v>572</v>
      </c>
      <c r="C354" s="9" t="s">
        <v>24</v>
      </c>
      <c r="D354" s="9" t="s">
        <v>11</v>
      </c>
      <c r="E354" s="9">
        <v>88</v>
      </c>
      <c r="F354" s="9">
        <v>7.5</v>
      </c>
      <c r="G354" s="9">
        <v>90000000</v>
      </c>
      <c r="H354" s="9">
        <v>120618403</v>
      </c>
      <c r="I354" s="5">
        <f>IMDB_Movies!$H354-IMDB_Movies!$G354</f>
        <v>30618403</v>
      </c>
    </row>
    <row r="355" spans="1:9" ht="23">
      <c r="A355" s="3" t="s">
        <v>573</v>
      </c>
      <c r="B355" s="10" t="s">
        <v>568</v>
      </c>
      <c r="C355" s="10" t="s">
        <v>10</v>
      </c>
      <c r="D355" s="10" t="s">
        <v>11</v>
      </c>
      <c r="E355" s="10">
        <v>121</v>
      </c>
      <c r="F355" s="10">
        <v>7</v>
      </c>
      <c r="G355" s="10">
        <v>92000000</v>
      </c>
      <c r="H355" s="10">
        <v>110416702</v>
      </c>
      <c r="I355" s="5">
        <f>IMDB_Movies!$H355-IMDB_Movies!$G355</f>
        <v>18416702</v>
      </c>
    </row>
    <row r="356" spans="1:9" ht="23">
      <c r="A356" s="2" t="s">
        <v>574</v>
      </c>
      <c r="B356" s="9" t="s">
        <v>183</v>
      </c>
      <c r="C356" s="9" t="s">
        <v>414</v>
      </c>
      <c r="D356" s="9" t="s">
        <v>11</v>
      </c>
      <c r="E356" s="9">
        <v>158</v>
      </c>
      <c r="F356" s="9">
        <v>7.8</v>
      </c>
      <c r="G356" s="9">
        <v>90000000</v>
      </c>
      <c r="H356" s="9">
        <v>102515793</v>
      </c>
      <c r="I356" s="5">
        <f>IMDB_Movies!$H356-IMDB_Movies!$G356</f>
        <v>12515793</v>
      </c>
    </row>
    <row r="357" spans="1:9" ht="23">
      <c r="A357" s="3" t="s">
        <v>575</v>
      </c>
      <c r="B357" s="10" t="s">
        <v>353</v>
      </c>
      <c r="C357" s="10" t="s">
        <v>10</v>
      </c>
      <c r="D357" s="10" t="s">
        <v>11</v>
      </c>
      <c r="E357" s="10">
        <v>128</v>
      </c>
      <c r="F357" s="10">
        <v>7.6</v>
      </c>
      <c r="G357" s="10">
        <v>90000000</v>
      </c>
      <c r="H357" s="10">
        <v>100012500</v>
      </c>
      <c r="I357" s="5">
        <f>IMDB_Movies!$H357-IMDB_Movies!$G357</f>
        <v>10012500</v>
      </c>
    </row>
    <row r="358" spans="1:9" ht="23">
      <c r="A358" s="2" t="s">
        <v>576</v>
      </c>
      <c r="B358" s="9" t="s">
        <v>348</v>
      </c>
      <c r="C358" s="9" t="s">
        <v>10</v>
      </c>
      <c r="D358" s="9" t="s">
        <v>11</v>
      </c>
      <c r="E358" s="9">
        <v>128</v>
      </c>
      <c r="F358" s="9">
        <v>7.6</v>
      </c>
      <c r="G358" s="9">
        <v>90000000</v>
      </c>
      <c r="H358" s="9">
        <v>209019489</v>
      </c>
      <c r="I358" s="5">
        <f>IMDB_Movies!$H358-IMDB_Movies!$G358</f>
        <v>119019489</v>
      </c>
    </row>
    <row r="359" spans="1:9" ht="23">
      <c r="A359" s="3" t="s">
        <v>577</v>
      </c>
      <c r="B359" s="10" t="s">
        <v>578</v>
      </c>
      <c r="C359" s="10" t="s">
        <v>24</v>
      </c>
      <c r="D359" s="10" t="s">
        <v>11</v>
      </c>
      <c r="E359" s="10">
        <v>141</v>
      </c>
      <c r="F359" s="10">
        <v>6.1</v>
      </c>
      <c r="G359" s="10">
        <v>20000000</v>
      </c>
      <c r="H359" s="10">
        <v>25078937</v>
      </c>
      <c r="I359" s="5">
        <f>IMDB_Movies!$H359-IMDB_Movies!$G359</f>
        <v>5078937</v>
      </c>
    </row>
    <row r="360" spans="1:9" ht="23">
      <c r="A360" s="2" t="s">
        <v>579</v>
      </c>
      <c r="B360" s="9" t="s">
        <v>474</v>
      </c>
      <c r="C360" s="9" t="s">
        <v>10</v>
      </c>
      <c r="D360" s="9" t="s">
        <v>11</v>
      </c>
      <c r="E360" s="9">
        <v>95</v>
      </c>
      <c r="F360" s="9">
        <v>6.8</v>
      </c>
      <c r="G360" s="9">
        <v>120000000</v>
      </c>
      <c r="H360" s="9">
        <v>84037039</v>
      </c>
      <c r="I360" s="5">
        <f>IMDB_Movies!$H360-IMDB_Movies!$G360</f>
        <v>-35962961</v>
      </c>
    </row>
    <row r="361" spans="1:9" ht="23">
      <c r="A361" s="3" t="s">
        <v>580</v>
      </c>
      <c r="B361" s="10" t="s">
        <v>581</v>
      </c>
      <c r="C361" s="10" t="s">
        <v>24</v>
      </c>
      <c r="D361" s="10" t="s">
        <v>11</v>
      </c>
      <c r="E361" s="10">
        <v>92</v>
      </c>
      <c r="F361" s="10">
        <v>5</v>
      </c>
      <c r="G361" s="10">
        <v>90000000</v>
      </c>
      <c r="H361" s="10">
        <v>85884815</v>
      </c>
      <c r="I361" s="5">
        <f>IMDB_Movies!$H361-IMDB_Movies!$G361</f>
        <v>-4115185</v>
      </c>
    </row>
    <row r="362" spans="1:9" ht="23">
      <c r="A362" s="2" t="s">
        <v>582</v>
      </c>
      <c r="B362" s="9" t="s">
        <v>32</v>
      </c>
      <c r="C362" s="9" t="s">
        <v>56</v>
      </c>
      <c r="D362" s="9" t="s">
        <v>11</v>
      </c>
      <c r="E362" s="9">
        <v>121</v>
      </c>
      <c r="F362" s="9">
        <v>7.1</v>
      </c>
      <c r="G362" s="9">
        <v>75000000</v>
      </c>
      <c r="H362" s="9">
        <v>83077470</v>
      </c>
      <c r="I362" s="5">
        <f>IMDB_Movies!$H362-IMDB_Movies!$G362</f>
        <v>8077470</v>
      </c>
    </row>
    <row r="363" spans="1:9" ht="23">
      <c r="A363" s="3" t="s">
        <v>583</v>
      </c>
      <c r="B363" s="10" t="s">
        <v>584</v>
      </c>
      <c r="C363" s="10" t="s">
        <v>10</v>
      </c>
      <c r="D363" s="10" t="s">
        <v>11</v>
      </c>
      <c r="E363" s="10">
        <v>113</v>
      </c>
      <c r="F363" s="10">
        <v>5.5</v>
      </c>
      <c r="G363" s="10">
        <v>90000000</v>
      </c>
      <c r="H363" s="10">
        <v>100018837</v>
      </c>
      <c r="I363" s="5">
        <f>IMDB_Movies!$H363-IMDB_Movies!$G363</f>
        <v>10018837</v>
      </c>
    </row>
    <row r="364" spans="1:9" ht="23">
      <c r="A364" s="2" t="s">
        <v>585</v>
      </c>
      <c r="B364" s="9" t="s">
        <v>337</v>
      </c>
      <c r="C364" s="9" t="s">
        <v>10</v>
      </c>
      <c r="D364" s="9" t="s">
        <v>11</v>
      </c>
      <c r="E364" s="9">
        <v>106</v>
      </c>
      <c r="F364" s="9">
        <v>5.6</v>
      </c>
      <c r="G364" s="9">
        <v>88000000</v>
      </c>
      <c r="H364" s="9">
        <v>78747585</v>
      </c>
      <c r="I364" s="5">
        <f>IMDB_Movies!$H364-IMDB_Movies!$G364</f>
        <v>-9252415</v>
      </c>
    </row>
    <row r="365" spans="1:9" ht="23">
      <c r="A365" s="3" t="s">
        <v>586</v>
      </c>
      <c r="B365" s="10" t="s">
        <v>103</v>
      </c>
      <c r="C365" s="10" t="s">
        <v>24</v>
      </c>
      <c r="D365" s="10" t="s">
        <v>11</v>
      </c>
      <c r="E365" s="10">
        <v>146</v>
      </c>
      <c r="F365" s="10">
        <v>7.1</v>
      </c>
      <c r="G365" s="10">
        <v>100000000</v>
      </c>
      <c r="H365" s="10">
        <v>78616689</v>
      </c>
      <c r="I365" s="5">
        <f>IMDB_Movies!$H365-IMDB_Movies!$G365</f>
        <v>-21383311</v>
      </c>
    </row>
    <row r="366" spans="1:9" ht="23">
      <c r="A366" s="2" t="s">
        <v>587</v>
      </c>
      <c r="B366" s="9" t="s">
        <v>257</v>
      </c>
      <c r="C366" s="9" t="s">
        <v>138</v>
      </c>
      <c r="D366" s="9" t="s">
        <v>11</v>
      </c>
      <c r="E366" s="9">
        <v>88</v>
      </c>
      <c r="F366" s="9">
        <v>4.9000000000000004</v>
      </c>
      <c r="G366" s="9">
        <v>90000000</v>
      </c>
      <c r="H366" s="9">
        <v>75817994</v>
      </c>
      <c r="I366" s="5">
        <f>IMDB_Movies!$H366-IMDB_Movies!$G366</f>
        <v>-14182006</v>
      </c>
    </row>
    <row r="367" spans="1:9" ht="23">
      <c r="A367" s="3" t="s">
        <v>588</v>
      </c>
      <c r="B367" s="10" t="s">
        <v>115</v>
      </c>
      <c r="C367" s="10" t="s">
        <v>56</v>
      </c>
      <c r="D367" s="10" t="s">
        <v>11</v>
      </c>
      <c r="E367" s="10">
        <v>150</v>
      </c>
      <c r="F367" s="10">
        <v>7.4</v>
      </c>
      <c r="G367" s="10">
        <v>90000000</v>
      </c>
      <c r="H367" s="10">
        <v>100853835</v>
      </c>
      <c r="I367" s="5">
        <f>IMDB_Movies!$H367-IMDB_Movies!$G367</f>
        <v>10853835</v>
      </c>
    </row>
    <row r="368" spans="1:9" ht="23">
      <c r="A368" s="2" t="s">
        <v>589</v>
      </c>
      <c r="B368" s="9" t="s">
        <v>351</v>
      </c>
      <c r="C368" s="9" t="s">
        <v>10</v>
      </c>
      <c r="D368" s="9" t="s">
        <v>11</v>
      </c>
      <c r="E368" s="9">
        <v>119</v>
      </c>
      <c r="F368" s="9">
        <v>5.7</v>
      </c>
      <c r="G368" s="9">
        <v>95000000</v>
      </c>
      <c r="H368" s="9">
        <v>73209340</v>
      </c>
      <c r="I368" s="5">
        <f>IMDB_Movies!$H368-IMDB_Movies!$G368</f>
        <v>-21790660</v>
      </c>
    </row>
    <row r="369" spans="1:9" ht="23">
      <c r="A369" s="3" t="s">
        <v>590</v>
      </c>
      <c r="B369" s="10" t="s">
        <v>591</v>
      </c>
      <c r="C369" s="10" t="s">
        <v>414</v>
      </c>
      <c r="D369" s="10" t="s">
        <v>592</v>
      </c>
      <c r="E369" s="10">
        <v>128</v>
      </c>
      <c r="F369" s="10">
        <v>6.4</v>
      </c>
      <c r="G369" s="10">
        <v>80000000</v>
      </c>
      <c r="H369" s="10">
        <v>72515360</v>
      </c>
      <c r="I369" s="5">
        <f>IMDB_Movies!$H369-IMDB_Movies!$G369</f>
        <v>-7484640</v>
      </c>
    </row>
    <row r="370" spans="1:9" ht="23">
      <c r="A370" s="2" t="s">
        <v>593</v>
      </c>
      <c r="B370" s="9" t="s">
        <v>594</v>
      </c>
      <c r="C370" s="9" t="s">
        <v>24</v>
      </c>
      <c r="D370" s="9" t="s">
        <v>11</v>
      </c>
      <c r="E370" s="9">
        <v>106</v>
      </c>
      <c r="F370" s="9">
        <v>5.9</v>
      </c>
      <c r="G370" s="9">
        <v>90000000</v>
      </c>
      <c r="H370" s="9">
        <v>68558662</v>
      </c>
      <c r="I370" s="5">
        <f>IMDB_Movies!$H370-IMDB_Movies!$G370</f>
        <v>-21441338</v>
      </c>
    </row>
    <row r="371" spans="1:9" ht="23">
      <c r="A371" s="3" t="s">
        <v>595</v>
      </c>
      <c r="B371" s="10" t="s">
        <v>432</v>
      </c>
      <c r="C371" s="10" t="s">
        <v>10</v>
      </c>
      <c r="D371" s="10" t="s">
        <v>11</v>
      </c>
      <c r="E371" s="10">
        <v>117</v>
      </c>
      <c r="F371" s="10">
        <v>5.5</v>
      </c>
      <c r="G371" s="10">
        <v>95000000</v>
      </c>
      <c r="H371" s="10">
        <v>65653758</v>
      </c>
      <c r="I371" s="5">
        <f>IMDB_Movies!$H371-IMDB_Movies!$G371</f>
        <v>-29346242</v>
      </c>
    </row>
    <row r="372" spans="1:9" ht="23">
      <c r="A372" s="2" t="s">
        <v>596</v>
      </c>
      <c r="B372" s="9" t="s">
        <v>289</v>
      </c>
      <c r="C372" s="9" t="s">
        <v>10</v>
      </c>
      <c r="D372" s="9" t="s">
        <v>11</v>
      </c>
      <c r="E372" s="9">
        <v>129</v>
      </c>
      <c r="F372" s="9">
        <v>6.9</v>
      </c>
      <c r="G372" s="9">
        <v>90000000</v>
      </c>
      <c r="H372" s="9">
        <v>64685359</v>
      </c>
      <c r="I372" s="5">
        <f>IMDB_Movies!$H372-IMDB_Movies!$G372</f>
        <v>-25314641</v>
      </c>
    </row>
    <row r="373" spans="1:9" ht="23">
      <c r="A373" s="3" t="s">
        <v>597</v>
      </c>
      <c r="B373" s="10" t="s">
        <v>323</v>
      </c>
      <c r="C373" s="10" t="s">
        <v>10</v>
      </c>
      <c r="D373" s="10" t="s">
        <v>11</v>
      </c>
      <c r="E373" s="10">
        <v>116</v>
      </c>
      <c r="F373" s="10">
        <v>6.2</v>
      </c>
      <c r="G373" s="10">
        <v>68000000</v>
      </c>
      <c r="H373" s="10">
        <v>61355436</v>
      </c>
      <c r="I373" s="5">
        <f>IMDB_Movies!$H373-IMDB_Movies!$G373</f>
        <v>-6644564</v>
      </c>
    </row>
    <row r="374" spans="1:9" ht="23">
      <c r="A374" s="2" t="s">
        <v>598</v>
      </c>
      <c r="B374" s="9" t="s">
        <v>464</v>
      </c>
      <c r="C374" s="9" t="s">
        <v>10</v>
      </c>
      <c r="D374" s="9" t="s">
        <v>11</v>
      </c>
      <c r="E374" s="9">
        <v>114</v>
      </c>
      <c r="F374" s="9">
        <v>7</v>
      </c>
      <c r="G374" s="9">
        <v>92000000</v>
      </c>
      <c r="H374" s="9">
        <v>26871</v>
      </c>
      <c r="I374" s="5">
        <f>IMDB_Movies!$H374-IMDB_Movies!$G374</f>
        <v>-91973129</v>
      </c>
    </row>
    <row r="375" spans="1:9" ht="23">
      <c r="A375" s="3" t="s">
        <v>599</v>
      </c>
      <c r="B375" s="10" t="s">
        <v>600</v>
      </c>
      <c r="C375" s="10" t="s">
        <v>24</v>
      </c>
      <c r="D375" s="10" t="s">
        <v>11</v>
      </c>
      <c r="E375" s="10">
        <v>114</v>
      </c>
      <c r="F375" s="10">
        <v>5.6</v>
      </c>
      <c r="G375" s="10">
        <v>90000000</v>
      </c>
      <c r="H375" s="10">
        <v>60874615</v>
      </c>
      <c r="I375" s="5">
        <f>IMDB_Movies!$H375-IMDB_Movies!$G375</f>
        <v>-29125385</v>
      </c>
    </row>
    <row r="376" spans="1:9" ht="23">
      <c r="A376" s="2" t="s">
        <v>601</v>
      </c>
      <c r="B376" s="9" t="s">
        <v>344</v>
      </c>
      <c r="C376" s="9" t="s">
        <v>24</v>
      </c>
      <c r="D376" s="9" t="s">
        <v>11</v>
      </c>
      <c r="E376" s="9">
        <v>96</v>
      </c>
      <c r="F376" s="9">
        <v>7</v>
      </c>
      <c r="G376" s="9">
        <v>90000000</v>
      </c>
      <c r="H376" s="9">
        <v>143618384</v>
      </c>
      <c r="I376" s="5">
        <f>IMDB_Movies!$H376-IMDB_Movies!$G376</f>
        <v>53618384</v>
      </c>
    </row>
    <row r="377" spans="1:9" ht="23">
      <c r="A377" s="3" t="s">
        <v>602</v>
      </c>
      <c r="B377" s="10" t="s">
        <v>337</v>
      </c>
      <c r="C377" s="10" t="s">
        <v>138</v>
      </c>
      <c r="D377" s="10" t="s">
        <v>11</v>
      </c>
      <c r="E377" s="10">
        <v>132</v>
      </c>
      <c r="F377" s="10">
        <v>6.8</v>
      </c>
      <c r="G377" s="10">
        <v>100000000</v>
      </c>
      <c r="H377" s="10">
        <v>58220776</v>
      </c>
      <c r="I377" s="5">
        <f>IMDB_Movies!$H377-IMDB_Movies!$G377</f>
        <v>-41779224</v>
      </c>
    </row>
    <row r="378" spans="1:9" ht="23">
      <c r="A378" s="2" t="s">
        <v>603</v>
      </c>
      <c r="B378" s="9" t="s">
        <v>604</v>
      </c>
      <c r="C378" s="9" t="s">
        <v>10</v>
      </c>
      <c r="D378" s="9" t="s">
        <v>11</v>
      </c>
      <c r="E378" s="9">
        <v>104</v>
      </c>
      <c r="F378" s="9">
        <v>5.4</v>
      </c>
      <c r="G378" s="9">
        <v>90000000</v>
      </c>
      <c r="H378" s="9">
        <v>47474112</v>
      </c>
      <c r="I378" s="5">
        <f>IMDB_Movies!$H378-IMDB_Movies!$G378</f>
        <v>-42525888</v>
      </c>
    </row>
    <row r="379" spans="1:9" ht="23">
      <c r="A379" s="3" t="s">
        <v>605</v>
      </c>
      <c r="B379" s="10" t="s">
        <v>606</v>
      </c>
      <c r="C379" s="10" t="s">
        <v>10</v>
      </c>
      <c r="D379" s="10" t="s">
        <v>11</v>
      </c>
      <c r="E379" s="10">
        <v>111</v>
      </c>
      <c r="F379" s="10">
        <v>6.1</v>
      </c>
      <c r="G379" s="10">
        <v>86000000</v>
      </c>
      <c r="H379" s="10">
        <v>42877165</v>
      </c>
      <c r="I379" s="5">
        <f>IMDB_Movies!$H379-IMDB_Movies!$G379</f>
        <v>-43122835</v>
      </c>
    </row>
    <row r="380" spans="1:9" ht="23">
      <c r="A380" s="2" t="s">
        <v>607</v>
      </c>
      <c r="B380" s="9" t="s">
        <v>608</v>
      </c>
      <c r="C380" s="9" t="s">
        <v>56</v>
      </c>
      <c r="D380" s="9" t="s">
        <v>11</v>
      </c>
      <c r="E380" s="9">
        <v>138</v>
      </c>
      <c r="F380" s="9">
        <v>6.7</v>
      </c>
      <c r="G380" s="9">
        <v>100000000</v>
      </c>
      <c r="H380" s="9">
        <v>35168677</v>
      </c>
      <c r="I380" s="5">
        <f>IMDB_Movies!$H380-IMDB_Movies!$G380</f>
        <v>-64831323</v>
      </c>
    </row>
    <row r="381" spans="1:9" ht="23">
      <c r="A381" s="3" t="s">
        <v>609</v>
      </c>
      <c r="B381" s="10" t="s">
        <v>610</v>
      </c>
      <c r="C381" s="10" t="s">
        <v>24</v>
      </c>
      <c r="D381" s="10" t="s">
        <v>11</v>
      </c>
      <c r="E381" s="10">
        <v>129</v>
      </c>
      <c r="F381" s="10">
        <v>6.9</v>
      </c>
      <c r="G381" s="10">
        <v>20000000</v>
      </c>
      <c r="H381" s="10">
        <v>37567440</v>
      </c>
      <c r="I381" s="5">
        <f>IMDB_Movies!$H381-IMDB_Movies!$G381</f>
        <v>17567440</v>
      </c>
    </row>
    <row r="382" spans="1:9" ht="23">
      <c r="A382" s="2" t="s">
        <v>611</v>
      </c>
      <c r="B382" s="9" t="s">
        <v>227</v>
      </c>
      <c r="C382" s="9" t="s">
        <v>418</v>
      </c>
      <c r="D382" s="9" t="s">
        <v>11</v>
      </c>
      <c r="E382" s="9">
        <v>144</v>
      </c>
      <c r="F382" s="9">
        <v>8</v>
      </c>
      <c r="G382" s="9">
        <v>88000000</v>
      </c>
      <c r="H382" s="9">
        <v>61644321</v>
      </c>
      <c r="I382" s="5">
        <f>IMDB_Movies!$H382-IMDB_Movies!$G382</f>
        <v>-26355679</v>
      </c>
    </row>
    <row r="383" spans="1:9" ht="23">
      <c r="A383" s="3" t="s">
        <v>612</v>
      </c>
      <c r="B383" s="10" t="s">
        <v>613</v>
      </c>
      <c r="C383" s="10" t="s">
        <v>10</v>
      </c>
      <c r="D383" s="10" t="s">
        <v>11</v>
      </c>
      <c r="E383" s="10">
        <v>110</v>
      </c>
      <c r="F383" s="10">
        <v>4.4000000000000004</v>
      </c>
      <c r="G383" s="10">
        <v>90000000</v>
      </c>
      <c r="H383" s="10">
        <v>190562</v>
      </c>
      <c r="I383" s="5">
        <f>IMDB_Movies!$H383-IMDB_Movies!$G383</f>
        <v>-89809438</v>
      </c>
    </row>
    <row r="384" spans="1:9" ht="23">
      <c r="A384" s="2" t="s">
        <v>614</v>
      </c>
      <c r="B384" s="9" t="s">
        <v>615</v>
      </c>
      <c r="C384" s="9" t="s">
        <v>56</v>
      </c>
      <c r="D384" s="9" t="s">
        <v>11</v>
      </c>
      <c r="E384" s="9">
        <v>140</v>
      </c>
      <c r="F384" s="9">
        <v>7.3</v>
      </c>
      <c r="G384" s="9">
        <v>87000000</v>
      </c>
      <c r="H384" s="9">
        <v>120147445</v>
      </c>
      <c r="I384" s="5">
        <f>IMDB_Movies!$H384-IMDB_Movies!$G384</f>
        <v>33147445</v>
      </c>
    </row>
    <row r="385" spans="1:9" ht="23">
      <c r="A385" s="3" t="s">
        <v>616</v>
      </c>
      <c r="B385" s="10" t="s">
        <v>432</v>
      </c>
      <c r="C385" s="10" t="s">
        <v>10</v>
      </c>
      <c r="D385" s="10" t="s">
        <v>11</v>
      </c>
      <c r="E385" s="10">
        <v>113</v>
      </c>
      <c r="F385" s="10">
        <v>6.3</v>
      </c>
      <c r="G385" s="10">
        <v>92000000</v>
      </c>
      <c r="H385" s="10">
        <v>241688385</v>
      </c>
      <c r="I385" s="5">
        <f>IMDB_Movies!$H385-IMDB_Movies!$G385</f>
        <v>149688385</v>
      </c>
    </row>
    <row r="386" spans="1:9" ht="23">
      <c r="A386" s="2" t="s">
        <v>617</v>
      </c>
      <c r="B386" s="9" t="s">
        <v>115</v>
      </c>
      <c r="C386" s="9" t="s">
        <v>24</v>
      </c>
      <c r="D386" s="9" t="s">
        <v>11</v>
      </c>
      <c r="E386" s="9">
        <v>143</v>
      </c>
      <c r="F386" s="9">
        <v>7.7</v>
      </c>
      <c r="G386" s="9">
        <v>90000000</v>
      </c>
      <c r="H386" s="9">
        <v>233630478</v>
      </c>
      <c r="I386" s="5">
        <f>IMDB_Movies!$H386-IMDB_Movies!$G386</f>
        <v>143630478</v>
      </c>
    </row>
    <row r="387" spans="1:9" ht="23">
      <c r="A387" s="3" t="s">
        <v>618</v>
      </c>
      <c r="B387" s="10" t="s">
        <v>225</v>
      </c>
      <c r="C387" s="10" t="s">
        <v>116</v>
      </c>
      <c r="D387" s="10" t="s">
        <v>11</v>
      </c>
      <c r="E387" s="10">
        <v>108</v>
      </c>
      <c r="F387" s="10">
        <v>6.5</v>
      </c>
      <c r="G387" s="10">
        <v>100000000</v>
      </c>
      <c r="H387" s="10">
        <v>197992827</v>
      </c>
      <c r="I387" s="5">
        <f>IMDB_Movies!$H387-IMDB_Movies!$G387</f>
        <v>97992827</v>
      </c>
    </row>
    <row r="388" spans="1:9" ht="23">
      <c r="A388" s="2" t="s">
        <v>619</v>
      </c>
      <c r="B388" s="9" t="s">
        <v>311</v>
      </c>
      <c r="C388" s="9" t="s">
        <v>10</v>
      </c>
      <c r="D388" s="9" t="s">
        <v>11</v>
      </c>
      <c r="E388" s="9">
        <v>108</v>
      </c>
      <c r="F388" s="9">
        <v>7.8</v>
      </c>
      <c r="G388" s="9">
        <v>75000000</v>
      </c>
      <c r="H388" s="9">
        <v>176049130</v>
      </c>
      <c r="I388" s="5">
        <f>IMDB_Movies!$H388-IMDB_Movies!$G388</f>
        <v>101049130</v>
      </c>
    </row>
    <row r="389" spans="1:9" ht="23">
      <c r="A389" s="3" t="s">
        <v>620</v>
      </c>
      <c r="B389" s="10" t="s">
        <v>191</v>
      </c>
      <c r="C389" s="10" t="s">
        <v>10</v>
      </c>
      <c r="D389" s="10" t="s">
        <v>11</v>
      </c>
      <c r="E389" s="10">
        <v>124</v>
      </c>
      <c r="F389" s="10">
        <v>6.4</v>
      </c>
      <c r="G389" s="10">
        <v>85000000</v>
      </c>
      <c r="H389" s="10">
        <v>172620724</v>
      </c>
      <c r="I389" s="5">
        <f>IMDB_Movies!$H389-IMDB_Movies!$G389</f>
        <v>87620724</v>
      </c>
    </row>
    <row r="390" spans="1:9" ht="23">
      <c r="A390" s="2" t="s">
        <v>621</v>
      </c>
      <c r="B390" s="9" t="s">
        <v>413</v>
      </c>
      <c r="C390" s="9" t="s">
        <v>414</v>
      </c>
      <c r="D390" s="9" t="s">
        <v>11</v>
      </c>
      <c r="E390" s="9">
        <v>116</v>
      </c>
      <c r="F390" s="9">
        <v>7.8</v>
      </c>
      <c r="G390" s="9">
        <v>85000000</v>
      </c>
      <c r="H390" s="9">
        <v>183405771</v>
      </c>
      <c r="I390" s="5">
        <f>IMDB_Movies!$H390-IMDB_Movies!$G390</f>
        <v>98405771</v>
      </c>
    </row>
    <row r="391" spans="1:9" ht="23">
      <c r="A391" s="3" t="s">
        <v>622</v>
      </c>
      <c r="B391" s="10" t="s">
        <v>623</v>
      </c>
      <c r="C391" s="10" t="s">
        <v>10</v>
      </c>
      <c r="D391" s="10" t="s">
        <v>11</v>
      </c>
      <c r="E391" s="10">
        <v>110</v>
      </c>
      <c r="F391" s="10">
        <v>5.8</v>
      </c>
      <c r="G391" s="10">
        <v>75000000</v>
      </c>
      <c r="H391" s="10">
        <v>20315324</v>
      </c>
      <c r="I391" s="5">
        <f>IMDB_Movies!$H391-IMDB_Movies!$G391</f>
        <v>-54684676</v>
      </c>
    </row>
    <row r="392" spans="1:9" ht="23">
      <c r="A392" s="2" t="s">
        <v>624</v>
      </c>
      <c r="B392" s="9" t="s">
        <v>625</v>
      </c>
      <c r="C392" s="9" t="s">
        <v>116</v>
      </c>
      <c r="D392" s="9" t="s">
        <v>11</v>
      </c>
      <c r="E392" s="9">
        <v>91</v>
      </c>
      <c r="F392" s="9">
        <v>7.1</v>
      </c>
      <c r="G392" s="9">
        <v>85000000</v>
      </c>
      <c r="H392" s="9">
        <v>148313048</v>
      </c>
      <c r="I392" s="5">
        <f>IMDB_Movies!$H392-IMDB_Movies!$G392</f>
        <v>63313048</v>
      </c>
    </row>
    <row r="393" spans="1:9" ht="23">
      <c r="A393" s="3" t="s">
        <v>626</v>
      </c>
      <c r="B393" s="10" t="s">
        <v>627</v>
      </c>
      <c r="C393" s="10" t="s">
        <v>116</v>
      </c>
      <c r="D393" s="10" t="s">
        <v>11</v>
      </c>
      <c r="E393" s="10">
        <v>107</v>
      </c>
      <c r="F393" s="10">
        <v>7.1</v>
      </c>
      <c r="G393" s="10">
        <v>85000000</v>
      </c>
      <c r="H393" s="10">
        <v>127706877</v>
      </c>
      <c r="I393" s="5">
        <f>IMDB_Movies!$H393-IMDB_Movies!$G393</f>
        <v>42706877</v>
      </c>
    </row>
    <row r="394" spans="1:9" ht="23">
      <c r="A394" s="2" t="s">
        <v>628</v>
      </c>
      <c r="B394" s="9" t="s">
        <v>629</v>
      </c>
      <c r="C394" s="9" t="s">
        <v>10</v>
      </c>
      <c r="D394" s="9" t="s">
        <v>11</v>
      </c>
      <c r="E394" s="9">
        <v>115</v>
      </c>
      <c r="F394" s="9">
        <v>6.8</v>
      </c>
      <c r="G394" s="9">
        <v>85000000</v>
      </c>
      <c r="H394" s="9">
        <v>126149655</v>
      </c>
      <c r="I394" s="5">
        <f>IMDB_Movies!$H394-IMDB_Movies!$G394</f>
        <v>41149655</v>
      </c>
    </row>
    <row r="395" spans="1:9" ht="23">
      <c r="A395" s="3" t="s">
        <v>630</v>
      </c>
      <c r="B395" s="10" t="s">
        <v>627</v>
      </c>
      <c r="C395" s="10" t="s">
        <v>24</v>
      </c>
      <c r="D395" s="10" t="s">
        <v>11</v>
      </c>
      <c r="E395" s="10">
        <v>100</v>
      </c>
      <c r="F395" s="10">
        <v>4.8</v>
      </c>
      <c r="G395" s="10">
        <v>85000000</v>
      </c>
      <c r="H395" s="10">
        <v>66941559</v>
      </c>
      <c r="I395" s="5">
        <f>IMDB_Movies!$H395-IMDB_Movies!$G395</f>
        <v>-18058441</v>
      </c>
    </row>
    <row r="396" spans="1:9" ht="23">
      <c r="A396" s="2" t="s">
        <v>631</v>
      </c>
      <c r="B396" s="9" t="s">
        <v>70</v>
      </c>
      <c r="C396" s="9" t="s">
        <v>10</v>
      </c>
      <c r="D396" s="9" t="s">
        <v>11</v>
      </c>
      <c r="E396" s="9">
        <v>104</v>
      </c>
      <c r="F396" s="9">
        <v>6.2</v>
      </c>
      <c r="G396" s="9">
        <v>75000000</v>
      </c>
      <c r="H396" s="9">
        <v>78009155</v>
      </c>
      <c r="I396" s="5">
        <f>IMDB_Movies!$H396-IMDB_Movies!$G396</f>
        <v>3009155</v>
      </c>
    </row>
    <row r="397" spans="1:9" ht="23">
      <c r="A397" s="3" t="s">
        <v>632</v>
      </c>
      <c r="B397" s="10" t="s">
        <v>633</v>
      </c>
      <c r="C397" s="10" t="s">
        <v>138</v>
      </c>
      <c r="D397" s="10" t="s">
        <v>11</v>
      </c>
      <c r="E397" s="10">
        <v>138</v>
      </c>
      <c r="F397" s="10">
        <v>6.9</v>
      </c>
      <c r="G397" s="10">
        <v>85000000</v>
      </c>
      <c r="H397" s="10">
        <v>63224849</v>
      </c>
      <c r="I397" s="5">
        <f>IMDB_Movies!$H397-IMDB_Movies!$G397</f>
        <v>-21775151</v>
      </c>
    </row>
    <row r="398" spans="1:9" ht="23">
      <c r="A398" s="2" t="s">
        <v>634</v>
      </c>
      <c r="B398" s="9" t="s">
        <v>464</v>
      </c>
      <c r="C398" s="9" t="s">
        <v>10</v>
      </c>
      <c r="D398" s="9" t="s">
        <v>11</v>
      </c>
      <c r="E398" s="9">
        <v>140</v>
      </c>
      <c r="F398" s="9">
        <v>7.3</v>
      </c>
      <c r="G398" s="9">
        <v>90000000</v>
      </c>
      <c r="H398" s="9">
        <v>111544445</v>
      </c>
      <c r="I398" s="5">
        <f>IMDB_Movies!$H398-IMDB_Movies!$G398</f>
        <v>21544445</v>
      </c>
    </row>
    <row r="399" spans="1:9" ht="23">
      <c r="A399" s="3" t="s">
        <v>635</v>
      </c>
      <c r="B399" s="10" t="s">
        <v>633</v>
      </c>
      <c r="C399" s="10" t="s">
        <v>138</v>
      </c>
      <c r="D399" s="10" t="s">
        <v>11</v>
      </c>
      <c r="E399" s="10">
        <v>120</v>
      </c>
      <c r="F399" s="10">
        <v>6.6</v>
      </c>
      <c r="G399" s="10">
        <v>85000000</v>
      </c>
      <c r="H399" s="10">
        <v>112703470</v>
      </c>
      <c r="I399" s="5">
        <f>IMDB_Movies!$H399-IMDB_Movies!$G399</f>
        <v>27703470</v>
      </c>
    </row>
    <row r="400" spans="1:9" ht="23">
      <c r="A400" s="2" t="s">
        <v>636</v>
      </c>
      <c r="B400" s="9" t="s">
        <v>413</v>
      </c>
      <c r="C400" s="9" t="s">
        <v>414</v>
      </c>
      <c r="D400" s="9" t="s">
        <v>11</v>
      </c>
      <c r="E400" s="9">
        <v>122</v>
      </c>
      <c r="F400" s="9">
        <v>6.9</v>
      </c>
      <c r="G400" s="9">
        <v>85000000</v>
      </c>
      <c r="H400" s="9">
        <v>117144465</v>
      </c>
      <c r="I400" s="5">
        <f>IMDB_Movies!$H400-IMDB_Movies!$G400</f>
        <v>32144465</v>
      </c>
    </row>
    <row r="401" spans="1:9" ht="23">
      <c r="A401" s="3" t="s">
        <v>637</v>
      </c>
      <c r="B401" s="10" t="s">
        <v>638</v>
      </c>
      <c r="C401" s="10" t="s">
        <v>24</v>
      </c>
      <c r="D401" s="10" t="s">
        <v>11</v>
      </c>
      <c r="E401" s="10">
        <v>83</v>
      </c>
      <c r="F401" s="10">
        <v>6.2</v>
      </c>
      <c r="G401" s="10">
        <v>85000000</v>
      </c>
      <c r="H401" s="10">
        <v>84303558</v>
      </c>
      <c r="I401" s="5">
        <f>IMDB_Movies!$H401-IMDB_Movies!$G401</f>
        <v>-696442</v>
      </c>
    </row>
    <row r="402" spans="1:9" ht="23">
      <c r="A402" s="2" t="s">
        <v>639</v>
      </c>
      <c r="B402" s="9" t="s">
        <v>640</v>
      </c>
      <c r="C402" s="9" t="s">
        <v>24</v>
      </c>
      <c r="D402" s="9" t="s">
        <v>11</v>
      </c>
      <c r="E402" s="9">
        <v>139</v>
      </c>
      <c r="F402" s="9">
        <v>6.7</v>
      </c>
      <c r="G402" s="9">
        <v>85000000</v>
      </c>
      <c r="H402" s="9">
        <v>150832203</v>
      </c>
      <c r="I402" s="5">
        <f>IMDB_Movies!$H402-IMDB_Movies!$G402</f>
        <v>65832203</v>
      </c>
    </row>
    <row r="403" spans="1:9" ht="23">
      <c r="A403" s="3" t="s">
        <v>641</v>
      </c>
      <c r="B403" s="10" t="s">
        <v>642</v>
      </c>
      <c r="C403" s="10" t="s">
        <v>56</v>
      </c>
      <c r="D403" s="10" t="s">
        <v>11</v>
      </c>
      <c r="E403" s="10">
        <v>131</v>
      </c>
      <c r="F403" s="10">
        <v>7.6</v>
      </c>
      <c r="G403" s="10">
        <v>68000000</v>
      </c>
      <c r="H403" s="10">
        <v>51396781</v>
      </c>
      <c r="I403" s="5">
        <f>IMDB_Movies!$H403-IMDB_Movies!$G403</f>
        <v>-16603219</v>
      </c>
    </row>
    <row r="404" spans="1:9" ht="23">
      <c r="A404" s="2" t="s">
        <v>643</v>
      </c>
      <c r="B404" s="9" t="s">
        <v>60</v>
      </c>
      <c r="C404" s="9" t="s">
        <v>10</v>
      </c>
      <c r="D404" s="9" t="s">
        <v>11</v>
      </c>
      <c r="E404" s="9">
        <v>104</v>
      </c>
      <c r="F404" s="9">
        <v>6.7</v>
      </c>
      <c r="G404" s="9">
        <v>85000000</v>
      </c>
      <c r="H404" s="9">
        <v>47592825</v>
      </c>
      <c r="I404" s="5">
        <f>IMDB_Movies!$H404-IMDB_Movies!$G404</f>
        <v>-37407175</v>
      </c>
    </row>
    <row r="405" spans="1:9" ht="23">
      <c r="A405" s="3" t="s">
        <v>644</v>
      </c>
      <c r="B405" s="10" t="s">
        <v>353</v>
      </c>
      <c r="C405" s="10" t="s">
        <v>10</v>
      </c>
      <c r="D405" s="10" t="s">
        <v>11</v>
      </c>
      <c r="E405" s="10">
        <v>130</v>
      </c>
      <c r="F405" s="10">
        <v>6.2</v>
      </c>
      <c r="G405" s="10">
        <v>70000000</v>
      </c>
      <c r="H405" s="10">
        <v>50016394</v>
      </c>
      <c r="I405" s="5">
        <f>IMDB_Movies!$H405-IMDB_Movies!$G405</f>
        <v>-19983606</v>
      </c>
    </row>
    <row r="406" spans="1:9" ht="23">
      <c r="A406" s="2" t="s">
        <v>645</v>
      </c>
      <c r="B406" s="9" t="s">
        <v>42</v>
      </c>
      <c r="C406" s="9" t="s">
        <v>56</v>
      </c>
      <c r="D406" s="9" t="s">
        <v>11</v>
      </c>
      <c r="E406" s="9">
        <v>145</v>
      </c>
      <c r="F406" s="9">
        <v>7.3</v>
      </c>
      <c r="G406" s="9">
        <v>85000000</v>
      </c>
      <c r="H406" s="9">
        <v>57010853</v>
      </c>
      <c r="I406" s="5">
        <f>IMDB_Movies!$H406-IMDB_Movies!$G406</f>
        <v>-27989147</v>
      </c>
    </row>
    <row r="407" spans="1:9" ht="23">
      <c r="A407" s="3" t="s">
        <v>646</v>
      </c>
      <c r="B407" s="10" t="s">
        <v>109</v>
      </c>
      <c r="C407" s="10" t="s">
        <v>10</v>
      </c>
      <c r="D407" s="10" t="s">
        <v>11</v>
      </c>
      <c r="E407" s="10">
        <v>104</v>
      </c>
      <c r="F407" s="10">
        <v>6</v>
      </c>
      <c r="G407" s="10">
        <v>85000000</v>
      </c>
      <c r="H407" s="10">
        <v>62494975</v>
      </c>
      <c r="I407" s="5">
        <f>IMDB_Movies!$H407-IMDB_Movies!$G407</f>
        <v>-22505025</v>
      </c>
    </row>
    <row r="408" spans="1:9" ht="23">
      <c r="A408" s="2" t="s">
        <v>647</v>
      </c>
      <c r="B408" s="9" t="s">
        <v>648</v>
      </c>
      <c r="C408" s="9" t="s">
        <v>24</v>
      </c>
      <c r="D408" s="9" t="s">
        <v>11</v>
      </c>
      <c r="E408" s="9">
        <v>97</v>
      </c>
      <c r="F408" s="9">
        <v>7.1</v>
      </c>
      <c r="G408" s="9">
        <v>100000000</v>
      </c>
      <c r="H408" s="9">
        <v>46440491</v>
      </c>
      <c r="I408" s="5">
        <f>IMDB_Movies!$H408-IMDB_Movies!$G408</f>
        <v>-53559509</v>
      </c>
    </row>
    <row r="409" spans="1:9" ht="23">
      <c r="A409" s="3" t="s">
        <v>649</v>
      </c>
      <c r="B409" s="10" t="s">
        <v>650</v>
      </c>
      <c r="C409" s="10" t="s">
        <v>56</v>
      </c>
      <c r="D409" s="10" t="s">
        <v>11</v>
      </c>
      <c r="E409" s="10">
        <v>178</v>
      </c>
      <c r="F409" s="10">
        <v>7.1</v>
      </c>
      <c r="G409" s="10">
        <v>90000000</v>
      </c>
      <c r="H409" s="10">
        <v>44606335</v>
      </c>
      <c r="I409" s="5">
        <f>IMDB_Movies!$H409-IMDB_Movies!$G409</f>
        <v>-45393665</v>
      </c>
    </row>
    <row r="410" spans="1:9" ht="23">
      <c r="A410" s="2" t="s">
        <v>651</v>
      </c>
      <c r="B410" s="9" t="s">
        <v>652</v>
      </c>
      <c r="C410" s="9" t="s">
        <v>10</v>
      </c>
      <c r="D410" s="9" t="s">
        <v>11</v>
      </c>
      <c r="E410" s="9">
        <v>108</v>
      </c>
      <c r="F410" s="9">
        <v>5.5</v>
      </c>
      <c r="G410" s="9">
        <v>85000000</v>
      </c>
      <c r="H410" s="9">
        <v>40048332</v>
      </c>
      <c r="I410" s="5">
        <f>IMDB_Movies!$H410-IMDB_Movies!$G410</f>
        <v>-44951668</v>
      </c>
    </row>
    <row r="411" spans="1:9" ht="23">
      <c r="A411" s="3" t="s">
        <v>653</v>
      </c>
      <c r="B411" s="10" t="s">
        <v>654</v>
      </c>
      <c r="C411" s="10" t="s">
        <v>138</v>
      </c>
      <c r="D411" s="10" t="s">
        <v>11</v>
      </c>
      <c r="E411" s="10">
        <v>123</v>
      </c>
      <c r="F411" s="10">
        <v>7.8</v>
      </c>
      <c r="G411" s="10">
        <v>20000000</v>
      </c>
      <c r="H411" s="10">
        <v>25078937</v>
      </c>
      <c r="I411" s="5">
        <f>IMDB_Movies!$H411-IMDB_Movies!$G411</f>
        <v>5078937</v>
      </c>
    </row>
    <row r="412" spans="1:9" ht="23">
      <c r="A412" s="2" t="s">
        <v>655</v>
      </c>
      <c r="B412" s="9" t="s">
        <v>656</v>
      </c>
      <c r="C412" s="9" t="s">
        <v>24</v>
      </c>
      <c r="D412" s="9" t="s">
        <v>11</v>
      </c>
      <c r="E412" s="9">
        <v>106</v>
      </c>
      <c r="F412" s="9">
        <v>5.6</v>
      </c>
      <c r="G412" s="9">
        <v>85000000</v>
      </c>
      <c r="H412" s="9">
        <v>64933670</v>
      </c>
      <c r="I412" s="5">
        <f>IMDB_Movies!$H412-IMDB_Movies!$G412</f>
        <v>-20066330</v>
      </c>
    </row>
    <row r="413" spans="1:9" ht="23">
      <c r="A413" s="3" t="s">
        <v>657</v>
      </c>
      <c r="B413" s="10" t="s">
        <v>658</v>
      </c>
      <c r="C413" s="10" t="s">
        <v>10</v>
      </c>
      <c r="D413" s="10" t="s">
        <v>11</v>
      </c>
      <c r="E413" s="10">
        <v>112</v>
      </c>
      <c r="F413" s="10">
        <v>7.5</v>
      </c>
      <c r="G413" s="10">
        <v>60000000</v>
      </c>
      <c r="H413" s="10">
        <v>31494270</v>
      </c>
      <c r="I413" s="5">
        <f>IMDB_Movies!$H413-IMDB_Movies!$G413</f>
        <v>-28505730</v>
      </c>
    </row>
    <row r="414" spans="1:9" ht="23">
      <c r="A414" s="2" t="s">
        <v>659</v>
      </c>
      <c r="B414" s="9" t="s">
        <v>660</v>
      </c>
      <c r="C414" s="9" t="s">
        <v>10</v>
      </c>
      <c r="D414" s="9" t="s">
        <v>11</v>
      </c>
      <c r="E414" s="9">
        <v>135</v>
      </c>
      <c r="F414" s="9">
        <v>5.4</v>
      </c>
      <c r="G414" s="9">
        <v>60000000</v>
      </c>
      <c r="H414" s="9">
        <v>31111260</v>
      </c>
      <c r="I414" s="5">
        <f>IMDB_Movies!$H414-IMDB_Movies!$G414</f>
        <v>-28888740</v>
      </c>
    </row>
    <row r="415" spans="1:9" ht="23">
      <c r="A415" s="3" t="s">
        <v>661</v>
      </c>
      <c r="B415" s="10" t="s">
        <v>662</v>
      </c>
      <c r="C415" s="10" t="s">
        <v>138</v>
      </c>
      <c r="D415" s="10" t="s">
        <v>11</v>
      </c>
      <c r="E415" s="10">
        <v>109</v>
      </c>
      <c r="F415" s="10">
        <v>4.3</v>
      </c>
      <c r="G415" s="10">
        <v>65000000</v>
      </c>
      <c r="H415" s="10">
        <v>123307945</v>
      </c>
      <c r="I415" s="5">
        <f>IMDB_Movies!$H415-IMDB_Movies!$G415</f>
        <v>58307945</v>
      </c>
    </row>
    <row r="416" spans="1:9" ht="23">
      <c r="A416" s="2" t="s">
        <v>663</v>
      </c>
      <c r="B416" s="9" t="s">
        <v>425</v>
      </c>
      <c r="C416" s="9" t="s">
        <v>24</v>
      </c>
      <c r="D416" s="9" t="s">
        <v>11</v>
      </c>
      <c r="E416" s="9">
        <v>86</v>
      </c>
      <c r="F416" s="9">
        <v>4.9000000000000004</v>
      </c>
      <c r="G416" s="9">
        <v>84000000</v>
      </c>
      <c r="H416" s="9">
        <v>153288182</v>
      </c>
      <c r="I416" s="5">
        <f>IMDB_Movies!$H416-IMDB_Movies!$G416</f>
        <v>69288182</v>
      </c>
    </row>
    <row r="417" spans="1:9" ht="23">
      <c r="A417" s="3" t="s">
        <v>664</v>
      </c>
      <c r="B417" s="10" t="s">
        <v>665</v>
      </c>
      <c r="C417" s="10" t="s">
        <v>10</v>
      </c>
      <c r="D417" s="10" t="s">
        <v>11</v>
      </c>
      <c r="E417" s="10">
        <v>95</v>
      </c>
      <c r="F417" s="10">
        <v>7.1</v>
      </c>
      <c r="G417" s="10">
        <v>35000000</v>
      </c>
      <c r="H417" s="10">
        <v>13401683</v>
      </c>
      <c r="I417" s="5">
        <f>IMDB_Movies!$H417-IMDB_Movies!$G417</f>
        <v>-21598317</v>
      </c>
    </row>
    <row r="418" spans="1:9" ht="23">
      <c r="A418" s="2" t="s">
        <v>666</v>
      </c>
      <c r="B418" s="9" t="s">
        <v>438</v>
      </c>
      <c r="C418" s="9" t="s">
        <v>138</v>
      </c>
      <c r="D418" s="9" t="s">
        <v>11</v>
      </c>
      <c r="E418" s="9">
        <v>107</v>
      </c>
      <c r="F418" s="9">
        <v>6.4</v>
      </c>
      <c r="G418" s="9">
        <v>70000000</v>
      </c>
      <c r="H418" s="9">
        <v>137340146</v>
      </c>
      <c r="I418" s="5">
        <f>IMDB_Movies!$H418-IMDB_Movies!$G418</f>
        <v>67340146</v>
      </c>
    </row>
    <row r="419" spans="1:9" ht="23">
      <c r="A419" s="3" t="s">
        <v>667</v>
      </c>
      <c r="B419" s="10" t="s">
        <v>668</v>
      </c>
      <c r="C419" s="10" t="s">
        <v>138</v>
      </c>
      <c r="D419" s="10" t="s">
        <v>11</v>
      </c>
      <c r="E419" s="10">
        <v>130</v>
      </c>
      <c r="F419" s="10">
        <v>6.9</v>
      </c>
      <c r="G419" s="10">
        <v>8000000</v>
      </c>
      <c r="H419" s="10">
        <v>25078937</v>
      </c>
      <c r="I419" s="5">
        <f>IMDB_Movies!$H419-IMDB_Movies!$G419</f>
        <v>17078937</v>
      </c>
    </row>
    <row r="420" spans="1:9" ht="23">
      <c r="A420" s="2" t="s">
        <v>669</v>
      </c>
      <c r="B420" s="9" t="s">
        <v>408</v>
      </c>
      <c r="C420" s="9" t="s">
        <v>10</v>
      </c>
      <c r="D420" s="9" t="s">
        <v>11</v>
      </c>
      <c r="E420" s="9">
        <v>82</v>
      </c>
      <c r="F420" s="9">
        <v>4.3</v>
      </c>
      <c r="G420" s="9">
        <v>85000000</v>
      </c>
      <c r="H420" s="9">
        <v>43575716</v>
      </c>
      <c r="I420" s="5">
        <f>IMDB_Movies!$H420-IMDB_Movies!$G420</f>
        <v>-41424284</v>
      </c>
    </row>
    <row r="421" spans="1:9" ht="23">
      <c r="A421" s="3" t="s">
        <v>670</v>
      </c>
      <c r="B421" s="10" t="s">
        <v>140</v>
      </c>
      <c r="C421" s="10" t="s">
        <v>10</v>
      </c>
      <c r="D421" s="10" t="s">
        <v>11</v>
      </c>
      <c r="E421" s="10">
        <v>88</v>
      </c>
      <c r="F421" s="10">
        <v>6.1</v>
      </c>
      <c r="G421" s="10">
        <v>85000000</v>
      </c>
      <c r="H421" s="10">
        <v>80170146</v>
      </c>
      <c r="I421" s="5">
        <f>IMDB_Movies!$H421-IMDB_Movies!$G421</f>
        <v>-4829854</v>
      </c>
    </row>
    <row r="422" spans="1:9" ht="23">
      <c r="A422" s="2" t="s">
        <v>671</v>
      </c>
      <c r="B422" s="9" t="s">
        <v>100</v>
      </c>
      <c r="C422" s="9" t="s">
        <v>10</v>
      </c>
      <c r="D422" s="9" t="s">
        <v>11</v>
      </c>
      <c r="E422" s="9">
        <v>120</v>
      </c>
      <c r="F422" s="9">
        <v>7</v>
      </c>
      <c r="G422" s="9">
        <v>85000000</v>
      </c>
      <c r="H422" s="9">
        <v>75754670</v>
      </c>
      <c r="I422" s="5">
        <f>IMDB_Movies!$H422-IMDB_Movies!$G422</f>
        <v>-9245330</v>
      </c>
    </row>
    <row r="423" spans="1:9" ht="23">
      <c r="A423" s="3" t="s">
        <v>672</v>
      </c>
      <c r="B423" s="10" t="s">
        <v>183</v>
      </c>
      <c r="C423" s="10" t="s">
        <v>414</v>
      </c>
      <c r="D423" s="10" t="s">
        <v>11</v>
      </c>
      <c r="E423" s="10">
        <v>162</v>
      </c>
      <c r="F423" s="10">
        <v>7.7</v>
      </c>
      <c r="G423" s="10">
        <v>65000000</v>
      </c>
      <c r="H423" s="10">
        <v>33048353</v>
      </c>
      <c r="I423" s="5">
        <f>IMDB_Movies!$H423-IMDB_Movies!$G423</f>
        <v>-31951647</v>
      </c>
    </row>
    <row r="424" spans="1:9" ht="23">
      <c r="A424" s="2" t="s">
        <v>673</v>
      </c>
      <c r="B424" s="9" t="s">
        <v>410</v>
      </c>
      <c r="C424" s="9" t="s">
        <v>10</v>
      </c>
      <c r="D424" s="9" t="s">
        <v>11</v>
      </c>
      <c r="E424" s="9">
        <v>123</v>
      </c>
      <c r="F424" s="9">
        <v>5.9</v>
      </c>
      <c r="G424" s="9">
        <v>82000000</v>
      </c>
      <c r="H424" s="9">
        <v>34543701</v>
      </c>
      <c r="I424" s="5">
        <f>IMDB_Movies!$H424-IMDB_Movies!$G424</f>
        <v>-47456299</v>
      </c>
    </row>
    <row r="425" spans="1:9" ht="23">
      <c r="A425" s="3" t="s">
        <v>674</v>
      </c>
      <c r="B425" s="10" t="s">
        <v>137</v>
      </c>
      <c r="C425" s="10" t="s">
        <v>138</v>
      </c>
      <c r="D425" s="10" t="s">
        <v>11</v>
      </c>
      <c r="E425" s="10">
        <v>101</v>
      </c>
      <c r="F425" s="10">
        <v>6.7</v>
      </c>
      <c r="G425" s="10">
        <v>81000000</v>
      </c>
      <c r="H425" s="10">
        <v>242589580</v>
      </c>
      <c r="I425" s="5">
        <f>IMDB_Movies!$H425-IMDB_Movies!$G425</f>
        <v>161589580</v>
      </c>
    </row>
    <row r="426" spans="1:9" ht="23">
      <c r="A426" s="2" t="s">
        <v>675</v>
      </c>
      <c r="B426" s="9" t="s">
        <v>676</v>
      </c>
      <c r="C426" s="9" t="s">
        <v>10</v>
      </c>
      <c r="D426" s="9" t="s">
        <v>11</v>
      </c>
      <c r="E426" s="9">
        <v>113</v>
      </c>
      <c r="F426" s="9">
        <v>6.5</v>
      </c>
      <c r="G426" s="9">
        <v>80000000</v>
      </c>
      <c r="H426" s="9">
        <v>102981571</v>
      </c>
      <c r="I426" s="5">
        <f>IMDB_Movies!$H426-IMDB_Movies!$G426</f>
        <v>22981571</v>
      </c>
    </row>
    <row r="427" spans="1:9" ht="23">
      <c r="A427" s="3" t="s">
        <v>677</v>
      </c>
      <c r="B427" s="10" t="s">
        <v>600</v>
      </c>
      <c r="C427" s="10" t="s">
        <v>10</v>
      </c>
      <c r="D427" s="10" t="s">
        <v>11</v>
      </c>
      <c r="E427" s="10">
        <v>110</v>
      </c>
      <c r="F427" s="10">
        <v>7.1</v>
      </c>
      <c r="G427" s="10">
        <v>80000000</v>
      </c>
      <c r="H427" s="10">
        <v>180965237</v>
      </c>
      <c r="I427" s="5">
        <f>IMDB_Movies!$H427-IMDB_Movies!$G427</f>
        <v>100965237</v>
      </c>
    </row>
    <row r="428" spans="1:9" ht="23">
      <c r="A428" s="2" t="s">
        <v>678</v>
      </c>
      <c r="B428" s="9" t="s">
        <v>615</v>
      </c>
      <c r="C428" s="9" t="s">
        <v>24</v>
      </c>
      <c r="D428" s="9" t="s">
        <v>11</v>
      </c>
      <c r="E428" s="9">
        <v>142</v>
      </c>
      <c r="F428" s="9">
        <v>7.3</v>
      </c>
      <c r="G428" s="9">
        <v>78000000</v>
      </c>
      <c r="H428" s="9">
        <v>407999255</v>
      </c>
      <c r="I428" s="5">
        <f>IMDB_Movies!$H428-IMDB_Movies!$G428</f>
        <v>329999255</v>
      </c>
    </row>
    <row r="429" spans="1:9" ht="23">
      <c r="A429" s="3" t="s">
        <v>679</v>
      </c>
      <c r="B429" s="10" t="s">
        <v>680</v>
      </c>
      <c r="C429" s="10" t="s">
        <v>138</v>
      </c>
      <c r="D429" s="10" t="s">
        <v>11</v>
      </c>
      <c r="E429" s="10">
        <v>102</v>
      </c>
      <c r="F429" s="10">
        <v>6.5</v>
      </c>
      <c r="G429" s="10">
        <v>80000000</v>
      </c>
      <c r="H429" s="10">
        <v>254455986</v>
      </c>
      <c r="I429" s="5">
        <f>IMDB_Movies!$H429-IMDB_Movies!$G429</f>
        <v>174455986</v>
      </c>
    </row>
    <row r="430" spans="1:9" ht="23">
      <c r="A430" s="2" t="s">
        <v>681</v>
      </c>
      <c r="B430" s="9" t="s">
        <v>68</v>
      </c>
      <c r="C430" s="9" t="s">
        <v>10</v>
      </c>
      <c r="D430" s="9" t="s">
        <v>11</v>
      </c>
      <c r="E430" s="9">
        <v>126</v>
      </c>
      <c r="F430" s="9">
        <v>7</v>
      </c>
      <c r="G430" s="9">
        <v>80000000</v>
      </c>
      <c r="H430" s="9">
        <v>162831698</v>
      </c>
      <c r="I430" s="5">
        <f>IMDB_Movies!$H430-IMDB_Movies!$G430</f>
        <v>82831698</v>
      </c>
    </row>
    <row r="431" spans="1:9" ht="23">
      <c r="A431" s="3" t="s">
        <v>682</v>
      </c>
      <c r="B431" s="10" t="s">
        <v>318</v>
      </c>
      <c r="C431" s="10" t="s">
        <v>24</v>
      </c>
      <c r="D431" s="10" t="s">
        <v>11</v>
      </c>
      <c r="E431" s="10">
        <v>83</v>
      </c>
      <c r="F431" s="10">
        <v>6.8</v>
      </c>
      <c r="G431" s="10">
        <v>80000000</v>
      </c>
      <c r="H431" s="10">
        <v>155019340</v>
      </c>
      <c r="I431" s="5">
        <f>IMDB_Movies!$H431-IMDB_Movies!$G431</f>
        <v>75019340</v>
      </c>
    </row>
    <row r="432" spans="1:9" ht="23">
      <c r="A432" s="2" t="s">
        <v>683</v>
      </c>
      <c r="B432" s="9" t="s">
        <v>170</v>
      </c>
      <c r="C432" s="9" t="s">
        <v>24</v>
      </c>
      <c r="D432" s="9" t="s">
        <v>11</v>
      </c>
      <c r="E432" s="9">
        <v>85</v>
      </c>
      <c r="F432" s="9">
        <v>7.2</v>
      </c>
      <c r="G432" s="9">
        <v>80000000</v>
      </c>
      <c r="H432" s="9">
        <v>145771527</v>
      </c>
      <c r="I432" s="5">
        <f>IMDB_Movies!$H432-IMDB_Movies!$G432</f>
        <v>65771527</v>
      </c>
    </row>
    <row r="433" spans="1:9" ht="23">
      <c r="A433" s="3" t="s">
        <v>684</v>
      </c>
      <c r="B433" s="10" t="s">
        <v>685</v>
      </c>
      <c r="C433" s="10" t="s">
        <v>138</v>
      </c>
      <c r="D433" s="10" t="s">
        <v>11</v>
      </c>
      <c r="E433" s="10">
        <v>97</v>
      </c>
      <c r="F433" s="10">
        <v>6.4</v>
      </c>
      <c r="G433" s="10">
        <v>20000000</v>
      </c>
      <c r="H433" s="10">
        <v>82506325</v>
      </c>
      <c r="I433" s="5">
        <f>IMDB_Movies!$H433-IMDB_Movies!$G433</f>
        <v>62506325</v>
      </c>
    </row>
    <row r="434" spans="1:9" ht="23">
      <c r="A434" s="2" t="s">
        <v>686</v>
      </c>
      <c r="B434" s="9" t="s">
        <v>687</v>
      </c>
      <c r="C434" s="9" t="s">
        <v>10</v>
      </c>
      <c r="D434" s="9" t="s">
        <v>11</v>
      </c>
      <c r="E434" s="9">
        <v>120</v>
      </c>
      <c r="F434" s="9">
        <v>6.1</v>
      </c>
      <c r="G434" s="9">
        <v>75000000</v>
      </c>
      <c r="H434" s="9">
        <v>140459099</v>
      </c>
      <c r="I434" s="5">
        <f>IMDB_Movies!$H434-IMDB_Movies!$G434</f>
        <v>65459099</v>
      </c>
    </row>
    <row r="435" spans="1:9" ht="23">
      <c r="A435" s="3" t="s">
        <v>688</v>
      </c>
      <c r="B435" s="10" t="s">
        <v>273</v>
      </c>
      <c r="C435" s="10" t="s">
        <v>10</v>
      </c>
      <c r="D435" s="10" t="s">
        <v>11</v>
      </c>
      <c r="E435" s="10">
        <v>116</v>
      </c>
      <c r="F435" s="10">
        <v>6.7</v>
      </c>
      <c r="G435" s="10">
        <v>84000000</v>
      </c>
      <c r="H435" s="10">
        <v>53215979</v>
      </c>
      <c r="I435" s="5">
        <f>IMDB_Movies!$H435-IMDB_Movies!$G435</f>
        <v>-30784021</v>
      </c>
    </row>
    <row r="436" spans="1:9" ht="23">
      <c r="A436" s="2" t="s">
        <v>689</v>
      </c>
      <c r="B436" s="9" t="s">
        <v>662</v>
      </c>
      <c r="C436" s="9" t="s">
        <v>138</v>
      </c>
      <c r="D436" s="9" t="s">
        <v>11</v>
      </c>
      <c r="E436" s="9">
        <v>113</v>
      </c>
      <c r="F436" s="9">
        <v>6.4</v>
      </c>
      <c r="G436" s="9">
        <v>82000000</v>
      </c>
      <c r="H436" s="9">
        <v>158115031</v>
      </c>
      <c r="I436" s="5">
        <f>IMDB_Movies!$H436-IMDB_Movies!$G436</f>
        <v>76115031</v>
      </c>
    </row>
    <row r="437" spans="1:9" ht="23">
      <c r="A437" s="3" t="s">
        <v>690</v>
      </c>
      <c r="B437" s="10" t="s">
        <v>160</v>
      </c>
      <c r="C437" s="10" t="s">
        <v>24</v>
      </c>
      <c r="D437" s="10" t="s">
        <v>11</v>
      </c>
      <c r="E437" s="10">
        <v>87</v>
      </c>
      <c r="F437" s="10">
        <v>4.4000000000000004</v>
      </c>
      <c r="G437" s="10">
        <v>75000000</v>
      </c>
      <c r="H437" s="10">
        <v>133103929</v>
      </c>
      <c r="I437" s="5">
        <f>IMDB_Movies!$H437-IMDB_Movies!$G437</f>
        <v>58103929</v>
      </c>
    </row>
    <row r="438" spans="1:9" ht="23">
      <c r="A438" s="2" t="s">
        <v>691</v>
      </c>
      <c r="B438" s="9" t="s">
        <v>584</v>
      </c>
      <c r="C438" s="9" t="s">
        <v>138</v>
      </c>
      <c r="D438" s="9" t="s">
        <v>11</v>
      </c>
      <c r="E438" s="9">
        <v>101</v>
      </c>
      <c r="F438" s="9">
        <v>5.4</v>
      </c>
      <c r="G438" s="9">
        <v>80000000</v>
      </c>
      <c r="H438" s="9">
        <v>133668525</v>
      </c>
      <c r="I438" s="5">
        <f>IMDB_Movies!$H438-IMDB_Movies!$G438</f>
        <v>53668525</v>
      </c>
    </row>
    <row r="439" spans="1:9" ht="23">
      <c r="A439" s="3" t="s">
        <v>692</v>
      </c>
      <c r="B439" s="10" t="s">
        <v>662</v>
      </c>
      <c r="C439" s="10" t="s">
        <v>10</v>
      </c>
      <c r="D439" s="10" t="s">
        <v>11</v>
      </c>
      <c r="E439" s="10">
        <v>110</v>
      </c>
      <c r="F439" s="10">
        <v>6.5</v>
      </c>
      <c r="G439" s="10">
        <v>80000000</v>
      </c>
      <c r="H439" s="10">
        <v>130313314</v>
      </c>
      <c r="I439" s="5">
        <f>IMDB_Movies!$H439-IMDB_Movies!$G439</f>
        <v>50313314</v>
      </c>
    </row>
    <row r="440" spans="1:9" ht="23">
      <c r="A440" s="2" t="s">
        <v>693</v>
      </c>
      <c r="B440" s="9" t="s">
        <v>633</v>
      </c>
      <c r="C440" s="9" t="s">
        <v>138</v>
      </c>
      <c r="D440" s="9" t="s">
        <v>11</v>
      </c>
      <c r="E440" s="9">
        <v>128</v>
      </c>
      <c r="F440" s="9">
        <v>6.7</v>
      </c>
      <c r="G440" s="9">
        <v>80000000</v>
      </c>
      <c r="H440" s="9">
        <v>124590960</v>
      </c>
      <c r="I440" s="5">
        <f>IMDB_Movies!$H440-IMDB_Movies!$G440</f>
        <v>44590960</v>
      </c>
    </row>
    <row r="441" spans="1:9" ht="23">
      <c r="A441" s="3" t="s">
        <v>694</v>
      </c>
      <c r="B441" s="10" t="s">
        <v>130</v>
      </c>
      <c r="C441" s="10" t="s">
        <v>228</v>
      </c>
      <c r="D441" s="10" t="s">
        <v>11</v>
      </c>
      <c r="E441" s="10">
        <v>138</v>
      </c>
      <c r="F441" s="10">
        <v>8.1</v>
      </c>
      <c r="G441" s="10">
        <v>80000000</v>
      </c>
      <c r="H441" s="10">
        <v>127968405</v>
      </c>
      <c r="I441" s="5">
        <f>IMDB_Movies!$H441-IMDB_Movies!$G441</f>
        <v>47968405</v>
      </c>
    </row>
    <row r="442" spans="1:9" ht="23">
      <c r="A442" s="2" t="s">
        <v>695</v>
      </c>
      <c r="B442" s="9" t="s">
        <v>696</v>
      </c>
      <c r="C442" s="9" t="s">
        <v>138</v>
      </c>
      <c r="D442" s="9" t="s">
        <v>11</v>
      </c>
      <c r="E442" s="9">
        <v>88</v>
      </c>
      <c r="F442" s="9">
        <v>5.6</v>
      </c>
      <c r="G442" s="9">
        <v>80000000</v>
      </c>
      <c r="H442" s="9">
        <v>120136047</v>
      </c>
      <c r="I442" s="5">
        <f>IMDB_Movies!$H442-IMDB_Movies!$G442</f>
        <v>40136047</v>
      </c>
    </row>
    <row r="443" spans="1:9" ht="23">
      <c r="A443" s="3" t="s">
        <v>697</v>
      </c>
      <c r="B443" s="10" t="s">
        <v>485</v>
      </c>
      <c r="C443" s="10" t="s">
        <v>24</v>
      </c>
      <c r="D443" s="10" t="s">
        <v>11</v>
      </c>
      <c r="E443" s="10">
        <v>91</v>
      </c>
      <c r="F443" s="10">
        <v>6.3</v>
      </c>
      <c r="G443" s="10">
        <v>75000000</v>
      </c>
      <c r="H443" s="10">
        <v>128200012</v>
      </c>
      <c r="I443" s="5">
        <f>IMDB_Movies!$H443-IMDB_Movies!$G443</f>
        <v>53200012</v>
      </c>
    </row>
    <row r="444" spans="1:9" ht="23">
      <c r="A444" s="2" t="s">
        <v>698</v>
      </c>
      <c r="B444" s="9" t="s">
        <v>361</v>
      </c>
      <c r="C444" s="9" t="s">
        <v>10</v>
      </c>
      <c r="D444" s="9" t="s">
        <v>11</v>
      </c>
      <c r="E444" s="9">
        <v>138</v>
      </c>
      <c r="F444" s="9">
        <v>7.3</v>
      </c>
      <c r="G444" s="9">
        <v>80000000</v>
      </c>
      <c r="H444" s="9">
        <v>112225777</v>
      </c>
      <c r="I444" s="5">
        <f>IMDB_Movies!$H444-IMDB_Movies!$G444</f>
        <v>32225777</v>
      </c>
    </row>
    <row r="445" spans="1:9" ht="23">
      <c r="A445" s="3" t="s">
        <v>699</v>
      </c>
      <c r="B445" s="10" t="s">
        <v>700</v>
      </c>
      <c r="C445" s="10" t="s">
        <v>138</v>
      </c>
      <c r="D445" s="10" t="s">
        <v>11</v>
      </c>
      <c r="E445" s="10">
        <v>99</v>
      </c>
      <c r="F445" s="10">
        <v>6.1</v>
      </c>
      <c r="G445" s="10">
        <v>80000000</v>
      </c>
      <c r="H445" s="10">
        <v>109993847</v>
      </c>
      <c r="I445" s="5">
        <f>IMDB_Movies!$H445-IMDB_Movies!$G445</f>
        <v>29993847</v>
      </c>
    </row>
    <row r="446" spans="1:9" ht="23">
      <c r="A446" s="2" t="s">
        <v>701</v>
      </c>
      <c r="B446" s="9" t="s">
        <v>15</v>
      </c>
      <c r="C446" s="9" t="s">
        <v>414</v>
      </c>
      <c r="D446" s="9" t="s">
        <v>11</v>
      </c>
      <c r="E446" s="9">
        <v>117</v>
      </c>
      <c r="F446" s="9">
        <v>7.7</v>
      </c>
      <c r="G446" s="9">
        <v>80000000</v>
      </c>
      <c r="H446" s="9">
        <v>104054514</v>
      </c>
      <c r="I446" s="5">
        <f>IMDB_Movies!$H446-IMDB_Movies!$G446</f>
        <v>24054514</v>
      </c>
    </row>
    <row r="447" spans="1:9" ht="23">
      <c r="A447" s="3" t="s">
        <v>702</v>
      </c>
      <c r="B447" s="10" t="s">
        <v>584</v>
      </c>
      <c r="C447" s="10" t="s">
        <v>138</v>
      </c>
      <c r="D447" s="10" t="s">
        <v>11</v>
      </c>
      <c r="E447" s="10">
        <v>117</v>
      </c>
      <c r="F447" s="10">
        <v>6.4</v>
      </c>
      <c r="G447" s="10">
        <v>80000000</v>
      </c>
      <c r="H447" s="10">
        <v>103028109</v>
      </c>
      <c r="I447" s="5">
        <f>IMDB_Movies!$H447-IMDB_Movies!$G447</f>
        <v>23028109</v>
      </c>
    </row>
    <row r="448" spans="1:9" ht="23">
      <c r="A448" s="2" t="s">
        <v>703</v>
      </c>
      <c r="B448" s="9" t="s">
        <v>478</v>
      </c>
      <c r="C448" s="9" t="s">
        <v>10</v>
      </c>
      <c r="D448" s="9" t="s">
        <v>11</v>
      </c>
      <c r="E448" s="9">
        <v>123</v>
      </c>
      <c r="F448" s="9">
        <v>6.8</v>
      </c>
      <c r="G448" s="9">
        <v>75000000</v>
      </c>
      <c r="H448" s="9">
        <v>101087161</v>
      </c>
      <c r="I448" s="5">
        <f>IMDB_Movies!$H448-IMDB_Movies!$G448</f>
        <v>26087161</v>
      </c>
    </row>
    <row r="449" spans="1:9" ht="23">
      <c r="A449" s="3" t="s">
        <v>704</v>
      </c>
      <c r="B449" s="10" t="s">
        <v>705</v>
      </c>
      <c r="C449" s="10" t="s">
        <v>10</v>
      </c>
      <c r="D449" s="10" t="s">
        <v>11</v>
      </c>
      <c r="E449" s="10">
        <v>118</v>
      </c>
      <c r="F449" s="10">
        <v>6.6</v>
      </c>
      <c r="G449" s="10">
        <v>80000000</v>
      </c>
      <c r="H449" s="10">
        <v>101111837</v>
      </c>
      <c r="I449" s="5">
        <f>IMDB_Movies!$H449-IMDB_Movies!$G449</f>
        <v>21111837</v>
      </c>
    </row>
    <row r="450" spans="1:9" ht="23">
      <c r="A450" s="2" t="s">
        <v>706</v>
      </c>
      <c r="B450" s="9" t="s">
        <v>707</v>
      </c>
      <c r="C450" s="9" t="s">
        <v>24</v>
      </c>
      <c r="D450" s="9" t="s">
        <v>11</v>
      </c>
      <c r="E450" s="9">
        <v>154</v>
      </c>
      <c r="F450" s="9">
        <v>7.2</v>
      </c>
      <c r="G450" s="9">
        <v>79000000</v>
      </c>
      <c r="H450" s="9">
        <v>95632614</v>
      </c>
      <c r="I450" s="5">
        <f>IMDB_Movies!$H450-IMDB_Movies!$G450</f>
        <v>16632614</v>
      </c>
    </row>
    <row r="451" spans="1:9" ht="23">
      <c r="A451" s="3" t="s">
        <v>708</v>
      </c>
      <c r="B451" s="10" t="s">
        <v>709</v>
      </c>
      <c r="C451" s="10" t="s">
        <v>10</v>
      </c>
      <c r="D451" s="10" t="s">
        <v>11</v>
      </c>
      <c r="E451" s="10">
        <v>118</v>
      </c>
      <c r="F451" s="10">
        <v>6.9</v>
      </c>
      <c r="G451" s="10">
        <v>80000000</v>
      </c>
      <c r="H451" s="10">
        <v>94822707</v>
      </c>
      <c r="I451" s="5">
        <f>IMDB_Movies!$H451-IMDB_Movies!$G451</f>
        <v>14822707</v>
      </c>
    </row>
    <row r="452" spans="1:9" ht="23">
      <c r="A452" s="2" t="s">
        <v>710</v>
      </c>
      <c r="B452" s="9" t="s">
        <v>711</v>
      </c>
      <c r="C452" s="9" t="s">
        <v>138</v>
      </c>
      <c r="D452" s="9" t="s">
        <v>11</v>
      </c>
      <c r="E452" s="9">
        <v>90</v>
      </c>
      <c r="F452" s="9">
        <v>5.2</v>
      </c>
      <c r="G452" s="9">
        <v>80000000</v>
      </c>
      <c r="H452" s="9">
        <v>92969824</v>
      </c>
      <c r="I452" s="5">
        <f>IMDB_Movies!$H452-IMDB_Movies!$G452</f>
        <v>12969824</v>
      </c>
    </row>
    <row r="453" spans="1:9" ht="23">
      <c r="A453" s="3" t="s">
        <v>712</v>
      </c>
      <c r="B453" s="10" t="s">
        <v>432</v>
      </c>
      <c r="C453" s="10" t="s">
        <v>713</v>
      </c>
      <c r="D453" s="10" t="s">
        <v>11</v>
      </c>
      <c r="E453" s="10">
        <v>113</v>
      </c>
      <c r="F453" s="10">
        <v>4.9000000000000004</v>
      </c>
      <c r="G453" s="10">
        <v>80000000</v>
      </c>
      <c r="H453" s="10">
        <v>91188905</v>
      </c>
      <c r="I453" s="5">
        <f>IMDB_Movies!$H453-IMDB_Movies!$G453</f>
        <v>11188905</v>
      </c>
    </row>
    <row r="454" spans="1:9" ht="23">
      <c r="A454" s="2" t="s">
        <v>714</v>
      </c>
      <c r="B454" s="9" t="s">
        <v>715</v>
      </c>
      <c r="C454" s="9" t="s">
        <v>24</v>
      </c>
      <c r="D454" s="9" t="s">
        <v>11</v>
      </c>
      <c r="E454" s="9">
        <v>88</v>
      </c>
      <c r="F454" s="9">
        <v>6.3</v>
      </c>
      <c r="G454" s="9">
        <v>80000000</v>
      </c>
      <c r="H454" s="9">
        <v>90443603</v>
      </c>
      <c r="I454" s="5">
        <f>IMDB_Movies!$H454-IMDB_Movies!$G454</f>
        <v>10443603</v>
      </c>
    </row>
    <row r="455" spans="1:9" ht="23">
      <c r="A455" s="3" t="s">
        <v>716</v>
      </c>
      <c r="B455" s="10" t="s">
        <v>216</v>
      </c>
      <c r="C455" s="10" t="s">
        <v>24</v>
      </c>
      <c r="D455" s="10" t="s">
        <v>11</v>
      </c>
      <c r="E455" s="10">
        <v>93</v>
      </c>
      <c r="F455" s="10">
        <v>5.6</v>
      </c>
      <c r="G455" s="10">
        <v>65000000</v>
      </c>
      <c r="H455" s="10">
        <v>82226474</v>
      </c>
      <c r="I455" s="5">
        <f>IMDB_Movies!$H455-IMDB_Movies!$G455</f>
        <v>17226474</v>
      </c>
    </row>
    <row r="456" spans="1:9" ht="23">
      <c r="A456" s="2" t="s">
        <v>717</v>
      </c>
      <c r="B456" s="9" t="s">
        <v>718</v>
      </c>
      <c r="C456" s="9" t="s">
        <v>56</v>
      </c>
      <c r="D456" s="9" t="s">
        <v>11</v>
      </c>
      <c r="E456" s="9">
        <v>104</v>
      </c>
      <c r="F456" s="9">
        <v>5.5</v>
      </c>
      <c r="G456" s="9">
        <v>80000000</v>
      </c>
      <c r="H456" s="9">
        <v>79363785</v>
      </c>
      <c r="I456" s="5">
        <f>IMDB_Movies!$H456-IMDB_Movies!$G456</f>
        <v>-636215</v>
      </c>
    </row>
    <row r="457" spans="1:9" ht="23">
      <c r="A457" s="3" t="s">
        <v>719</v>
      </c>
      <c r="B457" s="10" t="s">
        <v>285</v>
      </c>
      <c r="C457" s="10" t="s">
        <v>10</v>
      </c>
      <c r="D457" s="10" t="s">
        <v>11</v>
      </c>
      <c r="E457" s="10">
        <v>135</v>
      </c>
      <c r="F457" s="10">
        <v>6.7</v>
      </c>
      <c r="G457" s="10">
        <v>75000000</v>
      </c>
      <c r="H457" s="10">
        <v>76081498</v>
      </c>
      <c r="I457" s="5">
        <f>IMDB_Movies!$H457-IMDB_Movies!$G457</f>
        <v>1081498</v>
      </c>
    </row>
    <row r="458" spans="1:9" ht="23">
      <c r="A458" s="2" t="s">
        <v>720</v>
      </c>
      <c r="B458" s="9" t="s">
        <v>135</v>
      </c>
      <c r="C458" s="9" t="s">
        <v>10</v>
      </c>
      <c r="D458" s="9" t="s">
        <v>11</v>
      </c>
      <c r="E458" s="9">
        <v>134</v>
      </c>
      <c r="F458" s="9">
        <v>7.6</v>
      </c>
      <c r="G458" s="9">
        <v>68000000</v>
      </c>
      <c r="H458" s="9">
        <v>85707116</v>
      </c>
      <c r="I458" s="5">
        <f>IMDB_Movies!$H458-IMDB_Movies!$G458</f>
        <v>17707116</v>
      </c>
    </row>
    <row r="459" spans="1:9" ht="23">
      <c r="A459" s="3" t="s">
        <v>721</v>
      </c>
      <c r="B459" s="10" t="s">
        <v>722</v>
      </c>
      <c r="C459" s="10" t="s">
        <v>10</v>
      </c>
      <c r="D459" s="10" t="s">
        <v>11</v>
      </c>
      <c r="E459" s="10">
        <v>98</v>
      </c>
      <c r="F459" s="10">
        <v>5.7</v>
      </c>
      <c r="G459" s="10">
        <v>70000000</v>
      </c>
      <c r="H459" s="10">
        <v>74329966</v>
      </c>
      <c r="I459" s="5">
        <f>IMDB_Movies!$H459-IMDB_Movies!$G459</f>
        <v>4329966</v>
      </c>
    </row>
    <row r="460" spans="1:9" ht="23">
      <c r="A460" s="2" t="s">
        <v>723</v>
      </c>
      <c r="B460" s="9" t="s">
        <v>724</v>
      </c>
      <c r="C460" s="9" t="s">
        <v>24</v>
      </c>
      <c r="D460" s="9" t="s">
        <v>11</v>
      </c>
      <c r="E460" s="9">
        <v>80</v>
      </c>
      <c r="F460" s="9">
        <v>4.5999999999999996</v>
      </c>
      <c r="G460" s="9">
        <v>80000000</v>
      </c>
      <c r="H460" s="9">
        <v>100169068</v>
      </c>
      <c r="I460" s="5">
        <f>IMDB_Movies!$H460-IMDB_Movies!$G460</f>
        <v>20169068</v>
      </c>
    </row>
    <row r="461" spans="1:9" ht="23">
      <c r="A461" s="3" t="s">
        <v>725</v>
      </c>
      <c r="B461" s="10" t="s">
        <v>726</v>
      </c>
      <c r="C461" s="10" t="s">
        <v>24</v>
      </c>
      <c r="D461" s="10" t="s">
        <v>11</v>
      </c>
      <c r="E461" s="10">
        <v>83</v>
      </c>
      <c r="F461" s="10">
        <v>7</v>
      </c>
      <c r="G461" s="10">
        <v>80000000</v>
      </c>
      <c r="H461" s="10">
        <v>73215310</v>
      </c>
      <c r="I461" s="5">
        <f>IMDB_Movies!$H461-IMDB_Movies!$G461</f>
        <v>-6784690</v>
      </c>
    </row>
    <row r="462" spans="1:9" ht="23">
      <c r="A462" s="2" t="s">
        <v>727</v>
      </c>
      <c r="B462" s="9" t="s">
        <v>438</v>
      </c>
      <c r="C462" s="9" t="s">
        <v>138</v>
      </c>
      <c r="D462" s="9" t="s">
        <v>11</v>
      </c>
      <c r="E462" s="9">
        <v>102</v>
      </c>
      <c r="F462" s="9">
        <v>5.2</v>
      </c>
      <c r="G462" s="9">
        <v>80000000</v>
      </c>
      <c r="H462" s="9">
        <v>80360866</v>
      </c>
      <c r="I462" s="5">
        <f>IMDB_Movies!$H462-IMDB_Movies!$G462</f>
        <v>360866</v>
      </c>
    </row>
    <row r="463" spans="1:9" ht="23">
      <c r="A463" s="3" t="s">
        <v>728</v>
      </c>
      <c r="B463" s="10" t="s">
        <v>729</v>
      </c>
      <c r="C463" s="10" t="s">
        <v>10</v>
      </c>
      <c r="D463" s="10" t="s">
        <v>11</v>
      </c>
      <c r="E463" s="10">
        <v>130</v>
      </c>
      <c r="F463" s="10">
        <v>5.0999999999999996</v>
      </c>
      <c r="G463" s="10">
        <v>80000000</v>
      </c>
      <c r="H463" s="10">
        <v>69102910</v>
      </c>
      <c r="I463" s="5">
        <f>IMDB_Movies!$H463-IMDB_Movies!$G463</f>
        <v>-10897090</v>
      </c>
    </row>
    <row r="464" spans="1:9" ht="23">
      <c r="A464" s="2" t="s">
        <v>730</v>
      </c>
      <c r="B464" s="9" t="s">
        <v>731</v>
      </c>
      <c r="C464" s="9" t="s">
        <v>56</v>
      </c>
      <c r="D464" s="9" t="s">
        <v>11</v>
      </c>
      <c r="E464" s="9">
        <v>129</v>
      </c>
      <c r="F464" s="9">
        <v>6.6</v>
      </c>
      <c r="G464" s="9">
        <v>80000000</v>
      </c>
      <c r="H464" s="9">
        <v>65948711</v>
      </c>
      <c r="I464" s="5">
        <f>IMDB_Movies!$H464-IMDB_Movies!$G464</f>
        <v>-14051289</v>
      </c>
    </row>
    <row r="465" spans="1:9" ht="23">
      <c r="A465" s="3" t="s">
        <v>732</v>
      </c>
      <c r="B465" s="10" t="s">
        <v>733</v>
      </c>
      <c r="C465" s="10" t="s">
        <v>56</v>
      </c>
      <c r="D465" s="10" t="s">
        <v>11</v>
      </c>
      <c r="E465" s="10">
        <v>117</v>
      </c>
      <c r="F465" s="10">
        <v>7</v>
      </c>
      <c r="G465" s="10">
        <v>20000000</v>
      </c>
      <c r="H465" s="10">
        <v>821997</v>
      </c>
      <c r="I465" s="5">
        <f>IMDB_Movies!$H465-IMDB_Movies!$G465</f>
        <v>-19178003</v>
      </c>
    </row>
    <row r="466" spans="1:9" ht="23">
      <c r="A466" s="2" t="s">
        <v>734</v>
      </c>
      <c r="B466" s="9" t="s">
        <v>625</v>
      </c>
      <c r="C466" s="9" t="s">
        <v>116</v>
      </c>
      <c r="D466" s="9" t="s">
        <v>11</v>
      </c>
      <c r="E466" s="9">
        <v>89</v>
      </c>
      <c r="F466" s="9">
        <v>6.7</v>
      </c>
      <c r="G466" s="9">
        <v>80000000</v>
      </c>
      <c r="H466" s="9">
        <v>169692572</v>
      </c>
      <c r="I466" s="5">
        <f>IMDB_Movies!$H466-IMDB_Movies!$G466</f>
        <v>89692572</v>
      </c>
    </row>
    <row r="467" spans="1:9" ht="23">
      <c r="A467" s="3" t="s">
        <v>735</v>
      </c>
      <c r="B467" s="10" t="s">
        <v>736</v>
      </c>
      <c r="C467" s="10" t="s">
        <v>116</v>
      </c>
      <c r="D467" s="10" t="s">
        <v>11</v>
      </c>
      <c r="E467" s="10">
        <v>74</v>
      </c>
      <c r="F467" s="10">
        <v>7.3</v>
      </c>
      <c r="G467" s="10">
        <v>80000000</v>
      </c>
      <c r="H467" s="10">
        <v>60507228</v>
      </c>
      <c r="I467" s="5">
        <f>IMDB_Movies!$H467-IMDB_Movies!$G467</f>
        <v>-19492772</v>
      </c>
    </row>
    <row r="468" spans="1:9" ht="23">
      <c r="A468" s="2" t="s">
        <v>737</v>
      </c>
      <c r="B468" s="9" t="s">
        <v>251</v>
      </c>
      <c r="C468" s="9" t="s">
        <v>10</v>
      </c>
      <c r="D468" s="9" t="s">
        <v>11</v>
      </c>
      <c r="E468" s="9">
        <v>96</v>
      </c>
      <c r="F468" s="9">
        <v>5.9</v>
      </c>
      <c r="G468" s="9">
        <v>80000000</v>
      </c>
      <c r="H468" s="9">
        <v>56684819</v>
      </c>
      <c r="I468" s="5">
        <f>IMDB_Movies!$H468-IMDB_Movies!$G468</f>
        <v>-23315181</v>
      </c>
    </row>
    <row r="469" spans="1:9" ht="23">
      <c r="A469" s="3" t="s">
        <v>738</v>
      </c>
      <c r="B469" s="10" t="s">
        <v>511</v>
      </c>
      <c r="C469" s="10" t="s">
        <v>10</v>
      </c>
      <c r="D469" s="10" t="s">
        <v>11</v>
      </c>
      <c r="E469" s="10">
        <v>114</v>
      </c>
      <c r="F469" s="10">
        <v>5.6</v>
      </c>
      <c r="G469" s="10">
        <v>90000000</v>
      </c>
      <c r="H469" s="10">
        <v>50628009</v>
      </c>
      <c r="I469" s="5">
        <f>IMDB_Movies!$H469-IMDB_Movies!$G469</f>
        <v>-39371991</v>
      </c>
    </row>
    <row r="470" spans="1:9" ht="23">
      <c r="A470" s="2" t="s">
        <v>739</v>
      </c>
      <c r="B470" s="9" t="s">
        <v>453</v>
      </c>
      <c r="C470" s="9" t="s">
        <v>10</v>
      </c>
      <c r="D470" s="9" t="s">
        <v>11</v>
      </c>
      <c r="E470" s="9">
        <v>99</v>
      </c>
      <c r="F470" s="9">
        <v>6.5</v>
      </c>
      <c r="G470" s="9">
        <v>80000000</v>
      </c>
      <c r="H470" s="9">
        <v>69772969</v>
      </c>
      <c r="I470" s="5">
        <f>IMDB_Movies!$H470-IMDB_Movies!$G470</f>
        <v>-10227031</v>
      </c>
    </row>
    <row r="471" spans="1:9" ht="23">
      <c r="A471" s="3" t="s">
        <v>740</v>
      </c>
      <c r="B471" s="10" t="s">
        <v>83</v>
      </c>
      <c r="C471" s="10" t="s">
        <v>10</v>
      </c>
      <c r="D471" s="10" t="s">
        <v>741</v>
      </c>
      <c r="E471" s="10">
        <v>129</v>
      </c>
      <c r="F471" s="10">
        <v>5.9</v>
      </c>
      <c r="G471" s="10">
        <v>75000000</v>
      </c>
      <c r="H471" s="10">
        <v>45356386</v>
      </c>
      <c r="I471" s="5">
        <f>IMDB_Movies!$H471-IMDB_Movies!$G471</f>
        <v>-29643614</v>
      </c>
    </row>
    <row r="472" spans="1:9" ht="23">
      <c r="A472" s="2" t="s">
        <v>742</v>
      </c>
      <c r="B472" s="9" t="s">
        <v>743</v>
      </c>
      <c r="C472" s="9" t="s">
        <v>56</v>
      </c>
      <c r="D472" s="9" t="s">
        <v>11</v>
      </c>
      <c r="E472" s="9">
        <v>113</v>
      </c>
      <c r="F472" s="9">
        <v>7</v>
      </c>
      <c r="G472" s="9">
        <v>85000000</v>
      </c>
      <c r="H472" s="9">
        <v>55350897</v>
      </c>
      <c r="I472" s="5">
        <f>IMDB_Movies!$H472-IMDB_Movies!$G472</f>
        <v>-29649103</v>
      </c>
    </row>
    <row r="473" spans="1:9" ht="23">
      <c r="A473" s="3" t="s">
        <v>744</v>
      </c>
      <c r="B473" s="10" t="s">
        <v>745</v>
      </c>
      <c r="C473" s="10" t="s">
        <v>138</v>
      </c>
      <c r="D473" s="10" t="s">
        <v>11</v>
      </c>
      <c r="E473" s="10">
        <v>90</v>
      </c>
      <c r="F473" s="10">
        <v>5.3</v>
      </c>
      <c r="G473" s="10">
        <v>80000000</v>
      </c>
      <c r="H473" s="10">
        <v>39442871</v>
      </c>
      <c r="I473" s="5">
        <f>IMDB_Movies!$H473-IMDB_Movies!$G473</f>
        <v>-40557129</v>
      </c>
    </row>
    <row r="474" spans="1:9" ht="23">
      <c r="A474" s="2" t="s">
        <v>746</v>
      </c>
      <c r="B474" s="9" t="s">
        <v>747</v>
      </c>
      <c r="C474" s="9" t="s">
        <v>10</v>
      </c>
      <c r="D474" s="9" t="s">
        <v>11</v>
      </c>
      <c r="E474" s="9">
        <v>118</v>
      </c>
      <c r="F474" s="9">
        <v>5.9</v>
      </c>
      <c r="G474" s="9">
        <v>88000000</v>
      </c>
      <c r="H474" s="9">
        <v>37899638</v>
      </c>
      <c r="I474" s="5">
        <f>IMDB_Movies!$H474-IMDB_Movies!$G474</f>
        <v>-50100362</v>
      </c>
    </row>
    <row r="475" spans="1:9" ht="23">
      <c r="A475" s="3" t="s">
        <v>748</v>
      </c>
      <c r="B475" s="10" t="s">
        <v>68</v>
      </c>
      <c r="C475" s="10" t="s">
        <v>10</v>
      </c>
      <c r="D475" s="10" t="s">
        <v>11</v>
      </c>
      <c r="E475" s="10">
        <v>106</v>
      </c>
      <c r="F475" s="10">
        <v>6.3</v>
      </c>
      <c r="G475" s="10">
        <v>70000000</v>
      </c>
      <c r="H475" s="10">
        <v>37754208</v>
      </c>
      <c r="I475" s="5">
        <f>IMDB_Movies!$H475-IMDB_Movies!$G475</f>
        <v>-32245792</v>
      </c>
    </row>
    <row r="476" spans="1:9" ht="23">
      <c r="A476" s="2" t="s">
        <v>749</v>
      </c>
      <c r="B476" s="9" t="s">
        <v>750</v>
      </c>
      <c r="C476" s="9" t="s">
        <v>56</v>
      </c>
      <c r="D476" s="9" t="s">
        <v>394</v>
      </c>
      <c r="E476" s="9">
        <v>81</v>
      </c>
      <c r="F476" s="9">
        <v>6.4</v>
      </c>
      <c r="G476" s="9">
        <v>20000000</v>
      </c>
      <c r="H476" s="9">
        <v>25078937</v>
      </c>
      <c r="I476" s="5">
        <f>IMDB_Movies!$H476-IMDB_Movies!$G476</f>
        <v>5078937</v>
      </c>
    </row>
    <row r="477" spans="1:9" ht="23">
      <c r="A477" s="3" t="s">
        <v>751</v>
      </c>
      <c r="B477" s="10" t="s">
        <v>261</v>
      </c>
      <c r="C477" s="10" t="s">
        <v>10</v>
      </c>
      <c r="D477" s="10" t="s">
        <v>11</v>
      </c>
      <c r="E477" s="10">
        <v>117</v>
      </c>
      <c r="F477" s="10">
        <v>6.9</v>
      </c>
      <c r="G477" s="10">
        <v>20000000</v>
      </c>
      <c r="H477" s="10">
        <v>27779888</v>
      </c>
      <c r="I477" s="5">
        <f>IMDB_Movies!$H477-IMDB_Movies!$G477</f>
        <v>7779888</v>
      </c>
    </row>
    <row r="478" spans="1:9" ht="23">
      <c r="A478" s="2" t="s">
        <v>752</v>
      </c>
      <c r="B478" s="9" t="s">
        <v>172</v>
      </c>
      <c r="C478" s="9" t="s">
        <v>10</v>
      </c>
      <c r="D478" s="9" t="s">
        <v>11</v>
      </c>
      <c r="E478" s="9">
        <v>89</v>
      </c>
      <c r="F478" s="9">
        <v>6.3</v>
      </c>
      <c r="G478" s="9">
        <v>80000000</v>
      </c>
      <c r="H478" s="9">
        <v>38542418</v>
      </c>
      <c r="I478" s="5">
        <f>IMDB_Movies!$H478-IMDB_Movies!$G478</f>
        <v>-41457582</v>
      </c>
    </row>
    <row r="479" spans="1:9" ht="23">
      <c r="A479" s="3" t="s">
        <v>753</v>
      </c>
      <c r="B479" s="10" t="s">
        <v>401</v>
      </c>
      <c r="C479" s="10" t="s">
        <v>56</v>
      </c>
      <c r="D479" s="10" t="s">
        <v>11</v>
      </c>
      <c r="E479" s="10">
        <v>145</v>
      </c>
      <c r="F479" s="10">
        <v>7.3</v>
      </c>
      <c r="G479" s="10">
        <v>80000000</v>
      </c>
      <c r="H479" s="10">
        <v>34566746</v>
      </c>
      <c r="I479" s="5">
        <f>IMDB_Movies!$H479-IMDB_Movies!$G479</f>
        <v>-45433254</v>
      </c>
    </row>
    <row r="480" spans="1:9" ht="23">
      <c r="A480" s="2" t="s">
        <v>754</v>
      </c>
      <c r="B480" s="9" t="s">
        <v>133</v>
      </c>
      <c r="C480" s="9" t="s">
        <v>10</v>
      </c>
      <c r="D480" s="9" t="s">
        <v>11</v>
      </c>
      <c r="E480" s="9">
        <v>114</v>
      </c>
      <c r="F480" s="9">
        <v>5.8</v>
      </c>
      <c r="G480" s="9">
        <v>80000000</v>
      </c>
      <c r="H480" s="9">
        <v>32885565</v>
      </c>
      <c r="I480" s="5">
        <f>IMDB_Movies!$H480-IMDB_Movies!$G480</f>
        <v>-47114435</v>
      </c>
    </row>
    <row r="481" spans="1:9" ht="23">
      <c r="A481" s="3" t="s">
        <v>755</v>
      </c>
      <c r="B481" s="10" t="s">
        <v>756</v>
      </c>
      <c r="C481" s="10" t="s">
        <v>24</v>
      </c>
      <c r="D481" s="10" t="s">
        <v>11</v>
      </c>
      <c r="E481" s="10">
        <v>87</v>
      </c>
      <c r="F481" s="10">
        <v>5.2</v>
      </c>
      <c r="G481" s="10">
        <v>80000000</v>
      </c>
      <c r="H481" s="10">
        <v>36073232</v>
      </c>
      <c r="I481" s="5">
        <f>IMDB_Movies!$H481-IMDB_Movies!$G481</f>
        <v>-43926768</v>
      </c>
    </row>
    <row r="482" spans="1:9" ht="23">
      <c r="A482" s="2" t="s">
        <v>757</v>
      </c>
      <c r="B482" s="9" t="s">
        <v>758</v>
      </c>
      <c r="C482" s="9" t="s">
        <v>10</v>
      </c>
      <c r="D482" s="9" t="s">
        <v>11</v>
      </c>
      <c r="E482" s="9">
        <v>119</v>
      </c>
      <c r="F482" s="9">
        <v>2.4</v>
      </c>
      <c r="G482" s="9">
        <v>44000000</v>
      </c>
      <c r="H482" s="9">
        <v>21471685</v>
      </c>
      <c r="I482" s="5">
        <f>IMDB_Movies!$H482-IMDB_Movies!$G482</f>
        <v>-22528315</v>
      </c>
    </row>
    <row r="483" spans="1:9" ht="23">
      <c r="A483" s="3" t="s">
        <v>759</v>
      </c>
      <c r="B483" s="10" t="s">
        <v>760</v>
      </c>
      <c r="C483" s="10" t="s">
        <v>24</v>
      </c>
      <c r="D483" s="10" t="s">
        <v>11</v>
      </c>
      <c r="E483" s="10">
        <v>91</v>
      </c>
      <c r="F483" s="10">
        <v>5.7</v>
      </c>
      <c r="G483" s="10">
        <v>80000000</v>
      </c>
      <c r="H483" s="10">
        <v>20950820</v>
      </c>
      <c r="I483" s="5">
        <f>IMDB_Movies!$H483-IMDB_Movies!$G483</f>
        <v>-59049180</v>
      </c>
    </row>
    <row r="484" spans="1:9" ht="23">
      <c r="A484" s="2" t="s">
        <v>761</v>
      </c>
      <c r="B484" s="9" t="s">
        <v>42</v>
      </c>
      <c r="C484" s="9" t="s">
        <v>56</v>
      </c>
      <c r="D484" s="9" t="s">
        <v>11</v>
      </c>
      <c r="E484" s="9">
        <v>118</v>
      </c>
      <c r="F484" s="9">
        <v>5.8</v>
      </c>
      <c r="G484" s="9">
        <v>80000000</v>
      </c>
      <c r="H484" s="9">
        <v>19673424</v>
      </c>
      <c r="I484" s="5">
        <f>IMDB_Movies!$H484-IMDB_Movies!$G484</f>
        <v>-60326576</v>
      </c>
    </row>
    <row r="485" spans="1:9" ht="23">
      <c r="A485" s="3" t="s">
        <v>762</v>
      </c>
      <c r="B485" s="10" t="s">
        <v>285</v>
      </c>
      <c r="C485" s="10" t="s">
        <v>10</v>
      </c>
      <c r="D485" s="10" t="s">
        <v>11</v>
      </c>
      <c r="E485" s="10">
        <v>116</v>
      </c>
      <c r="F485" s="10">
        <v>5.6</v>
      </c>
      <c r="G485" s="10">
        <v>80000000</v>
      </c>
      <c r="H485" s="10">
        <v>19480739</v>
      </c>
      <c r="I485" s="5">
        <f>IMDB_Movies!$H485-IMDB_Movies!$G485</f>
        <v>-60519261</v>
      </c>
    </row>
    <row r="486" spans="1:9" ht="23">
      <c r="A486" s="2" t="s">
        <v>763</v>
      </c>
      <c r="B486" s="9" t="s">
        <v>764</v>
      </c>
      <c r="C486" s="9" t="s">
        <v>10</v>
      </c>
      <c r="D486" s="9" t="s">
        <v>11</v>
      </c>
      <c r="E486" s="9">
        <v>177</v>
      </c>
      <c r="F486" s="9">
        <v>6</v>
      </c>
      <c r="G486" s="9">
        <v>80000000</v>
      </c>
      <c r="H486" s="9">
        <v>17593391</v>
      </c>
      <c r="I486" s="5">
        <f>IMDB_Movies!$H486-IMDB_Movies!$G486</f>
        <v>-62406609</v>
      </c>
    </row>
    <row r="487" spans="1:9" ht="23">
      <c r="A487" s="3" t="s">
        <v>765</v>
      </c>
      <c r="B487" s="10" t="s">
        <v>225</v>
      </c>
      <c r="C487" s="10" t="s">
        <v>24</v>
      </c>
      <c r="D487" s="10" t="s">
        <v>11</v>
      </c>
      <c r="E487" s="10">
        <v>97</v>
      </c>
      <c r="F487" s="10">
        <v>5.8</v>
      </c>
      <c r="G487" s="10">
        <v>80000000</v>
      </c>
      <c r="H487" s="10">
        <v>18318000</v>
      </c>
      <c r="I487" s="5">
        <f>IMDB_Movies!$H487-IMDB_Movies!$G487</f>
        <v>-61682000</v>
      </c>
    </row>
    <row r="488" spans="1:9" ht="23">
      <c r="A488" s="2" t="s">
        <v>766</v>
      </c>
      <c r="B488" s="9" t="s">
        <v>291</v>
      </c>
      <c r="C488" s="9" t="s">
        <v>10</v>
      </c>
      <c r="D488" s="9" t="s">
        <v>11</v>
      </c>
      <c r="E488" s="9">
        <v>106</v>
      </c>
      <c r="F488" s="9">
        <v>6</v>
      </c>
      <c r="G488" s="9">
        <v>90000000</v>
      </c>
      <c r="H488" s="9">
        <v>27356090</v>
      </c>
      <c r="I488" s="5">
        <f>IMDB_Movies!$H488-IMDB_Movies!$G488</f>
        <v>-62643910</v>
      </c>
    </row>
    <row r="489" spans="1:9" ht="23">
      <c r="A489" s="3" t="s">
        <v>767</v>
      </c>
      <c r="B489" s="10" t="s">
        <v>768</v>
      </c>
      <c r="C489" s="10" t="s">
        <v>10</v>
      </c>
      <c r="D489" s="10" t="s">
        <v>11</v>
      </c>
      <c r="E489" s="10">
        <v>106</v>
      </c>
      <c r="F489" s="10">
        <v>5.7</v>
      </c>
      <c r="G489" s="10">
        <v>70000000</v>
      </c>
      <c r="H489" s="10">
        <v>17473245</v>
      </c>
      <c r="I489" s="5">
        <f>IMDB_Movies!$H489-IMDB_Movies!$G489</f>
        <v>-52526755</v>
      </c>
    </row>
    <row r="490" spans="1:9" ht="23">
      <c r="A490" s="2" t="s">
        <v>769</v>
      </c>
      <c r="B490" s="9" t="s">
        <v>530</v>
      </c>
      <c r="C490" s="9" t="s">
        <v>24</v>
      </c>
      <c r="D490" s="9" t="s">
        <v>11</v>
      </c>
      <c r="E490" s="9">
        <v>94</v>
      </c>
      <c r="F490" s="9">
        <v>6</v>
      </c>
      <c r="G490" s="9">
        <v>86000000</v>
      </c>
      <c r="H490" s="9">
        <v>15131330</v>
      </c>
      <c r="I490" s="5">
        <f>IMDB_Movies!$H490-IMDB_Movies!$G490</f>
        <v>-70868670</v>
      </c>
    </row>
    <row r="491" spans="1:9" ht="23">
      <c r="A491" s="3" t="s">
        <v>770</v>
      </c>
      <c r="B491" s="10" t="s">
        <v>771</v>
      </c>
      <c r="C491" s="10" t="s">
        <v>772</v>
      </c>
      <c r="D491" s="10" t="s">
        <v>394</v>
      </c>
      <c r="E491" s="10">
        <v>104</v>
      </c>
      <c r="F491" s="10">
        <v>7.8</v>
      </c>
      <c r="G491" s="10">
        <v>40000000</v>
      </c>
      <c r="H491" s="10">
        <v>19406406</v>
      </c>
      <c r="I491" s="5">
        <f>IMDB_Movies!$H491-IMDB_Movies!$G491</f>
        <v>-20593594</v>
      </c>
    </row>
    <row r="492" spans="1:9" ht="23">
      <c r="A492" s="2" t="s">
        <v>773</v>
      </c>
      <c r="B492" s="9" t="s">
        <v>489</v>
      </c>
      <c r="C492" s="9" t="s">
        <v>10</v>
      </c>
      <c r="D492" s="9" t="s">
        <v>11</v>
      </c>
      <c r="E492" s="9">
        <v>102</v>
      </c>
      <c r="F492" s="9">
        <v>4.2</v>
      </c>
      <c r="G492" s="9">
        <v>52000000</v>
      </c>
      <c r="H492" s="9">
        <v>1891821</v>
      </c>
      <c r="I492" s="5">
        <f>IMDB_Movies!$H492-IMDB_Movies!$G492</f>
        <v>-50108179</v>
      </c>
    </row>
    <row r="493" spans="1:9" ht="23">
      <c r="A493" s="3" t="s">
        <v>774</v>
      </c>
      <c r="B493" s="10" t="s">
        <v>623</v>
      </c>
      <c r="C493" s="10" t="s">
        <v>10</v>
      </c>
      <c r="D493" s="10" t="s">
        <v>11</v>
      </c>
      <c r="E493" s="10">
        <v>105</v>
      </c>
      <c r="F493" s="10">
        <v>5.6</v>
      </c>
      <c r="G493" s="10">
        <v>80000000</v>
      </c>
      <c r="H493" s="10">
        <v>23219748</v>
      </c>
      <c r="I493" s="5">
        <f>IMDB_Movies!$H493-IMDB_Movies!$G493</f>
        <v>-56780252</v>
      </c>
    </row>
    <row r="494" spans="1:9" ht="23">
      <c r="A494" s="2" t="s">
        <v>775</v>
      </c>
      <c r="B494" s="9" t="s">
        <v>776</v>
      </c>
      <c r="C494" s="9" t="s">
        <v>116</v>
      </c>
      <c r="D494" s="9" t="s">
        <v>741</v>
      </c>
      <c r="E494" s="9">
        <v>89</v>
      </c>
      <c r="F494" s="9">
        <v>4.4000000000000004</v>
      </c>
      <c r="G494" s="9">
        <v>8000000</v>
      </c>
      <c r="H494" s="9">
        <v>25078937</v>
      </c>
      <c r="I494" s="5">
        <f>IMDB_Movies!$H494-IMDB_Movies!$G494</f>
        <v>17078937</v>
      </c>
    </row>
    <row r="495" spans="1:9" ht="23">
      <c r="A495" s="3" t="s">
        <v>777</v>
      </c>
      <c r="B495" s="10" t="s">
        <v>227</v>
      </c>
      <c r="C495" s="10" t="s">
        <v>418</v>
      </c>
      <c r="D495" s="10" t="s">
        <v>11</v>
      </c>
      <c r="E495" s="10">
        <v>135</v>
      </c>
      <c r="F495" s="10">
        <v>8.1999999999999993</v>
      </c>
      <c r="G495" s="10">
        <v>58000000</v>
      </c>
      <c r="H495" s="10">
        <v>170708996</v>
      </c>
      <c r="I495" s="5">
        <f>IMDB_Movies!$H495-IMDB_Movies!$G495</f>
        <v>112708996</v>
      </c>
    </row>
    <row r="496" spans="1:9" ht="23">
      <c r="A496" s="2" t="s">
        <v>778</v>
      </c>
      <c r="B496" s="9" t="s">
        <v>638</v>
      </c>
      <c r="C496" s="9" t="s">
        <v>24</v>
      </c>
      <c r="D496" s="9" t="s">
        <v>11</v>
      </c>
      <c r="E496" s="9">
        <v>73</v>
      </c>
      <c r="F496" s="9">
        <v>8.5</v>
      </c>
      <c r="G496" s="9">
        <v>45000000</v>
      </c>
      <c r="H496" s="9">
        <v>422783777</v>
      </c>
      <c r="I496" s="5">
        <f>IMDB_Movies!$H496-IMDB_Movies!$G496</f>
        <v>377783777</v>
      </c>
    </row>
    <row r="497" spans="1:9" ht="23">
      <c r="A497" s="3" t="s">
        <v>779</v>
      </c>
      <c r="B497" s="10" t="s">
        <v>408</v>
      </c>
      <c r="C497" s="10" t="s">
        <v>10</v>
      </c>
      <c r="D497" s="10" t="s">
        <v>11</v>
      </c>
      <c r="E497" s="10">
        <v>94</v>
      </c>
      <c r="F497" s="10">
        <v>5.8</v>
      </c>
      <c r="G497" s="10">
        <v>79000000</v>
      </c>
      <c r="H497" s="10">
        <v>103812241</v>
      </c>
      <c r="I497" s="5">
        <f>IMDB_Movies!$H497-IMDB_Movies!$G497</f>
        <v>24812241</v>
      </c>
    </row>
    <row r="498" spans="1:9" ht="23">
      <c r="A498" s="2" t="s">
        <v>780</v>
      </c>
      <c r="B498" s="9" t="s">
        <v>781</v>
      </c>
      <c r="C498" s="9" t="s">
        <v>116</v>
      </c>
      <c r="D498" s="9" t="s">
        <v>11</v>
      </c>
      <c r="E498" s="9">
        <v>95</v>
      </c>
      <c r="F498" s="9">
        <v>6.5</v>
      </c>
      <c r="G498" s="9">
        <v>78000000</v>
      </c>
      <c r="H498" s="9">
        <v>119793567</v>
      </c>
      <c r="I498" s="5">
        <f>IMDB_Movies!$H498-IMDB_Movies!$G498</f>
        <v>41793567</v>
      </c>
    </row>
    <row r="499" spans="1:9" ht="23">
      <c r="A499" s="3" t="s">
        <v>782</v>
      </c>
      <c r="B499" s="10" t="s">
        <v>70</v>
      </c>
      <c r="C499" s="10" t="s">
        <v>414</v>
      </c>
      <c r="D499" s="10" t="s">
        <v>11</v>
      </c>
      <c r="E499" s="10">
        <v>124</v>
      </c>
      <c r="F499" s="10">
        <v>7.2</v>
      </c>
      <c r="G499" s="10">
        <v>78000000</v>
      </c>
      <c r="H499" s="10">
        <v>92930005</v>
      </c>
      <c r="I499" s="5">
        <f>IMDB_Movies!$H499-IMDB_Movies!$G499</f>
        <v>14930005</v>
      </c>
    </row>
    <row r="500" spans="1:9" ht="23">
      <c r="A500" s="2" t="s">
        <v>783</v>
      </c>
      <c r="B500" s="9" t="s">
        <v>241</v>
      </c>
      <c r="C500" s="9" t="s">
        <v>10</v>
      </c>
      <c r="D500" s="9" t="s">
        <v>11</v>
      </c>
      <c r="E500" s="9">
        <v>136</v>
      </c>
      <c r="F500" s="9">
        <v>6.7</v>
      </c>
      <c r="G500" s="9">
        <v>100000000</v>
      </c>
      <c r="H500" s="9">
        <v>67286731</v>
      </c>
      <c r="I500" s="5">
        <f>IMDB_Movies!$H500-IMDB_Movies!$G500</f>
        <v>-32713269</v>
      </c>
    </row>
    <row r="501" spans="1:9" ht="23">
      <c r="A501" s="3" t="s">
        <v>784</v>
      </c>
      <c r="B501" s="10" t="s">
        <v>584</v>
      </c>
      <c r="C501" s="10" t="s">
        <v>138</v>
      </c>
      <c r="D501" s="10" t="s">
        <v>11</v>
      </c>
      <c r="E501" s="10">
        <v>91</v>
      </c>
      <c r="F501" s="10">
        <v>3.4</v>
      </c>
      <c r="G501" s="10">
        <v>79000000</v>
      </c>
      <c r="H501" s="10">
        <v>74158157</v>
      </c>
      <c r="I501" s="5">
        <f>IMDB_Movies!$H501-IMDB_Movies!$G501</f>
        <v>-4841843</v>
      </c>
    </row>
    <row r="502" spans="1:9" ht="23">
      <c r="A502" s="2" t="s">
        <v>785</v>
      </c>
      <c r="B502" s="9" t="s">
        <v>786</v>
      </c>
      <c r="C502" s="9" t="s">
        <v>10</v>
      </c>
      <c r="D502" s="9" t="s">
        <v>11</v>
      </c>
      <c r="E502" s="9">
        <v>107</v>
      </c>
      <c r="F502" s="9">
        <v>5.9</v>
      </c>
      <c r="G502" s="9">
        <v>76000000</v>
      </c>
      <c r="H502" s="9">
        <v>127083765</v>
      </c>
      <c r="I502" s="5">
        <f>IMDB_Movies!$H502-IMDB_Movies!$G502</f>
        <v>51083765</v>
      </c>
    </row>
    <row r="503" spans="1:9" ht="23">
      <c r="A503" s="3" t="s">
        <v>787</v>
      </c>
      <c r="B503" s="10" t="s">
        <v>313</v>
      </c>
      <c r="C503" s="10" t="s">
        <v>24</v>
      </c>
      <c r="D503" s="10" t="s">
        <v>11</v>
      </c>
      <c r="E503" s="10">
        <v>108</v>
      </c>
      <c r="F503" s="10">
        <v>7.8</v>
      </c>
      <c r="G503" s="10">
        <v>81200000</v>
      </c>
      <c r="H503" s="10">
        <v>1339152</v>
      </c>
      <c r="I503" s="5">
        <f>IMDB_Movies!$H503-IMDB_Movies!$G503</f>
        <v>-79860848</v>
      </c>
    </row>
    <row r="504" spans="1:9" ht="23">
      <c r="A504" s="2" t="s">
        <v>788</v>
      </c>
      <c r="B504" s="9" t="s">
        <v>789</v>
      </c>
      <c r="C504" s="9" t="s">
        <v>790</v>
      </c>
      <c r="D504" s="9" t="s">
        <v>11</v>
      </c>
      <c r="E504" s="9">
        <v>99</v>
      </c>
      <c r="F504" s="9">
        <v>5.9</v>
      </c>
      <c r="G504" s="9">
        <v>80000000</v>
      </c>
      <c r="H504" s="9">
        <v>15071514</v>
      </c>
      <c r="I504" s="5">
        <f>IMDB_Movies!$H504-IMDB_Movies!$G504</f>
        <v>-64928486</v>
      </c>
    </row>
    <row r="505" spans="1:9" ht="23">
      <c r="A505" s="3" t="s">
        <v>791</v>
      </c>
      <c r="B505" s="10" t="s">
        <v>792</v>
      </c>
      <c r="C505" s="10" t="s">
        <v>24</v>
      </c>
      <c r="D505" s="10" t="s">
        <v>11</v>
      </c>
      <c r="E505" s="10">
        <v>92</v>
      </c>
      <c r="F505" s="10">
        <v>4.0999999999999996</v>
      </c>
      <c r="G505" s="10">
        <v>76000000</v>
      </c>
      <c r="H505" s="10">
        <v>26000610</v>
      </c>
      <c r="I505" s="5">
        <f>IMDB_Movies!$H505-IMDB_Movies!$G505</f>
        <v>-49999390</v>
      </c>
    </row>
    <row r="506" spans="1:9" ht="23">
      <c r="A506" s="2" t="s">
        <v>793</v>
      </c>
      <c r="B506" s="9" t="s">
        <v>794</v>
      </c>
      <c r="C506" s="9" t="s">
        <v>116</v>
      </c>
      <c r="D506" s="9" t="s">
        <v>11</v>
      </c>
      <c r="E506" s="9">
        <v>87</v>
      </c>
      <c r="F506" s="9">
        <v>6.8</v>
      </c>
      <c r="G506" s="9">
        <v>75000000</v>
      </c>
      <c r="H506" s="9">
        <v>323505540</v>
      </c>
      <c r="I506" s="5">
        <f>IMDB_Movies!$H506-IMDB_Movies!$G506</f>
        <v>248505540</v>
      </c>
    </row>
    <row r="507" spans="1:9" ht="23">
      <c r="A507" s="3" t="s">
        <v>795</v>
      </c>
      <c r="B507" s="10" t="s">
        <v>796</v>
      </c>
      <c r="C507" s="10" t="s">
        <v>10</v>
      </c>
      <c r="D507" s="10" t="s">
        <v>11</v>
      </c>
      <c r="E507" s="10">
        <v>110</v>
      </c>
      <c r="F507" s="10">
        <v>5.8</v>
      </c>
      <c r="G507" s="10">
        <v>78000000</v>
      </c>
      <c r="H507" s="10">
        <v>66462600</v>
      </c>
      <c r="I507" s="5">
        <f>IMDB_Movies!$H507-IMDB_Movies!$G507</f>
        <v>-11537400</v>
      </c>
    </row>
    <row r="508" spans="1:9" ht="23">
      <c r="A508" s="2" t="s">
        <v>797</v>
      </c>
      <c r="B508" s="9" t="s">
        <v>798</v>
      </c>
      <c r="C508" s="9" t="s">
        <v>116</v>
      </c>
      <c r="D508" s="9" t="s">
        <v>11</v>
      </c>
      <c r="E508" s="9">
        <v>98</v>
      </c>
      <c r="F508" s="9">
        <v>7.5</v>
      </c>
      <c r="G508" s="9">
        <v>76000000</v>
      </c>
      <c r="H508" s="9">
        <v>368049635</v>
      </c>
      <c r="I508" s="5">
        <f>IMDB_Movies!$H508-IMDB_Movies!$G508</f>
        <v>292049635</v>
      </c>
    </row>
    <row r="509" spans="1:9" ht="23">
      <c r="A509" s="3" t="s">
        <v>799</v>
      </c>
      <c r="B509" s="10" t="s">
        <v>113</v>
      </c>
      <c r="C509" s="10" t="s">
        <v>10</v>
      </c>
      <c r="D509" s="10" t="s">
        <v>11</v>
      </c>
      <c r="E509" s="10">
        <v>154</v>
      </c>
      <c r="F509" s="10">
        <v>6.9</v>
      </c>
      <c r="G509" s="10">
        <v>75000000</v>
      </c>
      <c r="H509" s="10">
        <v>306124059</v>
      </c>
      <c r="I509" s="5">
        <f>IMDB_Movies!$H509-IMDB_Movies!$G509</f>
        <v>231124059</v>
      </c>
    </row>
    <row r="510" spans="1:9" ht="23">
      <c r="A510" s="2" t="s">
        <v>800</v>
      </c>
      <c r="B510" s="9" t="s">
        <v>103</v>
      </c>
      <c r="C510" s="9" t="s">
        <v>10</v>
      </c>
      <c r="D510" s="9" t="s">
        <v>11</v>
      </c>
      <c r="E510" s="9">
        <v>129</v>
      </c>
      <c r="F510" s="9">
        <v>6.5</v>
      </c>
      <c r="G510" s="9">
        <v>73000000</v>
      </c>
      <c r="H510" s="9">
        <v>229074524</v>
      </c>
      <c r="I510" s="5">
        <f>IMDB_Movies!$H510-IMDB_Movies!$G510</f>
        <v>156074524</v>
      </c>
    </row>
    <row r="511" spans="1:9" ht="23">
      <c r="A511" s="3" t="s">
        <v>801</v>
      </c>
      <c r="B511" s="10" t="s">
        <v>214</v>
      </c>
      <c r="C511" s="10" t="s">
        <v>24</v>
      </c>
      <c r="D511" s="10" t="s">
        <v>11</v>
      </c>
      <c r="E511" s="10">
        <v>86</v>
      </c>
      <c r="F511" s="10">
        <v>6.9</v>
      </c>
      <c r="G511" s="10">
        <v>75000000</v>
      </c>
      <c r="H511" s="10">
        <v>193136719</v>
      </c>
      <c r="I511" s="5">
        <f>IMDB_Movies!$H511-IMDB_Movies!$G511</f>
        <v>118136719</v>
      </c>
    </row>
    <row r="512" spans="1:9" ht="23">
      <c r="A512" s="2" t="s">
        <v>802</v>
      </c>
      <c r="B512" s="9" t="s">
        <v>328</v>
      </c>
      <c r="C512" s="9" t="s">
        <v>56</v>
      </c>
      <c r="D512" s="9" t="s">
        <v>11</v>
      </c>
      <c r="E512" s="9">
        <v>109</v>
      </c>
      <c r="F512" s="9">
        <v>7.9</v>
      </c>
      <c r="G512" s="9">
        <v>76000000</v>
      </c>
      <c r="H512" s="9">
        <v>35286428</v>
      </c>
      <c r="I512" s="5">
        <f>IMDB_Movies!$H512-IMDB_Movies!$G512</f>
        <v>-40713572</v>
      </c>
    </row>
    <row r="513" spans="1:9" ht="23">
      <c r="A513" s="3" t="s">
        <v>803</v>
      </c>
      <c r="B513" s="10" t="s">
        <v>32</v>
      </c>
      <c r="C513" s="10" t="s">
        <v>10</v>
      </c>
      <c r="D513" s="10" t="s">
        <v>11</v>
      </c>
      <c r="E513" s="10">
        <v>104</v>
      </c>
      <c r="F513" s="10">
        <v>7.4</v>
      </c>
      <c r="G513" s="10">
        <v>75000000</v>
      </c>
      <c r="H513" s="10">
        <v>157299717</v>
      </c>
      <c r="I513" s="5">
        <f>IMDB_Movies!$H513-IMDB_Movies!$G513</f>
        <v>82299717</v>
      </c>
    </row>
    <row r="514" spans="1:9" ht="23">
      <c r="A514" s="2" t="s">
        <v>804</v>
      </c>
      <c r="B514" s="9" t="s">
        <v>578</v>
      </c>
      <c r="C514" s="9" t="s">
        <v>10</v>
      </c>
      <c r="D514" s="9" t="s">
        <v>11</v>
      </c>
      <c r="E514" s="9">
        <v>110</v>
      </c>
      <c r="F514" s="9">
        <v>6.7</v>
      </c>
      <c r="G514" s="9">
        <v>75000000</v>
      </c>
      <c r="H514" s="9">
        <v>134568845</v>
      </c>
      <c r="I514" s="5">
        <f>IMDB_Movies!$H514-IMDB_Movies!$G514</f>
        <v>59568845</v>
      </c>
    </row>
    <row r="515" spans="1:9" ht="23">
      <c r="A515" s="3" t="s">
        <v>805</v>
      </c>
      <c r="B515" s="10" t="s">
        <v>74</v>
      </c>
      <c r="C515" s="10" t="s">
        <v>10</v>
      </c>
      <c r="D515" s="10" t="s">
        <v>11</v>
      </c>
      <c r="E515" s="10">
        <v>136</v>
      </c>
      <c r="F515" s="10">
        <v>7.4</v>
      </c>
      <c r="G515" s="10">
        <v>75000000</v>
      </c>
      <c r="H515" s="10">
        <v>134006721</v>
      </c>
      <c r="I515" s="5">
        <f>IMDB_Movies!$H515-IMDB_Movies!$G515</f>
        <v>59006721</v>
      </c>
    </row>
    <row r="516" spans="1:9" ht="23">
      <c r="A516" s="2" t="s">
        <v>806</v>
      </c>
      <c r="B516" s="9" t="s">
        <v>344</v>
      </c>
      <c r="C516" s="9" t="s">
        <v>10</v>
      </c>
      <c r="D516" s="9" t="s">
        <v>11</v>
      </c>
      <c r="E516" s="9">
        <v>115</v>
      </c>
      <c r="F516" s="9">
        <v>6.9</v>
      </c>
      <c r="G516" s="9">
        <v>80000000</v>
      </c>
      <c r="H516" s="9">
        <v>195329763</v>
      </c>
      <c r="I516" s="5">
        <f>IMDB_Movies!$H516-IMDB_Movies!$G516</f>
        <v>115329763</v>
      </c>
    </row>
    <row r="517" spans="1:9" ht="23">
      <c r="A517" s="3" t="s">
        <v>807</v>
      </c>
      <c r="B517" s="10" t="s">
        <v>662</v>
      </c>
      <c r="C517" s="10" t="s">
        <v>138</v>
      </c>
      <c r="D517" s="10" t="s">
        <v>11</v>
      </c>
      <c r="E517" s="10">
        <v>99</v>
      </c>
      <c r="F517" s="10">
        <v>6.8</v>
      </c>
      <c r="G517" s="10">
        <v>75000000</v>
      </c>
      <c r="H517" s="10">
        <v>120776832</v>
      </c>
      <c r="I517" s="5">
        <f>IMDB_Movies!$H517-IMDB_Movies!$G517</f>
        <v>45776832</v>
      </c>
    </row>
    <row r="518" spans="1:9" ht="23">
      <c r="A518" s="2" t="s">
        <v>808</v>
      </c>
      <c r="B518" s="9" t="s">
        <v>700</v>
      </c>
      <c r="C518" s="9" t="s">
        <v>138</v>
      </c>
      <c r="D518" s="9" t="s">
        <v>11</v>
      </c>
      <c r="E518" s="9">
        <v>117</v>
      </c>
      <c r="F518" s="9">
        <v>6.7</v>
      </c>
      <c r="G518" s="9">
        <v>75000000</v>
      </c>
      <c r="H518" s="9">
        <v>118823091</v>
      </c>
      <c r="I518" s="5">
        <f>IMDB_Movies!$H518-IMDB_Movies!$G518</f>
        <v>43823091</v>
      </c>
    </row>
    <row r="519" spans="1:9" ht="23">
      <c r="A519" s="3" t="s">
        <v>809</v>
      </c>
      <c r="B519" s="10" t="s">
        <v>557</v>
      </c>
      <c r="C519" s="10" t="s">
        <v>810</v>
      </c>
      <c r="D519" s="10" t="s">
        <v>11</v>
      </c>
      <c r="E519" s="10">
        <v>125</v>
      </c>
      <c r="F519" s="10">
        <v>5.0999999999999996</v>
      </c>
      <c r="G519" s="10">
        <v>50000000</v>
      </c>
      <c r="H519" s="10">
        <v>41814863</v>
      </c>
      <c r="I519" s="5">
        <f>IMDB_Movies!$H519-IMDB_Movies!$G519</f>
        <v>-8185137</v>
      </c>
    </row>
    <row r="520" spans="1:9" ht="23">
      <c r="A520" s="2" t="s">
        <v>811</v>
      </c>
      <c r="B520" s="9" t="s">
        <v>812</v>
      </c>
      <c r="C520" s="9" t="s">
        <v>10</v>
      </c>
      <c r="D520" s="9" t="s">
        <v>11</v>
      </c>
      <c r="E520" s="9">
        <v>110</v>
      </c>
      <c r="F520" s="9">
        <v>4.0999999999999996</v>
      </c>
      <c r="G520" s="9">
        <v>75000000</v>
      </c>
      <c r="H520" s="9">
        <v>97360069</v>
      </c>
      <c r="I520" s="5">
        <f>IMDB_Movies!$H520-IMDB_Movies!$G520</f>
        <v>22360069</v>
      </c>
    </row>
    <row r="521" spans="1:9" ht="23">
      <c r="A521" s="3" t="s">
        <v>813</v>
      </c>
      <c r="B521" s="10" t="s">
        <v>302</v>
      </c>
      <c r="C521" s="10" t="s">
        <v>414</v>
      </c>
      <c r="D521" s="10" t="s">
        <v>11</v>
      </c>
      <c r="E521" s="10">
        <v>125</v>
      </c>
      <c r="F521" s="10">
        <v>7.3</v>
      </c>
      <c r="G521" s="10">
        <v>75000000</v>
      </c>
      <c r="H521" s="10">
        <v>117698894</v>
      </c>
      <c r="I521" s="5">
        <f>IMDB_Movies!$H521-IMDB_Movies!$G521</f>
        <v>42698894</v>
      </c>
    </row>
    <row r="522" spans="1:9" ht="23">
      <c r="A522" s="2" t="s">
        <v>814</v>
      </c>
      <c r="B522" s="9" t="s">
        <v>584</v>
      </c>
      <c r="C522" s="9" t="s">
        <v>138</v>
      </c>
      <c r="D522" s="9" t="s">
        <v>11</v>
      </c>
      <c r="E522" s="9">
        <v>102</v>
      </c>
      <c r="F522" s="9">
        <v>6</v>
      </c>
      <c r="G522" s="9">
        <v>80000000</v>
      </c>
      <c r="H522" s="9">
        <v>162001186</v>
      </c>
      <c r="I522" s="5">
        <f>IMDB_Movies!$H522-IMDB_Movies!$G522</f>
        <v>82001186</v>
      </c>
    </row>
    <row r="523" spans="1:9" ht="23">
      <c r="A523" s="3" t="s">
        <v>815</v>
      </c>
      <c r="B523" s="10" t="s">
        <v>103</v>
      </c>
      <c r="C523" s="10" t="s">
        <v>138</v>
      </c>
      <c r="D523" s="10" t="s">
        <v>11</v>
      </c>
      <c r="E523" s="10">
        <v>128</v>
      </c>
      <c r="F523" s="10">
        <v>7.3</v>
      </c>
      <c r="G523" s="10">
        <v>60000000</v>
      </c>
      <c r="H523" s="10">
        <v>77032279</v>
      </c>
      <c r="I523" s="5">
        <f>IMDB_Movies!$H523-IMDB_Movies!$G523</f>
        <v>17032279</v>
      </c>
    </row>
    <row r="524" spans="1:9" ht="23">
      <c r="A524" s="2" t="s">
        <v>816</v>
      </c>
      <c r="B524" s="9" t="s">
        <v>594</v>
      </c>
      <c r="C524" s="9" t="s">
        <v>138</v>
      </c>
      <c r="D524" s="9" t="s">
        <v>11</v>
      </c>
      <c r="E524" s="9">
        <v>100</v>
      </c>
      <c r="F524" s="9">
        <v>5.4</v>
      </c>
      <c r="G524" s="9">
        <v>35000000</v>
      </c>
      <c r="H524" s="9">
        <v>73023275</v>
      </c>
      <c r="I524" s="5">
        <f>IMDB_Movies!$H524-IMDB_Movies!$G524</f>
        <v>38023275</v>
      </c>
    </row>
    <row r="525" spans="1:9" ht="23">
      <c r="A525" s="3" t="s">
        <v>817</v>
      </c>
      <c r="B525" s="10" t="s">
        <v>83</v>
      </c>
      <c r="C525" s="10" t="s">
        <v>10</v>
      </c>
      <c r="D525" s="10" t="s">
        <v>11</v>
      </c>
      <c r="E525" s="10">
        <v>124</v>
      </c>
      <c r="F525" s="10">
        <v>5.9</v>
      </c>
      <c r="G525" s="10">
        <v>75000000</v>
      </c>
      <c r="H525" s="10">
        <v>68473360</v>
      </c>
      <c r="I525" s="5">
        <f>IMDB_Movies!$H525-IMDB_Movies!$G525</f>
        <v>-6526640</v>
      </c>
    </row>
    <row r="526" spans="1:9" ht="23">
      <c r="A526" s="2" t="s">
        <v>818</v>
      </c>
      <c r="B526" s="9" t="s">
        <v>819</v>
      </c>
      <c r="C526" s="9" t="s">
        <v>418</v>
      </c>
      <c r="D526" s="9" t="s">
        <v>11</v>
      </c>
      <c r="E526" s="9">
        <v>102</v>
      </c>
      <c r="F526" s="9">
        <v>7.1</v>
      </c>
      <c r="G526" s="9">
        <v>75000000</v>
      </c>
      <c r="H526" s="9">
        <v>66636385</v>
      </c>
      <c r="I526" s="5">
        <f>IMDB_Movies!$H526-IMDB_Movies!$G526</f>
        <v>-8363615</v>
      </c>
    </row>
    <row r="527" spans="1:9" ht="23">
      <c r="A527" s="3" t="s">
        <v>820</v>
      </c>
      <c r="B527" s="10" t="s">
        <v>534</v>
      </c>
      <c r="C527" s="10" t="s">
        <v>24</v>
      </c>
      <c r="D527" s="10" t="s">
        <v>11</v>
      </c>
      <c r="E527" s="10">
        <v>90</v>
      </c>
      <c r="F527" s="10">
        <v>6</v>
      </c>
      <c r="G527" s="10">
        <v>75000000</v>
      </c>
      <c r="H527" s="10">
        <v>160762022</v>
      </c>
      <c r="I527" s="5">
        <f>IMDB_Movies!$H527-IMDB_Movies!$G527</f>
        <v>85762022</v>
      </c>
    </row>
    <row r="528" spans="1:9" ht="23">
      <c r="A528" s="2" t="s">
        <v>821</v>
      </c>
      <c r="B528" s="9" t="s">
        <v>299</v>
      </c>
      <c r="C528" s="9" t="s">
        <v>56</v>
      </c>
      <c r="D528" s="9" t="s">
        <v>11</v>
      </c>
      <c r="E528" s="9">
        <v>130</v>
      </c>
      <c r="F528" s="9">
        <v>6.5</v>
      </c>
      <c r="G528" s="9">
        <v>70000000</v>
      </c>
      <c r="H528" s="9">
        <v>103338338</v>
      </c>
      <c r="I528" s="5">
        <f>IMDB_Movies!$H528-IMDB_Movies!$G528</f>
        <v>33338338</v>
      </c>
    </row>
    <row r="529" spans="1:9" ht="23">
      <c r="A529" s="3" t="s">
        <v>822</v>
      </c>
      <c r="B529" s="10" t="s">
        <v>823</v>
      </c>
      <c r="C529" s="10" t="s">
        <v>138</v>
      </c>
      <c r="D529" s="10" t="s">
        <v>11</v>
      </c>
      <c r="E529" s="10">
        <v>118</v>
      </c>
      <c r="F529" s="10">
        <v>5.7</v>
      </c>
      <c r="G529" s="10">
        <v>53000000</v>
      </c>
      <c r="H529" s="10">
        <v>55808744</v>
      </c>
      <c r="I529" s="5">
        <f>IMDB_Movies!$H529-IMDB_Movies!$G529</f>
        <v>2808744</v>
      </c>
    </row>
    <row r="530" spans="1:9" ht="23">
      <c r="A530" s="2" t="s">
        <v>824</v>
      </c>
      <c r="B530" s="9" t="s">
        <v>103</v>
      </c>
      <c r="C530" s="9" t="s">
        <v>56</v>
      </c>
      <c r="D530" s="9" t="s">
        <v>11</v>
      </c>
      <c r="E530" s="9">
        <v>163</v>
      </c>
      <c r="F530" s="9">
        <v>7.6</v>
      </c>
      <c r="G530" s="9">
        <v>70000000</v>
      </c>
      <c r="H530" s="9">
        <v>47379090</v>
      </c>
      <c r="I530" s="5">
        <f>IMDB_Movies!$H530-IMDB_Movies!$G530</f>
        <v>-22620910</v>
      </c>
    </row>
    <row r="531" spans="1:9" ht="23">
      <c r="A531" s="3" t="s">
        <v>825</v>
      </c>
      <c r="B531" s="10" t="s">
        <v>826</v>
      </c>
      <c r="C531" s="10" t="s">
        <v>10</v>
      </c>
      <c r="D531" s="10" t="s">
        <v>11</v>
      </c>
      <c r="E531" s="10">
        <v>142</v>
      </c>
      <c r="F531" s="10">
        <v>6.6</v>
      </c>
      <c r="G531" s="10">
        <v>70000000</v>
      </c>
      <c r="H531" s="10">
        <v>43426961</v>
      </c>
      <c r="I531" s="5">
        <f>IMDB_Movies!$H531-IMDB_Movies!$G531</f>
        <v>-26573039</v>
      </c>
    </row>
    <row r="532" spans="1:9" ht="23">
      <c r="A532" s="2" t="s">
        <v>827</v>
      </c>
      <c r="B532" s="9" t="s">
        <v>828</v>
      </c>
      <c r="C532" s="9" t="s">
        <v>10</v>
      </c>
      <c r="D532" s="9" t="s">
        <v>11</v>
      </c>
      <c r="E532" s="9">
        <v>100</v>
      </c>
      <c r="F532" s="9">
        <v>5.4</v>
      </c>
      <c r="G532" s="9">
        <v>75000000</v>
      </c>
      <c r="H532" s="9">
        <v>47000485</v>
      </c>
      <c r="I532" s="5">
        <f>IMDB_Movies!$H532-IMDB_Movies!$G532</f>
        <v>-27999515</v>
      </c>
    </row>
    <row r="533" spans="1:9" ht="23">
      <c r="A533" s="3" t="s">
        <v>829</v>
      </c>
      <c r="B533" s="10" t="s">
        <v>348</v>
      </c>
      <c r="C533" s="10" t="s">
        <v>10</v>
      </c>
      <c r="D533" s="10" t="s">
        <v>11</v>
      </c>
      <c r="E533" s="10">
        <v>116</v>
      </c>
      <c r="F533" s="10">
        <v>7.3</v>
      </c>
      <c r="G533" s="10">
        <v>75000000</v>
      </c>
      <c r="H533" s="10">
        <v>45434443</v>
      </c>
      <c r="I533" s="5">
        <f>IMDB_Movies!$H533-IMDB_Movies!$G533</f>
        <v>-29565557</v>
      </c>
    </row>
    <row r="534" spans="1:9" ht="23">
      <c r="A534" s="2" t="s">
        <v>830</v>
      </c>
      <c r="B534" s="9" t="s">
        <v>380</v>
      </c>
      <c r="C534" s="9" t="s">
        <v>138</v>
      </c>
      <c r="D534" s="9" t="s">
        <v>11</v>
      </c>
      <c r="E534" s="9">
        <v>131</v>
      </c>
      <c r="F534" s="9">
        <v>6.5</v>
      </c>
      <c r="G534" s="9">
        <v>80000000</v>
      </c>
      <c r="H534" s="9">
        <v>42044321</v>
      </c>
      <c r="I534" s="5">
        <f>IMDB_Movies!$H534-IMDB_Movies!$G534</f>
        <v>-37955679</v>
      </c>
    </row>
    <row r="535" spans="1:9" ht="23">
      <c r="A535" s="3" t="s">
        <v>831</v>
      </c>
      <c r="B535" s="10" t="s">
        <v>832</v>
      </c>
      <c r="C535" s="10" t="s">
        <v>116</v>
      </c>
      <c r="D535" s="10" t="s">
        <v>11</v>
      </c>
      <c r="E535" s="10">
        <v>91</v>
      </c>
      <c r="F535" s="10">
        <v>6.6</v>
      </c>
      <c r="G535" s="10">
        <v>75000000</v>
      </c>
      <c r="H535" s="10">
        <v>73661010</v>
      </c>
      <c r="I535" s="5">
        <f>IMDB_Movies!$H535-IMDB_Movies!$G535</f>
        <v>-1338990</v>
      </c>
    </row>
    <row r="536" spans="1:9" ht="23">
      <c r="A536" s="2" t="s">
        <v>833</v>
      </c>
      <c r="B536" s="9" t="s">
        <v>834</v>
      </c>
      <c r="C536" s="9" t="s">
        <v>138</v>
      </c>
      <c r="D536" s="9" t="s">
        <v>11</v>
      </c>
      <c r="E536" s="9">
        <v>123</v>
      </c>
      <c r="F536" s="9">
        <v>6.6</v>
      </c>
      <c r="G536" s="9">
        <v>80000000</v>
      </c>
      <c r="H536" s="9">
        <v>41523271</v>
      </c>
      <c r="I536" s="5">
        <f>IMDB_Movies!$H536-IMDB_Movies!$G536</f>
        <v>-38476729</v>
      </c>
    </row>
    <row r="537" spans="1:9" ht="23">
      <c r="A537" s="3" t="s">
        <v>835</v>
      </c>
      <c r="B537" s="10" t="s">
        <v>836</v>
      </c>
      <c r="C537" s="10" t="s">
        <v>10</v>
      </c>
      <c r="D537" s="10" t="s">
        <v>11</v>
      </c>
      <c r="E537" s="10">
        <v>134</v>
      </c>
      <c r="F537" s="10">
        <v>5.9</v>
      </c>
      <c r="G537" s="10">
        <v>55000000</v>
      </c>
      <c r="H537" s="10">
        <v>37600435</v>
      </c>
      <c r="I537" s="5">
        <f>IMDB_Movies!$H537-IMDB_Movies!$G537</f>
        <v>-17399565</v>
      </c>
    </row>
    <row r="538" spans="1:9" ht="23">
      <c r="A538" s="2" t="s">
        <v>837</v>
      </c>
      <c r="B538" s="9" t="s">
        <v>838</v>
      </c>
      <c r="C538" s="9" t="s">
        <v>56</v>
      </c>
      <c r="D538" s="9" t="s">
        <v>11</v>
      </c>
      <c r="E538" s="9">
        <v>148</v>
      </c>
      <c r="F538" s="9">
        <v>6.7</v>
      </c>
      <c r="G538" s="9">
        <v>75000000</v>
      </c>
      <c r="H538" s="9">
        <v>39251128</v>
      </c>
      <c r="I538" s="5">
        <f>IMDB_Movies!$H538-IMDB_Movies!$G538</f>
        <v>-35748872</v>
      </c>
    </row>
    <row r="539" spans="1:9" ht="23">
      <c r="A539" s="3" t="s">
        <v>839</v>
      </c>
      <c r="B539" s="10" t="s">
        <v>656</v>
      </c>
      <c r="C539" s="10" t="s">
        <v>10</v>
      </c>
      <c r="D539" s="10" t="s">
        <v>11</v>
      </c>
      <c r="E539" s="10">
        <v>110</v>
      </c>
      <c r="F539" s="10">
        <v>6.1</v>
      </c>
      <c r="G539" s="10">
        <v>75000000</v>
      </c>
      <c r="H539" s="10">
        <v>83503161</v>
      </c>
      <c r="I539" s="5">
        <f>IMDB_Movies!$H539-IMDB_Movies!$G539</f>
        <v>8503161</v>
      </c>
    </row>
    <row r="540" spans="1:9" ht="23">
      <c r="A540" s="2" t="s">
        <v>840</v>
      </c>
      <c r="B540" s="9" t="s">
        <v>841</v>
      </c>
      <c r="C540" s="9" t="s">
        <v>10</v>
      </c>
      <c r="D540" s="9" t="s">
        <v>11</v>
      </c>
      <c r="E540" s="9">
        <v>113</v>
      </c>
      <c r="F540" s="9">
        <v>6.6</v>
      </c>
      <c r="G540" s="9">
        <v>52000000</v>
      </c>
      <c r="H540" s="9">
        <v>34636443</v>
      </c>
      <c r="I540" s="5">
        <f>IMDB_Movies!$H540-IMDB_Movies!$G540</f>
        <v>-17363557</v>
      </c>
    </row>
    <row r="541" spans="1:9" ht="23">
      <c r="A541" s="3" t="s">
        <v>842</v>
      </c>
      <c r="B541" s="10" t="s">
        <v>843</v>
      </c>
      <c r="C541" s="10" t="s">
        <v>10</v>
      </c>
      <c r="D541" s="10" t="s">
        <v>11</v>
      </c>
      <c r="E541" s="10">
        <v>94</v>
      </c>
      <c r="F541" s="10">
        <v>6.6</v>
      </c>
      <c r="G541" s="10">
        <v>75000000</v>
      </c>
      <c r="H541" s="10">
        <v>22751979</v>
      </c>
      <c r="I541" s="5">
        <f>IMDB_Movies!$H541-IMDB_Movies!$G541</f>
        <v>-52248021</v>
      </c>
    </row>
    <row r="542" spans="1:9" ht="23">
      <c r="A542" s="2" t="s">
        <v>844</v>
      </c>
      <c r="B542" s="9" t="s">
        <v>845</v>
      </c>
      <c r="C542" s="9" t="s">
        <v>10</v>
      </c>
      <c r="D542" s="9" t="s">
        <v>11</v>
      </c>
      <c r="E542" s="9">
        <v>116</v>
      </c>
      <c r="F542" s="9">
        <v>5.3</v>
      </c>
      <c r="G542" s="9">
        <v>75000000</v>
      </c>
      <c r="H542" s="9">
        <v>30013346</v>
      </c>
      <c r="I542" s="5">
        <f>IMDB_Movies!$H542-IMDB_Movies!$G542</f>
        <v>-44986654</v>
      </c>
    </row>
    <row r="543" spans="1:9" ht="23">
      <c r="A543" s="3" t="s">
        <v>846</v>
      </c>
      <c r="B543" s="10" t="s">
        <v>623</v>
      </c>
      <c r="C543" s="10" t="s">
        <v>10</v>
      </c>
      <c r="D543" s="10" t="s">
        <v>11</v>
      </c>
      <c r="E543" s="10">
        <v>99</v>
      </c>
      <c r="F543" s="10">
        <v>6</v>
      </c>
      <c r="G543" s="10">
        <v>75000000</v>
      </c>
      <c r="H543" s="10">
        <v>14567883</v>
      </c>
      <c r="I543" s="5">
        <f>IMDB_Movies!$H543-IMDB_Movies!$G543</f>
        <v>-60432117</v>
      </c>
    </row>
    <row r="544" spans="1:9" ht="23">
      <c r="A544" s="2" t="s">
        <v>847</v>
      </c>
      <c r="B544" s="9" t="s">
        <v>848</v>
      </c>
      <c r="C544" s="9" t="s">
        <v>56</v>
      </c>
      <c r="D544" s="9" t="s">
        <v>11</v>
      </c>
      <c r="E544" s="9">
        <v>84</v>
      </c>
      <c r="F544" s="9">
        <v>6</v>
      </c>
      <c r="G544" s="9">
        <v>20000000</v>
      </c>
      <c r="H544" s="9">
        <v>90820</v>
      </c>
      <c r="I544" s="5">
        <f>IMDB_Movies!$H544-IMDB_Movies!$G544</f>
        <v>-19909180</v>
      </c>
    </row>
    <row r="545" spans="1:9" ht="23">
      <c r="A545" s="3" t="s">
        <v>849</v>
      </c>
      <c r="B545" s="10" t="s">
        <v>850</v>
      </c>
      <c r="C545" s="10" t="s">
        <v>116</v>
      </c>
      <c r="D545" s="10" t="s">
        <v>11</v>
      </c>
      <c r="E545" s="10">
        <v>93</v>
      </c>
      <c r="F545" s="10">
        <v>4.7</v>
      </c>
      <c r="G545" s="10">
        <v>75000000</v>
      </c>
      <c r="H545" s="10">
        <v>5409517</v>
      </c>
      <c r="I545" s="5">
        <f>IMDB_Movies!$H545-IMDB_Movies!$G545</f>
        <v>-69590483</v>
      </c>
    </row>
    <row r="546" spans="1:9" ht="23">
      <c r="A546" s="2" t="s">
        <v>851</v>
      </c>
      <c r="B546" s="9" t="s">
        <v>552</v>
      </c>
      <c r="C546" s="9" t="s">
        <v>10</v>
      </c>
      <c r="D546" s="9" t="s">
        <v>11</v>
      </c>
      <c r="E546" s="9">
        <v>113</v>
      </c>
      <c r="F546" s="9">
        <v>6.1</v>
      </c>
      <c r="G546" s="9">
        <v>45000000</v>
      </c>
      <c r="H546" s="9">
        <v>21009180</v>
      </c>
      <c r="I546" s="5">
        <f>IMDB_Movies!$H546-IMDB_Movies!$G546</f>
        <v>-23990820</v>
      </c>
    </row>
    <row r="547" spans="1:9" ht="23">
      <c r="A547" s="3" t="s">
        <v>852</v>
      </c>
      <c r="B547" s="10" t="s">
        <v>247</v>
      </c>
      <c r="C547" s="10" t="s">
        <v>56</v>
      </c>
      <c r="D547" s="10" t="s">
        <v>11</v>
      </c>
      <c r="E547" s="10">
        <v>106</v>
      </c>
      <c r="F547" s="10">
        <v>7.2</v>
      </c>
      <c r="G547" s="10">
        <v>75000000</v>
      </c>
      <c r="H547" s="10">
        <v>94999143</v>
      </c>
      <c r="I547" s="5">
        <f>IMDB_Movies!$H547-IMDB_Movies!$G547</f>
        <v>19999143</v>
      </c>
    </row>
    <row r="548" spans="1:9" ht="23">
      <c r="A548" s="2" t="s">
        <v>853</v>
      </c>
      <c r="B548" s="9" t="s">
        <v>854</v>
      </c>
      <c r="C548" s="9" t="s">
        <v>10</v>
      </c>
      <c r="D548" s="9" t="s">
        <v>11</v>
      </c>
      <c r="E548" s="9">
        <v>91</v>
      </c>
      <c r="F548" s="9">
        <v>6.4</v>
      </c>
      <c r="G548" s="9">
        <v>74000000</v>
      </c>
      <c r="H548" s="9">
        <v>336029560</v>
      </c>
      <c r="I548" s="5">
        <f>IMDB_Movies!$H548-IMDB_Movies!$G548</f>
        <v>262029560</v>
      </c>
    </row>
    <row r="549" spans="1:9" ht="23">
      <c r="A549" s="3" t="s">
        <v>855</v>
      </c>
      <c r="B549" s="10" t="s">
        <v>30</v>
      </c>
      <c r="C549" s="10" t="s">
        <v>10</v>
      </c>
      <c r="D549" s="10" t="s">
        <v>11</v>
      </c>
      <c r="E549" s="10">
        <v>128</v>
      </c>
      <c r="F549" s="10">
        <v>6.1</v>
      </c>
      <c r="G549" s="10">
        <v>82000000</v>
      </c>
      <c r="H549" s="10">
        <v>36381716</v>
      </c>
      <c r="I549" s="5">
        <f>IMDB_Movies!$H549-IMDB_Movies!$G549</f>
        <v>-45618284</v>
      </c>
    </row>
    <row r="550" spans="1:9" ht="23">
      <c r="A550" s="2" t="s">
        <v>856</v>
      </c>
      <c r="B550" s="9" t="s">
        <v>600</v>
      </c>
      <c r="C550" s="9" t="s">
        <v>414</v>
      </c>
      <c r="D550" s="9" t="s">
        <v>11</v>
      </c>
      <c r="E550" s="9">
        <v>98</v>
      </c>
      <c r="F550" s="9">
        <v>5.9</v>
      </c>
      <c r="G550" s="9">
        <v>69000000</v>
      </c>
      <c r="H550" s="9">
        <v>55585389</v>
      </c>
      <c r="I550" s="5">
        <f>IMDB_Movies!$H550-IMDB_Movies!$G550</f>
        <v>-13414611</v>
      </c>
    </row>
    <row r="551" spans="1:9" ht="23">
      <c r="A551" s="3" t="s">
        <v>857</v>
      </c>
      <c r="B551" s="10" t="s">
        <v>834</v>
      </c>
      <c r="C551" s="10" t="s">
        <v>56</v>
      </c>
      <c r="D551" s="10" t="s">
        <v>11</v>
      </c>
      <c r="E551" s="10">
        <v>134</v>
      </c>
      <c r="F551" s="10">
        <v>6</v>
      </c>
      <c r="G551" s="10">
        <v>75000000</v>
      </c>
      <c r="H551" s="10">
        <v>36976367</v>
      </c>
      <c r="I551" s="5">
        <f>IMDB_Movies!$H551-IMDB_Movies!$G551</f>
        <v>-38023633</v>
      </c>
    </row>
    <row r="552" spans="1:9" ht="23">
      <c r="A552" s="2" t="s">
        <v>858</v>
      </c>
      <c r="B552" s="9" t="s">
        <v>859</v>
      </c>
      <c r="C552" s="9" t="s">
        <v>10</v>
      </c>
      <c r="D552" s="9" t="s">
        <v>11</v>
      </c>
      <c r="E552" s="9">
        <v>97</v>
      </c>
      <c r="F552" s="9">
        <v>6.3</v>
      </c>
      <c r="G552" s="9">
        <v>73000000</v>
      </c>
      <c r="H552" s="9">
        <v>107225164</v>
      </c>
      <c r="I552" s="5">
        <f>IMDB_Movies!$H552-IMDB_Movies!$G552</f>
        <v>34225164</v>
      </c>
    </row>
    <row r="553" spans="1:9" ht="23">
      <c r="A553" s="3" t="s">
        <v>860</v>
      </c>
      <c r="B553" s="10" t="s">
        <v>838</v>
      </c>
      <c r="C553" s="10" t="s">
        <v>10</v>
      </c>
      <c r="D553" s="10" t="s">
        <v>11</v>
      </c>
      <c r="E553" s="10">
        <v>112</v>
      </c>
      <c r="F553" s="10">
        <v>5.6</v>
      </c>
      <c r="G553" s="10">
        <v>70000000</v>
      </c>
      <c r="H553" s="10">
        <v>70224196</v>
      </c>
      <c r="I553" s="5">
        <f>IMDB_Movies!$H553-IMDB_Movies!$G553</f>
        <v>224196</v>
      </c>
    </row>
    <row r="554" spans="1:9" ht="23">
      <c r="A554" s="2" t="s">
        <v>861</v>
      </c>
      <c r="B554" s="9" t="s">
        <v>862</v>
      </c>
      <c r="C554" s="9" t="s">
        <v>138</v>
      </c>
      <c r="D554" s="9" t="s">
        <v>11</v>
      </c>
      <c r="E554" s="9">
        <v>153</v>
      </c>
      <c r="F554" s="9">
        <v>6.4</v>
      </c>
      <c r="G554" s="9">
        <v>75000000</v>
      </c>
      <c r="H554" s="9">
        <v>51814190</v>
      </c>
      <c r="I554" s="5">
        <f>IMDB_Movies!$H554-IMDB_Movies!$G554</f>
        <v>-23185810</v>
      </c>
    </row>
    <row r="555" spans="1:9" ht="23">
      <c r="A555" s="3" t="s">
        <v>863</v>
      </c>
      <c r="B555" s="10" t="s">
        <v>60</v>
      </c>
      <c r="C555" s="10" t="s">
        <v>10</v>
      </c>
      <c r="D555" s="10" t="s">
        <v>11</v>
      </c>
      <c r="E555" s="10">
        <v>110</v>
      </c>
      <c r="F555" s="10">
        <v>7.1</v>
      </c>
      <c r="G555" s="10">
        <v>70000000</v>
      </c>
      <c r="H555" s="10">
        <v>47456450</v>
      </c>
      <c r="I555" s="5">
        <f>IMDB_Movies!$H555-IMDB_Movies!$G555</f>
        <v>-22543550</v>
      </c>
    </row>
    <row r="556" spans="1:9" ht="23">
      <c r="A556" s="2" t="s">
        <v>864</v>
      </c>
      <c r="B556" s="9" t="s">
        <v>468</v>
      </c>
      <c r="C556" s="9" t="s">
        <v>10</v>
      </c>
      <c r="D556" s="9" t="s">
        <v>11</v>
      </c>
      <c r="E556" s="9">
        <v>122</v>
      </c>
      <c r="F556" s="9">
        <v>6.6</v>
      </c>
      <c r="G556" s="9">
        <v>73000000</v>
      </c>
      <c r="H556" s="9">
        <v>148213377</v>
      </c>
      <c r="I556" s="5">
        <f>IMDB_Movies!$H556-IMDB_Movies!$G556</f>
        <v>75213377</v>
      </c>
    </row>
    <row r="557" spans="1:9" ht="23">
      <c r="A557" s="3" t="s">
        <v>865</v>
      </c>
      <c r="B557" s="10" t="s">
        <v>866</v>
      </c>
      <c r="C557" s="10" t="s">
        <v>138</v>
      </c>
      <c r="D557" s="10" t="s">
        <v>11</v>
      </c>
      <c r="E557" s="10">
        <v>87</v>
      </c>
      <c r="F557" s="10">
        <v>4.5999999999999996</v>
      </c>
      <c r="G557" s="10">
        <v>72000000</v>
      </c>
      <c r="H557" s="10">
        <v>112950721</v>
      </c>
      <c r="I557" s="5">
        <f>IMDB_Movies!$H557-IMDB_Movies!$G557</f>
        <v>40950721</v>
      </c>
    </row>
    <row r="558" spans="1:9" ht="23">
      <c r="A558" s="2" t="s">
        <v>867</v>
      </c>
      <c r="B558" s="9" t="s">
        <v>868</v>
      </c>
      <c r="C558" s="9" t="s">
        <v>418</v>
      </c>
      <c r="D558" s="9" t="s">
        <v>11</v>
      </c>
      <c r="E558" s="9">
        <v>178</v>
      </c>
      <c r="F558" s="9">
        <v>8.4</v>
      </c>
      <c r="G558" s="9">
        <v>72000000</v>
      </c>
      <c r="H558" s="9">
        <v>75600000</v>
      </c>
      <c r="I558" s="5">
        <f>IMDB_Movies!$H558-IMDB_Movies!$G558</f>
        <v>3600000</v>
      </c>
    </row>
    <row r="559" spans="1:9" ht="23">
      <c r="A559" s="3" t="s">
        <v>869</v>
      </c>
      <c r="B559" s="10" t="s">
        <v>15</v>
      </c>
      <c r="C559" s="10" t="s">
        <v>10</v>
      </c>
      <c r="D559" s="10" t="s">
        <v>11</v>
      </c>
      <c r="E559" s="10">
        <v>125</v>
      </c>
      <c r="F559" s="10">
        <v>7.1</v>
      </c>
      <c r="G559" s="10">
        <v>70000000</v>
      </c>
      <c r="H559" s="10">
        <v>62647540</v>
      </c>
      <c r="I559" s="5">
        <f>IMDB_Movies!$H559-IMDB_Movies!$G559</f>
        <v>-7352460</v>
      </c>
    </row>
    <row r="560" spans="1:9" ht="23">
      <c r="A560" s="2" t="s">
        <v>870</v>
      </c>
      <c r="B560" s="9" t="s">
        <v>871</v>
      </c>
      <c r="C560" s="9" t="s">
        <v>24</v>
      </c>
      <c r="D560" s="9" t="s">
        <v>11</v>
      </c>
      <c r="E560" s="9">
        <v>87</v>
      </c>
      <c r="F560" s="9">
        <v>7.4</v>
      </c>
      <c r="G560" s="9">
        <v>75000000</v>
      </c>
      <c r="H560" s="9">
        <v>183132370</v>
      </c>
      <c r="I560" s="5">
        <f>IMDB_Movies!$H560-IMDB_Movies!$G560</f>
        <v>108132370</v>
      </c>
    </row>
    <row r="561" spans="1:9" ht="23">
      <c r="A561" s="3" t="s">
        <v>872</v>
      </c>
      <c r="B561" s="10" t="s">
        <v>873</v>
      </c>
      <c r="C561" s="10" t="s">
        <v>56</v>
      </c>
      <c r="D561" s="10" t="s">
        <v>11</v>
      </c>
      <c r="E561" s="10">
        <v>152</v>
      </c>
      <c r="F561" s="10">
        <v>6.9</v>
      </c>
      <c r="G561" s="10">
        <v>72000000</v>
      </c>
      <c r="H561" s="10">
        <v>27796042</v>
      </c>
      <c r="I561" s="5">
        <f>IMDB_Movies!$H561-IMDB_Movies!$G561</f>
        <v>-44203958</v>
      </c>
    </row>
    <row r="562" spans="1:9" ht="23">
      <c r="A562" s="2" t="s">
        <v>874</v>
      </c>
      <c r="B562" s="9" t="s">
        <v>557</v>
      </c>
      <c r="C562" s="9" t="s">
        <v>10</v>
      </c>
      <c r="D562" s="9" t="s">
        <v>11</v>
      </c>
      <c r="E562" s="9">
        <v>116</v>
      </c>
      <c r="F562" s="9">
        <v>4.5</v>
      </c>
      <c r="G562" s="9">
        <v>72000000</v>
      </c>
      <c r="H562" s="9">
        <v>32616869</v>
      </c>
      <c r="I562" s="5">
        <f>IMDB_Movies!$H562-IMDB_Movies!$G562</f>
        <v>-39383131</v>
      </c>
    </row>
    <row r="563" spans="1:9" ht="23">
      <c r="A563" s="3" t="s">
        <v>875</v>
      </c>
      <c r="B563" s="10" t="s">
        <v>642</v>
      </c>
      <c r="C563" s="10" t="s">
        <v>24</v>
      </c>
      <c r="D563" s="10" t="s">
        <v>11</v>
      </c>
      <c r="E563" s="10">
        <v>109</v>
      </c>
      <c r="F563" s="10">
        <v>7.1</v>
      </c>
      <c r="G563" s="10">
        <v>59660000</v>
      </c>
      <c r="H563" s="10">
        <v>18947630</v>
      </c>
      <c r="I563" s="5">
        <f>IMDB_Movies!$H563-IMDB_Movies!$G563</f>
        <v>-40712370</v>
      </c>
    </row>
    <row r="564" spans="1:9" ht="23">
      <c r="A564" s="2" t="s">
        <v>876</v>
      </c>
      <c r="B564" s="9" t="s">
        <v>247</v>
      </c>
      <c r="C564" s="9" t="s">
        <v>56</v>
      </c>
      <c r="D564" s="9" t="s">
        <v>11</v>
      </c>
      <c r="E564" s="9">
        <v>108</v>
      </c>
      <c r="F564" s="9">
        <v>6.5</v>
      </c>
      <c r="G564" s="9">
        <v>60000000</v>
      </c>
      <c r="H564" s="9">
        <v>114195633</v>
      </c>
      <c r="I564" s="5">
        <f>IMDB_Movies!$H564-IMDB_Movies!$G564</f>
        <v>54195633</v>
      </c>
    </row>
    <row r="565" spans="1:9" ht="23">
      <c r="A565" s="3" t="s">
        <v>877</v>
      </c>
      <c r="B565" s="10" t="s">
        <v>878</v>
      </c>
      <c r="C565" s="10" t="s">
        <v>138</v>
      </c>
      <c r="D565" s="10" t="s">
        <v>11</v>
      </c>
      <c r="E565" s="10">
        <v>85</v>
      </c>
      <c r="F565" s="10">
        <v>5.3</v>
      </c>
      <c r="G565" s="10">
        <v>71500000</v>
      </c>
      <c r="H565" s="10">
        <v>144156464</v>
      </c>
      <c r="I565" s="5">
        <f>IMDB_Movies!$H565-IMDB_Movies!$G565</f>
        <v>72656464</v>
      </c>
    </row>
    <row r="566" spans="1:9" ht="23">
      <c r="A566" s="2" t="s">
        <v>879</v>
      </c>
      <c r="B566" s="9" t="s">
        <v>247</v>
      </c>
      <c r="C566" s="9" t="s">
        <v>56</v>
      </c>
      <c r="D566" s="9" t="s">
        <v>11</v>
      </c>
      <c r="E566" s="9">
        <v>106</v>
      </c>
      <c r="F566" s="9">
        <v>6.7</v>
      </c>
      <c r="G566" s="9">
        <v>72000000</v>
      </c>
      <c r="H566" s="9">
        <v>227965690</v>
      </c>
      <c r="I566" s="5">
        <f>IMDB_Movies!$H566-IMDB_Movies!$G566</f>
        <v>155965690</v>
      </c>
    </row>
    <row r="567" spans="1:9" ht="23">
      <c r="A567" s="3" t="s">
        <v>880</v>
      </c>
      <c r="B567" s="10" t="s">
        <v>39</v>
      </c>
      <c r="C567" s="10" t="s">
        <v>24</v>
      </c>
      <c r="D567" s="10" t="s">
        <v>11</v>
      </c>
      <c r="E567" s="10">
        <v>93</v>
      </c>
      <c r="F567" s="10">
        <v>7.2</v>
      </c>
      <c r="G567" s="10">
        <v>150000000</v>
      </c>
      <c r="H567" s="10">
        <v>436471036</v>
      </c>
      <c r="I567" s="5">
        <f>IMDB_Movies!$H567-IMDB_Movies!$G567</f>
        <v>286471036</v>
      </c>
    </row>
    <row r="568" spans="1:9" ht="23">
      <c r="A568" s="2" t="s">
        <v>881</v>
      </c>
      <c r="B568" s="9" t="s">
        <v>81</v>
      </c>
      <c r="C568" s="9" t="s">
        <v>24</v>
      </c>
      <c r="D568" s="9" t="s">
        <v>11</v>
      </c>
      <c r="E568" s="9">
        <v>117</v>
      </c>
      <c r="F568" s="9">
        <v>7.2</v>
      </c>
      <c r="G568" s="9">
        <v>120000000</v>
      </c>
      <c r="H568" s="9">
        <v>244052771</v>
      </c>
      <c r="I568" s="5">
        <f>IMDB_Movies!$H568-IMDB_Movies!$G568</f>
        <v>124052771</v>
      </c>
    </row>
    <row r="569" spans="1:9" ht="23">
      <c r="A569" s="3" t="s">
        <v>882</v>
      </c>
      <c r="B569" s="10" t="s">
        <v>883</v>
      </c>
      <c r="C569" s="10" t="s">
        <v>138</v>
      </c>
      <c r="D569" s="10" t="s">
        <v>11</v>
      </c>
      <c r="E569" s="10">
        <v>116</v>
      </c>
      <c r="F569" s="10">
        <v>5.5</v>
      </c>
      <c r="G569" s="10">
        <v>70000000</v>
      </c>
      <c r="H569" s="10">
        <v>152149590</v>
      </c>
      <c r="I569" s="5">
        <f>IMDB_Movies!$H569-IMDB_Movies!$G569</f>
        <v>82149590</v>
      </c>
    </row>
    <row r="570" spans="1:9" ht="23">
      <c r="A570" s="2" t="s">
        <v>884</v>
      </c>
      <c r="B570" s="9" t="s">
        <v>133</v>
      </c>
      <c r="C570" s="9" t="s">
        <v>10</v>
      </c>
      <c r="D570" s="9" t="s">
        <v>11</v>
      </c>
      <c r="E570" s="9">
        <v>132</v>
      </c>
      <c r="F570" s="9">
        <v>5.8</v>
      </c>
      <c r="G570" s="9">
        <v>70000000</v>
      </c>
      <c r="H570" s="9">
        <v>141204016</v>
      </c>
      <c r="I570" s="5">
        <f>IMDB_Movies!$H570-IMDB_Movies!$G570</f>
        <v>71204016</v>
      </c>
    </row>
    <row r="571" spans="1:9" ht="23">
      <c r="A571" s="3" t="s">
        <v>885</v>
      </c>
      <c r="B571" s="10" t="s">
        <v>886</v>
      </c>
      <c r="C571" s="10" t="s">
        <v>24</v>
      </c>
      <c r="D571" s="10" t="s">
        <v>11</v>
      </c>
      <c r="E571" s="10">
        <v>92</v>
      </c>
      <c r="F571" s="10">
        <v>6</v>
      </c>
      <c r="G571" s="10">
        <v>74000000</v>
      </c>
      <c r="H571" s="10">
        <v>162495848</v>
      </c>
      <c r="I571" s="5">
        <f>IMDB_Movies!$H571-IMDB_Movies!$G571</f>
        <v>88495848</v>
      </c>
    </row>
    <row r="572" spans="1:9" ht="23">
      <c r="A572" s="2" t="s">
        <v>887</v>
      </c>
      <c r="B572" s="9" t="s">
        <v>227</v>
      </c>
      <c r="C572" s="9" t="s">
        <v>414</v>
      </c>
      <c r="D572" s="9" t="s">
        <v>11</v>
      </c>
      <c r="E572" s="9">
        <v>139</v>
      </c>
      <c r="F572" s="9">
        <v>6.6</v>
      </c>
      <c r="G572" s="9">
        <v>80000000</v>
      </c>
      <c r="H572" s="9">
        <v>136448821</v>
      </c>
      <c r="I572" s="5">
        <f>IMDB_Movies!$H572-IMDB_Movies!$G572</f>
        <v>56448821</v>
      </c>
    </row>
    <row r="573" spans="1:9" ht="23">
      <c r="A573" s="3" t="s">
        <v>888</v>
      </c>
      <c r="B573" s="10" t="s">
        <v>472</v>
      </c>
      <c r="C573" s="10" t="s">
        <v>24</v>
      </c>
      <c r="D573" s="10" t="s">
        <v>11</v>
      </c>
      <c r="E573" s="10">
        <v>153</v>
      </c>
      <c r="F573" s="10">
        <v>8.3000000000000007</v>
      </c>
      <c r="G573" s="10">
        <v>75000000</v>
      </c>
      <c r="H573" s="10">
        <v>120523073</v>
      </c>
      <c r="I573" s="5">
        <f>IMDB_Movies!$H573-IMDB_Movies!$G573</f>
        <v>45523073</v>
      </c>
    </row>
    <row r="574" spans="1:9" ht="23">
      <c r="A574" s="2" t="s">
        <v>889</v>
      </c>
      <c r="B574" s="9" t="s">
        <v>103</v>
      </c>
      <c r="C574" s="9" t="s">
        <v>24</v>
      </c>
      <c r="D574" s="9" t="s">
        <v>11</v>
      </c>
      <c r="E574" s="9">
        <v>142</v>
      </c>
      <c r="F574" s="9">
        <v>6.7</v>
      </c>
      <c r="G574" s="9">
        <v>70000000</v>
      </c>
      <c r="H574" s="9">
        <v>119654900</v>
      </c>
      <c r="I574" s="5">
        <f>IMDB_Movies!$H574-IMDB_Movies!$G574</f>
        <v>49654900</v>
      </c>
    </row>
    <row r="575" spans="1:9" ht="23">
      <c r="A575" s="3" t="s">
        <v>890</v>
      </c>
      <c r="B575" s="10" t="s">
        <v>557</v>
      </c>
      <c r="C575" s="10" t="s">
        <v>10</v>
      </c>
      <c r="D575" s="10" t="s">
        <v>11</v>
      </c>
      <c r="E575" s="10">
        <v>124</v>
      </c>
      <c r="F575" s="10">
        <v>7.1</v>
      </c>
      <c r="G575" s="10">
        <v>70000000</v>
      </c>
      <c r="H575" s="10">
        <v>117541000</v>
      </c>
      <c r="I575" s="5">
        <f>IMDB_Movies!$H575-IMDB_Movies!$G575</f>
        <v>47541000</v>
      </c>
    </row>
    <row r="576" spans="1:9" ht="23">
      <c r="A576" s="2" t="s">
        <v>891</v>
      </c>
      <c r="B576" s="9" t="s">
        <v>892</v>
      </c>
      <c r="C576" s="9" t="s">
        <v>10</v>
      </c>
      <c r="D576" s="9" t="s">
        <v>11</v>
      </c>
      <c r="E576" s="9">
        <v>117</v>
      </c>
      <c r="F576" s="9">
        <v>6</v>
      </c>
      <c r="G576" s="9">
        <v>80000000</v>
      </c>
      <c r="H576" s="9">
        <v>116643346</v>
      </c>
      <c r="I576" s="5">
        <f>IMDB_Movies!$H576-IMDB_Movies!$G576</f>
        <v>36643346</v>
      </c>
    </row>
    <row r="577" spans="1:9" ht="23">
      <c r="A577" s="3" t="s">
        <v>893</v>
      </c>
      <c r="B577" s="10" t="s">
        <v>894</v>
      </c>
      <c r="C577" s="10" t="s">
        <v>713</v>
      </c>
      <c r="D577" s="10" t="s">
        <v>11</v>
      </c>
      <c r="E577" s="10">
        <v>141</v>
      </c>
      <c r="F577" s="10">
        <v>6.9</v>
      </c>
      <c r="G577" s="10">
        <v>68000000</v>
      </c>
      <c r="H577" s="10">
        <v>100614858</v>
      </c>
      <c r="I577" s="5">
        <f>IMDB_Movies!$H577-IMDB_Movies!$G577</f>
        <v>32614858</v>
      </c>
    </row>
    <row r="578" spans="1:9" ht="23">
      <c r="A578" s="2" t="s">
        <v>895</v>
      </c>
      <c r="B578" s="9" t="s">
        <v>247</v>
      </c>
      <c r="C578" s="9" t="s">
        <v>56</v>
      </c>
      <c r="D578" s="9" t="s">
        <v>11</v>
      </c>
      <c r="E578" s="9">
        <v>110</v>
      </c>
      <c r="F578" s="9">
        <v>5.6</v>
      </c>
      <c r="G578" s="9">
        <v>70000000</v>
      </c>
      <c r="H578" s="9">
        <v>42272747</v>
      </c>
      <c r="I578" s="5">
        <f>IMDB_Movies!$H578-IMDB_Movies!$G578</f>
        <v>-27727253</v>
      </c>
    </row>
    <row r="579" spans="1:9" ht="23">
      <c r="A579" s="3" t="s">
        <v>896</v>
      </c>
      <c r="B579" s="10" t="s">
        <v>623</v>
      </c>
      <c r="C579" s="10" t="s">
        <v>10</v>
      </c>
      <c r="D579" s="10" t="s">
        <v>11</v>
      </c>
      <c r="E579" s="10">
        <v>109</v>
      </c>
      <c r="F579" s="10">
        <v>5.6</v>
      </c>
      <c r="G579" s="10">
        <v>60000000</v>
      </c>
      <c r="H579" s="10">
        <v>80281096</v>
      </c>
      <c r="I579" s="5">
        <f>IMDB_Movies!$H579-IMDB_Movies!$G579</f>
        <v>20281096</v>
      </c>
    </row>
    <row r="580" spans="1:9" ht="23">
      <c r="A580" s="2" t="s">
        <v>897</v>
      </c>
      <c r="B580" s="9" t="s">
        <v>878</v>
      </c>
      <c r="C580" s="9" t="s">
        <v>116</v>
      </c>
      <c r="D580" s="9" t="s">
        <v>11</v>
      </c>
      <c r="E580" s="9">
        <v>88</v>
      </c>
      <c r="F580" s="9">
        <v>4.5</v>
      </c>
      <c r="G580" s="9">
        <v>75000000</v>
      </c>
      <c r="H580" s="9">
        <v>219613391</v>
      </c>
      <c r="I580" s="5">
        <f>IMDB_Movies!$H580-IMDB_Movies!$G580</f>
        <v>144613391</v>
      </c>
    </row>
    <row r="581" spans="1:9" ht="23">
      <c r="A581" s="3" t="s">
        <v>898</v>
      </c>
      <c r="B581" s="10" t="s">
        <v>899</v>
      </c>
      <c r="C581" s="10" t="s">
        <v>10</v>
      </c>
      <c r="D581" s="10" t="s">
        <v>11</v>
      </c>
      <c r="E581" s="10">
        <v>124</v>
      </c>
      <c r="F581" s="10">
        <v>7.1</v>
      </c>
      <c r="G581" s="10">
        <v>75000000</v>
      </c>
      <c r="H581" s="10">
        <v>78120196</v>
      </c>
      <c r="I581" s="5">
        <f>IMDB_Movies!$H581-IMDB_Movies!$G581</f>
        <v>3120196</v>
      </c>
    </row>
    <row r="582" spans="1:9" ht="23">
      <c r="A582" s="2" t="s">
        <v>900</v>
      </c>
      <c r="B582" s="9" t="s">
        <v>826</v>
      </c>
      <c r="C582" s="9" t="s">
        <v>10</v>
      </c>
      <c r="D582" s="9" t="s">
        <v>11</v>
      </c>
      <c r="E582" s="9">
        <v>119</v>
      </c>
      <c r="F582" s="9">
        <v>6.5</v>
      </c>
      <c r="G582" s="9">
        <v>70000000</v>
      </c>
      <c r="H582" s="9">
        <v>98895417</v>
      </c>
      <c r="I582" s="5">
        <f>IMDB_Movies!$H582-IMDB_Movies!$G582</f>
        <v>28895417</v>
      </c>
    </row>
    <row r="583" spans="1:9" ht="23">
      <c r="A583" s="3" t="s">
        <v>901</v>
      </c>
      <c r="B583" s="10" t="s">
        <v>902</v>
      </c>
      <c r="C583" s="10" t="s">
        <v>10</v>
      </c>
      <c r="D583" s="10" t="s">
        <v>11</v>
      </c>
      <c r="E583" s="10">
        <v>103</v>
      </c>
      <c r="F583" s="10">
        <v>6.4</v>
      </c>
      <c r="G583" s="10">
        <v>58000000</v>
      </c>
      <c r="H583" s="10">
        <v>70117571</v>
      </c>
      <c r="I583" s="5">
        <f>IMDB_Movies!$H583-IMDB_Movies!$G583</f>
        <v>12117571</v>
      </c>
    </row>
    <row r="584" spans="1:9" ht="23">
      <c r="A584" s="2" t="s">
        <v>903</v>
      </c>
      <c r="B584" s="9" t="s">
        <v>236</v>
      </c>
      <c r="C584" s="9" t="s">
        <v>10</v>
      </c>
      <c r="D584" s="9" t="s">
        <v>11</v>
      </c>
      <c r="E584" s="9">
        <v>116</v>
      </c>
      <c r="F584" s="9">
        <v>5.8</v>
      </c>
      <c r="G584" s="9">
        <v>70000000</v>
      </c>
      <c r="H584" s="9">
        <v>83552429</v>
      </c>
      <c r="I584" s="5">
        <f>IMDB_Movies!$H584-IMDB_Movies!$G584</f>
        <v>13552429</v>
      </c>
    </row>
    <row r="585" spans="1:9" ht="23">
      <c r="A585" s="3" t="s">
        <v>904</v>
      </c>
      <c r="B585" s="10" t="s">
        <v>68</v>
      </c>
      <c r="C585" s="10" t="s">
        <v>24</v>
      </c>
      <c r="D585" s="10" t="s">
        <v>11</v>
      </c>
      <c r="E585" s="10">
        <v>125</v>
      </c>
      <c r="F585" s="10">
        <v>8</v>
      </c>
      <c r="G585" s="10">
        <v>70000000</v>
      </c>
      <c r="H585" s="10">
        <v>66257002</v>
      </c>
      <c r="I585" s="5">
        <f>IMDB_Movies!$H585-IMDB_Movies!$G585</f>
        <v>-3742998</v>
      </c>
    </row>
    <row r="586" spans="1:9" ht="23">
      <c r="A586" s="2" t="s">
        <v>905</v>
      </c>
      <c r="B586" s="9" t="s">
        <v>819</v>
      </c>
      <c r="C586" s="9" t="s">
        <v>56</v>
      </c>
      <c r="D586" s="9" t="s">
        <v>11</v>
      </c>
      <c r="E586" s="9">
        <v>125</v>
      </c>
      <c r="F586" s="9">
        <v>6.2</v>
      </c>
      <c r="G586" s="9">
        <v>70000000</v>
      </c>
      <c r="H586" s="9">
        <v>65012000</v>
      </c>
      <c r="I586" s="5">
        <f>IMDB_Movies!$H586-IMDB_Movies!$G586</f>
        <v>-4988000</v>
      </c>
    </row>
    <row r="587" spans="1:9" ht="23">
      <c r="A587" s="3" t="s">
        <v>906</v>
      </c>
      <c r="B587" s="10" t="s">
        <v>103</v>
      </c>
      <c r="C587" s="10" t="s">
        <v>56</v>
      </c>
      <c r="D587" s="10" t="s">
        <v>11</v>
      </c>
      <c r="E587" s="10">
        <v>146</v>
      </c>
      <c r="F587" s="10">
        <v>7.2</v>
      </c>
      <c r="G587" s="10">
        <v>66000000</v>
      </c>
      <c r="H587" s="10">
        <v>79883359</v>
      </c>
      <c r="I587" s="5">
        <f>IMDB_Movies!$H587-IMDB_Movies!$G587</f>
        <v>13883359</v>
      </c>
    </row>
    <row r="588" spans="1:9" ht="23">
      <c r="A588" s="2" t="s">
        <v>907</v>
      </c>
      <c r="B588" s="9" t="s">
        <v>908</v>
      </c>
      <c r="C588" s="9" t="s">
        <v>56</v>
      </c>
      <c r="D588" s="9" t="s">
        <v>11</v>
      </c>
      <c r="E588" s="9">
        <v>118</v>
      </c>
      <c r="F588" s="9">
        <v>6.1</v>
      </c>
      <c r="G588" s="9">
        <v>70000000</v>
      </c>
      <c r="H588" s="9">
        <v>78031620</v>
      </c>
      <c r="I588" s="5">
        <f>IMDB_Movies!$H588-IMDB_Movies!$G588</f>
        <v>8031620</v>
      </c>
    </row>
    <row r="589" spans="1:9" ht="23">
      <c r="A589" s="3" t="s">
        <v>909</v>
      </c>
      <c r="B589" s="10" t="s">
        <v>9</v>
      </c>
      <c r="C589" s="10" t="s">
        <v>24</v>
      </c>
      <c r="D589" s="10" t="s">
        <v>11</v>
      </c>
      <c r="E589" s="10">
        <v>171</v>
      </c>
      <c r="F589" s="10">
        <v>7.6</v>
      </c>
      <c r="G589" s="10">
        <v>69500000</v>
      </c>
      <c r="H589" s="10">
        <v>54222000</v>
      </c>
      <c r="I589" s="5">
        <f>IMDB_Movies!$H589-IMDB_Movies!$G589</f>
        <v>-15278000</v>
      </c>
    </row>
    <row r="590" spans="1:9" ht="23">
      <c r="A590" s="2" t="s">
        <v>910</v>
      </c>
      <c r="B590" s="9" t="s">
        <v>205</v>
      </c>
      <c r="C590" s="9" t="s">
        <v>56</v>
      </c>
      <c r="D590" s="9" t="s">
        <v>11</v>
      </c>
      <c r="E590" s="9">
        <v>136</v>
      </c>
      <c r="F590" s="9">
        <v>6.3</v>
      </c>
      <c r="G590" s="9">
        <v>70000000</v>
      </c>
      <c r="H590" s="9">
        <v>52474616</v>
      </c>
      <c r="I590" s="5">
        <f>IMDB_Movies!$H590-IMDB_Movies!$G590</f>
        <v>-17525384</v>
      </c>
    </row>
    <row r="591" spans="1:9" ht="23">
      <c r="A591" s="3" t="s">
        <v>911</v>
      </c>
      <c r="B591" s="10" t="s">
        <v>912</v>
      </c>
      <c r="C591" s="10" t="s">
        <v>10</v>
      </c>
      <c r="D591" s="10" t="s">
        <v>11</v>
      </c>
      <c r="E591" s="10">
        <v>92</v>
      </c>
      <c r="F591" s="10">
        <v>6.3</v>
      </c>
      <c r="G591" s="10">
        <v>70000000</v>
      </c>
      <c r="H591" s="10">
        <v>55942830</v>
      </c>
      <c r="I591" s="5">
        <f>IMDB_Movies!$H591-IMDB_Movies!$G591</f>
        <v>-14057170</v>
      </c>
    </row>
    <row r="592" spans="1:9" ht="23">
      <c r="A592" s="2" t="s">
        <v>913</v>
      </c>
      <c r="B592" s="9" t="s">
        <v>275</v>
      </c>
      <c r="C592" s="9" t="s">
        <v>10</v>
      </c>
      <c r="D592" s="9" t="s">
        <v>11</v>
      </c>
      <c r="E592" s="9">
        <v>116</v>
      </c>
      <c r="F592" s="9">
        <v>6.3</v>
      </c>
      <c r="G592" s="9">
        <v>70000000</v>
      </c>
      <c r="H592" s="9">
        <v>40932372</v>
      </c>
      <c r="I592" s="5">
        <f>IMDB_Movies!$H592-IMDB_Movies!$G592</f>
        <v>-29067628</v>
      </c>
    </row>
    <row r="593" spans="1:9" ht="23">
      <c r="A593" s="3" t="s">
        <v>914</v>
      </c>
      <c r="B593" s="10" t="s">
        <v>185</v>
      </c>
      <c r="C593" s="10" t="s">
        <v>24</v>
      </c>
      <c r="D593" s="10" t="s">
        <v>11</v>
      </c>
      <c r="E593" s="10">
        <v>127</v>
      </c>
      <c r="F593" s="10">
        <v>7.7</v>
      </c>
      <c r="G593" s="10">
        <v>70000000</v>
      </c>
      <c r="H593" s="10">
        <v>38345403</v>
      </c>
      <c r="I593" s="5">
        <f>IMDB_Movies!$H593-IMDB_Movies!$G593</f>
        <v>-31654597</v>
      </c>
    </row>
    <row r="594" spans="1:9" ht="23">
      <c r="A594" s="2" t="s">
        <v>915</v>
      </c>
      <c r="B594" s="9" t="s">
        <v>642</v>
      </c>
      <c r="C594" s="9" t="s">
        <v>24</v>
      </c>
      <c r="D594" s="9" t="s">
        <v>11</v>
      </c>
      <c r="E594" s="9">
        <v>136</v>
      </c>
      <c r="F594" s="9">
        <v>7</v>
      </c>
      <c r="G594" s="9">
        <v>70000000</v>
      </c>
      <c r="H594" s="9">
        <v>37901509</v>
      </c>
      <c r="I594" s="5">
        <f>IMDB_Movies!$H594-IMDB_Movies!$G594</f>
        <v>-32098491</v>
      </c>
    </row>
    <row r="595" spans="1:9" ht="23">
      <c r="A595" s="3" t="s">
        <v>916</v>
      </c>
      <c r="B595" s="10" t="s">
        <v>227</v>
      </c>
      <c r="C595" s="10" t="s">
        <v>138</v>
      </c>
      <c r="D595" s="10" t="s">
        <v>11</v>
      </c>
      <c r="E595" s="10">
        <v>111</v>
      </c>
      <c r="F595" s="10">
        <v>5.3</v>
      </c>
      <c r="G595" s="10">
        <v>70000000</v>
      </c>
      <c r="H595" s="10">
        <v>48430355</v>
      </c>
      <c r="I595" s="5">
        <f>IMDB_Movies!$H595-IMDB_Movies!$G595</f>
        <v>-21569645</v>
      </c>
    </row>
    <row r="596" spans="1:9" ht="23">
      <c r="A596" s="2" t="s">
        <v>917</v>
      </c>
      <c r="B596" s="9" t="s">
        <v>357</v>
      </c>
      <c r="C596" s="9" t="s">
        <v>10</v>
      </c>
      <c r="D596" s="9" t="s">
        <v>11</v>
      </c>
      <c r="E596" s="9">
        <v>116</v>
      </c>
      <c r="F596" s="9">
        <v>5.6</v>
      </c>
      <c r="G596" s="9">
        <v>70000000</v>
      </c>
      <c r="H596" s="9">
        <v>30157016</v>
      </c>
      <c r="I596" s="5">
        <f>IMDB_Movies!$H596-IMDB_Movies!$G596</f>
        <v>-39842984</v>
      </c>
    </row>
    <row r="597" spans="1:9" ht="23">
      <c r="A597" s="3" t="s">
        <v>918</v>
      </c>
      <c r="B597" s="10" t="s">
        <v>919</v>
      </c>
      <c r="C597" s="10" t="s">
        <v>10</v>
      </c>
      <c r="D597" s="10" t="s">
        <v>11</v>
      </c>
      <c r="E597" s="10">
        <v>113</v>
      </c>
      <c r="F597" s="10">
        <v>5.2</v>
      </c>
      <c r="G597" s="10">
        <v>60000000</v>
      </c>
      <c r="H597" s="10">
        <v>28031250</v>
      </c>
      <c r="I597" s="5">
        <f>IMDB_Movies!$H597-IMDB_Movies!$G597</f>
        <v>-31968750</v>
      </c>
    </row>
    <row r="598" spans="1:9" ht="23">
      <c r="A598" s="2" t="s">
        <v>920</v>
      </c>
      <c r="B598" s="9" t="s">
        <v>878</v>
      </c>
      <c r="C598" s="9" t="s">
        <v>10</v>
      </c>
      <c r="D598" s="9" t="s">
        <v>11</v>
      </c>
      <c r="E598" s="9">
        <v>97</v>
      </c>
      <c r="F598" s="9">
        <v>5.4</v>
      </c>
      <c r="G598" s="9">
        <v>70000000</v>
      </c>
      <c r="H598" s="9">
        <v>33105600</v>
      </c>
      <c r="I598" s="5">
        <f>IMDB_Movies!$H598-IMDB_Movies!$G598</f>
        <v>-36894400</v>
      </c>
    </row>
    <row r="599" spans="1:9" ht="23">
      <c r="A599" s="3" t="s">
        <v>921</v>
      </c>
      <c r="B599" s="10" t="s">
        <v>922</v>
      </c>
      <c r="C599" s="10" t="s">
        <v>10</v>
      </c>
      <c r="D599" s="10" t="s">
        <v>11</v>
      </c>
      <c r="E599" s="10">
        <v>88</v>
      </c>
      <c r="F599" s="10">
        <v>6.4</v>
      </c>
      <c r="G599" s="10">
        <v>70000000</v>
      </c>
      <c r="H599" s="10">
        <v>62321039</v>
      </c>
      <c r="I599" s="5">
        <f>IMDB_Movies!$H599-IMDB_Movies!$G599</f>
        <v>-7678961</v>
      </c>
    </row>
    <row r="600" spans="1:9" ht="23">
      <c r="A600" s="2" t="s">
        <v>923</v>
      </c>
      <c r="B600" s="9" t="s">
        <v>700</v>
      </c>
      <c r="C600" s="9" t="s">
        <v>138</v>
      </c>
      <c r="D600" s="9" t="s">
        <v>11</v>
      </c>
      <c r="E600" s="9">
        <v>136</v>
      </c>
      <c r="F600" s="9">
        <v>5.9</v>
      </c>
      <c r="G600" s="9">
        <v>75000000</v>
      </c>
      <c r="H600" s="9">
        <v>38509342</v>
      </c>
      <c r="I600" s="5">
        <f>IMDB_Movies!$H600-IMDB_Movies!$G600</f>
        <v>-36490658</v>
      </c>
    </row>
    <row r="601" spans="1:9" ht="23">
      <c r="A601" s="3" t="s">
        <v>924</v>
      </c>
      <c r="B601" s="10" t="s">
        <v>925</v>
      </c>
      <c r="C601" s="10" t="s">
        <v>56</v>
      </c>
      <c r="D601" s="10" t="s">
        <v>11</v>
      </c>
      <c r="E601" s="10">
        <v>125</v>
      </c>
      <c r="F601" s="10">
        <v>6.3</v>
      </c>
      <c r="G601" s="10">
        <v>60000000</v>
      </c>
      <c r="H601" s="10">
        <v>19076815</v>
      </c>
      <c r="I601" s="5">
        <f>IMDB_Movies!$H601-IMDB_Movies!$G601</f>
        <v>-40923185</v>
      </c>
    </row>
    <row r="602" spans="1:9" ht="23">
      <c r="A602" s="2" t="s">
        <v>926</v>
      </c>
      <c r="B602" s="9" t="s">
        <v>927</v>
      </c>
      <c r="C602" s="9" t="s">
        <v>10</v>
      </c>
      <c r="D602" s="9" t="s">
        <v>11</v>
      </c>
      <c r="E602" s="9">
        <v>116</v>
      </c>
      <c r="F602" s="9">
        <v>6.5</v>
      </c>
      <c r="G602" s="9">
        <v>35000000</v>
      </c>
      <c r="H602" s="9">
        <v>25093607</v>
      </c>
      <c r="I602" s="5">
        <f>IMDB_Movies!$H602-IMDB_Movies!$G602</f>
        <v>-9906393</v>
      </c>
    </row>
    <row r="603" spans="1:9" ht="23">
      <c r="A603" s="3" t="s">
        <v>928</v>
      </c>
      <c r="B603" s="10" t="s">
        <v>353</v>
      </c>
      <c r="C603" s="10" t="s">
        <v>10</v>
      </c>
      <c r="D603" s="10" t="s">
        <v>11</v>
      </c>
      <c r="E603" s="10">
        <v>98</v>
      </c>
      <c r="F603" s="10">
        <v>3</v>
      </c>
      <c r="G603" s="10">
        <v>70000000</v>
      </c>
      <c r="H603" s="10">
        <v>18990542</v>
      </c>
      <c r="I603" s="5">
        <f>IMDB_Movies!$H603-IMDB_Movies!$G603</f>
        <v>-51009458</v>
      </c>
    </row>
    <row r="604" spans="1:9" ht="23">
      <c r="A604" s="2" t="s">
        <v>929</v>
      </c>
      <c r="B604" s="9" t="s">
        <v>930</v>
      </c>
      <c r="C604" s="9" t="s">
        <v>10</v>
      </c>
      <c r="D604" s="9" t="s">
        <v>11</v>
      </c>
      <c r="E604" s="9">
        <v>91</v>
      </c>
      <c r="F604" s="9">
        <v>3.6</v>
      </c>
      <c r="G604" s="9">
        <v>70000000</v>
      </c>
      <c r="H604" s="9">
        <v>14294842</v>
      </c>
      <c r="I604" s="5">
        <f>IMDB_Movies!$H604-IMDB_Movies!$G604</f>
        <v>-55705158</v>
      </c>
    </row>
    <row r="605" spans="1:9" ht="23">
      <c r="A605" s="3" t="s">
        <v>931</v>
      </c>
      <c r="B605" s="10" t="s">
        <v>932</v>
      </c>
      <c r="C605" s="10" t="s">
        <v>10</v>
      </c>
      <c r="D605" s="10" t="s">
        <v>11</v>
      </c>
      <c r="E605" s="10">
        <v>97</v>
      </c>
      <c r="F605" s="10">
        <v>5.8</v>
      </c>
      <c r="G605" s="10">
        <v>70000000</v>
      </c>
      <c r="H605" s="10">
        <v>19819494</v>
      </c>
      <c r="I605" s="5">
        <f>IMDB_Movies!$H605-IMDB_Movies!$G605</f>
        <v>-50180506</v>
      </c>
    </row>
    <row r="606" spans="1:9" ht="23">
      <c r="A606" s="2" t="s">
        <v>933</v>
      </c>
      <c r="B606" s="9" t="s">
        <v>934</v>
      </c>
      <c r="C606" s="9" t="s">
        <v>10</v>
      </c>
      <c r="D606" s="9" t="s">
        <v>11</v>
      </c>
      <c r="E606" s="9">
        <v>95</v>
      </c>
      <c r="F606" s="9">
        <v>6.2</v>
      </c>
      <c r="G606" s="9">
        <v>70000000</v>
      </c>
      <c r="H606" s="9">
        <v>13596911</v>
      </c>
      <c r="I606" s="5">
        <f>IMDB_Movies!$H606-IMDB_Movies!$G606</f>
        <v>-56403089</v>
      </c>
    </row>
    <row r="607" spans="1:9" ht="23">
      <c r="A607" s="3" t="s">
        <v>935</v>
      </c>
      <c r="B607" s="10" t="s">
        <v>427</v>
      </c>
      <c r="C607" s="10" t="s">
        <v>24</v>
      </c>
      <c r="D607" s="10" t="s">
        <v>11</v>
      </c>
      <c r="E607" s="10">
        <v>88</v>
      </c>
      <c r="F607" s="10">
        <v>5.6</v>
      </c>
      <c r="G607" s="10">
        <v>70000000</v>
      </c>
      <c r="H607" s="10">
        <v>8460990</v>
      </c>
      <c r="I607" s="5">
        <f>IMDB_Movies!$H607-IMDB_Movies!$G607</f>
        <v>-61539010</v>
      </c>
    </row>
    <row r="608" spans="1:9" ht="23">
      <c r="A608" s="2" t="s">
        <v>936</v>
      </c>
      <c r="B608" s="9" t="s">
        <v>440</v>
      </c>
      <c r="C608" s="9" t="s">
        <v>10</v>
      </c>
      <c r="D608" s="9" t="s">
        <v>11</v>
      </c>
      <c r="E608" s="9">
        <v>133</v>
      </c>
      <c r="F608" s="9">
        <v>5.4</v>
      </c>
      <c r="G608" s="9">
        <v>70000000</v>
      </c>
      <c r="H608" s="9">
        <v>7097125</v>
      </c>
      <c r="I608" s="5">
        <f>IMDB_Movies!$H608-IMDB_Movies!$G608</f>
        <v>-62902875</v>
      </c>
    </row>
    <row r="609" spans="1:9" ht="23">
      <c r="A609" s="3" t="s">
        <v>937</v>
      </c>
      <c r="B609" s="10" t="s">
        <v>938</v>
      </c>
      <c r="C609" s="10" t="s">
        <v>10</v>
      </c>
      <c r="D609" s="10" t="s">
        <v>11</v>
      </c>
      <c r="E609" s="10">
        <v>106</v>
      </c>
      <c r="F609" s="10">
        <v>6.1</v>
      </c>
      <c r="G609" s="10">
        <v>70000000</v>
      </c>
      <c r="H609" s="10">
        <v>37760080</v>
      </c>
      <c r="I609" s="5">
        <f>IMDB_Movies!$H609-IMDB_Movies!$G609</f>
        <v>-32239920</v>
      </c>
    </row>
    <row r="610" spans="1:9" ht="23">
      <c r="A610" s="2" t="s">
        <v>939</v>
      </c>
      <c r="B610" s="9" t="s">
        <v>940</v>
      </c>
      <c r="C610" s="9" t="s">
        <v>414</v>
      </c>
      <c r="D610" s="9" t="s">
        <v>11</v>
      </c>
      <c r="E610" s="9">
        <v>116</v>
      </c>
      <c r="F610" s="9">
        <v>4.2</v>
      </c>
      <c r="G610" s="9">
        <v>70000000</v>
      </c>
      <c r="H610" s="9">
        <v>5851188</v>
      </c>
      <c r="I610" s="5">
        <f>IMDB_Movies!$H610-IMDB_Movies!$G610</f>
        <v>-64148812</v>
      </c>
    </row>
    <row r="611" spans="1:9" ht="23">
      <c r="A611" s="3" t="s">
        <v>941</v>
      </c>
      <c r="B611" s="10" t="s">
        <v>942</v>
      </c>
      <c r="C611" s="10" t="s">
        <v>10</v>
      </c>
      <c r="D611" s="10" t="s">
        <v>11</v>
      </c>
      <c r="E611" s="10">
        <v>115</v>
      </c>
      <c r="F611" s="10">
        <v>6.7</v>
      </c>
      <c r="G611" s="10">
        <v>50000000</v>
      </c>
      <c r="H611" s="10">
        <v>25121291</v>
      </c>
      <c r="I611" s="5">
        <f>IMDB_Movies!$H611-IMDB_Movies!$G611</f>
        <v>-24878709</v>
      </c>
    </row>
    <row r="612" spans="1:9" ht="23">
      <c r="A612" s="2" t="s">
        <v>943</v>
      </c>
      <c r="B612" s="9" t="s">
        <v>557</v>
      </c>
      <c r="C612" s="9" t="s">
        <v>10</v>
      </c>
      <c r="D612" s="9" t="s">
        <v>11</v>
      </c>
      <c r="E612" s="9">
        <v>99</v>
      </c>
      <c r="F612" s="9">
        <v>4.2</v>
      </c>
      <c r="G612" s="9">
        <v>70000000</v>
      </c>
      <c r="H612" s="9">
        <v>18821279</v>
      </c>
      <c r="I612" s="5">
        <f>IMDB_Movies!$H612-IMDB_Movies!$G612</f>
        <v>-51178721</v>
      </c>
    </row>
    <row r="613" spans="1:9" ht="23">
      <c r="A613" s="3" t="s">
        <v>944</v>
      </c>
      <c r="B613" s="10" t="s">
        <v>945</v>
      </c>
      <c r="C613" s="10" t="s">
        <v>10</v>
      </c>
      <c r="D613" s="10" t="s">
        <v>11</v>
      </c>
      <c r="E613" s="10">
        <v>124</v>
      </c>
      <c r="F613" s="10">
        <v>6.4</v>
      </c>
      <c r="G613" s="10">
        <v>68000000</v>
      </c>
      <c r="H613" s="10">
        <v>118471320</v>
      </c>
      <c r="I613" s="5">
        <f>IMDB_Movies!$H613-IMDB_Movies!$G613</f>
        <v>50471320</v>
      </c>
    </row>
    <row r="614" spans="1:9" ht="23">
      <c r="A614" s="2" t="s">
        <v>946</v>
      </c>
      <c r="B614" s="9" t="s">
        <v>947</v>
      </c>
      <c r="C614" s="9" t="s">
        <v>24</v>
      </c>
      <c r="D614" s="9" t="s">
        <v>11</v>
      </c>
      <c r="E614" s="9">
        <v>124</v>
      </c>
      <c r="F614" s="9">
        <v>4.9000000000000004</v>
      </c>
      <c r="G614" s="9">
        <v>68000000</v>
      </c>
      <c r="H614" s="9">
        <v>300523113</v>
      </c>
      <c r="I614" s="5">
        <f>IMDB_Movies!$H614-IMDB_Movies!$G614</f>
        <v>232523113</v>
      </c>
    </row>
    <row r="615" spans="1:9" ht="23">
      <c r="A615" s="3" t="s">
        <v>948</v>
      </c>
      <c r="B615" s="10" t="s">
        <v>525</v>
      </c>
      <c r="C615" s="10" t="s">
        <v>414</v>
      </c>
      <c r="D615" s="10" t="s">
        <v>11</v>
      </c>
      <c r="E615" s="10">
        <v>124</v>
      </c>
      <c r="F615" s="10">
        <v>6.8</v>
      </c>
      <c r="G615" s="10">
        <v>68000000</v>
      </c>
      <c r="H615" s="10">
        <v>71069884</v>
      </c>
      <c r="I615" s="5">
        <f>IMDB_Movies!$H615-IMDB_Movies!$G615</f>
        <v>3069884</v>
      </c>
    </row>
    <row r="616" spans="1:9" ht="23">
      <c r="A616" s="2" t="s">
        <v>949</v>
      </c>
      <c r="B616" s="9" t="s">
        <v>798</v>
      </c>
      <c r="C616" s="9" t="s">
        <v>116</v>
      </c>
      <c r="D616" s="9" t="s">
        <v>11</v>
      </c>
      <c r="E616" s="9">
        <v>87</v>
      </c>
      <c r="F616" s="9">
        <v>7.7</v>
      </c>
      <c r="G616" s="9">
        <v>69000000</v>
      </c>
      <c r="H616" s="9">
        <v>251501645</v>
      </c>
      <c r="I616" s="5">
        <f>IMDB_Movies!$H616-IMDB_Movies!$G616</f>
        <v>182501645</v>
      </c>
    </row>
    <row r="617" spans="1:9" ht="23">
      <c r="A617" s="3" t="s">
        <v>950</v>
      </c>
      <c r="B617" s="10" t="s">
        <v>951</v>
      </c>
      <c r="C617" s="10" t="s">
        <v>10</v>
      </c>
      <c r="D617" s="10" t="s">
        <v>11</v>
      </c>
      <c r="E617" s="10">
        <v>105</v>
      </c>
      <c r="F617" s="10">
        <v>5.6</v>
      </c>
      <c r="G617" s="10">
        <v>68000000</v>
      </c>
      <c r="H617" s="10">
        <v>35324232</v>
      </c>
      <c r="I617" s="5">
        <f>IMDB_Movies!$H617-IMDB_Movies!$G617</f>
        <v>-32675768</v>
      </c>
    </row>
    <row r="618" spans="1:9" ht="23">
      <c r="A618" s="2" t="s">
        <v>952</v>
      </c>
      <c r="B618" s="9" t="s">
        <v>953</v>
      </c>
      <c r="C618" s="9" t="s">
        <v>138</v>
      </c>
      <c r="D618" s="9" t="s">
        <v>11</v>
      </c>
      <c r="E618" s="9">
        <v>125</v>
      </c>
      <c r="F618" s="9">
        <v>6.4</v>
      </c>
      <c r="G618" s="9">
        <v>68000000</v>
      </c>
      <c r="H618" s="9">
        <v>81257500</v>
      </c>
      <c r="I618" s="5">
        <f>IMDB_Movies!$H618-IMDB_Movies!$G618</f>
        <v>13257500</v>
      </c>
    </row>
    <row r="619" spans="1:9" ht="23">
      <c r="A619" s="3" t="s">
        <v>954</v>
      </c>
      <c r="B619" s="10" t="s">
        <v>955</v>
      </c>
      <c r="C619" s="10" t="s">
        <v>24</v>
      </c>
      <c r="D619" s="10" t="s">
        <v>11</v>
      </c>
      <c r="E619" s="10">
        <v>141</v>
      </c>
      <c r="F619" s="10">
        <v>7.2</v>
      </c>
      <c r="G619" s="10">
        <v>70000000</v>
      </c>
      <c r="H619" s="10">
        <v>617840</v>
      </c>
      <c r="I619" s="5">
        <f>IMDB_Movies!$H619-IMDB_Movies!$G619</f>
        <v>-69382160</v>
      </c>
    </row>
    <row r="620" spans="1:9" ht="23">
      <c r="A620" s="2" t="s">
        <v>956</v>
      </c>
      <c r="B620" s="9" t="s">
        <v>957</v>
      </c>
      <c r="C620" s="9" t="s">
        <v>10</v>
      </c>
      <c r="D620" s="9" t="s">
        <v>11</v>
      </c>
      <c r="E620" s="9">
        <v>121</v>
      </c>
      <c r="F620" s="9">
        <v>6</v>
      </c>
      <c r="G620" s="9">
        <v>65000000</v>
      </c>
      <c r="H620" s="9">
        <v>29655590</v>
      </c>
      <c r="I620" s="5">
        <f>IMDB_Movies!$H620-IMDB_Movies!$G620</f>
        <v>-35344410</v>
      </c>
    </row>
    <row r="621" spans="1:9" ht="23">
      <c r="A621" s="3" t="s">
        <v>958</v>
      </c>
      <c r="B621" s="10" t="s">
        <v>934</v>
      </c>
      <c r="C621" s="10" t="s">
        <v>138</v>
      </c>
      <c r="D621" s="10" t="s">
        <v>11</v>
      </c>
      <c r="E621" s="10">
        <v>111</v>
      </c>
      <c r="F621" s="10">
        <v>5.9</v>
      </c>
      <c r="G621" s="10">
        <v>36000000</v>
      </c>
      <c r="H621" s="10">
        <v>45045037</v>
      </c>
      <c r="I621" s="5">
        <f>IMDB_Movies!$H621-IMDB_Movies!$G621</f>
        <v>9045037</v>
      </c>
    </row>
    <row r="622" spans="1:9" ht="23">
      <c r="A622" s="2" t="s">
        <v>959</v>
      </c>
      <c r="B622" s="9" t="s">
        <v>440</v>
      </c>
      <c r="C622" s="9" t="s">
        <v>418</v>
      </c>
      <c r="D622" s="9" t="s">
        <v>11</v>
      </c>
      <c r="E622" s="9">
        <v>157</v>
      </c>
      <c r="F622" s="9">
        <v>7.9</v>
      </c>
      <c r="G622" s="9">
        <v>68000000</v>
      </c>
      <c r="H622" s="9">
        <v>28965197</v>
      </c>
      <c r="I622" s="5">
        <f>IMDB_Movies!$H622-IMDB_Movies!$G622</f>
        <v>-39034803</v>
      </c>
    </row>
    <row r="623" spans="1:9" ht="23">
      <c r="A623" s="3" t="s">
        <v>960</v>
      </c>
      <c r="B623" s="10" t="s">
        <v>961</v>
      </c>
      <c r="C623" s="10" t="s">
        <v>10</v>
      </c>
      <c r="D623" s="10" t="s">
        <v>11</v>
      </c>
      <c r="E623" s="10">
        <v>117</v>
      </c>
      <c r="F623" s="10">
        <v>6.8</v>
      </c>
      <c r="G623" s="10">
        <v>20000000</v>
      </c>
      <c r="H623" s="10">
        <v>27550735</v>
      </c>
      <c r="I623" s="5">
        <f>IMDB_Movies!$H623-IMDB_Movies!$G623</f>
        <v>7550735</v>
      </c>
    </row>
    <row r="624" spans="1:9" ht="23">
      <c r="A624" s="2" t="s">
        <v>962</v>
      </c>
      <c r="B624" s="9" t="s">
        <v>50</v>
      </c>
      <c r="C624" s="9" t="s">
        <v>10</v>
      </c>
      <c r="D624" s="9" t="s">
        <v>11</v>
      </c>
      <c r="E624" s="9">
        <v>128</v>
      </c>
      <c r="F624" s="9">
        <v>7.1</v>
      </c>
      <c r="G624" s="9">
        <v>70000000</v>
      </c>
      <c r="H624" s="9">
        <v>39380442</v>
      </c>
      <c r="I624" s="5">
        <f>IMDB_Movies!$H624-IMDB_Movies!$G624</f>
        <v>-30619558</v>
      </c>
    </row>
    <row r="625" spans="1:9" ht="23">
      <c r="A625" s="3" t="s">
        <v>963</v>
      </c>
      <c r="B625" s="10" t="s">
        <v>528</v>
      </c>
      <c r="C625" s="10" t="s">
        <v>138</v>
      </c>
      <c r="D625" s="10" t="s">
        <v>11</v>
      </c>
      <c r="E625" s="10">
        <v>114</v>
      </c>
      <c r="F625" s="10">
        <v>5.9</v>
      </c>
      <c r="G625" s="10">
        <v>20000000</v>
      </c>
      <c r="H625" s="10">
        <v>72980108</v>
      </c>
      <c r="I625" s="5">
        <f>IMDB_Movies!$H625-IMDB_Movies!$G625</f>
        <v>52980108</v>
      </c>
    </row>
    <row r="626" spans="1:9" ht="23">
      <c r="A626" s="2" t="s">
        <v>964</v>
      </c>
      <c r="B626" s="9" t="s">
        <v>578</v>
      </c>
      <c r="C626" s="9" t="s">
        <v>10</v>
      </c>
      <c r="D626" s="9" t="s">
        <v>11</v>
      </c>
      <c r="E626" s="9">
        <v>105</v>
      </c>
      <c r="F626" s="9">
        <v>5.9</v>
      </c>
      <c r="G626" s="9">
        <v>69000000</v>
      </c>
      <c r="H626" s="9">
        <v>37516013</v>
      </c>
      <c r="I626" s="5">
        <f>IMDB_Movies!$H626-IMDB_Movies!$G626</f>
        <v>-31483987</v>
      </c>
    </row>
    <row r="627" spans="1:9" ht="23">
      <c r="A627" s="3" t="s">
        <v>965</v>
      </c>
      <c r="B627" s="10" t="s">
        <v>660</v>
      </c>
      <c r="C627" s="10" t="s">
        <v>10</v>
      </c>
      <c r="D627" s="10" t="s">
        <v>11</v>
      </c>
      <c r="E627" s="10">
        <v>113</v>
      </c>
      <c r="F627" s="10">
        <v>6.2</v>
      </c>
      <c r="G627" s="10">
        <v>66000000</v>
      </c>
      <c r="H627" s="10">
        <v>87704396</v>
      </c>
      <c r="I627" s="5">
        <f>IMDB_Movies!$H627-IMDB_Movies!$G627</f>
        <v>21704396</v>
      </c>
    </row>
    <row r="628" spans="1:9" ht="23">
      <c r="A628" s="2" t="s">
        <v>966</v>
      </c>
      <c r="B628" s="9" t="s">
        <v>967</v>
      </c>
      <c r="C628" s="9" t="s">
        <v>56</v>
      </c>
      <c r="D628" s="9" t="s">
        <v>11</v>
      </c>
      <c r="E628" s="9">
        <v>121</v>
      </c>
      <c r="F628" s="9">
        <v>7</v>
      </c>
      <c r="G628" s="9">
        <v>66000000</v>
      </c>
      <c r="H628" s="9">
        <v>83892374</v>
      </c>
      <c r="I628" s="5">
        <f>IMDB_Movies!$H628-IMDB_Movies!$G628</f>
        <v>17892374</v>
      </c>
    </row>
    <row r="629" spans="1:9" ht="23">
      <c r="A629" s="3" t="s">
        <v>968</v>
      </c>
      <c r="B629" s="10" t="s">
        <v>969</v>
      </c>
      <c r="C629" s="10" t="s">
        <v>10</v>
      </c>
      <c r="D629" s="10" t="s">
        <v>11</v>
      </c>
      <c r="E629" s="10">
        <v>102</v>
      </c>
      <c r="F629" s="10">
        <v>5.4</v>
      </c>
      <c r="G629" s="10">
        <v>35000000</v>
      </c>
      <c r="H629" s="10">
        <v>5932060</v>
      </c>
      <c r="I629" s="5">
        <f>IMDB_Movies!$H629-IMDB_Movies!$G629</f>
        <v>-29067940</v>
      </c>
    </row>
    <row r="630" spans="1:9" ht="23">
      <c r="A630" s="2" t="s">
        <v>970</v>
      </c>
      <c r="B630" s="9" t="s">
        <v>103</v>
      </c>
      <c r="C630" s="9" t="s">
        <v>10</v>
      </c>
      <c r="D630" s="9" t="s">
        <v>11</v>
      </c>
      <c r="E630" s="9">
        <v>169</v>
      </c>
      <c r="F630" s="9">
        <v>8.6</v>
      </c>
      <c r="G630" s="9">
        <v>70000000</v>
      </c>
      <c r="H630" s="9">
        <v>216119491</v>
      </c>
      <c r="I630" s="5">
        <f>IMDB_Movies!$H630-IMDB_Movies!$G630</f>
        <v>146119491</v>
      </c>
    </row>
    <row r="631" spans="1:9" ht="23">
      <c r="A631" s="3" t="s">
        <v>971</v>
      </c>
      <c r="B631" s="10" t="s">
        <v>972</v>
      </c>
      <c r="C631" s="10" t="s">
        <v>10</v>
      </c>
      <c r="D631" s="10" t="s">
        <v>11</v>
      </c>
      <c r="E631" s="10">
        <v>132</v>
      </c>
      <c r="F631" s="10">
        <v>6.5</v>
      </c>
      <c r="G631" s="10">
        <v>66000000</v>
      </c>
      <c r="H631" s="10">
        <v>43568507</v>
      </c>
      <c r="I631" s="5">
        <f>IMDB_Movies!$H631-IMDB_Movies!$G631</f>
        <v>-22431493</v>
      </c>
    </row>
    <row r="632" spans="1:9" ht="23">
      <c r="A632" s="2" t="s">
        <v>973</v>
      </c>
      <c r="B632" s="9" t="s">
        <v>633</v>
      </c>
      <c r="C632" s="9" t="s">
        <v>138</v>
      </c>
      <c r="D632" s="9" t="s">
        <v>11</v>
      </c>
      <c r="E632" s="9">
        <v>127</v>
      </c>
      <c r="F632" s="9">
        <v>6.4</v>
      </c>
      <c r="G632" s="9">
        <v>70000000</v>
      </c>
      <c r="H632" s="9">
        <v>182805123</v>
      </c>
      <c r="I632" s="5">
        <f>IMDB_Movies!$H632-IMDB_Movies!$G632</f>
        <v>112805123</v>
      </c>
    </row>
    <row r="633" spans="1:9" ht="23">
      <c r="A633" s="3" t="s">
        <v>974</v>
      </c>
      <c r="B633" s="10" t="s">
        <v>485</v>
      </c>
      <c r="C633" s="10" t="s">
        <v>24</v>
      </c>
      <c r="D633" s="10" t="s">
        <v>11</v>
      </c>
      <c r="E633" s="10">
        <v>103</v>
      </c>
      <c r="F633" s="10">
        <v>7.6</v>
      </c>
      <c r="G633" s="10">
        <v>59000000</v>
      </c>
      <c r="H633" s="10">
        <v>176387405</v>
      </c>
      <c r="I633" s="5">
        <f>IMDB_Movies!$H633-IMDB_Movies!$G633</f>
        <v>117387405</v>
      </c>
    </row>
    <row r="634" spans="1:9" ht="23">
      <c r="A634" s="2" t="s">
        <v>975</v>
      </c>
      <c r="B634" s="9" t="s">
        <v>976</v>
      </c>
      <c r="C634" s="9" t="s">
        <v>56</v>
      </c>
      <c r="D634" s="9" t="s">
        <v>11</v>
      </c>
      <c r="E634" s="9">
        <v>136</v>
      </c>
      <c r="F634" s="9">
        <v>5.5</v>
      </c>
      <c r="G634" s="9">
        <v>68000000</v>
      </c>
      <c r="H634" s="9">
        <v>33685268</v>
      </c>
      <c r="I634" s="5">
        <f>IMDB_Movies!$H634-IMDB_Movies!$G634</f>
        <v>-34314732</v>
      </c>
    </row>
    <row r="635" spans="1:9" ht="23">
      <c r="A635" s="3" t="s">
        <v>977</v>
      </c>
      <c r="B635" s="10" t="s">
        <v>103</v>
      </c>
      <c r="C635" s="10" t="s">
        <v>418</v>
      </c>
      <c r="D635" s="10" t="s">
        <v>11</v>
      </c>
      <c r="E635" s="10">
        <v>150</v>
      </c>
      <c r="F635" s="10">
        <v>7.4</v>
      </c>
      <c r="G635" s="10">
        <v>65000000</v>
      </c>
      <c r="H635" s="10">
        <v>182204440</v>
      </c>
      <c r="I635" s="5">
        <f>IMDB_Movies!$H635-IMDB_Movies!$G635</f>
        <v>117204440</v>
      </c>
    </row>
    <row r="636" spans="1:9" ht="23">
      <c r="A636" s="2" t="s">
        <v>978</v>
      </c>
      <c r="B636" s="9" t="s">
        <v>118</v>
      </c>
      <c r="C636" s="9" t="s">
        <v>10</v>
      </c>
      <c r="D636" s="9" t="s">
        <v>11</v>
      </c>
      <c r="E636" s="9">
        <v>136</v>
      </c>
      <c r="F636" s="9">
        <v>8.6999999999999993</v>
      </c>
      <c r="G636" s="9">
        <v>63000000</v>
      </c>
      <c r="H636" s="9">
        <v>171383253</v>
      </c>
      <c r="I636" s="5">
        <f>IMDB_Movies!$H636-IMDB_Movies!$G636</f>
        <v>108383253</v>
      </c>
    </row>
    <row r="637" spans="1:9" ht="23">
      <c r="A637" s="3" t="s">
        <v>979</v>
      </c>
      <c r="B637" s="10" t="s">
        <v>227</v>
      </c>
      <c r="C637" s="10" t="s">
        <v>24</v>
      </c>
      <c r="D637" s="10" t="s">
        <v>11</v>
      </c>
      <c r="E637" s="10">
        <v>140</v>
      </c>
      <c r="F637" s="10">
        <v>7.6</v>
      </c>
      <c r="G637" s="10">
        <v>62000000</v>
      </c>
      <c r="H637" s="10">
        <v>172071312</v>
      </c>
      <c r="I637" s="5">
        <f>IMDB_Movies!$H637-IMDB_Movies!$G637</f>
        <v>110071312</v>
      </c>
    </row>
    <row r="638" spans="1:9" ht="23">
      <c r="A638" s="2" t="s">
        <v>980</v>
      </c>
      <c r="B638" s="9" t="s">
        <v>981</v>
      </c>
      <c r="C638" s="9" t="s">
        <v>138</v>
      </c>
      <c r="D638" s="9" t="s">
        <v>11</v>
      </c>
      <c r="E638" s="9">
        <v>104</v>
      </c>
      <c r="F638" s="9">
        <v>5.5</v>
      </c>
      <c r="G638" s="9">
        <v>60000000</v>
      </c>
      <c r="H638" s="9">
        <v>139225854</v>
      </c>
      <c r="I638" s="5">
        <f>IMDB_Movies!$H638-IMDB_Movies!$G638</f>
        <v>79225854</v>
      </c>
    </row>
    <row r="639" spans="1:9" ht="23">
      <c r="A639" s="3" t="s">
        <v>982</v>
      </c>
      <c r="B639" s="10" t="s">
        <v>983</v>
      </c>
      <c r="C639" s="10" t="s">
        <v>56</v>
      </c>
      <c r="D639" s="10" t="s">
        <v>11</v>
      </c>
      <c r="E639" s="10">
        <v>158</v>
      </c>
      <c r="F639" s="10">
        <v>7.6</v>
      </c>
      <c r="G639" s="10">
        <v>61000000</v>
      </c>
      <c r="H639" s="10">
        <v>148775460</v>
      </c>
      <c r="I639" s="5">
        <f>IMDB_Movies!$H639-IMDB_Movies!$G639</f>
        <v>87775460</v>
      </c>
    </row>
    <row r="640" spans="1:9" ht="23">
      <c r="A640" s="2" t="s">
        <v>984</v>
      </c>
      <c r="B640" s="9" t="s">
        <v>985</v>
      </c>
      <c r="C640" s="9" t="s">
        <v>138</v>
      </c>
      <c r="D640" s="9" t="s">
        <v>11</v>
      </c>
      <c r="E640" s="9">
        <v>119</v>
      </c>
      <c r="F640" s="9">
        <v>6.5</v>
      </c>
      <c r="G640" s="9">
        <v>65000000</v>
      </c>
      <c r="H640" s="9">
        <v>115731542</v>
      </c>
      <c r="I640" s="5">
        <f>IMDB_Movies!$H640-IMDB_Movies!$G640</f>
        <v>50731542</v>
      </c>
    </row>
    <row r="641" spans="1:9" ht="23">
      <c r="A641" s="3" t="s">
        <v>986</v>
      </c>
      <c r="B641" s="10" t="s">
        <v>468</v>
      </c>
      <c r="C641" s="10" t="s">
        <v>138</v>
      </c>
      <c r="D641" s="10" t="s">
        <v>11</v>
      </c>
      <c r="E641" s="10">
        <v>106</v>
      </c>
      <c r="F641" s="10">
        <v>6.9</v>
      </c>
      <c r="G641" s="10">
        <v>65000000</v>
      </c>
      <c r="H641" s="10">
        <v>100468793</v>
      </c>
      <c r="I641" s="5">
        <f>IMDB_Movies!$H641-IMDB_Movies!$G641</f>
        <v>35468793</v>
      </c>
    </row>
    <row r="642" spans="1:9" ht="23">
      <c r="A642" s="2" t="s">
        <v>987</v>
      </c>
      <c r="B642" s="9" t="s">
        <v>83</v>
      </c>
      <c r="C642" s="9" t="s">
        <v>10</v>
      </c>
      <c r="D642" s="9" t="s">
        <v>11</v>
      </c>
      <c r="E642" s="9">
        <v>136</v>
      </c>
      <c r="F642" s="9">
        <v>6.7</v>
      </c>
      <c r="G642" s="9">
        <v>65000000</v>
      </c>
      <c r="H642" s="9">
        <v>93771072</v>
      </c>
      <c r="I642" s="5">
        <f>IMDB_Movies!$H642-IMDB_Movies!$G642</f>
        <v>28771072</v>
      </c>
    </row>
    <row r="643" spans="1:9" ht="23">
      <c r="A643" s="3" t="s">
        <v>988</v>
      </c>
      <c r="B643" s="10" t="s">
        <v>680</v>
      </c>
      <c r="C643" s="10" t="s">
        <v>138</v>
      </c>
      <c r="D643" s="10" t="s">
        <v>11</v>
      </c>
      <c r="E643" s="10">
        <v>95</v>
      </c>
      <c r="F643" s="10">
        <v>6.6</v>
      </c>
      <c r="G643" s="10">
        <v>65000000</v>
      </c>
      <c r="H643" s="10">
        <v>100448498</v>
      </c>
      <c r="I643" s="5">
        <f>IMDB_Movies!$H643-IMDB_Movies!$G643</f>
        <v>35448498</v>
      </c>
    </row>
    <row r="644" spans="1:9" ht="23">
      <c r="A644" s="2" t="s">
        <v>989</v>
      </c>
      <c r="B644" s="9" t="s">
        <v>990</v>
      </c>
      <c r="C644" s="9" t="s">
        <v>418</v>
      </c>
      <c r="D644" s="9" t="s">
        <v>11</v>
      </c>
      <c r="E644" s="9">
        <v>137</v>
      </c>
      <c r="F644" s="9">
        <v>7.2</v>
      </c>
      <c r="G644" s="9">
        <v>65000000</v>
      </c>
      <c r="H644" s="9">
        <v>115603980</v>
      </c>
      <c r="I644" s="5">
        <f>IMDB_Movies!$H644-IMDB_Movies!$G644</f>
        <v>50603980</v>
      </c>
    </row>
    <row r="645" spans="1:9" ht="23">
      <c r="A645" s="3" t="s">
        <v>991</v>
      </c>
      <c r="B645" s="10" t="s">
        <v>992</v>
      </c>
      <c r="C645" s="10" t="s">
        <v>10</v>
      </c>
      <c r="D645" s="10" t="s">
        <v>11</v>
      </c>
      <c r="E645" s="10">
        <v>130</v>
      </c>
      <c r="F645" s="10">
        <v>6.4</v>
      </c>
      <c r="G645" s="10">
        <v>65000000</v>
      </c>
      <c r="H645" s="10">
        <v>90454043</v>
      </c>
      <c r="I645" s="5">
        <f>IMDB_Movies!$H645-IMDB_Movies!$G645</f>
        <v>25454043</v>
      </c>
    </row>
    <row r="646" spans="1:9" ht="23">
      <c r="A646" s="2" t="s">
        <v>993</v>
      </c>
      <c r="B646" s="9" t="s">
        <v>557</v>
      </c>
      <c r="C646" s="9" t="s">
        <v>10</v>
      </c>
      <c r="D646" s="9" t="s">
        <v>11</v>
      </c>
      <c r="E646" s="9">
        <v>124</v>
      </c>
      <c r="F646" s="9">
        <v>6.4</v>
      </c>
      <c r="G646" s="9">
        <v>70000000</v>
      </c>
      <c r="H646" s="9">
        <v>84049211</v>
      </c>
      <c r="I646" s="5">
        <f>IMDB_Movies!$H646-IMDB_Movies!$G646</f>
        <v>14049211</v>
      </c>
    </row>
    <row r="647" spans="1:9" ht="23">
      <c r="A647" s="3" t="s">
        <v>994</v>
      </c>
      <c r="B647" s="10" t="s">
        <v>361</v>
      </c>
      <c r="C647" s="10" t="s">
        <v>10</v>
      </c>
      <c r="D647" s="10" t="s">
        <v>11</v>
      </c>
      <c r="E647" s="10">
        <v>108</v>
      </c>
      <c r="F647" s="10">
        <v>6</v>
      </c>
      <c r="G647" s="10">
        <v>50000000</v>
      </c>
      <c r="H647" s="10">
        <v>70450000</v>
      </c>
      <c r="I647" s="5">
        <f>IMDB_Movies!$H647-IMDB_Movies!$G647</f>
        <v>20450000</v>
      </c>
    </row>
    <row r="648" spans="1:9" ht="23">
      <c r="A648" s="2" t="s">
        <v>995</v>
      </c>
      <c r="B648" s="9" t="s">
        <v>189</v>
      </c>
      <c r="C648" s="9" t="s">
        <v>138</v>
      </c>
      <c r="D648" s="9" t="s">
        <v>11</v>
      </c>
      <c r="E648" s="9">
        <v>104</v>
      </c>
      <c r="F648" s="9">
        <v>6.1</v>
      </c>
      <c r="G648" s="9">
        <v>60000000</v>
      </c>
      <c r="H648" s="9">
        <v>69688384</v>
      </c>
      <c r="I648" s="5">
        <f>IMDB_Movies!$H648-IMDB_Movies!$G648</f>
        <v>9688384</v>
      </c>
    </row>
    <row r="649" spans="1:9" ht="23">
      <c r="A649" s="3" t="s">
        <v>996</v>
      </c>
      <c r="B649" s="10" t="s">
        <v>205</v>
      </c>
      <c r="C649" s="10" t="s">
        <v>56</v>
      </c>
      <c r="D649" s="10" t="s">
        <v>11</v>
      </c>
      <c r="E649" s="10">
        <v>129</v>
      </c>
      <c r="F649" s="10">
        <v>6</v>
      </c>
      <c r="G649" s="10">
        <v>63000000</v>
      </c>
      <c r="H649" s="10">
        <v>70236496</v>
      </c>
      <c r="I649" s="5">
        <f>IMDB_Movies!$H649-IMDB_Movies!$G649</f>
        <v>7236496</v>
      </c>
    </row>
    <row r="650" spans="1:9" ht="23">
      <c r="A650" s="2" t="s">
        <v>997</v>
      </c>
      <c r="B650" s="9" t="s">
        <v>98</v>
      </c>
      <c r="C650" s="9" t="s">
        <v>56</v>
      </c>
      <c r="D650" s="9" t="s">
        <v>11</v>
      </c>
      <c r="E650" s="9">
        <v>117</v>
      </c>
      <c r="F650" s="9">
        <v>6.4</v>
      </c>
      <c r="G650" s="9">
        <v>65000000</v>
      </c>
      <c r="H650" s="9">
        <v>63695760</v>
      </c>
      <c r="I650" s="5">
        <f>IMDB_Movies!$H650-IMDB_Movies!$G650</f>
        <v>-1304240</v>
      </c>
    </row>
    <row r="651" spans="1:9" ht="23">
      <c r="A651" s="3" t="s">
        <v>998</v>
      </c>
      <c r="B651" s="10" t="s">
        <v>999</v>
      </c>
      <c r="C651" s="10" t="s">
        <v>138</v>
      </c>
      <c r="D651" s="10" t="s">
        <v>11</v>
      </c>
      <c r="E651" s="10">
        <v>99</v>
      </c>
      <c r="F651" s="10">
        <v>6.4</v>
      </c>
      <c r="G651" s="10">
        <v>65000000</v>
      </c>
      <c r="H651" s="10">
        <v>59617068</v>
      </c>
      <c r="I651" s="5">
        <f>IMDB_Movies!$H651-IMDB_Movies!$G651</f>
        <v>-5382932</v>
      </c>
    </row>
    <row r="652" spans="1:9" ht="23">
      <c r="A652" s="2" t="s">
        <v>1000</v>
      </c>
      <c r="B652" s="9" t="s">
        <v>1001</v>
      </c>
      <c r="C652" s="9" t="s">
        <v>56</v>
      </c>
      <c r="D652" s="9" t="s">
        <v>11</v>
      </c>
      <c r="E652" s="9">
        <v>159</v>
      </c>
      <c r="F652" s="9">
        <v>7.3</v>
      </c>
      <c r="G652" s="9">
        <v>65000000</v>
      </c>
      <c r="H652" s="9">
        <v>55637680</v>
      </c>
      <c r="I652" s="5">
        <f>IMDB_Movies!$H652-IMDB_Movies!$G652</f>
        <v>-9362320</v>
      </c>
    </row>
    <row r="653" spans="1:9" ht="23">
      <c r="A653" s="3" t="s">
        <v>1002</v>
      </c>
      <c r="B653" s="10" t="s">
        <v>1003</v>
      </c>
      <c r="C653" s="10" t="s">
        <v>138</v>
      </c>
      <c r="D653" s="10" t="s">
        <v>11</v>
      </c>
      <c r="E653" s="10">
        <v>118</v>
      </c>
      <c r="F653" s="10">
        <v>5.2</v>
      </c>
      <c r="G653" s="10">
        <v>65000000</v>
      </c>
      <c r="H653" s="10">
        <v>85911262</v>
      </c>
      <c r="I653" s="5">
        <f>IMDB_Movies!$H653-IMDB_Movies!$G653</f>
        <v>20911262</v>
      </c>
    </row>
    <row r="654" spans="1:9" ht="23">
      <c r="A654" s="2" t="s">
        <v>1004</v>
      </c>
      <c r="B654" s="9" t="s">
        <v>1005</v>
      </c>
      <c r="C654" s="9" t="s">
        <v>138</v>
      </c>
      <c r="D654" s="9" t="s">
        <v>11</v>
      </c>
      <c r="E654" s="9">
        <v>105</v>
      </c>
      <c r="F654" s="9">
        <v>6.6</v>
      </c>
      <c r="G654" s="9">
        <v>50100000</v>
      </c>
      <c r="H654" s="9">
        <v>53846915</v>
      </c>
      <c r="I654" s="5">
        <f>IMDB_Movies!$H654-IMDB_Movies!$G654</f>
        <v>3746915</v>
      </c>
    </row>
    <row r="655" spans="1:9" ht="23">
      <c r="A655" s="3" t="s">
        <v>1006</v>
      </c>
      <c r="B655" s="10" t="s">
        <v>87</v>
      </c>
      <c r="C655" s="10" t="s">
        <v>10</v>
      </c>
      <c r="D655" s="10" t="s">
        <v>11</v>
      </c>
      <c r="E655" s="10">
        <v>103</v>
      </c>
      <c r="F655" s="10">
        <v>6.3</v>
      </c>
      <c r="G655" s="10">
        <v>65000000</v>
      </c>
      <c r="H655" s="10">
        <v>54758461</v>
      </c>
      <c r="I655" s="5">
        <f>IMDB_Movies!$H655-IMDB_Movies!$G655</f>
        <v>-10241539</v>
      </c>
    </row>
    <row r="656" spans="1:9" ht="23">
      <c r="A656" s="2" t="s">
        <v>1007</v>
      </c>
      <c r="B656" s="9" t="s">
        <v>1008</v>
      </c>
      <c r="C656" s="9" t="s">
        <v>10</v>
      </c>
      <c r="D656" s="9" t="s">
        <v>11</v>
      </c>
      <c r="E656" s="9">
        <v>122</v>
      </c>
      <c r="F656" s="9">
        <v>5.9</v>
      </c>
      <c r="G656" s="9">
        <v>65000000</v>
      </c>
      <c r="H656" s="9">
        <v>52397389</v>
      </c>
      <c r="I656" s="5">
        <f>IMDB_Movies!$H656-IMDB_Movies!$G656</f>
        <v>-12602611</v>
      </c>
    </row>
    <row r="657" spans="1:9" ht="23">
      <c r="A657" s="3" t="s">
        <v>1009</v>
      </c>
      <c r="B657" s="10" t="s">
        <v>610</v>
      </c>
      <c r="C657" s="10" t="s">
        <v>10</v>
      </c>
      <c r="D657" s="10" t="s">
        <v>11</v>
      </c>
      <c r="E657" s="10">
        <v>114</v>
      </c>
      <c r="F657" s="10">
        <v>6.4</v>
      </c>
      <c r="G657" s="10">
        <v>16900000</v>
      </c>
      <c r="H657" s="10">
        <v>25078937</v>
      </c>
      <c r="I657" s="5">
        <f>IMDB_Movies!$H657-IMDB_Movies!$G657</f>
        <v>8178937</v>
      </c>
    </row>
    <row r="658" spans="1:9" ht="23">
      <c r="A658" s="2" t="s">
        <v>1010</v>
      </c>
      <c r="B658" s="9" t="s">
        <v>819</v>
      </c>
      <c r="C658" s="9" t="s">
        <v>138</v>
      </c>
      <c r="D658" s="9" t="s">
        <v>11</v>
      </c>
      <c r="E658" s="9">
        <v>143</v>
      </c>
      <c r="F658" s="9">
        <v>6.7</v>
      </c>
      <c r="G658" s="9">
        <v>65000000</v>
      </c>
      <c r="H658" s="9">
        <v>38966057</v>
      </c>
      <c r="I658" s="5">
        <f>IMDB_Movies!$H658-IMDB_Movies!$G658</f>
        <v>-26033943</v>
      </c>
    </row>
    <row r="659" spans="1:9" ht="23">
      <c r="A659" s="3" t="s">
        <v>1011</v>
      </c>
      <c r="B659" s="10" t="s">
        <v>623</v>
      </c>
      <c r="C659" s="10" t="s">
        <v>10</v>
      </c>
      <c r="D659" s="10" t="s">
        <v>11</v>
      </c>
      <c r="E659" s="10">
        <v>96</v>
      </c>
      <c r="F659" s="10">
        <v>5.4</v>
      </c>
      <c r="G659" s="10">
        <v>65000000</v>
      </c>
      <c r="H659" s="10">
        <v>42345531</v>
      </c>
      <c r="I659" s="5">
        <f>IMDB_Movies!$H659-IMDB_Movies!$G659</f>
        <v>-22654469</v>
      </c>
    </row>
    <row r="660" spans="1:9" ht="23">
      <c r="A660" s="2" t="s">
        <v>1012</v>
      </c>
      <c r="B660" s="9" t="s">
        <v>623</v>
      </c>
      <c r="C660" s="9" t="s">
        <v>10</v>
      </c>
      <c r="D660" s="9" t="s">
        <v>11</v>
      </c>
      <c r="E660" s="9">
        <v>111</v>
      </c>
      <c r="F660" s="9">
        <v>6.4</v>
      </c>
      <c r="G660" s="9">
        <v>45000000</v>
      </c>
      <c r="H660" s="9">
        <v>36064910</v>
      </c>
      <c r="I660" s="5">
        <f>IMDB_Movies!$H660-IMDB_Movies!$G660</f>
        <v>-8935090</v>
      </c>
    </row>
    <row r="661" spans="1:9" ht="23">
      <c r="A661" s="3" t="s">
        <v>1013</v>
      </c>
      <c r="B661" s="10" t="s">
        <v>557</v>
      </c>
      <c r="C661" s="10" t="s">
        <v>10</v>
      </c>
      <c r="D661" s="10" t="s">
        <v>11</v>
      </c>
      <c r="E661" s="10">
        <v>121</v>
      </c>
      <c r="F661" s="10">
        <v>6.7</v>
      </c>
      <c r="G661" s="10">
        <v>65000000</v>
      </c>
      <c r="H661" s="10">
        <v>33328051</v>
      </c>
      <c r="I661" s="5">
        <f>IMDB_Movies!$H661-IMDB_Movies!$G661</f>
        <v>-31671949</v>
      </c>
    </row>
    <row r="662" spans="1:9" ht="23">
      <c r="A662" s="2" t="s">
        <v>1014</v>
      </c>
      <c r="B662" s="9" t="s">
        <v>1015</v>
      </c>
      <c r="C662" s="9" t="s">
        <v>10</v>
      </c>
      <c r="D662" s="9" t="s">
        <v>11</v>
      </c>
      <c r="E662" s="9">
        <v>135</v>
      </c>
      <c r="F662" s="9">
        <v>6.2</v>
      </c>
      <c r="G662" s="9">
        <v>65000000</v>
      </c>
      <c r="H662" s="9">
        <v>32598931</v>
      </c>
      <c r="I662" s="5">
        <f>IMDB_Movies!$H662-IMDB_Movies!$G662</f>
        <v>-32401069</v>
      </c>
    </row>
    <row r="663" spans="1:9" ht="23">
      <c r="A663" s="3" t="s">
        <v>1016</v>
      </c>
      <c r="B663" s="10" t="s">
        <v>128</v>
      </c>
      <c r="C663" s="10" t="s">
        <v>10</v>
      </c>
      <c r="D663" s="10" t="s">
        <v>11</v>
      </c>
      <c r="E663" s="10">
        <v>101</v>
      </c>
      <c r="F663" s="10">
        <v>6.1</v>
      </c>
      <c r="G663" s="10">
        <v>65000000</v>
      </c>
      <c r="H663" s="10">
        <v>28045540</v>
      </c>
      <c r="I663" s="5">
        <f>IMDB_Movies!$H663-IMDB_Movies!$G663</f>
        <v>-36954460</v>
      </c>
    </row>
    <row r="664" spans="1:9" ht="23">
      <c r="A664" s="2" t="s">
        <v>1017</v>
      </c>
      <c r="B664" s="9" t="s">
        <v>183</v>
      </c>
      <c r="C664" s="9" t="s">
        <v>56</v>
      </c>
      <c r="D664" s="9" t="s">
        <v>11</v>
      </c>
      <c r="E664" s="9">
        <v>151</v>
      </c>
      <c r="F664" s="9">
        <v>8.8000000000000007</v>
      </c>
      <c r="G664" s="9">
        <v>63000000</v>
      </c>
      <c r="H664" s="9">
        <v>37023395</v>
      </c>
      <c r="I664" s="5">
        <f>IMDB_Movies!$H664-IMDB_Movies!$G664</f>
        <v>-25976605</v>
      </c>
    </row>
    <row r="665" spans="1:9" ht="23">
      <c r="A665" s="3" t="s">
        <v>1018</v>
      </c>
      <c r="B665" s="10" t="s">
        <v>87</v>
      </c>
      <c r="C665" s="10" t="s">
        <v>56</v>
      </c>
      <c r="D665" s="10" t="s">
        <v>11</v>
      </c>
      <c r="E665" s="10">
        <v>131</v>
      </c>
      <c r="F665" s="10">
        <v>7.1</v>
      </c>
      <c r="G665" s="10">
        <v>65000000</v>
      </c>
      <c r="H665" s="10">
        <v>43532294</v>
      </c>
      <c r="I665" s="5">
        <f>IMDB_Movies!$H665-IMDB_Movies!$G665</f>
        <v>-21467706</v>
      </c>
    </row>
    <row r="666" spans="1:9" ht="23">
      <c r="A666" s="2" t="s">
        <v>1019</v>
      </c>
      <c r="B666" s="9" t="s">
        <v>1020</v>
      </c>
      <c r="C666" s="9" t="s">
        <v>10</v>
      </c>
      <c r="D666" s="9" t="s">
        <v>11</v>
      </c>
      <c r="E666" s="9">
        <v>100</v>
      </c>
      <c r="F666" s="9">
        <v>5.7</v>
      </c>
      <c r="G666" s="9">
        <v>70000000</v>
      </c>
      <c r="H666" s="9">
        <v>17218080</v>
      </c>
      <c r="I666" s="5">
        <f>IMDB_Movies!$H666-IMDB_Movies!$G666</f>
        <v>-52781920</v>
      </c>
    </row>
    <row r="667" spans="1:9" ht="23">
      <c r="A667" s="3" t="s">
        <v>1021</v>
      </c>
      <c r="B667" s="10" t="s">
        <v>985</v>
      </c>
      <c r="C667" s="10" t="s">
        <v>138</v>
      </c>
      <c r="D667" s="10" t="s">
        <v>11</v>
      </c>
      <c r="E667" s="10">
        <v>105</v>
      </c>
      <c r="F667" s="10">
        <v>5</v>
      </c>
      <c r="G667" s="10">
        <v>65000000</v>
      </c>
      <c r="H667" s="10">
        <v>10014234</v>
      </c>
      <c r="I667" s="5">
        <f>IMDB_Movies!$H667-IMDB_Movies!$G667</f>
        <v>-54985766</v>
      </c>
    </row>
    <row r="668" spans="1:9" ht="23">
      <c r="A668" s="2" t="s">
        <v>1022</v>
      </c>
      <c r="B668" s="9" t="s">
        <v>1023</v>
      </c>
      <c r="C668" s="9" t="s">
        <v>10</v>
      </c>
      <c r="D668" s="9" t="s">
        <v>11</v>
      </c>
      <c r="E668" s="9">
        <v>92</v>
      </c>
      <c r="F668" s="9">
        <v>5.0999999999999996</v>
      </c>
      <c r="G668" s="9">
        <v>65000000</v>
      </c>
      <c r="H668" s="9">
        <v>19059018</v>
      </c>
      <c r="I668" s="5">
        <f>IMDB_Movies!$H668-IMDB_Movies!$G668</f>
        <v>-45940982</v>
      </c>
    </row>
    <row r="669" spans="1:9" ht="23">
      <c r="A669" s="3" t="s">
        <v>1024</v>
      </c>
      <c r="B669" s="10" t="s">
        <v>1025</v>
      </c>
      <c r="C669" s="10" t="s">
        <v>414</v>
      </c>
      <c r="D669" s="10" t="s">
        <v>11</v>
      </c>
      <c r="E669" s="10">
        <v>130</v>
      </c>
      <c r="F669" s="10">
        <v>6.9</v>
      </c>
      <c r="G669" s="10">
        <v>50000000</v>
      </c>
      <c r="H669" s="10">
        <v>1987287</v>
      </c>
      <c r="I669" s="5">
        <f>IMDB_Movies!$H669-IMDB_Movies!$G669</f>
        <v>-48012713</v>
      </c>
    </row>
    <row r="670" spans="1:9" ht="23">
      <c r="A670" s="2" t="s">
        <v>1026</v>
      </c>
      <c r="B670" s="9" t="s">
        <v>967</v>
      </c>
      <c r="C670" s="9" t="s">
        <v>10</v>
      </c>
      <c r="D670" s="9" t="s">
        <v>11</v>
      </c>
      <c r="E670" s="9">
        <v>100</v>
      </c>
      <c r="F670" s="9">
        <v>4.8</v>
      </c>
      <c r="G670" s="9">
        <v>43000000</v>
      </c>
      <c r="H670" s="9">
        <v>24407944</v>
      </c>
      <c r="I670" s="5">
        <f>IMDB_Movies!$H670-IMDB_Movies!$G670</f>
        <v>-18592056</v>
      </c>
    </row>
    <row r="671" spans="1:9" ht="23">
      <c r="A671" s="3" t="s">
        <v>1027</v>
      </c>
      <c r="B671" s="10" t="s">
        <v>1028</v>
      </c>
      <c r="C671" s="10" t="s">
        <v>10</v>
      </c>
      <c r="D671" s="10" t="s">
        <v>11</v>
      </c>
      <c r="E671" s="10">
        <v>102</v>
      </c>
      <c r="F671" s="10">
        <v>6.5</v>
      </c>
      <c r="G671" s="10">
        <v>65000000</v>
      </c>
      <c r="H671" s="10">
        <v>13750556</v>
      </c>
      <c r="I671" s="5">
        <f>IMDB_Movies!$H671-IMDB_Movies!$G671</f>
        <v>-51249444</v>
      </c>
    </row>
    <row r="672" spans="1:9" ht="23">
      <c r="A672" s="2" t="s">
        <v>1029</v>
      </c>
      <c r="B672" s="9" t="s">
        <v>591</v>
      </c>
      <c r="C672" s="9" t="s">
        <v>56</v>
      </c>
      <c r="D672" s="9" t="s">
        <v>11</v>
      </c>
      <c r="E672" s="9">
        <v>133</v>
      </c>
      <c r="F672" s="9">
        <v>5.0999999999999996</v>
      </c>
      <c r="G672" s="9">
        <v>64000000</v>
      </c>
      <c r="H672" s="9">
        <v>31054924</v>
      </c>
      <c r="I672" s="5">
        <f>IMDB_Movies!$H672-IMDB_Movies!$G672</f>
        <v>-32945076</v>
      </c>
    </row>
    <row r="673" spans="1:9" ht="23">
      <c r="A673" s="3" t="s">
        <v>1030</v>
      </c>
      <c r="B673" s="10" t="s">
        <v>1031</v>
      </c>
      <c r="C673" s="10" t="s">
        <v>24</v>
      </c>
      <c r="D673" s="10" t="s">
        <v>11</v>
      </c>
      <c r="E673" s="10">
        <v>121</v>
      </c>
      <c r="F673" s="10">
        <v>7.1</v>
      </c>
      <c r="G673" s="10">
        <v>55000000</v>
      </c>
      <c r="H673" s="10">
        <v>43247140</v>
      </c>
      <c r="I673" s="5">
        <f>IMDB_Movies!$H673-IMDB_Movies!$G673</f>
        <v>-11752860</v>
      </c>
    </row>
    <row r="674" spans="1:9" ht="23">
      <c r="A674" s="2" t="s">
        <v>1032</v>
      </c>
      <c r="B674" s="9" t="s">
        <v>495</v>
      </c>
      <c r="C674" s="9" t="s">
        <v>414</v>
      </c>
      <c r="D674" s="9" t="s">
        <v>11</v>
      </c>
      <c r="E674" s="9">
        <v>147</v>
      </c>
      <c r="F674" s="9">
        <v>7.5</v>
      </c>
      <c r="G674" s="9">
        <v>50000000</v>
      </c>
      <c r="H674" s="9">
        <v>2208939</v>
      </c>
      <c r="I674" s="5">
        <f>IMDB_Movies!$H674-IMDB_Movies!$G674</f>
        <v>-47791061</v>
      </c>
    </row>
    <row r="675" spans="1:9" ht="23">
      <c r="A675" s="3" t="s">
        <v>1033</v>
      </c>
      <c r="B675" s="10" t="s">
        <v>528</v>
      </c>
      <c r="C675" s="10" t="s">
        <v>10</v>
      </c>
      <c r="D675" s="10" t="s">
        <v>11</v>
      </c>
      <c r="E675" s="10">
        <v>94</v>
      </c>
      <c r="F675" s="10">
        <v>6.2</v>
      </c>
      <c r="G675" s="10">
        <v>63000000</v>
      </c>
      <c r="H675" s="10">
        <v>213079163</v>
      </c>
      <c r="I675" s="5">
        <f>IMDB_Movies!$H675-IMDB_Movies!$G675</f>
        <v>150079163</v>
      </c>
    </row>
    <row r="676" spans="1:9" ht="23">
      <c r="A676" s="2" t="s">
        <v>1034</v>
      </c>
      <c r="B676" s="9" t="s">
        <v>253</v>
      </c>
      <c r="C676" s="9" t="s">
        <v>10</v>
      </c>
      <c r="D676" s="9" t="s">
        <v>11</v>
      </c>
      <c r="E676" s="9">
        <v>94</v>
      </c>
      <c r="F676" s="9">
        <v>6.3</v>
      </c>
      <c r="G676" s="9">
        <v>65000000</v>
      </c>
      <c r="H676" s="9">
        <v>19548064</v>
      </c>
      <c r="I676" s="5">
        <f>IMDB_Movies!$H676-IMDB_Movies!$G676</f>
        <v>-45451936</v>
      </c>
    </row>
    <row r="677" spans="1:9" ht="23">
      <c r="A677" s="3" t="s">
        <v>1035</v>
      </c>
      <c r="B677" s="10" t="s">
        <v>103</v>
      </c>
      <c r="C677" s="10" t="s">
        <v>24</v>
      </c>
      <c r="D677" s="10" t="s">
        <v>11</v>
      </c>
      <c r="E677" s="10">
        <v>127</v>
      </c>
      <c r="F677" s="10">
        <v>8.1</v>
      </c>
      <c r="G677" s="10">
        <v>63000000</v>
      </c>
      <c r="H677" s="10">
        <v>356784000</v>
      </c>
      <c r="I677" s="5">
        <f>IMDB_Movies!$H677-IMDB_Movies!$G677</f>
        <v>293784000</v>
      </c>
    </row>
    <row r="678" spans="1:9" ht="23">
      <c r="A678" s="2" t="s">
        <v>1036</v>
      </c>
      <c r="B678" s="9" t="s">
        <v>976</v>
      </c>
      <c r="C678" s="9" t="s">
        <v>24</v>
      </c>
      <c r="D678" s="9" t="s">
        <v>11</v>
      </c>
      <c r="E678" s="9">
        <v>212</v>
      </c>
      <c r="F678" s="9">
        <v>6.6</v>
      </c>
      <c r="G678" s="9">
        <v>63000000</v>
      </c>
      <c r="H678" s="9">
        <v>25052000</v>
      </c>
      <c r="I678" s="5">
        <f>IMDB_Movies!$H678-IMDB_Movies!$G678</f>
        <v>-37948000</v>
      </c>
    </row>
    <row r="679" spans="1:9" ht="23">
      <c r="A679" s="3" t="s">
        <v>1037</v>
      </c>
      <c r="B679" s="10" t="s">
        <v>323</v>
      </c>
      <c r="C679" s="10" t="s">
        <v>10</v>
      </c>
      <c r="D679" s="10" t="s">
        <v>11</v>
      </c>
      <c r="E679" s="10">
        <v>141</v>
      </c>
      <c r="F679" s="10">
        <v>6.9</v>
      </c>
      <c r="G679" s="10">
        <v>62000000</v>
      </c>
      <c r="H679" s="10">
        <v>122012710</v>
      </c>
      <c r="I679" s="5">
        <f>IMDB_Movies!$H679-IMDB_Movies!$G679</f>
        <v>60012710</v>
      </c>
    </row>
    <row r="680" spans="1:9" ht="23">
      <c r="A680" s="2" t="s">
        <v>1038</v>
      </c>
      <c r="B680" s="9" t="s">
        <v>1039</v>
      </c>
      <c r="C680" s="9" t="s">
        <v>10</v>
      </c>
      <c r="D680" s="9" t="s">
        <v>521</v>
      </c>
      <c r="E680" s="9">
        <v>103</v>
      </c>
      <c r="F680" s="9">
        <v>6.1</v>
      </c>
      <c r="G680" s="9">
        <v>65000000</v>
      </c>
      <c r="H680" s="9">
        <v>72413</v>
      </c>
      <c r="I680" s="5">
        <f>IMDB_Movies!$H680-IMDB_Movies!$G680</f>
        <v>-64927587</v>
      </c>
    </row>
    <row r="681" spans="1:9" ht="23">
      <c r="A681" s="3" t="s">
        <v>1040</v>
      </c>
      <c r="B681" s="10" t="s">
        <v>1041</v>
      </c>
      <c r="C681" s="10" t="s">
        <v>138</v>
      </c>
      <c r="D681" s="10" t="s">
        <v>11</v>
      </c>
      <c r="E681" s="10">
        <v>98</v>
      </c>
      <c r="F681" s="10">
        <v>4.3</v>
      </c>
      <c r="G681" s="10">
        <v>64000000</v>
      </c>
      <c r="H681" s="10">
        <v>58255287</v>
      </c>
      <c r="I681" s="5">
        <f>IMDB_Movies!$H681-IMDB_Movies!$G681</f>
        <v>-5744713</v>
      </c>
    </row>
    <row r="682" spans="1:9" ht="23">
      <c r="A682" s="2" t="s">
        <v>1042</v>
      </c>
      <c r="B682" s="9" t="s">
        <v>172</v>
      </c>
      <c r="C682" s="9" t="s">
        <v>10</v>
      </c>
      <c r="D682" s="9" t="s">
        <v>11</v>
      </c>
      <c r="E682" s="9">
        <v>116</v>
      </c>
      <c r="F682" s="9">
        <v>6.6</v>
      </c>
      <c r="G682" s="9">
        <v>62000000</v>
      </c>
      <c r="H682" s="9">
        <v>77086030</v>
      </c>
      <c r="I682" s="5">
        <f>IMDB_Movies!$H682-IMDB_Movies!$G682</f>
        <v>15086030</v>
      </c>
    </row>
    <row r="683" spans="1:9" ht="23">
      <c r="A683" s="3" t="s">
        <v>1043</v>
      </c>
      <c r="B683" s="10" t="s">
        <v>1044</v>
      </c>
      <c r="C683" s="10" t="s">
        <v>138</v>
      </c>
      <c r="D683" s="10" t="s">
        <v>11</v>
      </c>
      <c r="E683" s="10">
        <v>114</v>
      </c>
      <c r="F683" s="10">
        <v>6.8</v>
      </c>
      <c r="G683" s="10">
        <v>62000000</v>
      </c>
      <c r="H683" s="10">
        <v>65000000</v>
      </c>
      <c r="I683" s="5">
        <f>IMDB_Movies!$H683-IMDB_Movies!$G683</f>
        <v>3000000</v>
      </c>
    </row>
    <row r="684" spans="1:9" ht="23">
      <c r="A684" s="2" t="s">
        <v>1045</v>
      </c>
      <c r="B684" s="9" t="s">
        <v>1046</v>
      </c>
      <c r="C684" s="9" t="s">
        <v>138</v>
      </c>
      <c r="D684" s="9" t="s">
        <v>11</v>
      </c>
      <c r="E684" s="9">
        <v>87</v>
      </c>
      <c r="F684" s="9">
        <v>3.8</v>
      </c>
      <c r="G684" s="9">
        <v>62000000</v>
      </c>
      <c r="H684" s="9">
        <v>32178777</v>
      </c>
      <c r="I684" s="5">
        <f>IMDB_Movies!$H684-IMDB_Movies!$G684</f>
        <v>-29821223</v>
      </c>
    </row>
    <row r="685" spans="1:9" ht="23">
      <c r="A685" s="3" t="s">
        <v>1047</v>
      </c>
      <c r="B685" s="10" t="s">
        <v>1048</v>
      </c>
      <c r="C685" s="10" t="s">
        <v>10</v>
      </c>
      <c r="D685" s="10" t="s">
        <v>11</v>
      </c>
      <c r="E685" s="10">
        <v>125</v>
      </c>
      <c r="F685" s="10">
        <v>5.9</v>
      </c>
      <c r="G685" s="10">
        <v>42000000</v>
      </c>
      <c r="H685" s="10">
        <v>15738632</v>
      </c>
      <c r="I685" s="5">
        <f>IMDB_Movies!$H685-IMDB_Movies!$G685</f>
        <v>-26261368</v>
      </c>
    </row>
    <row r="686" spans="1:9" ht="23">
      <c r="A686" s="2" t="s">
        <v>1049</v>
      </c>
      <c r="B686" s="9" t="s">
        <v>472</v>
      </c>
      <c r="C686" s="9" t="s">
        <v>414</v>
      </c>
      <c r="D686" s="9" t="s">
        <v>11</v>
      </c>
      <c r="E686" s="9">
        <v>187</v>
      </c>
      <c r="F686" s="9">
        <v>7.9</v>
      </c>
      <c r="G686" s="9">
        <v>44000000</v>
      </c>
      <c r="H686" s="9">
        <v>54116191</v>
      </c>
      <c r="I686" s="5">
        <f>IMDB_Movies!$H686-IMDB_Movies!$G686</f>
        <v>10116191</v>
      </c>
    </row>
    <row r="687" spans="1:9" ht="23">
      <c r="A687" s="3" t="s">
        <v>1050</v>
      </c>
      <c r="B687" s="10" t="s">
        <v>1051</v>
      </c>
      <c r="C687" s="10" t="s">
        <v>138</v>
      </c>
      <c r="D687" s="10" t="s">
        <v>11</v>
      </c>
      <c r="E687" s="10">
        <v>93</v>
      </c>
      <c r="F687" s="10">
        <v>6.3</v>
      </c>
      <c r="G687" s="10">
        <v>61000000</v>
      </c>
      <c r="H687" s="10">
        <v>118153533</v>
      </c>
      <c r="I687" s="5">
        <f>IMDB_Movies!$H687-IMDB_Movies!$G687</f>
        <v>57153533</v>
      </c>
    </row>
    <row r="688" spans="1:9" ht="23">
      <c r="A688" s="2" t="s">
        <v>1052</v>
      </c>
      <c r="B688" s="9" t="s">
        <v>1053</v>
      </c>
      <c r="C688" s="9" t="s">
        <v>24</v>
      </c>
      <c r="D688" s="9" t="s">
        <v>11</v>
      </c>
      <c r="E688" s="9">
        <v>95</v>
      </c>
      <c r="F688" s="9">
        <v>5.5</v>
      </c>
      <c r="G688" s="9">
        <v>63000000</v>
      </c>
      <c r="H688" s="9">
        <v>108012170</v>
      </c>
      <c r="I688" s="5">
        <f>IMDB_Movies!$H688-IMDB_Movies!$G688</f>
        <v>45012170</v>
      </c>
    </row>
    <row r="689" spans="1:9" ht="23">
      <c r="A689" s="3" t="s">
        <v>1054</v>
      </c>
      <c r="B689" s="10" t="s">
        <v>30</v>
      </c>
      <c r="C689" s="10" t="s">
        <v>10</v>
      </c>
      <c r="D689" s="10" t="s">
        <v>11</v>
      </c>
      <c r="E689" s="10">
        <v>117</v>
      </c>
      <c r="F689" s="10">
        <v>7.7</v>
      </c>
      <c r="G689" s="10">
        <v>65000000</v>
      </c>
      <c r="H689" s="10">
        <v>210592590</v>
      </c>
      <c r="I689" s="5">
        <f>IMDB_Movies!$H689-IMDB_Movies!$G689</f>
        <v>145592590</v>
      </c>
    </row>
    <row r="690" spans="1:9" ht="23">
      <c r="A690" s="2" t="s">
        <v>1055</v>
      </c>
      <c r="B690" s="9" t="s">
        <v>528</v>
      </c>
      <c r="C690" s="9" t="s">
        <v>138</v>
      </c>
      <c r="D690" s="9" t="s">
        <v>11</v>
      </c>
      <c r="E690" s="9">
        <v>106</v>
      </c>
      <c r="F690" s="9">
        <v>6.3</v>
      </c>
      <c r="G690" s="9">
        <v>80000000</v>
      </c>
      <c r="H690" s="9">
        <v>279167575</v>
      </c>
      <c r="I690" s="5">
        <f>IMDB_Movies!$H690-IMDB_Movies!$G690</f>
        <v>199167575</v>
      </c>
    </row>
    <row r="691" spans="1:9" ht="23">
      <c r="A691" s="3" t="s">
        <v>1056</v>
      </c>
      <c r="B691" s="10" t="s">
        <v>1057</v>
      </c>
      <c r="C691" s="10" t="s">
        <v>138</v>
      </c>
      <c r="D691" s="10" t="s">
        <v>11</v>
      </c>
      <c r="E691" s="10">
        <v>115</v>
      </c>
      <c r="F691" s="10">
        <v>7.1</v>
      </c>
      <c r="G691" s="10">
        <v>60000000</v>
      </c>
      <c r="H691" s="10">
        <v>143151473</v>
      </c>
      <c r="I691" s="5">
        <f>IMDB_Movies!$H691-IMDB_Movies!$G691</f>
        <v>83151473</v>
      </c>
    </row>
    <row r="692" spans="1:9" ht="23">
      <c r="A692" s="2" t="s">
        <v>1058</v>
      </c>
      <c r="B692" s="9" t="s">
        <v>873</v>
      </c>
      <c r="C692" s="9" t="s">
        <v>414</v>
      </c>
      <c r="D692" s="9" t="s">
        <v>11</v>
      </c>
      <c r="E692" s="9">
        <v>189</v>
      </c>
      <c r="F692" s="9">
        <v>8.5</v>
      </c>
      <c r="G692" s="9">
        <v>60000000</v>
      </c>
      <c r="H692" s="9">
        <v>136801374</v>
      </c>
      <c r="I692" s="5">
        <f>IMDB_Movies!$H692-IMDB_Movies!$G692</f>
        <v>76801374</v>
      </c>
    </row>
    <row r="693" spans="1:9" ht="23">
      <c r="A693" s="3" t="s">
        <v>1059</v>
      </c>
      <c r="B693" s="10" t="s">
        <v>581</v>
      </c>
      <c r="C693" s="10" t="s">
        <v>10</v>
      </c>
      <c r="D693" s="10" t="s">
        <v>11</v>
      </c>
      <c r="E693" s="10">
        <v>100</v>
      </c>
      <c r="F693" s="10">
        <v>5.9</v>
      </c>
      <c r="G693" s="10">
        <v>20000000</v>
      </c>
      <c r="H693" s="10">
        <v>168213584</v>
      </c>
      <c r="I693" s="5">
        <f>IMDB_Movies!$H693-IMDB_Movies!$G693</f>
        <v>148213584</v>
      </c>
    </row>
    <row r="694" spans="1:9" ht="23">
      <c r="A694" s="2" t="s">
        <v>1060</v>
      </c>
      <c r="B694" s="9" t="s">
        <v>476</v>
      </c>
      <c r="C694" s="9" t="s">
        <v>24</v>
      </c>
      <c r="D694" s="9" t="s">
        <v>11</v>
      </c>
      <c r="E694" s="9">
        <v>81</v>
      </c>
      <c r="F694" s="9">
        <v>5.8</v>
      </c>
      <c r="G694" s="9">
        <v>150000000</v>
      </c>
      <c r="H694" s="9">
        <v>135381507</v>
      </c>
      <c r="I694" s="5">
        <f>IMDB_Movies!$H694-IMDB_Movies!$G694</f>
        <v>-14618493</v>
      </c>
    </row>
    <row r="695" spans="1:9" ht="23">
      <c r="A695" s="3" t="s">
        <v>1061</v>
      </c>
      <c r="B695" s="10" t="s">
        <v>183</v>
      </c>
      <c r="C695" s="10" t="s">
        <v>414</v>
      </c>
      <c r="D695" s="10" t="s">
        <v>11</v>
      </c>
      <c r="E695" s="10">
        <v>149</v>
      </c>
      <c r="F695" s="10">
        <v>8.1</v>
      </c>
      <c r="G695" s="10">
        <v>61000000</v>
      </c>
      <c r="H695" s="10">
        <v>167735396</v>
      </c>
      <c r="I695" s="5">
        <f>IMDB_Movies!$H695-IMDB_Movies!$G695</f>
        <v>106735396</v>
      </c>
    </row>
    <row r="696" spans="1:9" ht="23">
      <c r="A696" s="2" t="s">
        <v>1062</v>
      </c>
      <c r="B696" s="9" t="s">
        <v>140</v>
      </c>
      <c r="C696" s="9" t="s">
        <v>10</v>
      </c>
      <c r="D696" s="9" t="s">
        <v>11</v>
      </c>
      <c r="E696" s="9">
        <v>119</v>
      </c>
      <c r="F696" s="9">
        <v>7.9</v>
      </c>
      <c r="G696" s="9">
        <v>60000000</v>
      </c>
      <c r="H696" s="9">
        <v>121468960</v>
      </c>
      <c r="I696" s="5">
        <f>IMDB_Movies!$H696-IMDB_Movies!$G696</f>
        <v>61468960</v>
      </c>
    </row>
    <row r="697" spans="1:9" ht="23">
      <c r="A697" s="3" t="s">
        <v>1063</v>
      </c>
      <c r="B697" s="10" t="s">
        <v>83</v>
      </c>
      <c r="C697" s="10" t="s">
        <v>10</v>
      </c>
      <c r="D697" s="10" t="s">
        <v>11</v>
      </c>
      <c r="E697" s="10">
        <v>130</v>
      </c>
      <c r="F697" s="10">
        <v>7.2</v>
      </c>
      <c r="G697" s="10">
        <v>58000000</v>
      </c>
      <c r="H697" s="10">
        <v>106635996</v>
      </c>
      <c r="I697" s="5">
        <f>IMDB_Movies!$H697-IMDB_Movies!$G697</f>
        <v>48635996</v>
      </c>
    </row>
    <row r="698" spans="1:9" ht="23">
      <c r="A698" s="2" t="s">
        <v>1064</v>
      </c>
      <c r="B698" s="9" t="s">
        <v>478</v>
      </c>
      <c r="C698" s="9" t="s">
        <v>56</v>
      </c>
      <c r="D698" s="9" t="s">
        <v>11</v>
      </c>
      <c r="E698" s="9">
        <v>116</v>
      </c>
      <c r="F698" s="9">
        <v>6.3</v>
      </c>
      <c r="G698" s="9">
        <v>95000000</v>
      </c>
      <c r="H698" s="9">
        <v>102678089</v>
      </c>
      <c r="I698" s="5">
        <f>IMDB_Movies!$H698-IMDB_Movies!$G698</f>
        <v>7678089</v>
      </c>
    </row>
    <row r="699" spans="1:9" ht="23">
      <c r="A699" s="3" t="s">
        <v>1065</v>
      </c>
      <c r="B699" s="10" t="s">
        <v>297</v>
      </c>
      <c r="C699" s="10" t="s">
        <v>138</v>
      </c>
      <c r="D699" s="10" t="s">
        <v>11</v>
      </c>
      <c r="E699" s="10">
        <v>103</v>
      </c>
      <c r="F699" s="10">
        <v>8.1</v>
      </c>
      <c r="G699" s="10">
        <v>60000000</v>
      </c>
      <c r="H699" s="10">
        <v>125603360</v>
      </c>
      <c r="I699" s="5">
        <f>IMDB_Movies!$H699-IMDB_Movies!$G699</f>
        <v>65603360</v>
      </c>
    </row>
    <row r="700" spans="1:9" ht="23">
      <c r="A700" s="2" t="s">
        <v>1066</v>
      </c>
      <c r="B700" s="9" t="s">
        <v>1067</v>
      </c>
      <c r="C700" s="9" t="s">
        <v>24</v>
      </c>
      <c r="D700" s="9" t="s">
        <v>11</v>
      </c>
      <c r="E700" s="9">
        <v>99</v>
      </c>
      <c r="F700" s="9">
        <v>7</v>
      </c>
      <c r="G700" s="9">
        <v>70000000</v>
      </c>
      <c r="H700" s="9">
        <v>101217900</v>
      </c>
      <c r="I700" s="5">
        <f>IMDB_Movies!$H700-IMDB_Movies!$G700</f>
        <v>31217900</v>
      </c>
    </row>
    <row r="701" spans="1:9" ht="23">
      <c r="A701" s="3" t="s">
        <v>1068</v>
      </c>
      <c r="B701" s="10" t="s">
        <v>866</v>
      </c>
      <c r="C701" s="10" t="s">
        <v>138</v>
      </c>
      <c r="D701" s="10" t="s">
        <v>11</v>
      </c>
      <c r="E701" s="10">
        <v>92</v>
      </c>
      <c r="F701" s="10">
        <v>5.5</v>
      </c>
      <c r="G701" s="10">
        <v>60000000</v>
      </c>
      <c r="H701" s="10">
        <v>104148781</v>
      </c>
      <c r="I701" s="5">
        <f>IMDB_Movies!$H701-IMDB_Movies!$G701</f>
        <v>44148781</v>
      </c>
    </row>
    <row r="702" spans="1:9" ht="23">
      <c r="A702" s="2" t="s">
        <v>1069</v>
      </c>
      <c r="B702" s="9" t="s">
        <v>1031</v>
      </c>
      <c r="C702" s="9" t="s">
        <v>10</v>
      </c>
      <c r="D702" s="9" t="s">
        <v>11</v>
      </c>
      <c r="E702" s="9">
        <v>109</v>
      </c>
      <c r="F702" s="9">
        <v>6.7</v>
      </c>
      <c r="G702" s="9">
        <v>61000000</v>
      </c>
      <c r="H702" s="9">
        <v>75573300</v>
      </c>
      <c r="I702" s="5">
        <f>IMDB_Movies!$H702-IMDB_Movies!$G702</f>
        <v>14573300</v>
      </c>
    </row>
    <row r="703" spans="1:9" ht="23">
      <c r="A703" s="3" t="s">
        <v>1070</v>
      </c>
      <c r="B703" s="10" t="s">
        <v>508</v>
      </c>
      <c r="C703" s="10" t="s">
        <v>10</v>
      </c>
      <c r="D703" s="10" t="s">
        <v>11</v>
      </c>
      <c r="E703" s="10">
        <v>87</v>
      </c>
      <c r="F703" s="10">
        <v>5.2</v>
      </c>
      <c r="G703" s="10">
        <v>60000000</v>
      </c>
      <c r="H703" s="10">
        <v>93375151</v>
      </c>
      <c r="I703" s="5">
        <f>IMDB_Movies!$H703-IMDB_Movies!$G703</f>
        <v>33375151</v>
      </c>
    </row>
    <row r="704" spans="1:9" ht="23">
      <c r="A704" s="2" t="s">
        <v>1071</v>
      </c>
      <c r="B704" s="9" t="s">
        <v>823</v>
      </c>
      <c r="C704" s="9" t="s">
        <v>10</v>
      </c>
      <c r="D704" s="9" t="s">
        <v>11</v>
      </c>
      <c r="E704" s="9">
        <v>111</v>
      </c>
      <c r="F704" s="9">
        <v>7</v>
      </c>
      <c r="G704" s="9">
        <v>60000000</v>
      </c>
      <c r="H704" s="9">
        <v>106126012</v>
      </c>
      <c r="I704" s="5">
        <f>IMDB_Movies!$H704-IMDB_Movies!$G704</f>
        <v>46126012</v>
      </c>
    </row>
    <row r="705" spans="1:9" ht="23">
      <c r="A705" s="3" t="s">
        <v>1072</v>
      </c>
      <c r="B705" s="10" t="s">
        <v>1073</v>
      </c>
      <c r="C705" s="10" t="s">
        <v>138</v>
      </c>
      <c r="D705" s="10" t="s">
        <v>11</v>
      </c>
      <c r="E705" s="10">
        <v>101</v>
      </c>
      <c r="F705" s="10">
        <v>6.1</v>
      </c>
      <c r="G705" s="10">
        <v>60000000</v>
      </c>
      <c r="H705" s="10">
        <v>93307796</v>
      </c>
      <c r="I705" s="5">
        <f>IMDB_Movies!$H705-IMDB_Movies!$G705</f>
        <v>33307796</v>
      </c>
    </row>
    <row r="706" spans="1:9" ht="23">
      <c r="A706" s="2" t="s">
        <v>1074</v>
      </c>
      <c r="B706" s="9" t="s">
        <v>214</v>
      </c>
      <c r="C706" s="9" t="s">
        <v>24</v>
      </c>
      <c r="D706" s="9" t="s">
        <v>11</v>
      </c>
      <c r="E706" s="9">
        <v>83</v>
      </c>
      <c r="F706" s="9">
        <v>6.6</v>
      </c>
      <c r="G706" s="9">
        <v>105000000</v>
      </c>
      <c r="H706" s="9">
        <v>90646554</v>
      </c>
      <c r="I706" s="5">
        <f>IMDB_Movies!$H706-IMDB_Movies!$G706</f>
        <v>-14353446</v>
      </c>
    </row>
    <row r="707" spans="1:9" ht="23">
      <c r="A707" s="3" t="s">
        <v>1075</v>
      </c>
      <c r="B707" s="10" t="s">
        <v>1076</v>
      </c>
      <c r="C707" s="10" t="s">
        <v>138</v>
      </c>
      <c r="D707" s="10" t="s">
        <v>11</v>
      </c>
      <c r="E707" s="10">
        <v>113</v>
      </c>
      <c r="F707" s="10">
        <v>5.5</v>
      </c>
      <c r="G707" s="10">
        <v>60000000</v>
      </c>
      <c r="H707" s="10">
        <v>109176215</v>
      </c>
      <c r="I707" s="5">
        <f>IMDB_Movies!$H707-IMDB_Movies!$G707</f>
        <v>49176215</v>
      </c>
    </row>
    <row r="708" spans="1:9" ht="23">
      <c r="A708" s="2" t="s">
        <v>1077</v>
      </c>
      <c r="B708" s="9" t="s">
        <v>464</v>
      </c>
      <c r="C708" s="9" t="s">
        <v>10</v>
      </c>
      <c r="D708" s="9" t="s">
        <v>11</v>
      </c>
      <c r="E708" s="9">
        <v>107</v>
      </c>
      <c r="F708" s="9">
        <v>5.9</v>
      </c>
      <c r="G708" s="9">
        <v>60000000</v>
      </c>
      <c r="H708" s="9">
        <v>82670733</v>
      </c>
      <c r="I708" s="5">
        <f>IMDB_Movies!$H708-IMDB_Movies!$G708</f>
        <v>22670733</v>
      </c>
    </row>
    <row r="709" spans="1:9" ht="23">
      <c r="A709" s="3" t="s">
        <v>1078</v>
      </c>
      <c r="B709" s="10" t="s">
        <v>700</v>
      </c>
      <c r="C709" s="10" t="s">
        <v>24</v>
      </c>
      <c r="D709" s="10" t="s">
        <v>11</v>
      </c>
      <c r="E709" s="10">
        <v>94</v>
      </c>
      <c r="F709" s="10">
        <v>5.4</v>
      </c>
      <c r="G709" s="10">
        <v>60000000</v>
      </c>
      <c r="H709" s="10">
        <v>82569532</v>
      </c>
      <c r="I709" s="5">
        <f>IMDB_Movies!$H709-IMDB_Movies!$G709</f>
        <v>22569532</v>
      </c>
    </row>
    <row r="710" spans="1:9" ht="23">
      <c r="A710" s="2" t="s">
        <v>1079</v>
      </c>
      <c r="B710" s="9" t="s">
        <v>1080</v>
      </c>
      <c r="C710" s="9" t="s">
        <v>10</v>
      </c>
      <c r="D710" s="9" t="s">
        <v>11</v>
      </c>
      <c r="E710" s="9">
        <v>132</v>
      </c>
      <c r="F710" s="9">
        <v>6.4</v>
      </c>
      <c r="G710" s="9">
        <v>61000000</v>
      </c>
      <c r="H710" s="9">
        <v>81687587</v>
      </c>
      <c r="I710" s="5">
        <f>IMDB_Movies!$H710-IMDB_Movies!$G710</f>
        <v>20687587</v>
      </c>
    </row>
    <row r="711" spans="1:9" ht="23">
      <c r="A711" s="3" t="s">
        <v>1081</v>
      </c>
      <c r="B711" s="10" t="s">
        <v>1082</v>
      </c>
      <c r="C711" s="10" t="s">
        <v>56</v>
      </c>
      <c r="D711" s="10" t="s">
        <v>11</v>
      </c>
      <c r="E711" s="10">
        <v>140</v>
      </c>
      <c r="F711" s="10">
        <v>5.7</v>
      </c>
      <c r="G711" s="10">
        <v>60000000</v>
      </c>
      <c r="H711" s="10">
        <v>80574010</v>
      </c>
      <c r="I711" s="5">
        <f>IMDB_Movies!$H711-IMDB_Movies!$G711</f>
        <v>20574010</v>
      </c>
    </row>
    <row r="712" spans="1:9" ht="23">
      <c r="A712" s="2" t="s">
        <v>1083</v>
      </c>
      <c r="B712" s="9" t="s">
        <v>70</v>
      </c>
      <c r="C712" s="9" t="s">
        <v>138</v>
      </c>
      <c r="D712" s="9" t="s">
        <v>11</v>
      </c>
      <c r="E712" s="9">
        <v>125</v>
      </c>
      <c r="F712" s="9">
        <v>6.7</v>
      </c>
      <c r="G712" s="9">
        <v>60000000</v>
      </c>
      <c r="H712" s="9">
        <v>75764085</v>
      </c>
      <c r="I712" s="5">
        <f>IMDB_Movies!$H712-IMDB_Movies!$G712</f>
        <v>15764085</v>
      </c>
    </row>
    <row r="713" spans="1:9" ht="23">
      <c r="A713" s="3" t="s">
        <v>1084</v>
      </c>
      <c r="B713" s="10" t="s">
        <v>339</v>
      </c>
      <c r="C713" s="10" t="s">
        <v>10</v>
      </c>
      <c r="D713" s="10" t="s">
        <v>11</v>
      </c>
      <c r="E713" s="10">
        <v>111</v>
      </c>
      <c r="F713" s="10">
        <v>7.1</v>
      </c>
      <c r="G713" s="10">
        <v>58000000</v>
      </c>
      <c r="H713" s="10">
        <v>90356857</v>
      </c>
      <c r="I713" s="5">
        <f>IMDB_Movies!$H713-IMDB_Movies!$G713</f>
        <v>32356857</v>
      </c>
    </row>
    <row r="714" spans="1:9" ht="23">
      <c r="A714" s="2" t="s">
        <v>1085</v>
      </c>
      <c r="B714" s="9" t="s">
        <v>205</v>
      </c>
      <c r="C714" s="9" t="s">
        <v>56</v>
      </c>
      <c r="D714" s="9" t="s">
        <v>11</v>
      </c>
      <c r="E714" s="9">
        <v>156</v>
      </c>
      <c r="F714" s="9">
        <v>6.8</v>
      </c>
      <c r="G714" s="9">
        <v>55000000</v>
      </c>
      <c r="H714" s="9">
        <v>75530832</v>
      </c>
      <c r="I714" s="5">
        <f>IMDB_Movies!$H714-IMDB_Movies!$G714</f>
        <v>20530832</v>
      </c>
    </row>
    <row r="715" spans="1:9" ht="23">
      <c r="A715" s="3" t="s">
        <v>1086</v>
      </c>
      <c r="B715" s="10" t="s">
        <v>1087</v>
      </c>
      <c r="C715" s="10" t="s">
        <v>56</v>
      </c>
      <c r="D715" s="10" t="s">
        <v>11</v>
      </c>
      <c r="E715" s="10">
        <v>170</v>
      </c>
      <c r="F715" s="10">
        <v>6.5</v>
      </c>
      <c r="G715" s="10">
        <v>60000000</v>
      </c>
      <c r="H715" s="10">
        <v>75370763</v>
      </c>
      <c r="I715" s="5">
        <f>IMDB_Movies!$H715-IMDB_Movies!$G715</f>
        <v>15370763</v>
      </c>
    </row>
    <row r="716" spans="1:9" ht="23">
      <c r="A716" s="2" t="s">
        <v>1088</v>
      </c>
      <c r="B716" s="9" t="s">
        <v>440</v>
      </c>
      <c r="C716" s="9" t="s">
        <v>414</v>
      </c>
      <c r="D716" s="9" t="s">
        <v>11</v>
      </c>
      <c r="E716" s="9">
        <v>120</v>
      </c>
      <c r="F716" s="9">
        <v>7.6</v>
      </c>
      <c r="G716" s="9">
        <v>65000000</v>
      </c>
      <c r="H716" s="9">
        <v>100003492</v>
      </c>
      <c r="I716" s="5">
        <f>IMDB_Movies!$H716-IMDB_Movies!$G716</f>
        <v>35003492</v>
      </c>
    </row>
    <row r="717" spans="1:9" ht="23">
      <c r="A717" s="3" t="s">
        <v>1089</v>
      </c>
      <c r="B717" s="10" t="s">
        <v>470</v>
      </c>
      <c r="C717" s="10" t="s">
        <v>10</v>
      </c>
      <c r="D717" s="10" t="s">
        <v>11</v>
      </c>
      <c r="E717" s="10">
        <v>100</v>
      </c>
      <c r="F717" s="10">
        <v>5.5</v>
      </c>
      <c r="G717" s="10">
        <v>60000000</v>
      </c>
      <c r="H717" s="10">
        <v>90341670</v>
      </c>
      <c r="I717" s="5">
        <f>IMDB_Movies!$H717-IMDB_Movies!$G717</f>
        <v>30341670</v>
      </c>
    </row>
    <row r="718" spans="1:9" ht="23">
      <c r="A718" s="2" t="s">
        <v>1090</v>
      </c>
      <c r="B718" s="9" t="s">
        <v>1091</v>
      </c>
      <c r="C718" s="9" t="s">
        <v>10</v>
      </c>
      <c r="D718" s="9" t="s">
        <v>11</v>
      </c>
      <c r="E718" s="9">
        <v>115</v>
      </c>
      <c r="F718" s="9">
        <v>6.5</v>
      </c>
      <c r="G718" s="9">
        <v>55000000</v>
      </c>
      <c r="H718" s="9">
        <v>74540762</v>
      </c>
      <c r="I718" s="5">
        <f>IMDB_Movies!$H718-IMDB_Movies!$G718</f>
        <v>19540762</v>
      </c>
    </row>
    <row r="719" spans="1:9" ht="23">
      <c r="A719" s="3" t="s">
        <v>1092</v>
      </c>
      <c r="B719" s="10" t="s">
        <v>239</v>
      </c>
      <c r="C719" s="10" t="s">
        <v>10</v>
      </c>
      <c r="D719" s="10" t="s">
        <v>11</v>
      </c>
      <c r="E719" s="10">
        <v>130</v>
      </c>
      <c r="F719" s="10">
        <v>7</v>
      </c>
      <c r="G719" s="10">
        <v>60000000</v>
      </c>
      <c r="H719" s="10">
        <v>80033643</v>
      </c>
      <c r="I719" s="5">
        <f>IMDB_Movies!$H719-IMDB_Movies!$G719</f>
        <v>20033643</v>
      </c>
    </row>
    <row r="720" spans="1:9" ht="23">
      <c r="A720" s="2" t="s">
        <v>1093</v>
      </c>
      <c r="B720" s="9" t="s">
        <v>557</v>
      </c>
      <c r="C720" s="9" t="s">
        <v>10</v>
      </c>
      <c r="D720" s="9" t="s">
        <v>11</v>
      </c>
      <c r="E720" s="9">
        <v>105</v>
      </c>
      <c r="F720" s="9">
        <v>5.8</v>
      </c>
      <c r="G720" s="9">
        <v>60000000</v>
      </c>
      <c r="H720" s="9">
        <v>73648142</v>
      </c>
      <c r="I720" s="5">
        <f>IMDB_Movies!$H720-IMDB_Movies!$G720</f>
        <v>13648142</v>
      </c>
    </row>
    <row r="721" spans="1:9" ht="23">
      <c r="A721" s="3" t="s">
        <v>1094</v>
      </c>
      <c r="B721" s="10" t="s">
        <v>1095</v>
      </c>
      <c r="C721" s="10" t="s">
        <v>772</v>
      </c>
      <c r="D721" s="10" t="s">
        <v>11</v>
      </c>
      <c r="E721" s="10">
        <v>111</v>
      </c>
      <c r="F721" s="10">
        <v>7.3</v>
      </c>
      <c r="G721" s="10">
        <v>60000000</v>
      </c>
      <c r="H721" s="10">
        <v>71844424</v>
      </c>
      <c r="I721" s="5">
        <f>IMDB_Movies!$H721-IMDB_Movies!$G721</f>
        <v>11844424</v>
      </c>
    </row>
    <row r="722" spans="1:9" ht="23">
      <c r="A722" s="2" t="s">
        <v>1096</v>
      </c>
      <c r="B722" s="9" t="s">
        <v>413</v>
      </c>
      <c r="C722" s="9" t="s">
        <v>56</v>
      </c>
      <c r="D722" s="9" t="s">
        <v>11</v>
      </c>
      <c r="E722" s="9">
        <v>106</v>
      </c>
      <c r="F722" s="9">
        <v>6.6</v>
      </c>
      <c r="G722" s="9">
        <v>60000000</v>
      </c>
      <c r="H722" s="9">
        <v>75638743</v>
      </c>
      <c r="I722" s="5">
        <f>IMDB_Movies!$H722-IMDB_Movies!$G722</f>
        <v>15638743</v>
      </c>
    </row>
    <row r="723" spans="1:9" ht="23">
      <c r="A723" s="3" t="s">
        <v>1097</v>
      </c>
      <c r="B723" s="10" t="s">
        <v>1098</v>
      </c>
      <c r="C723" s="10" t="s">
        <v>10</v>
      </c>
      <c r="D723" s="10" t="s">
        <v>11</v>
      </c>
      <c r="E723" s="10">
        <v>89</v>
      </c>
      <c r="F723" s="10">
        <v>4.4000000000000004</v>
      </c>
      <c r="G723" s="10">
        <v>60000000</v>
      </c>
      <c r="H723" s="10">
        <v>66734992</v>
      </c>
      <c r="I723" s="5">
        <f>IMDB_Movies!$H723-IMDB_Movies!$G723</f>
        <v>6734992</v>
      </c>
    </row>
    <row r="724" spans="1:9" ht="23">
      <c r="A724" s="2" t="s">
        <v>1099</v>
      </c>
      <c r="B724" s="9" t="s">
        <v>850</v>
      </c>
      <c r="C724" s="9" t="s">
        <v>116</v>
      </c>
      <c r="D724" s="9" t="s">
        <v>11</v>
      </c>
      <c r="E724" s="9">
        <v>100</v>
      </c>
      <c r="F724" s="9">
        <v>7.7</v>
      </c>
      <c r="G724" s="9">
        <v>60000000</v>
      </c>
      <c r="H724" s="9">
        <v>75280058</v>
      </c>
      <c r="I724" s="5">
        <f>IMDB_Movies!$H724-IMDB_Movies!$G724</f>
        <v>15280058</v>
      </c>
    </row>
    <row r="725" spans="1:9" ht="23">
      <c r="A725" s="3" t="s">
        <v>1100</v>
      </c>
      <c r="B725" s="10" t="s">
        <v>247</v>
      </c>
      <c r="C725" s="10" t="s">
        <v>790</v>
      </c>
      <c r="D725" s="10" t="s">
        <v>11</v>
      </c>
      <c r="E725" s="10">
        <v>91</v>
      </c>
      <c r="F725" s="10">
        <v>5</v>
      </c>
      <c r="G725" s="10">
        <v>48000000</v>
      </c>
      <c r="H725" s="10">
        <v>64505912</v>
      </c>
      <c r="I725" s="5">
        <f>IMDB_Movies!$H725-IMDB_Movies!$G725</f>
        <v>16505912</v>
      </c>
    </row>
    <row r="726" spans="1:9" ht="23">
      <c r="A726" s="2" t="s">
        <v>1101</v>
      </c>
      <c r="B726" s="9" t="s">
        <v>464</v>
      </c>
      <c r="C726" s="9" t="s">
        <v>10</v>
      </c>
      <c r="D726" s="9" t="s">
        <v>11</v>
      </c>
      <c r="E726" s="9">
        <v>146</v>
      </c>
      <c r="F726" s="9">
        <v>7.7</v>
      </c>
      <c r="G726" s="9">
        <v>70000000</v>
      </c>
      <c r="H726" s="9">
        <v>77862546</v>
      </c>
      <c r="I726" s="5">
        <f>IMDB_Movies!$H726-IMDB_Movies!$G726</f>
        <v>7862546</v>
      </c>
    </row>
    <row r="727" spans="1:9" ht="23">
      <c r="A727" s="3" t="s">
        <v>1102</v>
      </c>
      <c r="B727" s="10" t="s">
        <v>1103</v>
      </c>
      <c r="C727" s="10" t="s">
        <v>138</v>
      </c>
      <c r="D727" s="10" t="s">
        <v>11</v>
      </c>
      <c r="E727" s="10">
        <v>98</v>
      </c>
      <c r="F727" s="10">
        <v>4.4000000000000004</v>
      </c>
      <c r="G727" s="10">
        <v>50000000</v>
      </c>
      <c r="H727" s="10">
        <v>61112916</v>
      </c>
      <c r="I727" s="5">
        <f>IMDB_Movies!$H727-IMDB_Movies!$G727</f>
        <v>11112916</v>
      </c>
    </row>
    <row r="728" spans="1:9" ht="23">
      <c r="A728" s="2" t="s">
        <v>1104</v>
      </c>
      <c r="B728" s="9" t="s">
        <v>680</v>
      </c>
      <c r="C728" s="9" t="s">
        <v>138</v>
      </c>
      <c r="D728" s="9" t="s">
        <v>11</v>
      </c>
      <c r="E728" s="9">
        <v>101</v>
      </c>
      <c r="F728" s="9">
        <v>6.1</v>
      </c>
      <c r="G728" s="9">
        <v>60000000</v>
      </c>
      <c r="H728" s="9">
        <v>88200225</v>
      </c>
      <c r="I728" s="5">
        <f>IMDB_Movies!$H728-IMDB_Movies!$G728</f>
        <v>28200225</v>
      </c>
    </row>
    <row r="729" spans="1:9" ht="23">
      <c r="A729" s="3" t="s">
        <v>1105</v>
      </c>
      <c r="B729" s="10" t="s">
        <v>1106</v>
      </c>
      <c r="C729" s="10" t="s">
        <v>138</v>
      </c>
      <c r="D729" s="10" t="s">
        <v>11</v>
      </c>
      <c r="E729" s="10">
        <v>94</v>
      </c>
      <c r="F729" s="10">
        <v>5.4</v>
      </c>
      <c r="G729" s="10">
        <v>60000000</v>
      </c>
      <c r="H729" s="10">
        <v>60573641</v>
      </c>
      <c r="I729" s="5">
        <f>IMDB_Movies!$H729-IMDB_Movies!$G729</f>
        <v>573641</v>
      </c>
    </row>
    <row r="730" spans="1:9" ht="23">
      <c r="A730" s="2" t="s">
        <v>1107</v>
      </c>
      <c r="B730" s="9" t="s">
        <v>100</v>
      </c>
      <c r="C730" s="9" t="s">
        <v>10</v>
      </c>
      <c r="D730" s="9" t="s">
        <v>11</v>
      </c>
      <c r="E730" s="9">
        <v>132</v>
      </c>
      <c r="F730" s="9">
        <v>6.8</v>
      </c>
      <c r="G730" s="9">
        <v>66000000</v>
      </c>
      <c r="H730" s="9">
        <v>59035104</v>
      </c>
      <c r="I730" s="5">
        <f>IMDB_Movies!$H730-IMDB_Movies!$G730</f>
        <v>-6964896</v>
      </c>
    </row>
    <row r="731" spans="1:9" ht="23">
      <c r="A731" s="3" t="s">
        <v>1108</v>
      </c>
      <c r="B731" s="10" t="s">
        <v>1109</v>
      </c>
      <c r="C731" s="10" t="s">
        <v>56</v>
      </c>
      <c r="D731" s="10" t="s">
        <v>11</v>
      </c>
      <c r="E731" s="10">
        <v>115</v>
      </c>
      <c r="F731" s="10">
        <v>6.5</v>
      </c>
      <c r="G731" s="10">
        <v>60000000</v>
      </c>
      <c r="H731" s="10">
        <v>56702901</v>
      </c>
      <c r="I731" s="5">
        <f>IMDB_Movies!$H731-IMDB_Movies!$G731</f>
        <v>-3297099</v>
      </c>
    </row>
    <row r="732" spans="1:9" ht="23">
      <c r="A732" s="2" t="s">
        <v>1110</v>
      </c>
      <c r="B732" s="9" t="s">
        <v>1111</v>
      </c>
      <c r="C732" s="9" t="s">
        <v>24</v>
      </c>
      <c r="D732" s="9" t="s">
        <v>11</v>
      </c>
      <c r="E732" s="9">
        <v>92</v>
      </c>
      <c r="F732" s="9">
        <v>7</v>
      </c>
      <c r="G732" s="9">
        <v>60000000</v>
      </c>
      <c r="H732" s="9">
        <v>55994557</v>
      </c>
      <c r="I732" s="5">
        <f>IMDB_Movies!$H732-IMDB_Movies!$G732</f>
        <v>-4005443</v>
      </c>
    </row>
    <row r="733" spans="1:9" ht="23">
      <c r="A733" s="3" t="s">
        <v>1112</v>
      </c>
      <c r="B733" s="10" t="s">
        <v>940</v>
      </c>
      <c r="C733" s="10" t="s">
        <v>10</v>
      </c>
      <c r="D733" s="10" t="s">
        <v>11</v>
      </c>
      <c r="E733" s="10">
        <v>124</v>
      </c>
      <c r="F733" s="10">
        <v>6.3</v>
      </c>
      <c r="G733" s="10">
        <v>60000000</v>
      </c>
      <c r="H733" s="10">
        <v>54910560</v>
      </c>
      <c r="I733" s="5">
        <f>IMDB_Movies!$H733-IMDB_Movies!$G733</f>
        <v>-5089440</v>
      </c>
    </row>
    <row r="734" spans="1:9" ht="23">
      <c r="A734" s="2" t="s">
        <v>1113</v>
      </c>
      <c r="B734" s="9" t="s">
        <v>361</v>
      </c>
      <c r="C734" s="9" t="s">
        <v>10</v>
      </c>
      <c r="D734" s="9" t="s">
        <v>11</v>
      </c>
      <c r="E734" s="9">
        <v>119</v>
      </c>
      <c r="F734" s="9">
        <v>6.3</v>
      </c>
      <c r="G734" s="9">
        <v>60000000</v>
      </c>
      <c r="H734" s="9">
        <v>53789313</v>
      </c>
      <c r="I734" s="5">
        <f>IMDB_Movies!$H734-IMDB_Movies!$G734</f>
        <v>-6210687</v>
      </c>
    </row>
    <row r="735" spans="1:9" ht="23">
      <c r="A735" s="3" t="s">
        <v>1114</v>
      </c>
      <c r="B735" s="10" t="s">
        <v>1115</v>
      </c>
      <c r="C735" s="10" t="s">
        <v>56</v>
      </c>
      <c r="D735" s="10" t="s">
        <v>11</v>
      </c>
      <c r="E735" s="10">
        <v>124</v>
      </c>
      <c r="F735" s="10">
        <v>6.1</v>
      </c>
      <c r="G735" s="10">
        <v>60000000</v>
      </c>
      <c r="H735" s="10">
        <v>51045801</v>
      </c>
      <c r="I735" s="5">
        <f>IMDB_Movies!$H735-IMDB_Movies!$G735</f>
        <v>-8954199</v>
      </c>
    </row>
    <row r="736" spans="1:9" ht="23">
      <c r="A736" s="2" t="s">
        <v>1116</v>
      </c>
      <c r="B736" s="9" t="s">
        <v>1117</v>
      </c>
      <c r="C736" s="9" t="s">
        <v>24</v>
      </c>
      <c r="D736" s="9" t="s">
        <v>11</v>
      </c>
      <c r="E736" s="9">
        <v>93</v>
      </c>
      <c r="F736" s="9">
        <v>6.1</v>
      </c>
      <c r="G736" s="9">
        <v>60000000</v>
      </c>
      <c r="H736" s="9">
        <v>50818750</v>
      </c>
      <c r="I736" s="5">
        <f>IMDB_Movies!$H736-IMDB_Movies!$G736</f>
        <v>-9181250</v>
      </c>
    </row>
    <row r="737" spans="1:9" ht="23">
      <c r="A737" s="3" t="s">
        <v>1118</v>
      </c>
      <c r="B737" s="10" t="s">
        <v>1119</v>
      </c>
      <c r="C737" s="10" t="s">
        <v>10</v>
      </c>
      <c r="D737" s="10" t="s">
        <v>11</v>
      </c>
      <c r="E737" s="10">
        <v>98</v>
      </c>
      <c r="F737" s="10">
        <v>5.3</v>
      </c>
      <c r="G737" s="10">
        <v>60000000</v>
      </c>
      <c r="H737" s="10">
        <v>50189179</v>
      </c>
      <c r="I737" s="5">
        <f>IMDB_Movies!$H737-IMDB_Movies!$G737</f>
        <v>-9810821</v>
      </c>
    </row>
    <row r="738" spans="1:9" ht="23">
      <c r="A738" s="2" t="s">
        <v>1120</v>
      </c>
      <c r="B738" s="9" t="s">
        <v>1121</v>
      </c>
      <c r="C738" s="9" t="s">
        <v>10</v>
      </c>
      <c r="D738" s="9" t="s">
        <v>11</v>
      </c>
      <c r="E738" s="9">
        <v>92</v>
      </c>
      <c r="F738" s="9">
        <v>5.4</v>
      </c>
      <c r="G738" s="9">
        <v>60000000</v>
      </c>
      <c r="H738" s="9">
        <v>50024083</v>
      </c>
      <c r="I738" s="5">
        <f>IMDB_Movies!$H738-IMDB_Movies!$G738</f>
        <v>-9975917</v>
      </c>
    </row>
    <row r="739" spans="1:9" ht="23">
      <c r="A739" s="3" t="s">
        <v>1122</v>
      </c>
      <c r="B739" s="10" t="s">
        <v>230</v>
      </c>
      <c r="C739" s="10" t="s">
        <v>10</v>
      </c>
      <c r="D739" s="10" t="s">
        <v>11</v>
      </c>
      <c r="E739" s="10">
        <v>105</v>
      </c>
      <c r="F739" s="10">
        <v>6.2</v>
      </c>
      <c r="G739" s="10">
        <v>60000000</v>
      </c>
      <c r="H739" s="10">
        <v>50549107</v>
      </c>
      <c r="I739" s="5">
        <f>IMDB_Movies!$H739-IMDB_Movies!$G739</f>
        <v>-9450893</v>
      </c>
    </row>
    <row r="740" spans="1:9" ht="23">
      <c r="A740" s="2" t="s">
        <v>1123</v>
      </c>
      <c r="B740" s="9" t="s">
        <v>1124</v>
      </c>
      <c r="C740" s="9" t="s">
        <v>418</v>
      </c>
      <c r="D740" s="9" t="s">
        <v>11</v>
      </c>
      <c r="E740" s="9">
        <v>124</v>
      </c>
      <c r="F740" s="9">
        <v>6.6</v>
      </c>
      <c r="G740" s="9">
        <v>60000000</v>
      </c>
      <c r="H740" s="9">
        <v>56443482</v>
      </c>
      <c r="I740" s="5">
        <f>IMDB_Movies!$H740-IMDB_Movies!$G740</f>
        <v>-3556518</v>
      </c>
    </row>
    <row r="741" spans="1:9" ht="23">
      <c r="A741" s="3" t="s">
        <v>1125</v>
      </c>
      <c r="B741" s="10" t="s">
        <v>1126</v>
      </c>
      <c r="C741" s="10" t="s">
        <v>10</v>
      </c>
      <c r="D741" s="10" t="s">
        <v>11</v>
      </c>
      <c r="E741" s="10">
        <v>99</v>
      </c>
      <c r="F741" s="10">
        <v>5.9</v>
      </c>
      <c r="G741" s="10">
        <v>60000000</v>
      </c>
      <c r="H741" s="10">
        <v>62401264</v>
      </c>
      <c r="I741" s="5">
        <f>IMDB_Movies!$H741-IMDB_Movies!$G741</f>
        <v>2401264</v>
      </c>
    </row>
    <row r="742" spans="1:9" ht="23">
      <c r="A742" s="2" t="s">
        <v>1127</v>
      </c>
      <c r="B742" s="9" t="s">
        <v>1128</v>
      </c>
      <c r="C742" s="9" t="s">
        <v>10</v>
      </c>
      <c r="D742" s="9" t="s">
        <v>11</v>
      </c>
      <c r="E742" s="9">
        <v>116</v>
      </c>
      <c r="F742" s="9">
        <v>6.3</v>
      </c>
      <c r="G742" s="9">
        <v>75000000</v>
      </c>
      <c r="H742" s="9">
        <v>47748610</v>
      </c>
      <c r="I742" s="5">
        <f>IMDB_Movies!$H742-IMDB_Movies!$G742</f>
        <v>-27251390</v>
      </c>
    </row>
    <row r="743" spans="1:9" ht="23">
      <c r="A743" s="3" t="s">
        <v>1129</v>
      </c>
      <c r="B743" s="10" t="s">
        <v>826</v>
      </c>
      <c r="C743" s="10" t="s">
        <v>10</v>
      </c>
      <c r="D743" s="10" t="s">
        <v>11</v>
      </c>
      <c r="E743" s="10">
        <v>124</v>
      </c>
      <c r="F743" s="10">
        <v>7.2</v>
      </c>
      <c r="G743" s="10">
        <v>61000000</v>
      </c>
      <c r="H743" s="10">
        <v>46975183</v>
      </c>
      <c r="I743" s="5">
        <f>IMDB_Movies!$H743-IMDB_Movies!$G743</f>
        <v>-14024817</v>
      </c>
    </row>
    <row r="744" spans="1:9" ht="23">
      <c r="A744" s="2" t="s">
        <v>1130</v>
      </c>
      <c r="B744" s="9" t="s">
        <v>1131</v>
      </c>
      <c r="C744" s="9" t="s">
        <v>24</v>
      </c>
      <c r="D744" s="9" t="s">
        <v>11</v>
      </c>
      <c r="E744" s="9">
        <v>96</v>
      </c>
      <c r="F744" s="9">
        <v>6.8</v>
      </c>
      <c r="G744" s="9">
        <v>60000000</v>
      </c>
      <c r="H744" s="9">
        <v>50807639</v>
      </c>
      <c r="I744" s="5">
        <f>IMDB_Movies!$H744-IMDB_Movies!$G744</f>
        <v>-9192361</v>
      </c>
    </row>
    <row r="745" spans="1:9" ht="23">
      <c r="A745" s="3" t="s">
        <v>1132</v>
      </c>
      <c r="B745" s="10" t="s">
        <v>1133</v>
      </c>
      <c r="C745" s="10" t="s">
        <v>138</v>
      </c>
      <c r="D745" s="10" t="s">
        <v>11</v>
      </c>
      <c r="E745" s="10">
        <v>104</v>
      </c>
      <c r="F745" s="10">
        <v>6.1</v>
      </c>
      <c r="G745" s="10">
        <v>48000000</v>
      </c>
      <c r="H745" s="10">
        <v>46611204</v>
      </c>
      <c r="I745" s="5">
        <f>IMDB_Movies!$H745-IMDB_Movies!$G745</f>
        <v>-1388796</v>
      </c>
    </row>
    <row r="746" spans="1:9" ht="23">
      <c r="A746" s="2" t="s">
        <v>1134</v>
      </c>
      <c r="B746" s="9" t="s">
        <v>565</v>
      </c>
      <c r="C746" s="9" t="s">
        <v>10</v>
      </c>
      <c r="D746" s="9" t="s">
        <v>11</v>
      </c>
      <c r="E746" s="9">
        <v>100</v>
      </c>
      <c r="F746" s="9">
        <v>7.8</v>
      </c>
      <c r="G746" s="9">
        <v>60000000</v>
      </c>
      <c r="H746" s="9">
        <v>257756197</v>
      </c>
      <c r="I746" s="5">
        <f>IMDB_Movies!$H746-IMDB_Movies!$G746</f>
        <v>197756197</v>
      </c>
    </row>
    <row r="747" spans="1:9" ht="23">
      <c r="A747" s="3" t="s">
        <v>1135</v>
      </c>
      <c r="B747" s="10" t="s">
        <v>1136</v>
      </c>
      <c r="C747" s="10" t="s">
        <v>10</v>
      </c>
      <c r="D747" s="10" t="s">
        <v>11</v>
      </c>
      <c r="E747" s="10">
        <v>115</v>
      </c>
      <c r="F747" s="10">
        <v>5</v>
      </c>
      <c r="G747" s="10">
        <v>45000000</v>
      </c>
      <c r="H747" s="10">
        <v>48472213</v>
      </c>
      <c r="I747" s="5">
        <f>IMDB_Movies!$H747-IMDB_Movies!$G747</f>
        <v>3472213</v>
      </c>
    </row>
    <row r="748" spans="1:9" ht="23">
      <c r="A748" s="2" t="s">
        <v>1137</v>
      </c>
      <c r="B748" s="9" t="s">
        <v>967</v>
      </c>
      <c r="C748" s="9" t="s">
        <v>10</v>
      </c>
      <c r="D748" s="9" t="s">
        <v>11</v>
      </c>
      <c r="E748" s="9">
        <v>101</v>
      </c>
      <c r="F748" s="9">
        <v>6.2</v>
      </c>
      <c r="G748" s="9">
        <v>60000000</v>
      </c>
      <c r="H748" s="9">
        <v>43060566</v>
      </c>
      <c r="I748" s="5">
        <f>IMDB_Movies!$H748-IMDB_Movies!$G748</f>
        <v>-16939434</v>
      </c>
    </row>
    <row r="749" spans="1:9" ht="23">
      <c r="A749" s="3" t="s">
        <v>1138</v>
      </c>
      <c r="B749" s="10" t="s">
        <v>1139</v>
      </c>
      <c r="C749" s="10" t="s">
        <v>10</v>
      </c>
      <c r="D749" s="10" t="s">
        <v>11</v>
      </c>
      <c r="E749" s="10">
        <v>113</v>
      </c>
      <c r="F749" s="10">
        <v>6.7</v>
      </c>
      <c r="G749" s="10">
        <v>60000000</v>
      </c>
      <c r="H749" s="10">
        <v>45996718</v>
      </c>
      <c r="I749" s="5">
        <f>IMDB_Movies!$H749-IMDB_Movies!$G749</f>
        <v>-14003282</v>
      </c>
    </row>
    <row r="750" spans="1:9" ht="23">
      <c r="A750" s="2" t="s">
        <v>1140</v>
      </c>
      <c r="B750" s="9" t="s">
        <v>1141</v>
      </c>
      <c r="C750" s="9" t="s">
        <v>24</v>
      </c>
      <c r="D750" s="9" t="s">
        <v>11</v>
      </c>
      <c r="E750" s="9">
        <v>100</v>
      </c>
      <c r="F750" s="9">
        <v>4.9000000000000004</v>
      </c>
      <c r="G750" s="9">
        <v>60000000</v>
      </c>
      <c r="H750" s="9">
        <v>43337279</v>
      </c>
      <c r="I750" s="5">
        <f>IMDB_Movies!$H750-IMDB_Movies!$G750</f>
        <v>-16662721</v>
      </c>
    </row>
    <row r="751" spans="1:9" ht="23">
      <c r="A751" s="3" t="s">
        <v>1142</v>
      </c>
      <c r="B751" s="10" t="s">
        <v>992</v>
      </c>
      <c r="C751" s="10" t="s">
        <v>418</v>
      </c>
      <c r="D751" s="10" t="s">
        <v>11</v>
      </c>
      <c r="E751" s="10">
        <v>134</v>
      </c>
      <c r="F751" s="10">
        <v>7.4</v>
      </c>
      <c r="G751" s="10">
        <v>60000000</v>
      </c>
      <c r="H751" s="10">
        <v>37479778</v>
      </c>
      <c r="I751" s="5">
        <f>IMDB_Movies!$H751-IMDB_Movies!$G751</f>
        <v>-22520222</v>
      </c>
    </row>
    <row r="752" spans="1:9" ht="23">
      <c r="A752" s="2" t="s">
        <v>1143</v>
      </c>
      <c r="B752" s="9" t="s">
        <v>1144</v>
      </c>
      <c r="C752" s="9" t="s">
        <v>414</v>
      </c>
      <c r="D752" s="9" t="s">
        <v>11</v>
      </c>
      <c r="E752" s="9">
        <v>127</v>
      </c>
      <c r="F752" s="9">
        <v>7.1</v>
      </c>
      <c r="G752" s="9">
        <v>20000000</v>
      </c>
      <c r="H752" s="9">
        <v>36965395</v>
      </c>
      <c r="I752" s="5">
        <f>IMDB_Movies!$H752-IMDB_Movies!$G752</f>
        <v>16965395</v>
      </c>
    </row>
    <row r="753" spans="1:9" ht="23">
      <c r="A753" s="3" t="s">
        <v>1145</v>
      </c>
      <c r="B753" s="10" t="s">
        <v>355</v>
      </c>
      <c r="C753" s="10" t="s">
        <v>138</v>
      </c>
      <c r="D753" s="10" t="s">
        <v>11</v>
      </c>
      <c r="E753" s="10">
        <v>125</v>
      </c>
      <c r="F753" s="10">
        <v>6.2</v>
      </c>
      <c r="G753" s="10">
        <v>60000000</v>
      </c>
      <c r="H753" s="10">
        <v>40559930</v>
      </c>
      <c r="I753" s="5">
        <f>IMDB_Movies!$H753-IMDB_Movies!$G753</f>
        <v>-19440070</v>
      </c>
    </row>
    <row r="754" spans="1:9" ht="23">
      <c r="A754" s="2" t="s">
        <v>1146</v>
      </c>
      <c r="B754" s="9" t="s">
        <v>1147</v>
      </c>
      <c r="C754" s="9" t="s">
        <v>138</v>
      </c>
      <c r="D754" s="9" t="s">
        <v>11</v>
      </c>
      <c r="E754" s="9">
        <v>94</v>
      </c>
      <c r="F754" s="9">
        <v>4.9000000000000004</v>
      </c>
      <c r="G754" s="9">
        <v>65000000</v>
      </c>
      <c r="H754" s="9">
        <v>36830057</v>
      </c>
      <c r="I754" s="5">
        <f>IMDB_Movies!$H754-IMDB_Movies!$G754</f>
        <v>-28169943</v>
      </c>
    </row>
    <row r="755" spans="1:9" ht="23">
      <c r="A755" s="3" t="s">
        <v>1148</v>
      </c>
      <c r="B755" s="10" t="s">
        <v>892</v>
      </c>
      <c r="C755" s="10" t="s">
        <v>10</v>
      </c>
      <c r="D755" s="10" t="s">
        <v>11</v>
      </c>
      <c r="E755" s="10">
        <v>107</v>
      </c>
      <c r="F755" s="10">
        <v>6.1</v>
      </c>
      <c r="G755" s="10">
        <v>60000000</v>
      </c>
      <c r="H755" s="10">
        <v>36279230</v>
      </c>
      <c r="I755" s="5">
        <f>IMDB_Movies!$H755-IMDB_Movies!$G755</f>
        <v>-23720770</v>
      </c>
    </row>
    <row r="756" spans="1:9" ht="23">
      <c r="A756" s="2" t="s">
        <v>1149</v>
      </c>
      <c r="B756" s="9" t="s">
        <v>1150</v>
      </c>
      <c r="C756" s="9" t="s">
        <v>24</v>
      </c>
      <c r="D756" s="9" t="s">
        <v>11</v>
      </c>
      <c r="E756" s="9">
        <v>91</v>
      </c>
      <c r="F756" s="9">
        <v>6.1</v>
      </c>
      <c r="G756" s="9">
        <v>70000000</v>
      </c>
      <c r="H756" s="9">
        <v>42194060</v>
      </c>
      <c r="I756" s="5">
        <f>IMDB_Movies!$H756-IMDB_Movies!$G756</f>
        <v>-27805940</v>
      </c>
    </row>
    <row r="757" spans="1:9" ht="23">
      <c r="A757" s="3" t="s">
        <v>1151</v>
      </c>
      <c r="B757" s="10" t="s">
        <v>1152</v>
      </c>
      <c r="C757" s="10" t="s">
        <v>10</v>
      </c>
      <c r="D757" s="10" t="s">
        <v>11</v>
      </c>
      <c r="E757" s="10">
        <v>116</v>
      </c>
      <c r="F757" s="10">
        <v>6.4</v>
      </c>
      <c r="G757" s="10">
        <v>60000000</v>
      </c>
      <c r="H757" s="10">
        <v>43119879</v>
      </c>
      <c r="I757" s="5">
        <f>IMDB_Movies!$H757-IMDB_Movies!$G757</f>
        <v>-16880121</v>
      </c>
    </row>
    <row r="758" spans="1:9" ht="23">
      <c r="A758" s="2" t="s">
        <v>1153</v>
      </c>
      <c r="B758" s="9" t="s">
        <v>1154</v>
      </c>
      <c r="C758" s="9" t="s">
        <v>138</v>
      </c>
      <c r="D758" s="9" t="s">
        <v>11</v>
      </c>
      <c r="E758" s="9">
        <v>100</v>
      </c>
      <c r="F758" s="9">
        <v>6.3</v>
      </c>
      <c r="G758" s="9">
        <v>60000000</v>
      </c>
      <c r="H758" s="9">
        <v>35096190</v>
      </c>
      <c r="I758" s="5">
        <f>IMDB_Movies!$H758-IMDB_Movies!$G758</f>
        <v>-24903810</v>
      </c>
    </row>
    <row r="759" spans="1:9" ht="23">
      <c r="A759" s="3" t="s">
        <v>1155</v>
      </c>
      <c r="B759" s="10" t="s">
        <v>1156</v>
      </c>
      <c r="C759" s="10" t="s">
        <v>56</v>
      </c>
      <c r="D759" s="10" t="s">
        <v>11</v>
      </c>
      <c r="E759" s="10">
        <v>111</v>
      </c>
      <c r="F759" s="10">
        <v>6.8</v>
      </c>
      <c r="G759" s="10">
        <v>20000000</v>
      </c>
      <c r="H759" s="10">
        <v>35754555</v>
      </c>
      <c r="I759" s="5">
        <f>IMDB_Movies!$H759-IMDB_Movies!$G759</f>
        <v>15754555</v>
      </c>
    </row>
    <row r="760" spans="1:9" ht="23">
      <c r="A760" s="2" t="s">
        <v>1157</v>
      </c>
      <c r="B760" s="9" t="s">
        <v>83</v>
      </c>
      <c r="C760" s="9" t="s">
        <v>414</v>
      </c>
      <c r="D760" s="9" t="s">
        <v>11</v>
      </c>
      <c r="E760" s="9">
        <v>117</v>
      </c>
      <c r="F760" s="9">
        <v>6.6</v>
      </c>
      <c r="G760" s="9">
        <v>80000000</v>
      </c>
      <c r="H760" s="9">
        <v>43290977</v>
      </c>
      <c r="I760" s="5">
        <f>IMDB_Movies!$H760-IMDB_Movies!$G760</f>
        <v>-36709023</v>
      </c>
    </row>
    <row r="761" spans="1:9" ht="23">
      <c r="A761" s="3" t="s">
        <v>1158</v>
      </c>
      <c r="B761" s="10" t="s">
        <v>489</v>
      </c>
      <c r="C761" s="10" t="s">
        <v>810</v>
      </c>
      <c r="D761" s="10" t="s">
        <v>11</v>
      </c>
      <c r="E761" s="10">
        <v>110</v>
      </c>
      <c r="F761" s="10">
        <v>5.7</v>
      </c>
      <c r="G761" s="10">
        <v>40000000</v>
      </c>
      <c r="H761" s="10">
        <v>33927476</v>
      </c>
      <c r="I761" s="5">
        <f>IMDB_Movies!$H761-IMDB_Movies!$G761</f>
        <v>-6072524</v>
      </c>
    </row>
    <row r="762" spans="1:9" ht="23">
      <c r="A762" s="2" t="s">
        <v>1159</v>
      </c>
      <c r="B762" s="9" t="s">
        <v>1141</v>
      </c>
      <c r="C762" s="9" t="s">
        <v>138</v>
      </c>
      <c r="D762" s="9" t="s">
        <v>11</v>
      </c>
      <c r="E762" s="9">
        <v>96</v>
      </c>
      <c r="F762" s="9">
        <v>5.9</v>
      </c>
      <c r="G762" s="9">
        <v>60000000</v>
      </c>
      <c r="H762" s="9">
        <v>32122249</v>
      </c>
      <c r="I762" s="5">
        <f>IMDB_Movies!$H762-IMDB_Movies!$G762</f>
        <v>-27877751</v>
      </c>
    </row>
    <row r="763" spans="1:9" ht="23">
      <c r="A763" s="3" t="s">
        <v>1160</v>
      </c>
      <c r="B763" s="10" t="s">
        <v>1115</v>
      </c>
      <c r="C763" s="10" t="s">
        <v>10</v>
      </c>
      <c r="D763" s="10" t="s">
        <v>11</v>
      </c>
      <c r="E763" s="10">
        <v>101</v>
      </c>
      <c r="F763" s="10">
        <v>6</v>
      </c>
      <c r="G763" s="10">
        <v>60000000</v>
      </c>
      <c r="H763" s="10">
        <v>40076438</v>
      </c>
      <c r="I763" s="5">
        <f>IMDB_Movies!$H763-IMDB_Movies!$G763</f>
        <v>-19923562</v>
      </c>
    </row>
    <row r="764" spans="1:9" ht="23">
      <c r="A764" s="2" t="s">
        <v>1161</v>
      </c>
      <c r="B764" s="9" t="s">
        <v>1162</v>
      </c>
      <c r="C764" s="9" t="s">
        <v>10</v>
      </c>
      <c r="D764" s="9" t="s">
        <v>11</v>
      </c>
      <c r="E764" s="9">
        <v>111</v>
      </c>
      <c r="F764" s="9">
        <v>6.1</v>
      </c>
      <c r="G764" s="9">
        <v>60000000</v>
      </c>
      <c r="H764" s="9">
        <v>32940507</v>
      </c>
      <c r="I764" s="5">
        <f>IMDB_Movies!$H764-IMDB_Movies!$G764</f>
        <v>-27059493</v>
      </c>
    </row>
    <row r="765" spans="1:9" ht="23">
      <c r="A765" s="3" t="s">
        <v>1163</v>
      </c>
      <c r="B765" s="10" t="s">
        <v>255</v>
      </c>
      <c r="C765" s="10" t="s">
        <v>418</v>
      </c>
      <c r="D765" s="10" t="s">
        <v>11</v>
      </c>
      <c r="E765" s="10">
        <v>117</v>
      </c>
      <c r="F765" s="10">
        <v>6.7</v>
      </c>
      <c r="G765" s="10">
        <v>60000000</v>
      </c>
      <c r="H765" s="10">
        <v>31670931</v>
      </c>
      <c r="I765" s="5">
        <f>IMDB_Movies!$H765-IMDB_Movies!$G765</f>
        <v>-28329069</v>
      </c>
    </row>
    <row r="766" spans="1:9" ht="23">
      <c r="A766" s="2" t="s">
        <v>1164</v>
      </c>
      <c r="B766" s="9" t="s">
        <v>1087</v>
      </c>
      <c r="C766" s="9" t="s">
        <v>56</v>
      </c>
      <c r="D766" s="9" t="s">
        <v>11</v>
      </c>
      <c r="E766" s="9">
        <v>126</v>
      </c>
      <c r="F766" s="9">
        <v>6.7</v>
      </c>
      <c r="G766" s="9">
        <v>60000000</v>
      </c>
      <c r="H766" s="9">
        <v>30695227</v>
      </c>
      <c r="I766" s="5">
        <f>IMDB_Movies!$H766-IMDB_Movies!$G766</f>
        <v>-29304773</v>
      </c>
    </row>
    <row r="767" spans="1:9" ht="23">
      <c r="A767" s="3" t="s">
        <v>1165</v>
      </c>
      <c r="B767" s="10" t="s">
        <v>894</v>
      </c>
      <c r="C767" s="10" t="s">
        <v>24</v>
      </c>
      <c r="D767" s="10" t="s">
        <v>11</v>
      </c>
      <c r="E767" s="10">
        <v>152</v>
      </c>
      <c r="F767" s="10">
        <v>7.9</v>
      </c>
      <c r="G767" s="10">
        <v>60000000</v>
      </c>
      <c r="H767" s="10">
        <v>32522352</v>
      </c>
      <c r="I767" s="5">
        <f>IMDB_Movies!$H767-IMDB_Movies!$G767</f>
        <v>-27477648</v>
      </c>
    </row>
    <row r="768" spans="1:9" ht="23">
      <c r="A768" s="2" t="s">
        <v>1166</v>
      </c>
      <c r="B768" s="9" t="s">
        <v>1053</v>
      </c>
      <c r="C768" s="9" t="s">
        <v>116</v>
      </c>
      <c r="D768" s="9" t="s">
        <v>11</v>
      </c>
      <c r="E768" s="9">
        <v>86</v>
      </c>
      <c r="F768" s="9">
        <v>5</v>
      </c>
      <c r="G768" s="9">
        <v>20000000</v>
      </c>
      <c r="H768" s="9">
        <v>28424210</v>
      </c>
      <c r="I768" s="5">
        <f>IMDB_Movies!$H768-IMDB_Movies!$G768</f>
        <v>8424210</v>
      </c>
    </row>
    <row r="769" spans="1:9" ht="23">
      <c r="A769" s="3" t="s">
        <v>1167</v>
      </c>
      <c r="B769" s="10" t="s">
        <v>261</v>
      </c>
      <c r="C769" s="10" t="s">
        <v>10</v>
      </c>
      <c r="D769" s="10" t="s">
        <v>11</v>
      </c>
      <c r="E769" s="10">
        <v>101</v>
      </c>
      <c r="F769" s="10">
        <v>4.3</v>
      </c>
      <c r="G769" s="10">
        <v>87000000</v>
      </c>
      <c r="H769" s="10">
        <v>26082914</v>
      </c>
      <c r="I769" s="5">
        <f>IMDB_Movies!$H769-IMDB_Movies!$G769</f>
        <v>-60917086</v>
      </c>
    </row>
    <row r="770" spans="1:9" ht="23">
      <c r="A770" s="2" t="s">
        <v>1168</v>
      </c>
      <c r="B770" s="9" t="s">
        <v>1169</v>
      </c>
      <c r="C770" s="9" t="s">
        <v>10</v>
      </c>
      <c r="D770" s="9" t="s">
        <v>11</v>
      </c>
      <c r="E770" s="9">
        <v>87</v>
      </c>
      <c r="F770" s="9">
        <v>5.7</v>
      </c>
      <c r="G770" s="9">
        <v>60000000</v>
      </c>
      <c r="H770" s="9">
        <v>29136626</v>
      </c>
      <c r="I770" s="5">
        <f>IMDB_Movies!$H770-IMDB_Movies!$G770</f>
        <v>-30863374</v>
      </c>
    </row>
    <row r="771" spans="1:9" ht="23">
      <c r="A771" s="3" t="s">
        <v>1170</v>
      </c>
      <c r="B771" s="10" t="s">
        <v>1171</v>
      </c>
      <c r="C771" s="10" t="s">
        <v>24</v>
      </c>
      <c r="D771" s="10" t="s">
        <v>11</v>
      </c>
      <c r="E771" s="10">
        <v>85</v>
      </c>
      <c r="F771" s="10">
        <v>6.7</v>
      </c>
      <c r="G771" s="10">
        <v>60000000</v>
      </c>
      <c r="H771" s="10">
        <v>26288320</v>
      </c>
      <c r="I771" s="5">
        <f>IMDB_Movies!$H771-IMDB_Movies!$G771</f>
        <v>-33711680</v>
      </c>
    </row>
    <row r="772" spans="1:9" ht="23">
      <c r="A772" s="2" t="s">
        <v>1172</v>
      </c>
      <c r="B772" s="9" t="s">
        <v>623</v>
      </c>
      <c r="C772" s="9" t="s">
        <v>810</v>
      </c>
      <c r="D772" s="9" t="s">
        <v>11</v>
      </c>
      <c r="E772" s="9">
        <v>130</v>
      </c>
      <c r="F772" s="9">
        <v>6.7</v>
      </c>
      <c r="G772" s="9">
        <v>60000000</v>
      </c>
      <c r="H772" s="9">
        <v>26616590</v>
      </c>
      <c r="I772" s="5">
        <f>IMDB_Movies!$H772-IMDB_Movies!$G772</f>
        <v>-33383410</v>
      </c>
    </row>
    <row r="773" spans="1:9" ht="23">
      <c r="A773" s="3" t="s">
        <v>1173</v>
      </c>
      <c r="B773" s="10" t="s">
        <v>137</v>
      </c>
      <c r="C773" s="10" t="s">
        <v>56</v>
      </c>
      <c r="D773" s="10" t="s">
        <v>11</v>
      </c>
      <c r="E773" s="10">
        <v>104</v>
      </c>
      <c r="F773" s="10">
        <v>6.1</v>
      </c>
      <c r="G773" s="10">
        <v>60000000</v>
      </c>
      <c r="H773" s="10">
        <v>30063805</v>
      </c>
      <c r="I773" s="5">
        <f>IMDB_Movies!$H773-IMDB_Movies!$G773</f>
        <v>-29936195</v>
      </c>
    </row>
    <row r="774" spans="1:9" ht="23">
      <c r="A774" s="2" t="s">
        <v>1174</v>
      </c>
      <c r="B774" s="9" t="s">
        <v>600</v>
      </c>
      <c r="C774" s="9" t="s">
        <v>414</v>
      </c>
      <c r="D774" s="9" t="s">
        <v>11</v>
      </c>
      <c r="E774" s="9">
        <v>121</v>
      </c>
      <c r="F774" s="9">
        <v>5.6</v>
      </c>
      <c r="G774" s="9">
        <v>50000000</v>
      </c>
      <c r="H774" s="9">
        <v>22518325</v>
      </c>
      <c r="I774" s="5">
        <f>IMDB_Movies!$H774-IMDB_Movies!$G774</f>
        <v>-27481675</v>
      </c>
    </row>
    <row r="775" spans="1:9" ht="23">
      <c r="A775" s="3" t="s">
        <v>1175</v>
      </c>
      <c r="B775" s="10" t="s">
        <v>1176</v>
      </c>
      <c r="C775" s="10" t="s">
        <v>10</v>
      </c>
      <c r="D775" s="10" t="s">
        <v>11</v>
      </c>
      <c r="E775" s="10">
        <v>140</v>
      </c>
      <c r="F775" s="10">
        <v>6.6</v>
      </c>
      <c r="G775" s="10">
        <v>60000000</v>
      </c>
      <c r="H775" s="10">
        <v>13082288</v>
      </c>
      <c r="I775" s="5">
        <f>IMDB_Movies!$H775-IMDB_Movies!$G775</f>
        <v>-46917712</v>
      </c>
    </row>
    <row r="776" spans="1:9" ht="23">
      <c r="A776" s="2" t="s">
        <v>1177</v>
      </c>
      <c r="B776" s="9" t="s">
        <v>1178</v>
      </c>
      <c r="C776" s="9" t="s">
        <v>10</v>
      </c>
      <c r="D776" s="9" t="s">
        <v>11</v>
      </c>
      <c r="E776" s="9">
        <v>131</v>
      </c>
      <c r="F776" s="9">
        <v>6.9</v>
      </c>
      <c r="G776" s="9">
        <v>60000000</v>
      </c>
      <c r="H776" s="9">
        <v>18208078</v>
      </c>
      <c r="I776" s="5">
        <f>IMDB_Movies!$H776-IMDB_Movies!$G776</f>
        <v>-41791922</v>
      </c>
    </row>
    <row r="777" spans="1:9" ht="23">
      <c r="A777" s="3" t="s">
        <v>1179</v>
      </c>
      <c r="B777" s="10" t="s">
        <v>1180</v>
      </c>
      <c r="C777" s="10" t="s">
        <v>810</v>
      </c>
      <c r="D777" s="10" t="s">
        <v>11</v>
      </c>
      <c r="E777" s="10">
        <v>91</v>
      </c>
      <c r="F777" s="10">
        <v>4.8</v>
      </c>
      <c r="G777" s="10">
        <v>65000000</v>
      </c>
      <c r="H777" s="10">
        <v>14218868</v>
      </c>
      <c r="I777" s="5">
        <f>IMDB_Movies!$H777-IMDB_Movies!$G777</f>
        <v>-50781132</v>
      </c>
    </row>
    <row r="778" spans="1:9" ht="23">
      <c r="A778" s="2" t="s">
        <v>1181</v>
      </c>
      <c r="B778" s="9" t="s">
        <v>1182</v>
      </c>
      <c r="C778" s="9" t="s">
        <v>56</v>
      </c>
      <c r="D778" s="9" t="s">
        <v>11</v>
      </c>
      <c r="E778" s="9">
        <v>118</v>
      </c>
      <c r="F778" s="9">
        <v>6.2</v>
      </c>
      <c r="G778" s="9">
        <v>60000000</v>
      </c>
      <c r="H778" s="9">
        <v>22451</v>
      </c>
      <c r="I778" s="5">
        <f>IMDB_Movies!$H778-IMDB_Movies!$G778</f>
        <v>-59977549</v>
      </c>
    </row>
    <row r="779" spans="1:9" ht="23">
      <c r="A779" s="3" t="s">
        <v>1183</v>
      </c>
      <c r="B779" s="10" t="s">
        <v>1184</v>
      </c>
      <c r="C779" s="10" t="s">
        <v>713</v>
      </c>
      <c r="D779" s="10" t="s">
        <v>11</v>
      </c>
      <c r="E779" s="10">
        <v>130</v>
      </c>
      <c r="F779" s="10">
        <v>6</v>
      </c>
      <c r="G779" s="10">
        <v>60000000</v>
      </c>
      <c r="H779" s="10">
        <v>31165421</v>
      </c>
      <c r="I779" s="5">
        <f>IMDB_Movies!$H779-IMDB_Movies!$G779</f>
        <v>-28834579</v>
      </c>
    </row>
    <row r="780" spans="1:9" ht="23">
      <c r="A780" s="2" t="s">
        <v>1185</v>
      </c>
      <c r="B780" s="9" t="s">
        <v>1103</v>
      </c>
      <c r="C780" s="9" t="s">
        <v>24</v>
      </c>
      <c r="D780" s="9" t="s">
        <v>11</v>
      </c>
      <c r="E780" s="9">
        <v>90</v>
      </c>
      <c r="F780" s="9">
        <v>4.9000000000000004</v>
      </c>
      <c r="G780" s="9">
        <v>60000000</v>
      </c>
      <c r="H780" s="9">
        <v>11802056</v>
      </c>
      <c r="I780" s="5">
        <f>IMDB_Movies!$H780-IMDB_Movies!$G780</f>
        <v>-48197944</v>
      </c>
    </row>
    <row r="781" spans="1:9" ht="23">
      <c r="A781" s="3" t="s">
        <v>1186</v>
      </c>
      <c r="B781" s="10" t="s">
        <v>1187</v>
      </c>
      <c r="C781" s="10" t="s">
        <v>56</v>
      </c>
      <c r="D781" s="10" t="s">
        <v>11</v>
      </c>
      <c r="E781" s="10">
        <v>103</v>
      </c>
      <c r="F781" s="10">
        <v>5.6</v>
      </c>
      <c r="G781" s="10">
        <v>30000000</v>
      </c>
      <c r="H781" s="10">
        <v>25472967</v>
      </c>
      <c r="I781" s="5">
        <f>IMDB_Movies!$H781-IMDB_Movies!$G781</f>
        <v>-4527033</v>
      </c>
    </row>
    <row r="782" spans="1:9" ht="23">
      <c r="A782" s="2" t="s">
        <v>1188</v>
      </c>
      <c r="B782" s="9" t="s">
        <v>227</v>
      </c>
      <c r="C782" s="9" t="s">
        <v>138</v>
      </c>
      <c r="D782" s="9" t="s">
        <v>11</v>
      </c>
      <c r="E782" s="9">
        <v>122</v>
      </c>
      <c r="F782" s="9">
        <v>6.1</v>
      </c>
      <c r="G782" s="9">
        <v>55000000</v>
      </c>
      <c r="H782" s="9">
        <v>22362500</v>
      </c>
      <c r="I782" s="5">
        <f>IMDB_Movies!$H782-IMDB_Movies!$G782</f>
        <v>-32637500</v>
      </c>
    </row>
    <row r="783" spans="1:9" ht="23">
      <c r="A783" s="3" t="s">
        <v>1189</v>
      </c>
      <c r="B783" s="10" t="s">
        <v>1190</v>
      </c>
      <c r="C783" s="10" t="s">
        <v>24</v>
      </c>
      <c r="D783" s="10" t="s">
        <v>11</v>
      </c>
      <c r="E783" s="10">
        <v>106</v>
      </c>
      <c r="F783" s="10">
        <v>6.1</v>
      </c>
      <c r="G783" s="10">
        <v>60000000</v>
      </c>
      <c r="H783" s="10">
        <v>17281832</v>
      </c>
      <c r="I783" s="5">
        <f>IMDB_Movies!$H783-IMDB_Movies!$G783</f>
        <v>-42718168</v>
      </c>
    </row>
    <row r="784" spans="1:9" ht="23">
      <c r="A784" s="2" t="s">
        <v>1191</v>
      </c>
      <c r="B784" s="9" t="s">
        <v>1028</v>
      </c>
      <c r="C784" s="9" t="s">
        <v>10</v>
      </c>
      <c r="D784" s="9" t="s">
        <v>11</v>
      </c>
      <c r="E784" s="9">
        <v>103</v>
      </c>
      <c r="F784" s="9">
        <v>4.8</v>
      </c>
      <c r="G784" s="9">
        <v>60000000</v>
      </c>
      <c r="H784" s="9">
        <v>19781879</v>
      </c>
      <c r="I784" s="5">
        <f>IMDB_Movies!$H784-IMDB_Movies!$G784</f>
        <v>-40218121</v>
      </c>
    </row>
    <row r="785" spans="1:9" ht="23">
      <c r="A785" s="3" t="s">
        <v>1192</v>
      </c>
      <c r="B785" s="10" t="s">
        <v>1193</v>
      </c>
      <c r="C785" s="10" t="s">
        <v>10</v>
      </c>
      <c r="D785" s="10" t="s">
        <v>11</v>
      </c>
      <c r="E785" s="10">
        <v>107</v>
      </c>
      <c r="F785" s="10">
        <v>5.5</v>
      </c>
      <c r="G785" s="10">
        <v>60000000</v>
      </c>
      <c r="H785" s="10">
        <v>7605668</v>
      </c>
      <c r="I785" s="5">
        <f>IMDB_Movies!$H785-IMDB_Movies!$G785</f>
        <v>-52394332</v>
      </c>
    </row>
    <row r="786" spans="1:9" ht="23">
      <c r="A786" s="2" t="s">
        <v>1194</v>
      </c>
      <c r="B786" s="9" t="s">
        <v>1195</v>
      </c>
      <c r="C786" s="9" t="s">
        <v>10</v>
      </c>
      <c r="D786" s="9" t="s">
        <v>11</v>
      </c>
      <c r="E786" s="9">
        <v>156</v>
      </c>
      <c r="F786" s="9">
        <v>3.8</v>
      </c>
      <c r="G786" s="9">
        <v>60000000</v>
      </c>
      <c r="H786" s="9">
        <v>4535117</v>
      </c>
      <c r="I786" s="5">
        <f>IMDB_Movies!$H786-IMDB_Movies!$G786</f>
        <v>-55464883</v>
      </c>
    </row>
    <row r="787" spans="1:9" ht="23">
      <c r="A787" s="3" t="s">
        <v>1196</v>
      </c>
      <c r="B787" s="10" t="s">
        <v>83</v>
      </c>
      <c r="C787" s="10" t="s">
        <v>24</v>
      </c>
      <c r="D787" s="10" t="s">
        <v>11</v>
      </c>
      <c r="E787" s="10">
        <v>127</v>
      </c>
      <c r="F787" s="10">
        <v>6.5</v>
      </c>
      <c r="G787" s="10">
        <v>35000000</v>
      </c>
      <c r="H787" s="10">
        <v>4426297</v>
      </c>
      <c r="I787" s="5">
        <f>IMDB_Movies!$H787-IMDB_Movies!$G787</f>
        <v>-30573703</v>
      </c>
    </row>
    <row r="788" spans="1:9" ht="23">
      <c r="A788" s="2" t="s">
        <v>1197</v>
      </c>
      <c r="B788" s="9" t="s">
        <v>1198</v>
      </c>
      <c r="C788" s="9" t="s">
        <v>10</v>
      </c>
      <c r="D788" s="9" t="s">
        <v>11</v>
      </c>
      <c r="E788" s="9">
        <v>119</v>
      </c>
      <c r="F788" s="9">
        <v>6</v>
      </c>
      <c r="G788" s="9">
        <v>68005000</v>
      </c>
      <c r="H788" s="9">
        <v>25078937</v>
      </c>
      <c r="I788" s="5">
        <f>IMDB_Movies!$H788-IMDB_Movies!$G788</f>
        <v>-42926063</v>
      </c>
    </row>
    <row r="789" spans="1:9" ht="23">
      <c r="A789" s="3" t="s">
        <v>1199</v>
      </c>
      <c r="B789" s="10" t="s">
        <v>1200</v>
      </c>
      <c r="C789" s="10" t="s">
        <v>10</v>
      </c>
      <c r="D789" s="10" t="s">
        <v>1201</v>
      </c>
      <c r="E789" s="10">
        <v>132</v>
      </c>
      <c r="F789" s="10">
        <v>6.7</v>
      </c>
      <c r="G789" s="10">
        <v>80000000</v>
      </c>
      <c r="H789" s="10">
        <v>10166502</v>
      </c>
      <c r="I789" s="5">
        <f>IMDB_Movies!$H789-IMDB_Movies!$G789</f>
        <v>-69833498</v>
      </c>
    </row>
    <row r="790" spans="1:9" ht="23">
      <c r="A790" s="2" t="s">
        <v>1202</v>
      </c>
      <c r="B790" s="9" t="s">
        <v>1203</v>
      </c>
      <c r="C790" s="9" t="s">
        <v>10</v>
      </c>
      <c r="D790" s="9" t="s">
        <v>11</v>
      </c>
      <c r="E790" s="9">
        <v>108</v>
      </c>
      <c r="F790" s="9">
        <v>8.1</v>
      </c>
      <c r="G790" s="9">
        <v>58000000</v>
      </c>
      <c r="H790" s="9">
        <v>363024263</v>
      </c>
      <c r="I790" s="5">
        <f>IMDB_Movies!$H790-IMDB_Movies!$G790</f>
        <v>305024263</v>
      </c>
    </row>
    <row r="791" spans="1:9" ht="23">
      <c r="A791" s="3" t="s">
        <v>1204</v>
      </c>
      <c r="B791" s="10" t="s">
        <v>1205</v>
      </c>
      <c r="C791" s="10" t="s">
        <v>138</v>
      </c>
      <c r="D791" s="10" t="s">
        <v>11</v>
      </c>
      <c r="E791" s="10">
        <v>114</v>
      </c>
      <c r="F791" s="10">
        <v>4.9000000000000004</v>
      </c>
      <c r="G791" s="10">
        <v>60000000</v>
      </c>
      <c r="H791" s="10">
        <v>12065985</v>
      </c>
      <c r="I791" s="5">
        <f>IMDB_Movies!$H791-IMDB_Movies!$G791</f>
        <v>-47934015</v>
      </c>
    </row>
    <row r="792" spans="1:9" ht="23">
      <c r="A792" s="2" t="s">
        <v>1206</v>
      </c>
      <c r="B792" s="9" t="s">
        <v>992</v>
      </c>
      <c r="C792" s="9" t="s">
        <v>10</v>
      </c>
      <c r="D792" s="9" t="s">
        <v>11</v>
      </c>
      <c r="E792" s="9">
        <v>133</v>
      </c>
      <c r="F792" s="9">
        <v>7.3</v>
      </c>
      <c r="G792" s="9">
        <v>58800000</v>
      </c>
      <c r="H792" s="9">
        <v>350123553</v>
      </c>
      <c r="I792" s="5">
        <f>IMDB_Movies!$H792-IMDB_Movies!$G792</f>
        <v>291323553</v>
      </c>
    </row>
    <row r="793" spans="1:9" ht="23">
      <c r="A793" s="3" t="s">
        <v>1207</v>
      </c>
      <c r="B793" s="10" t="s">
        <v>126</v>
      </c>
      <c r="C793" s="10" t="s">
        <v>24</v>
      </c>
      <c r="D793" s="10" t="s">
        <v>11</v>
      </c>
      <c r="E793" s="10">
        <v>103</v>
      </c>
      <c r="F793" s="10">
        <v>6.4</v>
      </c>
      <c r="G793" s="10">
        <v>58000000</v>
      </c>
      <c r="H793" s="10">
        <v>80021740</v>
      </c>
      <c r="I793" s="5">
        <f>IMDB_Movies!$H793-IMDB_Movies!$G793</f>
        <v>22021740</v>
      </c>
    </row>
    <row r="794" spans="1:9" ht="23">
      <c r="A794" s="2" t="s">
        <v>1208</v>
      </c>
      <c r="B794" s="9" t="s">
        <v>550</v>
      </c>
      <c r="C794" s="9" t="s">
        <v>138</v>
      </c>
      <c r="D794" s="9" t="s">
        <v>11</v>
      </c>
      <c r="E794" s="9">
        <v>95</v>
      </c>
      <c r="F794" s="9">
        <v>6.7</v>
      </c>
      <c r="G794" s="9">
        <v>58000000</v>
      </c>
      <c r="H794" s="9">
        <v>48291624</v>
      </c>
      <c r="I794" s="5">
        <f>IMDB_Movies!$H794-IMDB_Movies!$G794</f>
        <v>-9708376</v>
      </c>
    </row>
    <row r="795" spans="1:9" ht="23">
      <c r="A795" s="3" t="s">
        <v>1209</v>
      </c>
      <c r="B795" s="10" t="s">
        <v>1106</v>
      </c>
      <c r="C795" s="10" t="s">
        <v>138</v>
      </c>
      <c r="D795" s="10" t="s">
        <v>11</v>
      </c>
      <c r="E795" s="10">
        <v>90</v>
      </c>
      <c r="F795" s="10">
        <v>3.6</v>
      </c>
      <c r="G795" s="10">
        <v>60000000</v>
      </c>
      <c r="H795" s="10">
        <v>35231365</v>
      </c>
      <c r="I795" s="5">
        <f>IMDB_Movies!$H795-IMDB_Movies!$G795</f>
        <v>-24768635</v>
      </c>
    </row>
    <row r="796" spans="1:9" ht="23">
      <c r="A796" s="2" t="s">
        <v>1210</v>
      </c>
      <c r="B796" s="9" t="s">
        <v>1211</v>
      </c>
      <c r="C796" s="9" t="s">
        <v>10</v>
      </c>
      <c r="D796" s="9" t="s">
        <v>11</v>
      </c>
      <c r="E796" s="9">
        <v>87</v>
      </c>
      <c r="F796" s="9">
        <v>5.7</v>
      </c>
      <c r="G796" s="9">
        <v>63000000</v>
      </c>
      <c r="H796" s="9">
        <v>53715611</v>
      </c>
      <c r="I796" s="5">
        <f>IMDB_Movies!$H796-IMDB_Movies!$G796</f>
        <v>-9284389</v>
      </c>
    </row>
    <row r="797" spans="1:9" ht="23">
      <c r="A797" s="3" t="s">
        <v>1212</v>
      </c>
      <c r="B797" s="10" t="s">
        <v>908</v>
      </c>
      <c r="C797" s="10" t="s">
        <v>138</v>
      </c>
      <c r="D797" s="10" t="s">
        <v>11</v>
      </c>
      <c r="E797" s="10">
        <v>114</v>
      </c>
      <c r="F797" s="10">
        <v>6</v>
      </c>
      <c r="G797" s="10">
        <v>58000000</v>
      </c>
      <c r="H797" s="10">
        <v>31199215</v>
      </c>
      <c r="I797" s="5">
        <f>IMDB_Movies!$H797-IMDB_Movies!$G797</f>
        <v>-26800785</v>
      </c>
    </row>
    <row r="798" spans="1:9" ht="23">
      <c r="A798" s="2" t="s">
        <v>1213</v>
      </c>
      <c r="B798" s="9" t="s">
        <v>438</v>
      </c>
      <c r="C798" s="9" t="s">
        <v>138</v>
      </c>
      <c r="D798" s="9" t="s">
        <v>11</v>
      </c>
      <c r="E798" s="9">
        <v>119</v>
      </c>
      <c r="F798" s="9">
        <v>4.9000000000000004</v>
      </c>
      <c r="G798" s="9">
        <v>20000000</v>
      </c>
      <c r="H798" s="9">
        <v>25078937</v>
      </c>
      <c r="I798" s="5">
        <f>IMDB_Movies!$H798-IMDB_Movies!$G798</f>
        <v>5078937</v>
      </c>
    </row>
    <row r="799" spans="1:9" ht="23">
      <c r="A799" s="3" t="s">
        <v>1214</v>
      </c>
      <c r="B799" s="10" t="s">
        <v>1073</v>
      </c>
      <c r="C799" s="10" t="s">
        <v>138</v>
      </c>
      <c r="D799" s="10" t="s">
        <v>11</v>
      </c>
      <c r="E799" s="10">
        <v>103</v>
      </c>
      <c r="F799" s="10">
        <v>4.7</v>
      </c>
      <c r="G799" s="10">
        <v>58000000</v>
      </c>
      <c r="H799" s="10">
        <v>29580087</v>
      </c>
      <c r="I799" s="5">
        <f>IMDB_Movies!$H799-IMDB_Movies!$G799</f>
        <v>-28419913</v>
      </c>
    </row>
    <row r="800" spans="1:9" ht="23">
      <c r="A800" s="2" t="s">
        <v>1215</v>
      </c>
      <c r="B800" s="9" t="s">
        <v>216</v>
      </c>
      <c r="C800" s="9" t="s">
        <v>138</v>
      </c>
      <c r="D800" s="9" t="s">
        <v>11</v>
      </c>
      <c r="E800" s="9">
        <v>125</v>
      </c>
      <c r="F800" s="9">
        <v>6.3</v>
      </c>
      <c r="G800" s="9">
        <v>58000000</v>
      </c>
      <c r="H800" s="9">
        <v>44665963</v>
      </c>
      <c r="I800" s="5">
        <f>IMDB_Movies!$H800-IMDB_Movies!$G800</f>
        <v>-13334037</v>
      </c>
    </row>
    <row r="801" spans="1:9" ht="23">
      <c r="A801" s="3" t="s">
        <v>1216</v>
      </c>
      <c r="B801" s="10" t="s">
        <v>623</v>
      </c>
      <c r="C801" s="10" t="s">
        <v>10</v>
      </c>
      <c r="D801" s="10" t="s">
        <v>11</v>
      </c>
      <c r="E801" s="10">
        <v>97</v>
      </c>
      <c r="F801" s="10">
        <v>5.9</v>
      </c>
      <c r="G801" s="10">
        <v>60000000</v>
      </c>
      <c r="H801" s="10">
        <v>60128566</v>
      </c>
      <c r="I801" s="5">
        <f>IMDB_Movies!$H801-IMDB_Movies!$G801</f>
        <v>128566</v>
      </c>
    </row>
    <row r="802" spans="1:9" ht="23">
      <c r="A802" s="2" t="s">
        <v>1217</v>
      </c>
      <c r="B802" s="9" t="s">
        <v>1218</v>
      </c>
      <c r="C802" s="9" t="s">
        <v>10</v>
      </c>
      <c r="D802" s="9" t="s">
        <v>11</v>
      </c>
      <c r="E802" s="9">
        <v>125</v>
      </c>
      <c r="F802" s="9">
        <v>5.9</v>
      </c>
      <c r="G802" s="9">
        <v>58000000</v>
      </c>
      <c r="H802" s="9">
        <v>49875589</v>
      </c>
      <c r="I802" s="5">
        <f>IMDB_Movies!$H802-IMDB_Movies!$G802</f>
        <v>-8124411</v>
      </c>
    </row>
    <row r="803" spans="1:9" ht="23">
      <c r="A803" s="3" t="s">
        <v>1219</v>
      </c>
      <c r="B803" s="10" t="s">
        <v>1015</v>
      </c>
      <c r="C803" s="10" t="s">
        <v>56</v>
      </c>
      <c r="D803" s="10" t="s">
        <v>11</v>
      </c>
      <c r="E803" s="10">
        <v>136</v>
      </c>
      <c r="F803" s="10">
        <v>7.5</v>
      </c>
      <c r="G803" s="10">
        <v>57000000</v>
      </c>
      <c r="H803" s="10">
        <v>60984028</v>
      </c>
      <c r="I803" s="5">
        <f>IMDB_Movies!$H803-IMDB_Movies!$G803</f>
        <v>3984028</v>
      </c>
    </row>
    <row r="804" spans="1:9" ht="23">
      <c r="A804" s="2" t="s">
        <v>1220</v>
      </c>
      <c r="B804" s="9" t="s">
        <v>1221</v>
      </c>
      <c r="C804" s="9" t="s">
        <v>138</v>
      </c>
      <c r="D804" s="9" t="s">
        <v>11</v>
      </c>
      <c r="E804" s="9">
        <v>116</v>
      </c>
      <c r="F804" s="9">
        <v>5.6</v>
      </c>
      <c r="G804" s="9">
        <v>70000000</v>
      </c>
      <c r="H804" s="9">
        <v>36931089</v>
      </c>
      <c r="I804" s="5">
        <f>IMDB_Movies!$H804-IMDB_Movies!$G804</f>
        <v>-33068911</v>
      </c>
    </row>
    <row r="805" spans="1:9" ht="23">
      <c r="A805" s="3" t="s">
        <v>1222</v>
      </c>
      <c r="B805" s="10" t="s">
        <v>133</v>
      </c>
      <c r="C805" s="10" t="s">
        <v>10</v>
      </c>
      <c r="D805" s="10" t="s">
        <v>11</v>
      </c>
      <c r="E805" s="10">
        <v>103</v>
      </c>
      <c r="F805" s="10">
        <v>6.4</v>
      </c>
      <c r="G805" s="10">
        <v>57000000</v>
      </c>
      <c r="H805" s="10">
        <v>51317350</v>
      </c>
      <c r="I805" s="5">
        <f>IMDB_Movies!$H805-IMDB_Movies!$G805</f>
        <v>-5682650</v>
      </c>
    </row>
    <row r="806" spans="1:9" ht="23">
      <c r="A806" s="2" t="s">
        <v>1223</v>
      </c>
      <c r="B806" s="9" t="s">
        <v>70</v>
      </c>
      <c r="C806" s="9" t="s">
        <v>10</v>
      </c>
      <c r="D806" s="9" t="s">
        <v>11</v>
      </c>
      <c r="E806" s="9">
        <v>97</v>
      </c>
      <c r="F806" s="9">
        <v>6.3</v>
      </c>
      <c r="G806" s="9">
        <v>58000000</v>
      </c>
      <c r="H806" s="9">
        <v>28328132</v>
      </c>
      <c r="I806" s="5">
        <f>IMDB_Movies!$H806-IMDB_Movies!$G806</f>
        <v>-29671868</v>
      </c>
    </row>
    <row r="807" spans="1:9" ht="23">
      <c r="A807" s="3" t="s">
        <v>1224</v>
      </c>
      <c r="B807" s="10" t="s">
        <v>1225</v>
      </c>
      <c r="C807" s="10" t="s">
        <v>10</v>
      </c>
      <c r="D807" s="10" t="s">
        <v>11</v>
      </c>
      <c r="E807" s="10">
        <v>96</v>
      </c>
      <c r="F807" s="10">
        <v>4.3</v>
      </c>
      <c r="G807" s="10">
        <v>57000000</v>
      </c>
      <c r="H807" s="10">
        <v>51774002</v>
      </c>
      <c r="I807" s="5">
        <f>IMDB_Movies!$H807-IMDB_Movies!$G807</f>
        <v>-5225998</v>
      </c>
    </row>
    <row r="808" spans="1:9" ht="23">
      <c r="A808" s="2" t="s">
        <v>1226</v>
      </c>
      <c r="B808" s="9" t="s">
        <v>1227</v>
      </c>
      <c r="C808" s="9" t="s">
        <v>56</v>
      </c>
      <c r="D808" s="9" t="s">
        <v>11</v>
      </c>
      <c r="E808" s="9">
        <v>131</v>
      </c>
      <c r="F808" s="9">
        <v>5.9</v>
      </c>
      <c r="G808" s="9">
        <v>57000000</v>
      </c>
      <c r="H808" s="9">
        <v>25528495</v>
      </c>
      <c r="I808" s="5">
        <f>IMDB_Movies!$H808-IMDB_Movies!$G808</f>
        <v>-31471505</v>
      </c>
    </row>
    <row r="809" spans="1:9" ht="23">
      <c r="A809" s="3" t="s">
        <v>1228</v>
      </c>
      <c r="B809" s="10" t="s">
        <v>700</v>
      </c>
      <c r="C809" s="10" t="s">
        <v>10</v>
      </c>
      <c r="D809" s="10" t="s">
        <v>11</v>
      </c>
      <c r="E809" s="10">
        <v>95</v>
      </c>
      <c r="F809" s="10">
        <v>5.5</v>
      </c>
      <c r="G809" s="10">
        <v>56000000</v>
      </c>
      <c r="H809" s="10">
        <v>113006880</v>
      </c>
      <c r="I809" s="5">
        <f>IMDB_Movies!$H809-IMDB_Movies!$G809</f>
        <v>57006880</v>
      </c>
    </row>
    <row r="810" spans="1:9" ht="23">
      <c r="A810" s="2" t="s">
        <v>1229</v>
      </c>
      <c r="B810" s="9" t="s">
        <v>1230</v>
      </c>
      <c r="C810" s="9" t="s">
        <v>10</v>
      </c>
      <c r="D810" s="9" t="s">
        <v>11</v>
      </c>
      <c r="E810" s="9">
        <v>86</v>
      </c>
      <c r="F810" s="9">
        <v>6.2</v>
      </c>
      <c r="G810" s="9">
        <v>56000000</v>
      </c>
      <c r="H810" s="9">
        <v>45860039</v>
      </c>
      <c r="I810" s="5">
        <f>IMDB_Movies!$H810-IMDB_Movies!$G810</f>
        <v>-10139961</v>
      </c>
    </row>
    <row r="811" spans="1:9" ht="23">
      <c r="A811" s="3" t="s">
        <v>1231</v>
      </c>
      <c r="B811" s="10" t="s">
        <v>115</v>
      </c>
      <c r="C811" s="10" t="s">
        <v>138</v>
      </c>
      <c r="D811" s="10" t="s">
        <v>11</v>
      </c>
      <c r="E811" s="10">
        <v>142</v>
      </c>
      <c r="F811" s="10">
        <v>8.8000000000000007</v>
      </c>
      <c r="G811" s="10">
        <v>55000000</v>
      </c>
      <c r="H811" s="10">
        <v>329691196</v>
      </c>
      <c r="I811" s="5">
        <f>IMDB_Movies!$H811-IMDB_Movies!$G811</f>
        <v>274691196</v>
      </c>
    </row>
    <row r="812" spans="1:9" ht="23">
      <c r="A812" s="2" t="s">
        <v>1232</v>
      </c>
      <c r="B812" s="9" t="s">
        <v>1053</v>
      </c>
      <c r="C812" s="9" t="s">
        <v>116</v>
      </c>
      <c r="D812" s="9" t="s">
        <v>11</v>
      </c>
      <c r="E812" s="9">
        <v>92</v>
      </c>
      <c r="F812" s="9">
        <v>5.2</v>
      </c>
      <c r="G812" s="9">
        <v>60000000</v>
      </c>
      <c r="H812" s="9">
        <v>217326336</v>
      </c>
      <c r="I812" s="5">
        <f>IMDB_Movies!$H812-IMDB_Movies!$G812</f>
        <v>157326336</v>
      </c>
    </row>
    <row r="813" spans="1:9" ht="23">
      <c r="A813" s="3" t="s">
        <v>1233</v>
      </c>
      <c r="B813" s="10" t="s">
        <v>528</v>
      </c>
      <c r="C813" s="10" t="s">
        <v>138</v>
      </c>
      <c r="D813" s="10" t="s">
        <v>11</v>
      </c>
      <c r="E813" s="10">
        <v>108</v>
      </c>
      <c r="F813" s="10">
        <v>7</v>
      </c>
      <c r="G813" s="10">
        <v>55000000</v>
      </c>
      <c r="H813" s="10">
        <v>166225040</v>
      </c>
      <c r="I813" s="5">
        <f>IMDB_Movies!$H813-IMDB_Movies!$G813</f>
        <v>111225040</v>
      </c>
    </row>
    <row r="814" spans="1:9" ht="23">
      <c r="A814" s="2" t="s">
        <v>1234</v>
      </c>
      <c r="B814" s="9" t="s">
        <v>1235</v>
      </c>
      <c r="C814" s="9" t="s">
        <v>24</v>
      </c>
      <c r="D814" s="9" t="s">
        <v>11</v>
      </c>
      <c r="E814" s="9">
        <v>84</v>
      </c>
      <c r="F814" s="9">
        <v>6.6</v>
      </c>
      <c r="G814" s="9">
        <v>55000000</v>
      </c>
      <c r="H814" s="9">
        <v>141600000</v>
      </c>
      <c r="I814" s="5">
        <f>IMDB_Movies!$H814-IMDB_Movies!$G814</f>
        <v>86600000</v>
      </c>
    </row>
    <row r="815" spans="1:9" ht="23">
      <c r="A815" s="3" t="s">
        <v>1236</v>
      </c>
      <c r="B815" s="10" t="s">
        <v>285</v>
      </c>
      <c r="C815" s="10" t="s">
        <v>10</v>
      </c>
      <c r="D815" s="10" t="s">
        <v>11</v>
      </c>
      <c r="E815" s="10">
        <v>188</v>
      </c>
      <c r="F815" s="10">
        <v>7.3</v>
      </c>
      <c r="G815" s="10">
        <v>55000000</v>
      </c>
      <c r="H815" s="10">
        <v>134218018</v>
      </c>
      <c r="I815" s="5">
        <f>IMDB_Movies!$H815-IMDB_Movies!$G815</f>
        <v>79218018</v>
      </c>
    </row>
    <row r="816" spans="1:9" ht="23">
      <c r="A816" s="2" t="s">
        <v>1237</v>
      </c>
      <c r="B816" s="9" t="s">
        <v>137</v>
      </c>
      <c r="C816" s="9" t="s">
        <v>138</v>
      </c>
      <c r="D816" s="9" t="s">
        <v>11</v>
      </c>
      <c r="E816" s="9">
        <v>95</v>
      </c>
      <c r="F816" s="9">
        <v>5.6</v>
      </c>
      <c r="G816" s="9">
        <v>54000000</v>
      </c>
      <c r="H816" s="9">
        <v>128769345</v>
      </c>
      <c r="I816" s="5">
        <f>IMDB_Movies!$H816-IMDB_Movies!$G816</f>
        <v>74769345</v>
      </c>
    </row>
    <row r="817" spans="1:9" ht="23">
      <c r="A817" s="3" t="s">
        <v>1238</v>
      </c>
      <c r="B817" s="10" t="s">
        <v>838</v>
      </c>
      <c r="C817" s="10" t="s">
        <v>138</v>
      </c>
      <c r="D817" s="10" t="s">
        <v>11</v>
      </c>
      <c r="E817" s="10">
        <v>118</v>
      </c>
      <c r="F817" s="10">
        <v>6.6</v>
      </c>
      <c r="G817" s="10">
        <v>70000000</v>
      </c>
      <c r="H817" s="10">
        <v>177575142</v>
      </c>
      <c r="I817" s="5">
        <f>IMDB_Movies!$H817-IMDB_Movies!$G817</f>
        <v>107575142</v>
      </c>
    </row>
    <row r="818" spans="1:9" ht="23">
      <c r="A818" s="2" t="s">
        <v>1239</v>
      </c>
      <c r="B818" s="9" t="s">
        <v>1240</v>
      </c>
      <c r="C818" s="9" t="s">
        <v>10</v>
      </c>
      <c r="D818" s="9" t="s">
        <v>11</v>
      </c>
      <c r="E818" s="9">
        <v>92</v>
      </c>
      <c r="F818" s="9">
        <v>5.4</v>
      </c>
      <c r="G818" s="9">
        <v>55000000</v>
      </c>
      <c r="H818" s="9">
        <v>105263257</v>
      </c>
      <c r="I818" s="5">
        <f>IMDB_Movies!$H818-IMDB_Movies!$G818</f>
        <v>50263257</v>
      </c>
    </row>
    <row r="819" spans="1:9" ht="23">
      <c r="A819" s="3" t="s">
        <v>1241</v>
      </c>
      <c r="B819" s="10" t="s">
        <v>1242</v>
      </c>
      <c r="C819" s="10" t="s">
        <v>138</v>
      </c>
      <c r="D819" s="10" t="s">
        <v>11</v>
      </c>
      <c r="E819" s="10">
        <v>74</v>
      </c>
      <c r="F819" s="10">
        <v>6.3</v>
      </c>
      <c r="G819" s="10">
        <v>55000000</v>
      </c>
      <c r="H819" s="10">
        <v>104354205</v>
      </c>
      <c r="I819" s="5">
        <f>IMDB_Movies!$H819-IMDB_Movies!$G819</f>
        <v>49354205</v>
      </c>
    </row>
    <row r="820" spans="1:9" ht="23">
      <c r="A820" s="2" t="s">
        <v>1243</v>
      </c>
      <c r="B820" s="9" t="s">
        <v>311</v>
      </c>
      <c r="C820" s="9" t="s">
        <v>418</v>
      </c>
      <c r="D820" s="9" t="s">
        <v>11</v>
      </c>
      <c r="E820" s="9">
        <v>134</v>
      </c>
      <c r="F820" s="9">
        <v>7.9</v>
      </c>
      <c r="G820" s="9">
        <v>55000000</v>
      </c>
      <c r="H820" s="9">
        <v>107100855</v>
      </c>
      <c r="I820" s="5">
        <f>IMDB_Movies!$H820-IMDB_Movies!$G820</f>
        <v>52100855</v>
      </c>
    </row>
    <row r="821" spans="1:9" ht="23">
      <c r="A821" s="3" t="s">
        <v>1244</v>
      </c>
      <c r="B821" s="10" t="s">
        <v>216</v>
      </c>
      <c r="C821" s="10" t="s">
        <v>138</v>
      </c>
      <c r="D821" s="10" t="s">
        <v>11</v>
      </c>
      <c r="E821" s="10">
        <v>101</v>
      </c>
      <c r="F821" s="10">
        <v>6.3</v>
      </c>
      <c r="G821" s="10">
        <v>55000000</v>
      </c>
      <c r="H821" s="10">
        <v>98711404</v>
      </c>
      <c r="I821" s="5">
        <f>IMDB_Movies!$H821-IMDB_Movies!$G821</f>
        <v>43711404</v>
      </c>
    </row>
    <row r="822" spans="1:9" ht="23">
      <c r="A822" s="2" t="s">
        <v>1245</v>
      </c>
      <c r="B822" s="9" t="s">
        <v>502</v>
      </c>
      <c r="C822" s="9" t="s">
        <v>138</v>
      </c>
      <c r="D822" s="9" t="s">
        <v>11</v>
      </c>
      <c r="E822" s="9">
        <v>100</v>
      </c>
      <c r="F822" s="9">
        <v>6</v>
      </c>
      <c r="G822" s="9">
        <v>50000000</v>
      </c>
      <c r="H822" s="9">
        <v>100328194</v>
      </c>
      <c r="I822" s="5">
        <f>IMDB_Movies!$H822-IMDB_Movies!$G822</f>
        <v>50328194</v>
      </c>
    </row>
    <row r="823" spans="1:9" ht="23">
      <c r="A823" s="3" t="s">
        <v>1246</v>
      </c>
      <c r="B823" s="10" t="s">
        <v>826</v>
      </c>
      <c r="C823" s="10" t="s">
        <v>10</v>
      </c>
      <c r="D823" s="10" t="s">
        <v>11</v>
      </c>
      <c r="E823" s="10">
        <v>132</v>
      </c>
      <c r="F823" s="10">
        <v>7.2</v>
      </c>
      <c r="G823" s="10">
        <v>55000000</v>
      </c>
      <c r="H823" s="10">
        <v>101530738</v>
      </c>
      <c r="I823" s="5">
        <f>IMDB_Movies!$H823-IMDB_Movies!$G823</f>
        <v>46530738</v>
      </c>
    </row>
    <row r="824" spans="1:9" ht="23">
      <c r="A824" s="2" t="s">
        <v>1247</v>
      </c>
      <c r="B824" s="9" t="s">
        <v>1248</v>
      </c>
      <c r="C824" s="9" t="s">
        <v>138</v>
      </c>
      <c r="D824" s="9" t="s">
        <v>11</v>
      </c>
      <c r="E824" s="9">
        <v>105</v>
      </c>
      <c r="F824" s="9">
        <v>5.0999999999999996</v>
      </c>
      <c r="G824" s="9">
        <v>55000000</v>
      </c>
      <c r="H824" s="9">
        <v>93815117</v>
      </c>
      <c r="I824" s="5">
        <f>IMDB_Movies!$H824-IMDB_Movies!$G824</f>
        <v>38815117</v>
      </c>
    </row>
    <row r="825" spans="1:9" ht="23">
      <c r="A825" s="3" t="s">
        <v>1249</v>
      </c>
      <c r="B825" s="10" t="s">
        <v>464</v>
      </c>
      <c r="C825" s="10" t="s">
        <v>10</v>
      </c>
      <c r="D825" s="10" t="s">
        <v>11</v>
      </c>
      <c r="E825" s="10">
        <v>123</v>
      </c>
      <c r="F825" s="10">
        <v>7.3</v>
      </c>
      <c r="G825" s="10">
        <v>53000000</v>
      </c>
      <c r="H825" s="10">
        <v>91400000</v>
      </c>
      <c r="I825" s="5">
        <f>IMDB_Movies!$H825-IMDB_Movies!$G825</f>
        <v>38400000</v>
      </c>
    </row>
    <row r="826" spans="1:9" ht="23">
      <c r="A826" s="2" t="s">
        <v>1250</v>
      </c>
      <c r="B826" s="9" t="s">
        <v>1251</v>
      </c>
      <c r="C826" s="9" t="s">
        <v>418</v>
      </c>
      <c r="D826" s="9" t="s">
        <v>11</v>
      </c>
      <c r="E826" s="9">
        <v>117</v>
      </c>
      <c r="F826" s="9">
        <v>8</v>
      </c>
      <c r="G826" s="9">
        <v>55000000</v>
      </c>
      <c r="H826" s="9">
        <v>162586036</v>
      </c>
      <c r="I826" s="5">
        <f>IMDB_Movies!$H826-IMDB_Movies!$G826</f>
        <v>107586036</v>
      </c>
    </row>
    <row r="827" spans="1:9" ht="23">
      <c r="A827" s="3" t="s">
        <v>1252</v>
      </c>
      <c r="B827" s="10" t="s">
        <v>339</v>
      </c>
      <c r="C827" s="10" t="s">
        <v>56</v>
      </c>
      <c r="D827" s="10" t="s">
        <v>11</v>
      </c>
      <c r="E827" s="10">
        <v>98</v>
      </c>
      <c r="F827" s="10">
        <v>6.2</v>
      </c>
      <c r="G827" s="10">
        <v>55000000</v>
      </c>
      <c r="H827" s="10">
        <v>89706988</v>
      </c>
      <c r="I827" s="5">
        <f>IMDB_Movies!$H827-IMDB_Movies!$G827</f>
        <v>34706988</v>
      </c>
    </row>
    <row r="828" spans="1:9" ht="23">
      <c r="A828" s="2" t="s">
        <v>1253</v>
      </c>
      <c r="B828" s="9" t="s">
        <v>834</v>
      </c>
      <c r="C828" s="9" t="s">
        <v>56</v>
      </c>
      <c r="D828" s="9" t="s">
        <v>11</v>
      </c>
      <c r="E828" s="9">
        <v>128</v>
      </c>
      <c r="F828" s="9">
        <v>6</v>
      </c>
      <c r="G828" s="9">
        <v>55000000</v>
      </c>
      <c r="H828" s="9">
        <v>83000000</v>
      </c>
      <c r="I828" s="5">
        <f>IMDB_Movies!$H828-IMDB_Movies!$G828</f>
        <v>28000000</v>
      </c>
    </row>
    <row r="829" spans="1:9" ht="23">
      <c r="A829" s="3" t="s">
        <v>1254</v>
      </c>
      <c r="B829" s="10" t="s">
        <v>502</v>
      </c>
      <c r="C829" s="10" t="s">
        <v>56</v>
      </c>
      <c r="D829" s="10" t="s">
        <v>11</v>
      </c>
      <c r="E829" s="10">
        <v>114</v>
      </c>
      <c r="F829" s="10">
        <v>6.7</v>
      </c>
      <c r="G829" s="10">
        <v>55000000</v>
      </c>
      <c r="H829" s="10">
        <v>78745923</v>
      </c>
      <c r="I829" s="5">
        <f>IMDB_Movies!$H829-IMDB_Movies!$G829</f>
        <v>23745923</v>
      </c>
    </row>
    <row r="830" spans="1:9" ht="23">
      <c r="A830" s="2" t="s">
        <v>1255</v>
      </c>
      <c r="B830" s="9" t="s">
        <v>472</v>
      </c>
      <c r="C830" s="9" t="s">
        <v>10</v>
      </c>
      <c r="D830" s="9" t="s">
        <v>11</v>
      </c>
      <c r="E830" s="9">
        <v>111</v>
      </c>
      <c r="F830" s="9">
        <v>8.1</v>
      </c>
      <c r="G830" s="9">
        <v>30000000</v>
      </c>
      <c r="H830" s="9">
        <v>70098138</v>
      </c>
      <c r="I830" s="5">
        <f>IMDB_Movies!$H830-IMDB_Movies!$G830</f>
        <v>40098138</v>
      </c>
    </row>
    <row r="831" spans="1:9" ht="23">
      <c r="A831" s="3" t="s">
        <v>1256</v>
      </c>
      <c r="B831" s="10" t="s">
        <v>525</v>
      </c>
      <c r="C831" s="10" t="s">
        <v>138</v>
      </c>
      <c r="D831" s="10" t="s">
        <v>11</v>
      </c>
      <c r="E831" s="10">
        <v>85</v>
      </c>
      <c r="F831" s="10">
        <v>6.4</v>
      </c>
      <c r="G831" s="10">
        <v>55000000</v>
      </c>
      <c r="H831" s="10">
        <v>66365290</v>
      </c>
      <c r="I831" s="5">
        <f>IMDB_Movies!$H831-IMDB_Movies!$G831</f>
        <v>11365290</v>
      </c>
    </row>
    <row r="832" spans="1:9" ht="23">
      <c r="A832" s="2" t="s">
        <v>1257</v>
      </c>
      <c r="B832" s="9" t="s">
        <v>472</v>
      </c>
      <c r="C832" s="9" t="s">
        <v>10</v>
      </c>
      <c r="D832" s="9" t="s">
        <v>11</v>
      </c>
      <c r="E832" s="9">
        <v>137</v>
      </c>
      <c r="F832" s="9">
        <v>8</v>
      </c>
      <c r="G832" s="9">
        <v>30000000</v>
      </c>
      <c r="H832" s="9">
        <v>66207920</v>
      </c>
      <c r="I832" s="5">
        <f>IMDB_Movies!$H832-IMDB_Movies!$G832</f>
        <v>36207920</v>
      </c>
    </row>
    <row r="833" spans="1:9" ht="23">
      <c r="A833" s="3" t="s">
        <v>1258</v>
      </c>
      <c r="B833" s="10" t="s">
        <v>613</v>
      </c>
      <c r="C833" s="10" t="s">
        <v>10</v>
      </c>
      <c r="D833" s="10" t="s">
        <v>11</v>
      </c>
      <c r="E833" s="10">
        <v>97</v>
      </c>
      <c r="F833" s="10">
        <v>6.3</v>
      </c>
      <c r="G833" s="10">
        <v>55000000</v>
      </c>
      <c r="H833" s="10">
        <v>63408614</v>
      </c>
      <c r="I833" s="5">
        <f>IMDB_Movies!$H833-IMDB_Movies!$G833</f>
        <v>8408614</v>
      </c>
    </row>
    <row r="834" spans="1:9" ht="23">
      <c r="A834" s="2" t="s">
        <v>1259</v>
      </c>
      <c r="B834" s="9" t="s">
        <v>115</v>
      </c>
      <c r="C834" s="9" t="s">
        <v>138</v>
      </c>
      <c r="D834" s="9" t="s">
        <v>11</v>
      </c>
      <c r="E834" s="9">
        <v>104</v>
      </c>
      <c r="F834" s="9">
        <v>6.4</v>
      </c>
      <c r="G834" s="9">
        <v>55000000</v>
      </c>
      <c r="H834" s="9">
        <v>58422650</v>
      </c>
      <c r="I834" s="5">
        <f>IMDB_Movies!$H834-IMDB_Movies!$G834</f>
        <v>3422650</v>
      </c>
    </row>
    <row r="835" spans="1:9" ht="23">
      <c r="A835" s="3" t="s">
        <v>1260</v>
      </c>
      <c r="B835" s="10" t="s">
        <v>1261</v>
      </c>
      <c r="C835" s="10" t="s">
        <v>10</v>
      </c>
      <c r="D835" s="10" t="s">
        <v>11</v>
      </c>
      <c r="E835" s="10">
        <v>110</v>
      </c>
      <c r="F835" s="10">
        <v>6.6</v>
      </c>
      <c r="G835" s="10">
        <v>55000000</v>
      </c>
      <c r="H835" s="10">
        <v>56932305</v>
      </c>
      <c r="I835" s="5">
        <f>IMDB_Movies!$H835-IMDB_Movies!$G835</f>
        <v>1932305</v>
      </c>
    </row>
    <row r="836" spans="1:9" ht="23">
      <c r="A836" s="2" t="s">
        <v>1262</v>
      </c>
      <c r="B836" s="9" t="s">
        <v>1152</v>
      </c>
      <c r="C836" s="9" t="s">
        <v>10</v>
      </c>
      <c r="D836" s="9" t="s">
        <v>11</v>
      </c>
      <c r="E836" s="9">
        <v>133</v>
      </c>
      <c r="F836" s="9">
        <v>6.4</v>
      </c>
      <c r="G836" s="9">
        <v>55000000</v>
      </c>
      <c r="H836" s="9">
        <v>68750000</v>
      </c>
      <c r="I836" s="5">
        <f>IMDB_Movies!$H836-IMDB_Movies!$G836</f>
        <v>13750000</v>
      </c>
    </row>
    <row r="837" spans="1:9" ht="23">
      <c r="A837" s="3" t="s">
        <v>1263</v>
      </c>
      <c r="B837" s="10" t="s">
        <v>550</v>
      </c>
      <c r="C837" s="10" t="s">
        <v>138</v>
      </c>
      <c r="D837" s="10" t="s">
        <v>11</v>
      </c>
      <c r="E837" s="10">
        <v>94</v>
      </c>
      <c r="F837" s="10">
        <v>6</v>
      </c>
      <c r="G837" s="10">
        <v>55000000</v>
      </c>
      <c r="H837" s="10">
        <v>68218041</v>
      </c>
      <c r="I837" s="5">
        <f>IMDB_Movies!$H837-IMDB_Movies!$G837</f>
        <v>13218041</v>
      </c>
    </row>
    <row r="838" spans="1:9" ht="23">
      <c r="A838" s="2" t="s">
        <v>1264</v>
      </c>
      <c r="B838" s="9" t="s">
        <v>257</v>
      </c>
      <c r="C838" s="9" t="s">
        <v>10</v>
      </c>
      <c r="D838" s="9" t="s">
        <v>11</v>
      </c>
      <c r="E838" s="9">
        <v>104</v>
      </c>
      <c r="F838" s="9">
        <v>6.6</v>
      </c>
      <c r="G838" s="9">
        <v>55000000</v>
      </c>
      <c r="H838" s="9">
        <v>25040293</v>
      </c>
      <c r="I838" s="5">
        <f>IMDB_Movies!$H838-IMDB_Movies!$G838</f>
        <v>-29959707</v>
      </c>
    </row>
    <row r="839" spans="1:9" ht="23">
      <c r="A839" s="3" t="s">
        <v>1265</v>
      </c>
      <c r="B839" s="10" t="s">
        <v>1266</v>
      </c>
      <c r="C839" s="10" t="s">
        <v>24</v>
      </c>
      <c r="D839" s="10" t="s">
        <v>11</v>
      </c>
      <c r="E839" s="10">
        <v>91</v>
      </c>
      <c r="F839" s="10">
        <v>5.9</v>
      </c>
      <c r="G839" s="10">
        <v>55000000</v>
      </c>
      <c r="H839" s="10">
        <v>55747724</v>
      </c>
      <c r="I839" s="5">
        <f>IMDB_Movies!$H839-IMDB_Movies!$G839</f>
        <v>747724</v>
      </c>
    </row>
    <row r="840" spans="1:9" ht="23">
      <c r="A840" s="2" t="s">
        <v>1267</v>
      </c>
      <c r="B840" s="9" t="s">
        <v>183</v>
      </c>
      <c r="C840" s="9" t="s">
        <v>10</v>
      </c>
      <c r="D840" s="9" t="s">
        <v>11</v>
      </c>
      <c r="E840" s="9">
        <v>145</v>
      </c>
      <c r="F840" s="9">
        <v>6.4</v>
      </c>
      <c r="G840" s="9">
        <v>50000000</v>
      </c>
      <c r="H840" s="9">
        <v>55473600</v>
      </c>
      <c r="I840" s="5">
        <f>IMDB_Movies!$H840-IMDB_Movies!$G840</f>
        <v>5473600</v>
      </c>
    </row>
    <row r="841" spans="1:9" ht="23">
      <c r="A841" s="3" t="s">
        <v>1268</v>
      </c>
      <c r="B841" s="10" t="s">
        <v>1269</v>
      </c>
      <c r="C841" s="10" t="s">
        <v>418</v>
      </c>
      <c r="D841" s="10" t="s">
        <v>11</v>
      </c>
      <c r="E841" s="10">
        <v>135</v>
      </c>
      <c r="F841" s="10">
        <v>6.3</v>
      </c>
      <c r="G841" s="10">
        <v>55000000</v>
      </c>
      <c r="H841" s="10">
        <v>49994804</v>
      </c>
      <c r="I841" s="5">
        <f>IMDB_Movies!$H841-IMDB_Movies!$G841</f>
        <v>-5005196</v>
      </c>
    </row>
    <row r="842" spans="1:9" ht="23">
      <c r="A842" s="2" t="s">
        <v>1270</v>
      </c>
      <c r="B842" s="9" t="s">
        <v>1271</v>
      </c>
      <c r="C842" s="9" t="s">
        <v>10</v>
      </c>
      <c r="D842" s="9" t="s">
        <v>11</v>
      </c>
      <c r="E842" s="9">
        <v>122</v>
      </c>
      <c r="F842" s="9">
        <v>7.3</v>
      </c>
      <c r="G842" s="9">
        <v>55000000</v>
      </c>
      <c r="H842" s="9">
        <v>41609593</v>
      </c>
      <c r="I842" s="5">
        <f>IMDB_Movies!$H842-IMDB_Movies!$G842</f>
        <v>-13390407</v>
      </c>
    </row>
    <row r="843" spans="1:9" ht="23">
      <c r="A843" s="3" t="s">
        <v>1272</v>
      </c>
      <c r="B843" s="10" t="s">
        <v>729</v>
      </c>
      <c r="C843" s="10" t="s">
        <v>24</v>
      </c>
      <c r="D843" s="10" t="s">
        <v>11</v>
      </c>
      <c r="E843" s="10">
        <v>110</v>
      </c>
      <c r="F843" s="10">
        <v>6.8</v>
      </c>
      <c r="G843" s="10">
        <v>55000000</v>
      </c>
      <c r="H843" s="10">
        <v>38553833</v>
      </c>
      <c r="I843" s="5">
        <f>IMDB_Movies!$H843-IMDB_Movies!$G843</f>
        <v>-16446167</v>
      </c>
    </row>
    <row r="844" spans="1:9" ht="23">
      <c r="A844" s="2" t="s">
        <v>1273</v>
      </c>
      <c r="B844" s="9" t="s">
        <v>1274</v>
      </c>
      <c r="C844" s="9" t="s">
        <v>116</v>
      </c>
      <c r="D844" s="9" t="s">
        <v>11</v>
      </c>
      <c r="E844" s="9">
        <v>95</v>
      </c>
      <c r="F844" s="9">
        <v>7.2</v>
      </c>
      <c r="G844" s="9">
        <v>55000000</v>
      </c>
      <c r="H844" s="9">
        <v>76137505</v>
      </c>
      <c r="I844" s="5">
        <f>IMDB_Movies!$H844-IMDB_Movies!$G844</f>
        <v>21137505</v>
      </c>
    </row>
    <row r="845" spans="1:9" ht="23">
      <c r="A845" s="3" t="s">
        <v>1275</v>
      </c>
      <c r="B845" s="10" t="s">
        <v>1276</v>
      </c>
      <c r="C845" s="10" t="s">
        <v>10</v>
      </c>
      <c r="D845" s="10" t="s">
        <v>11</v>
      </c>
      <c r="E845" s="10">
        <v>102</v>
      </c>
      <c r="F845" s="10">
        <v>5.7</v>
      </c>
      <c r="G845" s="10">
        <v>68000000</v>
      </c>
      <c r="H845" s="10">
        <v>34350553</v>
      </c>
      <c r="I845" s="5">
        <f>IMDB_Movies!$H845-IMDB_Movies!$G845</f>
        <v>-33649447</v>
      </c>
    </row>
    <row r="846" spans="1:9" ht="23">
      <c r="A846" s="2" t="s">
        <v>1277</v>
      </c>
      <c r="B846" s="9" t="s">
        <v>1278</v>
      </c>
      <c r="C846" s="9" t="s">
        <v>10</v>
      </c>
      <c r="D846" s="9" t="s">
        <v>11</v>
      </c>
      <c r="E846" s="9">
        <v>94</v>
      </c>
      <c r="F846" s="9">
        <v>6</v>
      </c>
      <c r="G846" s="9">
        <v>55000000</v>
      </c>
      <c r="H846" s="9">
        <v>34238611</v>
      </c>
      <c r="I846" s="5">
        <f>IMDB_Movies!$H846-IMDB_Movies!$G846</f>
        <v>-20761389</v>
      </c>
    </row>
    <row r="847" spans="1:9" ht="23">
      <c r="A847" s="3" t="s">
        <v>1279</v>
      </c>
      <c r="B847" s="10" t="s">
        <v>189</v>
      </c>
      <c r="C847" s="10" t="s">
        <v>56</v>
      </c>
      <c r="D847" s="10" t="s">
        <v>11</v>
      </c>
      <c r="E847" s="10">
        <v>126</v>
      </c>
      <c r="F847" s="10">
        <v>6.5</v>
      </c>
      <c r="G847" s="10">
        <v>55000000</v>
      </c>
      <c r="H847" s="10">
        <v>34098563</v>
      </c>
      <c r="I847" s="5">
        <f>IMDB_Movies!$H847-IMDB_Movies!$G847</f>
        <v>-20901437</v>
      </c>
    </row>
    <row r="848" spans="1:9" ht="23">
      <c r="A848" s="2" t="s">
        <v>1280</v>
      </c>
      <c r="B848" s="9" t="s">
        <v>934</v>
      </c>
      <c r="C848" s="9" t="s">
        <v>138</v>
      </c>
      <c r="D848" s="9" t="s">
        <v>11</v>
      </c>
      <c r="E848" s="9">
        <v>118</v>
      </c>
      <c r="F848" s="9">
        <v>5.8</v>
      </c>
      <c r="G848" s="9">
        <v>55000000</v>
      </c>
      <c r="H848" s="9">
        <v>33828318</v>
      </c>
      <c r="I848" s="5">
        <f>IMDB_Movies!$H848-IMDB_Movies!$G848</f>
        <v>-21171682</v>
      </c>
    </row>
    <row r="849" spans="1:9" ht="23">
      <c r="A849" s="3" t="s">
        <v>1281</v>
      </c>
      <c r="B849" s="10" t="s">
        <v>1282</v>
      </c>
      <c r="C849" s="10" t="s">
        <v>138</v>
      </c>
      <c r="D849" s="10" t="s">
        <v>11</v>
      </c>
      <c r="E849" s="10">
        <v>99</v>
      </c>
      <c r="F849" s="10">
        <v>5.8</v>
      </c>
      <c r="G849" s="10">
        <v>55000000</v>
      </c>
      <c r="H849" s="10">
        <v>33472850</v>
      </c>
      <c r="I849" s="5">
        <f>IMDB_Movies!$H849-IMDB_Movies!$G849</f>
        <v>-21527150</v>
      </c>
    </row>
    <row r="850" spans="1:9" ht="23">
      <c r="A850" s="2" t="s">
        <v>1283</v>
      </c>
      <c r="B850" s="9" t="s">
        <v>1284</v>
      </c>
      <c r="C850" s="9" t="s">
        <v>24</v>
      </c>
      <c r="D850" s="9" t="s">
        <v>11</v>
      </c>
      <c r="E850" s="9">
        <v>88</v>
      </c>
      <c r="F850" s="9">
        <v>6.7</v>
      </c>
      <c r="G850" s="9">
        <v>55000000</v>
      </c>
      <c r="H850" s="9">
        <v>31051126</v>
      </c>
      <c r="I850" s="5">
        <f>IMDB_Movies!$H850-IMDB_Movies!$G850</f>
        <v>-23948874</v>
      </c>
    </row>
    <row r="851" spans="1:9" ht="23">
      <c r="A851" s="3" t="s">
        <v>1285</v>
      </c>
      <c r="B851" s="10" t="s">
        <v>992</v>
      </c>
      <c r="C851" s="10" t="s">
        <v>414</v>
      </c>
      <c r="D851" s="10" t="s">
        <v>11</v>
      </c>
      <c r="E851" s="10">
        <v>141</v>
      </c>
      <c r="F851" s="10">
        <v>7.8</v>
      </c>
      <c r="G851" s="10">
        <v>55000000</v>
      </c>
      <c r="H851" s="10">
        <v>35707327</v>
      </c>
      <c r="I851" s="5">
        <f>IMDB_Movies!$H851-IMDB_Movies!$G851</f>
        <v>-19292673</v>
      </c>
    </row>
    <row r="852" spans="1:9" ht="23">
      <c r="A852" s="2" t="s">
        <v>1286</v>
      </c>
      <c r="B852" s="9" t="s">
        <v>652</v>
      </c>
      <c r="C852" s="9" t="s">
        <v>10</v>
      </c>
      <c r="D852" s="9" t="s">
        <v>11</v>
      </c>
      <c r="E852" s="9">
        <v>107</v>
      </c>
      <c r="F852" s="9">
        <v>5.6</v>
      </c>
      <c r="G852" s="9">
        <v>50000000</v>
      </c>
      <c r="H852" s="9">
        <v>20550712</v>
      </c>
      <c r="I852" s="5">
        <f>IMDB_Movies!$H852-IMDB_Movies!$G852</f>
        <v>-29449288</v>
      </c>
    </row>
    <row r="853" spans="1:9" ht="23">
      <c r="A853" s="3" t="s">
        <v>1287</v>
      </c>
      <c r="B853" s="10" t="s">
        <v>464</v>
      </c>
      <c r="C853" s="10" t="s">
        <v>10</v>
      </c>
      <c r="D853" s="10" t="s">
        <v>11</v>
      </c>
      <c r="E853" s="10">
        <v>116</v>
      </c>
      <c r="F853" s="10">
        <v>5.8</v>
      </c>
      <c r="G853" s="10">
        <v>55000000</v>
      </c>
      <c r="H853" s="10">
        <v>18573791</v>
      </c>
      <c r="I853" s="5">
        <f>IMDB_Movies!$H853-IMDB_Movies!$G853</f>
        <v>-36426209</v>
      </c>
    </row>
    <row r="854" spans="1:9" ht="23">
      <c r="A854" s="2" t="s">
        <v>1288</v>
      </c>
      <c r="B854" s="9" t="s">
        <v>357</v>
      </c>
      <c r="C854" s="9" t="s">
        <v>56</v>
      </c>
      <c r="D854" s="9" t="s">
        <v>11</v>
      </c>
      <c r="E854" s="9">
        <v>143</v>
      </c>
      <c r="F854" s="9">
        <v>7.4</v>
      </c>
      <c r="G854" s="9">
        <v>70000000</v>
      </c>
      <c r="H854" s="9">
        <v>51225796</v>
      </c>
      <c r="I854" s="5">
        <f>IMDB_Movies!$H854-IMDB_Movies!$G854</f>
        <v>-18774204</v>
      </c>
    </row>
    <row r="855" spans="1:9" ht="23">
      <c r="A855" s="3" t="s">
        <v>1289</v>
      </c>
      <c r="B855" s="10" t="s">
        <v>1290</v>
      </c>
      <c r="C855" s="10" t="s">
        <v>418</v>
      </c>
      <c r="D855" s="10" t="s">
        <v>11</v>
      </c>
      <c r="E855" s="10">
        <v>114</v>
      </c>
      <c r="F855" s="10">
        <v>6.9</v>
      </c>
      <c r="G855" s="10">
        <v>55000000</v>
      </c>
      <c r="H855" s="10">
        <v>16264475</v>
      </c>
      <c r="I855" s="5">
        <f>IMDB_Movies!$H855-IMDB_Movies!$G855</f>
        <v>-38735525</v>
      </c>
    </row>
    <row r="856" spans="1:9" ht="23">
      <c r="A856" s="2" t="s">
        <v>1291</v>
      </c>
      <c r="B856" s="9" t="s">
        <v>1292</v>
      </c>
      <c r="C856" s="9" t="s">
        <v>10</v>
      </c>
      <c r="D856" s="9" t="s">
        <v>11</v>
      </c>
      <c r="E856" s="9">
        <v>93</v>
      </c>
      <c r="F856" s="9">
        <v>5.5</v>
      </c>
      <c r="G856" s="9">
        <v>62000000</v>
      </c>
      <c r="H856" s="9">
        <v>25857987</v>
      </c>
      <c r="I856" s="5">
        <f>IMDB_Movies!$H856-IMDB_Movies!$G856</f>
        <v>-36142013</v>
      </c>
    </row>
    <row r="857" spans="1:9" ht="23">
      <c r="A857" s="3" t="s">
        <v>1293</v>
      </c>
      <c r="B857" s="10" t="s">
        <v>1294</v>
      </c>
      <c r="C857" s="10" t="s">
        <v>56</v>
      </c>
      <c r="D857" s="10" t="s">
        <v>11</v>
      </c>
      <c r="E857" s="10">
        <v>280</v>
      </c>
      <c r="F857" s="10">
        <v>6.3</v>
      </c>
      <c r="G857" s="10">
        <v>56000000</v>
      </c>
      <c r="H857" s="10">
        <v>12870569</v>
      </c>
      <c r="I857" s="5">
        <f>IMDB_Movies!$H857-IMDB_Movies!$G857</f>
        <v>-43129431</v>
      </c>
    </row>
    <row r="858" spans="1:9" ht="23">
      <c r="A858" s="2" t="s">
        <v>1295</v>
      </c>
      <c r="B858" s="9" t="s">
        <v>1296</v>
      </c>
      <c r="C858" s="9" t="s">
        <v>10</v>
      </c>
      <c r="D858" s="9" t="s">
        <v>11</v>
      </c>
      <c r="E858" s="9">
        <v>100</v>
      </c>
      <c r="F858" s="9">
        <v>4.7</v>
      </c>
      <c r="G858" s="9">
        <v>71000000</v>
      </c>
      <c r="H858" s="9">
        <v>11466088</v>
      </c>
      <c r="I858" s="5">
        <f>IMDB_Movies!$H858-IMDB_Movies!$G858</f>
        <v>-59533912</v>
      </c>
    </row>
    <row r="859" spans="1:9" ht="23">
      <c r="A859" s="3" t="s">
        <v>1297</v>
      </c>
      <c r="B859" s="10" t="s">
        <v>1298</v>
      </c>
      <c r="C859" s="10" t="s">
        <v>138</v>
      </c>
      <c r="D859" s="10" t="s">
        <v>11</v>
      </c>
      <c r="E859" s="10">
        <v>107</v>
      </c>
      <c r="F859" s="10">
        <v>5.6</v>
      </c>
      <c r="G859" s="10">
        <v>55000000</v>
      </c>
      <c r="H859" s="10">
        <v>16088610</v>
      </c>
      <c r="I859" s="5">
        <f>IMDB_Movies!$H859-IMDB_Movies!$G859</f>
        <v>-38911390</v>
      </c>
    </row>
    <row r="860" spans="1:9" ht="23">
      <c r="A860" s="2" t="s">
        <v>1299</v>
      </c>
      <c r="B860" s="9" t="s">
        <v>193</v>
      </c>
      <c r="C860" s="9" t="s">
        <v>24</v>
      </c>
      <c r="D860" s="9" t="s">
        <v>11</v>
      </c>
      <c r="E860" s="9">
        <v>119</v>
      </c>
      <c r="F860" s="9">
        <v>6.4</v>
      </c>
      <c r="G860" s="9">
        <v>50000000</v>
      </c>
      <c r="H860" s="9">
        <v>51178893</v>
      </c>
      <c r="I860" s="5">
        <f>IMDB_Movies!$H860-IMDB_Movies!$G860</f>
        <v>1178893</v>
      </c>
    </row>
    <row r="861" spans="1:9" ht="23">
      <c r="A861" s="3" t="s">
        <v>1300</v>
      </c>
      <c r="B861" s="10" t="s">
        <v>902</v>
      </c>
      <c r="C861" s="10" t="s">
        <v>10</v>
      </c>
      <c r="D861" s="10" t="s">
        <v>11</v>
      </c>
      <c r="E861" s="10">
        <v>95</v>
      </c>
      <c r="F861" s="10">
        <v>4.2</v>
      </c>
      <c r="G861" s="10">
        <v>57000000</v>
      </c>
      <c r="H861" s="10">
        <v>6768055</v>
      </c>
      <c r="I861" s="5">
        <f>IMDB_Movies!$H861-IMDB_Movies!$G861</f>
        <v>-50231945</v>
      </c>
    </row>
    <row r="862" spans="1:9" ht="23">
      <c r="A862" s="2" t="s">
        <v>1301</v>
      </c>
      <c r="B862" s="9" t="s">
        <v>1302</v>
      </c>
      <c r="C862" s="9" t="s">
        <v>56</v>
      </c>
      <c r="D862" s="9" t="s">
        <v>11</v>
      </c>
      <c r="E862" s="9">
        <v>119</v>
      </c>
      <c r="F862" s="9">
        <v>6.4</v>
      </c>
      <c r="G862" s="9">
        <v>55000000</v>
      </c>
      <c r="H862" s="9">
        <v>39440655</v>
      </c>
      <c r="I862" s="5">
        <f>IMDB_Movies!$H862-IMDB_Movies!$G862</f>
        <v>-15559345</v>
      </c>
    </row>
    <row r="863" spans="1:9" ht="23">
      <c r="A863" s="3" t="s">
        <v>1303</v>
      </c>
      <c r="B863" s="10" t="s">
        <v>1128</v>
      </c>
      <c r="C863" s="10" t="s">
        <v>56</v>
      </c>
      <c r="D863" s="10" t="s">
        <v>394</v>
      </c>
      <c r="E863" s="10">
        <v>133</v>
      </c>
      <c r="F863" s="10">
        <v>7.7</v>
      </c>
      <c r="G863" s="10">
        <v>47000000</v>
      </c>
      <c r="H863" s="10">
        <v>6167817</v>
      </c>
      <c r="I863" s="5">
        <f>IMDB_Movies!$H863-IMDB_Movies!$G863</f>
        <v>-40832183</v>
      </c>
    </row>
    <row r="864" spans="1:9" ht="23">
      <c r="A864" s="2" t="s">
        <v>1304</v>
      </c>
      <c r="B864" s="9" t="s">
        <v>1001</v>
      </c>
      <c r="C864" s="9" t="s">
        <v>414</v>
      </c>
      <c r="D864" s="9" t="s">
        <v>11</v>
      </c>
      <c r="E864" s="9">
        <v>152</v>
      </c>
      <c r="F864" s="9">
        <v>7.7</v>
      </c>
      <c r="G864" s="9">
        <v>2000000</v>
      </c>
      <c r="H864" s="9">
        <v>25078937</v>
      </c>
      <c r="I864" s="5">
        <f>IMDB_Movies!$H864-IMDB_Movies!$G864</f>
        <v>23078937</v>
      </c>
    </row>
    <row r="865" spans="1:9" ht="23">
      <c r="A865" s="3" t="s">
        <v>1305</v>
      </c>
      <c r="B865" s="10" t="s">
        <v>1306</v>
      </c>
      <c r="C865" s="10" t="s">
        <v>414</v>
      </c>
      <c r="D865" s="10" t="s">
        <v>11</v>
      </c>
      <c r="E865" s="10">
        <v>96</v>
      </c>
      <c r="F865" s="10">
        <v>5.3</v>
      </c>
      <c r="G865" s="10">
        <v>55000000</v>
      </c>
      <c r="H865" s="10">
        <v>25078937</v>
      </c>
      <c r="I865" s="5">
        <f>IMDB_Movies!$H865-IMDB_Movies!$G865</f>
        <v>-29921063</v>
      </c>
    </row>
    <row r="866" spans="1:9" ht="23">
      <c r="A866" s="2" t="s">
        <v>1307</v>
      </c>
      <c r="B866" s="9" t="s">
        <v>100</v>
      </c>
      <c r="C866" s="9" t="s">
        <v>10</v>
      </c>
      <c r="D866" s="9" t="s">
        <v>11</v>
      </c>
      <c r="E866" s="9">
        <v>117</v>
      </c>
      <c r="F866" s="9">
        <v>6.7</v>
      </c>
      <c r="G866" s="9">
        <v>54000000</v>
      </c>
      <c r="H866" s="9">
        <v>81645152</v>
      </c>
      <c r="I866" s="5">
        <f>IMDB_Movies!$H866-IMDB_Movies!$G866</f>
        <v>27645152</v>
      </c>
    </row>
    <row r="867" spans="1:9" ht="23">
      <c r="A867" s="3" t="s">
        <v>1308</v>
      </c>
      <c r="B867" s="10" t="s">
        <v>1251</v>
      </c>
      <c r="C867" s="10" t="s">
        <v>56</v>
      </c>
      <c r="D867" s="10" t="s">
        <v>11</v>
      </c>
      <c r="E867" s="10">
        <v>123</v>
      </c>
      <c r="F867" s="10">
        <v>7.7</v>
      </c>
      <c r="G867" s="10">
        <v>55000000</v>
      </c>
      <c r="H867" s="10">
        <v>69951824</v>
      </c>
      <c r="I867" s="5">
        <f>IMDB_Movies!$H867-IMDB_Movies!$G867</f>
        <v>14951824</v>
      </c>
    </row>
    <row r="868" spans="1:9" ht="23">
      <c r="A868" s="2" t="s">
        <v>1309</v>
      </c>
      <c r="B868" s="9" t="s">
        <v>1180</v>
      </c>
      <c r="C868" s="9" t="s">
        <v>10</v>
      </c>
      <c r="D868" s="9" t="s">
        <v>11</v>
      </c>
      <c r="E868" s="9">
        <v>92</v>
      </c>
      <c r="F868" s="9">
        <v>5.7</v>
      </c>
      <c r="G868" s="9">
        <v>55000000</v>
      </c>
      <c r="H868" s="9">
        <v>9483821</v>
      </c>
      <c r="I868" s="5">
        <f>IMDB_Movies!$H868-IMDB_Movies!$G868</f>
        <v>-45516179</v>
      </c>
    </row>
    <row r="869" spans="1:9" ht="23">
      <c r="A869" s="3" t="s">
        <v>1310</v>
      </c>
      <c r="B869" s="10" t="s">
        <v>1311</v>
      </c>
      <c r="C869" s="10" t="s">
        <v>414</v>
      </c>
      <c r="D869" s="10" t="s">
        <v>11</v>
      </c>
      <c r="E869" s="10">
        <v>170</v>
      </c>
      <c r="F869" s="10">
        <v>7.6</v>
      </c>
      <c r="G869" s="10">
        <v>54000000</v>
      </c>
      <c r="H869" s="10">
        <v>66676062</v>
      </c>
      <c r="I869" s="5">
        <f>IMDB_Movies!$H869-IMDB_Movies!$G869</f>
        <v>12676062</v>
      </c>
    </row>
    <row r="870" spans="1:9" ht="23">
      <c r="A870" s="2" t="s">
        <v>1312</v>
      </c>
      <c r="B870" s="9" t="s">
        <v>894</v>
      </c>
      <c r="C870" s="9" t="s">
        <v>138</v>
      </c>
      <c r="D870" s="9" t="s">
        <v>11</v>
      </c>
      <c r="E870" s="9">
        <v>123</v>
      </c>
      <c r="F870" s="9">
        <v>6.4</v>
      </c>
      <c r="G870" s="9">
        <v>57000000</v>
      </c>
      <c r="H870" s="9">
        <v>26838389</v>
      </c>
      <c r="I870" s="5">
        <f>IMDB_Movies!$H870-IMDB_Movies!$G870</f>
        <v>-30161611</v>
      </c>
    </row>
    <row r="871" spans="1:9" ht="23">
      <c r="A871" s="3" t="s">
        <v>1313</v>
      </c>
      <c r="B871" s="10" t="s">
        <v>58</v>
      </c>
      <c r="C871" s="10" t="s">
        <v>138</v>
      </c>
      <c r="D871" s="10" t="s">
        <v>11</v>
      </c>
      <c r="E871" s="10">
        <v>110</v>
      </c>
      <c r="F871" s="10">
        <v>5.6</v>
      </c>
      <c r="G871" s="10">
        <v>54000000</v>
      </c>
      <c r="H871" s="10">
        <v>75604320</v>
      </c>
      <c r="I871" s="5">
        <f>IMDB_Movies!$H871-IMDB_Movies!$G871</f>
        <v>21604320</v>
      </c>
    </row>
    <row r="872" spans="1:9" ht="23">
      <c r="A872" s="2" t="s">
        <v>1314</v>
      </c>
      <c r="B872" s="9" t="s">
        <v>1315</v>
      </c>
      <c r="C872" s="9" t="s">
        <v>10</v>
      </c>
      <c r="D872" s="9" t="s">
        <v>11</v>
      </c>
      <c r="E872" s="9">
        <v>116</v>
      </c>
      <c r="F872" s="9">
        <v>6.8</v>
      </c>
      <c r="G872" s="9">
        <v>54000000</v>
      </c>
      <c r="H872" s="9">
        <v>108200000</v>
      </c>
      <c r="I872" s="5">
        <f>IMDB_Movies!$H872-IMDB_Movies!$G872</f>
        <v>54200000</v>
      </c>
    </row>
    <row r="873" spans="1:9" ht="23">
      <c r="A873" s="3" t="s">
        <v>1316</v>
      </c>
      <c r="B873" s="10" t="s">
        <v>650</v>
      </c>
      <c r="C873" s="10" t="s">
        <v>138</v>
      </c>
      <c r="D873" s="10" t="s">
        <v>11</v>
      </c>
      <c r="E873" s="10">
        <v>121</v>
      </c>
      <c r="F873" s="10">
        <v>2.4</v>
      </c>
      <c r="G873" s="10">
        <v>54000000</v>
      </c>
      <c r="H873" s="10">
        <v>5660084</v>
      </c>
      <c r="I873" s="5">
        <f>IMDB_Movies!$H873-IMDB_Movies!$G873</f>
        <v>-48339916</v>
      </c>
    </row>
    <row r="874" spans="1:9" ht="23">
      <c r="A874" s="2" t="s">
        <v>1317</v>
      </c>
      <c r="B874" s="9" t="s">
        <v>1109</v>
      </c>
      <c r="C874" s="9" t="s">
        <v>56</v>
      </c>
      <c r="D874" s="9" t="s">
        <v>11</v>
      </c>
      <c r="E874" s="9">
        <v>128</v>
      </c>
      <c r="F874" s="9">
        <v>6.2</v>
      </c>
      <c r="G874" s="9">
        <v>55000000</v>
      </c>
      <c r="H874" s="9">
        <v>7221458</v>
      </c>
      <c r="I874" s="5">
        <f>IMDB_Movies!$H874-IMDB_Movies!$G874</f>
        <v>-47778542</v>
      </c>
    </row>
    <row r="875" spans="1:9" ht="23">
      <c r="A875" s="3" t="s">
        <v>1318</v>
      </c>
      <c r="B875" s="10" t="s">
        <v>786</v>
      </c>
      <c r="C875" s="10" t="s">
        <v>10</v>
      </c>
      <c r="D875" s="10" t="s">
        <v>11</v>
      </c>
      <c r="E875" s="10">
        <v>99</v>
      </c>
      <c r="F875" s="10">
        <v>5.9</v>
      </c>
      <c r="G875" s="10">
        <v>46000000</v>
      </c>
      <c r="H875" s="10">
        <v>70327868</v>
      </c>
      <c r="I875" s="5">
        <f>IMDB_Movies!$H875-IMDB_Movies!$G875</f>
        <v>24327868</v>
      </c>
    </row>
    <row r="876" spans="1:9" ht="23">
      <c r="A876" s="2" t="s">
        <v>1319</v>
      </c>
      <c r="B876" s="9" t="s">
        <v>843</v>
      </c>
      <c r="C876" s="9" t="s">
        <v>24</v>
      </c>
      <c r="D876" s="9" t="s">
        <v>11</v>
      </c>
      <c r="E876" s="9">
        <v>94</v>
      </c>
      <c r="F876" s="9">
        <v>7.1</v>
      </c>
      <c r="G876" s="9">
        <v>50000000</v>
      </c>
      <c r="H876" s="9">
        <v>58297830</v>
      </c>
      <c r="I876" s="5">
        <f>IMDB_Movies!$H876-IMDB_Movies!$G876</f>
        <v>8297830</v>
      </c>
    </row>
    <row r="877" spans="1:9" ht="23">
      <c r="A877" s="3" t="s">
        <v>1320</v>
      </c>
      <c r="B877" s="10" t="s">
        <v>96</v>
      </c>
      <c r="C877" s="10" t="s">
        <v>56</v>
      </c>
      <c r="D877" s="10" t="s">
        <v>11</v>
      </c>
      <c r="E877" s="10">
        <v>127</v>
      </c>
      <c r="F877" s="10">
        <v>7.6</v>
      </c>
      <c r="G877" s="10">
        <v>52500000</v>
      </c>
      <c r="H877" s="10">
        <v>57386369</v>
      </c>
      <c r="I877" s="5">
        <f>IMDB_Movies!$H877-IMDB_Movies!$G877</f>
        <v>4886369</v>
      </c>
    </row>
    <row r="878" spans="1:9" ht="23">
      <c r="A878" s="2" t="s">
        <v>1321</v>
      </c>
      <c r="B878" s="9" t="s">
        <v>1162</v>
      </c>
      <c r="C878" s="9" t="s">
        <v>414</v>
      </c>
      <c r="D878" s="9" t="s">
        <v>11</v>
      </c>
      <c r="E878" s="9">
        <v>89</v>
      </c>
      <c r="F878" s="9">
        <v>5.5</v>
      </c>
      <c r="G878" s="9">
        <v>53000000</v>
      </c>
      <c r="H878" s="9">
        <v>45207112</v>
      </c>
      <c r="I878" s="5">
        <f>IMDB_Movies!$H878-IMDB_Movies!$G878</f>
        <v>-7792888</v>
      </c>
    </row>
    <row r="879" spans="1:9" ht="23">
      <c r="A879" s="3" t="s">
        <v>1322</v>
      </c>
      <c r="B879" s="10" t="s">
        <v>1323</v>
      </c>
      <c r="C879" s="10" t="s">
        <v>418</v>
      </c>
      <c r="D879" s="10" t="s">
        <v>11</v>
      </c>
      <c r="E879" s="10">
        <v>123</v>
      </c>
      <c r="F879" s="10">
        <v>7</v>
      </c>
      <c r="G879" s="10">
        <v>53000000</v>
      </c>
      <c r="H879" s="10">
        <v>62563543</v>
      </c>
      <c r="I879" s="5">
        <f>IMDB_Movies!$H879-IMDB_Movies!$G879</f>
        <v>9563543</v>
      </c>
    </row>
    <row r="880" spans="1:9" ht="23">
      <c r="A880" s="2" t="s">
        <v>1324</v>
      </c>
      <c r="B880" s="9" t="s">
        <v>992</v>
      </c>
      <c r="C880" s="9" t="s">
        <v>56</v>
      </c>
      <c r="D880" s="9" t="s">
        <v>11</v>
      </c>
      <c r="E880" s="9">
        <v>135</v>
      </c>
      <c r="F880" s="9">
        <v>7.1</v>
      </c>
      <c r="G880" s="9">
        <v>90000000</v>
      </c>
      <c r="H880" s="9">
        <v>33574332</v>
      </c>
      <c r="I880" s="5">
        <f>IMDB_Movies!$H880-IMDB_Movies!$G880</f>
        <v>-56425668</v>
      </c>
    </row>
    <row r="881" spans="1:9" ht="23">
      <c r="A881" s="3" t="s">
        <v>1325</v>
      </c>
      <c r="B881" s="10" t="s">
        <v>823</v>
      </c>
      <c r="C881" s="10" t="s">
        <v>414</v>
      </c>
      <c r="D881" s="10" t="s">
        <v>11</v>
      </c>
      <c r="E881" s="10">
        <v>118</v>
      </c>
      <c r="F881" s="10">
        <v>7.4</v>
      </c>
      <c r="G881" s="10">
        <v>50000000</v>
      </c>
      <c r="H881" s="10">
        <v>73343413</v>
      </c>
      <c r="I881" s="5">
        <f>IMDB_Movies!$H881-IMDB_Movies!$G881</f>
        <v>23343413</v>
      </c>
    </row>
    <row r="882" spans="1:9" ht="23">
      <c r="A882" s="2" t="s">
        <v>1326</v>
      </c>
      <c r="B882" s="9" t="s">
        <v>1327</v>
      </c>
      <c r="C882" s="9" t="s">
        <v>10</v>
      </c>
      <c r="D882" s="9" t="s">
        <v>11</v>
      </c>
      <c r="E882" s="9">
        <v>189</v>
      </c>
      <c r="F882" s="9">
        <v>7.6</v>
      </c>
      <c r="G882" s="9">
        <v>53000000</v>
      </c>
      <c r="H882" s="9">
        <v>25031037</v>
      </c>
      <c r="I882" s="5">
        <f>IMDB_Movies!$H882-IMDB_Movies!$G882</f>
        <v>-27968963</v>
      </c>
    </row>
    <row r="883" spans="1:9" ht="23">
      <c r="A883" s="3" t="s">
        <v>1328</v>
      </c>
      <c r="B883" s="10" t="s">
        <v>731</v>
      </c>
      <c r="C883" s="10" t="s">
        <v>56</v>
      </c>
      <c r="D883" s="10" t="s">
        <v>11</v>
      </c>
      <c r="E883" s="10">
        <v>172</v>
      </c>
      <c r="F883" s="10">
        <v>5.9</v>
      </c>
      <c r="G883" s="10">
        <v>55000000</v>
      </c>
      <c r="H883" s="10">
        <v>22843047</v>
      </c>
      <c r="I883" s="5">
        <f>IMDB_Movies!$H883-IMDB_Movies!$G883</f>
        <v>-32156953</v>
      </c>
    </row>
    <row r="884" spans="1:9" ht="23">
      <c r="A884" s="2" t="s">
        <v>1329</v>
      </c>
      <c r="B884" s="9" t="s">
        <v>1330</v>
      </c>
      <c r="C884" s="9" t="s">
        <v>56</v>
      </c>
      <c r="D884" s="9" t="s">
        <v>11</v>
      </c>
      <c r="E884" s="9">
        <v>124</v>
      </c>
      <c r="F884" s="9">
        <v>5.9</v>
      </c>
      <c r="G884" s="9">
        <v>55000000</v>
      </c>
      <c r="H884" s="9">
        <v>5755286</v>
      </c>
      <c r="I884" s="5">
        <f>IMDB_Movies!$H884-IMDB_Movies!$G884</f>
        <v>-49244714</v>
      </c>
    </row>
    <row r="885" spans="1:9" ht="23">
      <c r="A885" s="3" t="s">
        <v>1331</v>
      </c>
      <c r="B885" s="10" t="s">
        <v>103</v>
      </c>
      <c r="C885" s="10" t="s">
        <v>418</v>
      </c>
      <c r="D885" s="10" t="s">
        <v>11</v>
      </c>
      <c r="E885" s="10">
        <v>141</v>
      </c>
      <c r="F885" s="10">
        <v>8</v>
      </c>
      <c r="G885" s="10">
        <v>52000000</v>
      </c>
      <c r="H885" s="10">
        <v>164435221</v>
      </c>
      <c r="I885" s="5">
        <f>IMDB_Movies!$H885-IMDB_Movies!$G885</f>
        <v>112435221</v>
      </c>
    </row>
    <row r="886" spans="1:9" ht="23">
      <c r="A886" s="2" t="s">
        <v>1332</v>
      </c>
      <c r="B886" s="9" t="s">
        <v>608</v>
      </c>
      <c r="C886" s="9" t="s">
        <v>56</v>
      </c>
      <c r="D886" s="9" t="s">
        <v>11</v>
      </c>
      <c r="E886" s="9">
        <v>157</v>
      </c>
      <c r="F886" s="9">
        <v>7.4</v>
      </c>
      <c r="G886" s="9">
        <v>40000000</v>
      </c>
      <c r="H886" s="9">
        <v>95720716</v>
      </c>
      <c r="I886" s="5">
        <f>IMDB_Movies!$H886-IMDB_Movies!$G886</f>
        <v>55720716</v>
      </c>
    </row>
    <row r="887" spans="1:9" ht="23">
      <c r="A887" s="3" t="s">
        <v>1333</v>
      </c>
      <c r="B887" s="10" t="s">
        <v>315</v>
      </c>
      <c r="C887" s="10" t="s">
        <v>138</v>
      </c>
      <c r="D887" s="10" t="s">
        <v>11</v>
      </c>
      <c r="E887" s="10">
        <v>106</v>
      </c>
      <c r="F887" s="10">
        <v>5.8</v>
      </c>
      <c r="G887" s="10">
        <v>52000000</v>
      </c>
      <c r="H887" s="10">
        <v>118683135</v>
      </c>
      <c r="I887" s="5">
        <f>IMDB_Movies!$H887-IMDB_Movies!$G887</f>
        <v>66683135</v>
      </c>
    </row>
    <row r="888" spans="1:9" ht="23">
      <c r="A888" s="2" t="s">
        <v>1334</v>
      </c>
      <c r="B888" s="9" t="s">
        <v>1335</v>
      </c>
      <c r="C888" s="9" t="s">
        <v>138</v>
      </c>
      <c r="D888" s="9" t="s">
        <v>11</v>
      </c>
      <c r="E888" s="9">
        <v>108</v>
      </c>
      <c r="F888" s="9">
        <v>6.3</v>
      </c>
      <c r="G888" s="9">
        <v>52000000</v>
      </c>
      <c r="H888" s="9">
        <v>143704210</v>
      </c>
      <c r="I888" s="5">
        <f>IMDB_Movies!$H888-IMDB_Movies!$G888</f>
        <v>91704210</v>
      </c>
    </row>
    <row r="889" spans="1:9" ht="23">
      <c r="A889" s="3" t="s">
        <v>1336</v>
      </c>
      <c r="B889" s="10" t="s">
        <v>883</v>
      </c>
      <c r="C889" s="10" t="s">
        <v>138</v>
      </c>
      <c r="D889" s="10" t="s">
        <v>11</v>
      </c>
      <c r="E889" s="10">
        <v>125</v>
      </c>
      <c r="F889" s="10">
        <v>5.7</v>
      </c>
      <c r="G889" s="10">
        <v>52000000</v>
      </c>
      <c r="H889" s="10">
        <v>110476776</v>
      </c>
      <c r="I889" s="5">
        <f>IMDB_Movies!$H889-IMDB_Movies!$G889</f>
        <v>58476776</v>
      </c>
    </row>
    <row r="890" spans="1:9" ht="23">
      <c r="A890" s="2" t="s">
        <v>1337</v>
      </c>
      <c r="B890" s="9" t="s">
        <v>1338</v>
      </c>
      <c r="C890" s="9" t="s">
        <v>10</v>
      </c>
      <c r="D890" s="9" t="s">
        <v>11</v>
      </c>
      <c r="E890" s="9">
        <v>107</v>
      </c>
      <c r="F890" s="9">
        <v>5.0999999999999996</v>
      </c>
      <c r="G890" s="9">
        <v>50000000</v>
      </c>
      <c r="H890" s="9">
        <v>80270227</v>
      </c>
      <c r="I890" s="5">
        <f>IMDB_Movies!$H890-IMDB_Movies!$G890</f>
        <v>30270227</v>
      </c>
    </row>
    <row r="891" spans="1:9" ht="23">
      <c r="A891" s="3" t="s">
        <v>1339</v>
      </c>
      <c r="B891" s="10" t="s">
        <v>1340</v>
      </c>
      <c r="C891" s="10" t="s">
        <v>56</v>
      </c>
      <c r="D891" s="10" t="s">
        <v>11</v>
      </c>
      <c r="E891" s="10">
        <v>215</v>
      </c>
      <c r="F891" s="10">
        <v>7.6</v>
      </c>
      <c r="G891" s="10">
        <v>52000000</v>
      </c>
      <c r="H891" s="10">
        <v>36385763</v>
      </c>
      <c r="I891" s="5">
        <f>IMDB_Movies!$H891-IMDB_Movies!$G891</f>
        <v>-15614237</v>
      </c>
    </row>
    <row r="892" spans="1:9" ht="23">
      <c r="A892" s="2" t="s">
        <v>1341</v>
      </c>
      <c r="B892" s="9" t="s">
        <v>1342</v>
      </c>
      <c r="C892" s="9" t="s">
        <v>138</v>
      </c>
      <c r="D892" s="9" t="s">
        <v>11</v>
      </c>
      <c r="E892" s="9">
        <v>118</v>
      </c>
      <c r="F892" s="9">
        <v>6.4</v>
      </c>
      <c r="G892" s="9">
        <v>52000000</v>
      </c>
      <c r="H892" s="9">
        <v>37035845</v>
      </c>
      <c r="I892" s="5">
        <f>IMDB_Movies!$H892-IMDB_Movies!$G892</f>
        <v>-14964155</v>
      </c>
    </row>
    <row r="893" spans="1:9" ht="23">
      <c r="A893" s="3" t="s">
        <v>1343</v>
      </c>
      <c r="B893" s="10" t="s">
        <v>1344</v>
      </c>
      <c r="C893" s="10" t="s">
        <v>418</v>
      </c>
      <c r="D893" s="10" t="s">
        <v>11</v>
      </c>
      <c r="E893" s="10">
        <v>118</v>
      </c>
      <c r="F893" s="10">
        <v>7.4</v>
      </c>
      <c r="G893" s="10">
        <v>52000000</v>
      </c>
      <c r="H893" s="10">
        <v>34580635</v>
      </c>
      <c r="I893" s="5">
        <f>IMDB_Movies!$H893-IMDB_Movies!$G893</f>
        <v>-17419365</v>
      </c>
    </row>
    <row r="894" spans="1:9" ht="23">
      <c r="A894" s="2" t="s">
        <v>1345</v>
      </c>
      <c r="B894" s="9" t="s">
        <v>130</v>
      </c>
      <c r="C894" s="9" t="s">
        <v>418</v>
      </c>
      <c r="D894" s="9" t="s">
        <v>11</v>
      </c>
      <c r="E894" s="9">
        <v>178</v>
      </c>
      <c r="F894" s="9">
        <v>8.1999999999999993</v>
      </c>
      <c r="G894" s="9">
        <v>52000000</v>
      </c>
      <c r="H894" s="9">
        <v>42438300</v>
      </c>
      <c r="I894" s="5">
        <f>IMDB_Movies!$H894-IMDB_Movies!$G894</f>
        <v>-9561700</v>
      </c>
    </row>
    <row r="895" spans="1:9" ht="23">
      <c r="A895" s="3" t="s">
        <v>1346</v>
      </c>
      <c r="B895" s="10" t="s">
        <v>1347</v>
      </c>
      <c r="C895" s="10" t="s">
        <v>10</v>
      </c>
      <c r="D895" s="10" t="s">
        <v>11</v>
      </c>
      <c r="E895" s="10">
        <v>92</v>
      </c>
      <c r="F895" s="10">
        <v>6.5</v>
      </c>
      <c r="G895" s="10">
        <v>52000000</v>
      </c>
      <c r="H895" s="10">
        <v>23324666</v>
      </c>
      <c r="I895" s="5">
        <f>IMDB_Movies!$H895-IMDB_Movies!$G895</f>
        <v>-28675334</v>
      </c>
    </row>
    <row r="896" spans="1:9" ht="23">
      <c r="A896" s="2" t="s">
        <v>1348</v>
      </c>
      <c r="B896" s="9" t="s">
        <v>1349</v>
      </c>
      <c r="C896" s="9" t="s">
        <v>10</v>
      </c>
      <c r="D896" s="9" t="s">
        <v>11</v>
      </c>
      <c r="E896" s="9">
        <v>104</v>
      </c>
      <c r="F896" s="9">
        <v>5.5</v>
      </c>
      <c r="G896" s="9">
        <v>52000000</v>
      </c>
      <c r="H896" s="9">
        <v>23020488</v>
      </c>
      <c r="I896" s="5">
        <f>IMDB_Movies!$H896-IMDB_Movies!$G896</f>
        <v>-28979512</v>
      </c>
    </row>
    <row r="897" spans="1:9" ht="23">
      <c r="A897" s="3" t="s">
        <v>1350</v>
      </c>
      <c r="B897" s="10" t="s">
        <v>934</v>
      </c>
      <c r="C897" s="10" t="s">
        <v>138</v>
      </c>
      <c r="D897" s="10" t="s">
        <v>11</v>
      </c>
      <c r="E897" s="10">
        <v>116</v>
      </c>
      <c r="F897" s="10">
        <v>6.5</v>
      </c>
      <c r="G897" s="10">
        <v>51000000</v>
      </c>
      <c r="H897" s="10">
        <v>90567722</v>
      </c>
      <c r="I897" s="5">
        <f>IMDB_Movies!$H897-IMDB_Movies!$G897</f>
        <v>39567722</v>
      </c>
    </row>
    <row r="898" spans="1:9" ht="23">
      <c r="A898" s="2" t="s">
        <v>1351</v>
      </c>
      <c r="B898" s="9" t="s">
        <v>1352</v>
      </c>
      <c r="C898" s="9" t="s">
        <v>116</v>
      </c>
      <c r="D898" s="9" t="s">
        <v>11</v>
      </c>
      <c r="E898" s="9">
        <v>90</v>
      </c>
      <c r="F898" s="9">
        <v>5.6</v>
      </c>
      <c r="G898" s="9">
        <v>51000000</v>
      </c>
      <c r="H898" s="9">
        <v>72601713</v>
      </c>
      <c r="I898" s="5">
        <f>IMDB_Movies!$H898-IMDB_Movies!$G898</f>
        <v>21601713</v>
      </c>
    </row>
    <row r="899" spans="1:9" ht="23">
      <c r="A899" s="3" t="s">
        <v>1353</v>
      </c>
      <c r="B899" s="10" t="s">
        <v>1354</v>
      </c>
      <c r="C899" s="10" t="s">
        <v>138</v>
      </c>
      <c r="D899" s="10" t="s">
        <v>11</v>
      </c>
      <c r="E899" s="10">
        <v>93</v>
      </c>
      <c r="F899" s="10">
        <v>4.9000000000000004</v>
      </c>
      <c r="G899" s="10">
        <v>20000000</v>
      </c>
      <c r="H899" s="10">
        <v>35092918</v>
      </c>
      <c r="I899" s="5">
        <f>IMDB_Movies!$H899-IMDB_Movies!$G899</f>
        <v>15092918</v>
      </c>
    </row>
    <row r="900" spans="1:9" ht="23">
      <c r="A900" s="2" t="s">
        <v>1355</v>
      </c>
      <c r="B900" s="9" t="s">
        <v>53</v>
      </c>
      <c r="C900" s="9" t="s">
        <v>24</v>
      </c>
      <c r="D900" s="9" t="s">
        <v>11</v>
      </c>
      <c r="E900" s="9">
        <v>130</v>
      </c>
      <c r="F900" s="9">
        <v>4.5999999999999996</v>
      </c>
      <c r="G900" s="9">
        <v>50000000</v>
      </c>
      <c r="H900" s="9">
        <v>296623634</v>
      </c>
      <c r="I900" s="5">
        <f>IMDB_Movies!$H900-IMDB_Movies!$G900</f>
        <v>246623634</v>
      </c>
    </row>
    <row r="901" spans="1:9" ht="23">
      <c r="A901" s="3" t="s">
        <v>1356</v>
      </c>
      <c r="B901" s="10" t="s">
        <v>39</v>
      </c>
      <c r="C901" s="10" t="s">
        <v>24</v>
      </c>
      <c r="D901" s="10" t="s">
        <v>11</v>
      </c>
      <c r="E901" s="10">
        <v>90</v>
      </c>
      <c r="F901" s="10">
        <v>7.9</v>
      </c>
      <c r="G901" s="10">
        <v>60000000</v>
      </c>
      <c r="H901" s="10">
        <v>267652016</v>
      </c>
      <c r="I901" s="5">
        <f>IMDB_Movies!$H901-IMDB_Movies!$G901</f>
        <v>207652016</v>
      </c>
    </row>
    <row r="902" spans="1:9" ht="23">
      <c r="A902" s="2" t="s">
        <v>1357</v>
      </c>
      <c r="B902" s="9" t="s">
        <v>1358</v>
      </c>
      <c r="C902" s="9" t="s">
        <v>1359</v>
      </c>
      <c r="D902" s="9" t="s">
        <v>11</v>
      </c>
      <c r="E902" s="9">
        <v>106</v>
      </c>
      <c r="F902" s="9">
        <v>7.1</v>
      </c>
      <c r="G902" s="9">
        <v>50200000</v>
      </c>
      <c r="H902" s="9">
        <v>62453315</v>
      </c>
      <c r="I902" s="5">
        <f>IMDB_Movies!$H902-IMDB_Movies!$G902</f>
        <v>12253315</v>
      </c>
    </row>
    <row r="903" spans="1:9" ht="23">
      <c r="A903" s="3" t="s">
        <v>1360</v>
      </c>
      <c r="B903" s="10" t="s">
        <v>142</v>
      </c>
      <c r="C903" s="10" t="s">
        <v>10</v>
      </c>
      <c r="D903" s="10" t="s">
        <v>11</v>
      </c>
      <c r="E903" s="10">
        <v>155</v>
      </c>
      <c r="F903" s="10">
        <v>6.9</v>
      </c>
      <c r="G903" s="10">
        <v>48000000</v>
      </c>
      <c r="H903" s="10">
        <v>165500000</v>
      </c>
      <c r="I903" s="5">
        <f>IMDB_Movies!$H903-IMDB_Movies!$G903</f>
        <v>117500000</v>
      </c>
    </row>
    <row r="904" spans="1:9" ht="23">
      <c r="A904" s="2" t="s">
        <v>1361</v>
      </c>
      <c r="B904" s="9" t="s">
        <v>894</v>
      </c>
      <c r="C904" s="9" t="s">
        <v>138</v>
      </c>
      <c r="D904" s="9" t="s">
        <v>11</v>
      </c>
      <c r="E904" s="9">
        <v>139</v>
      </c>
      <c r="F904" s="9">
        <v>7.3</v>
      </c>
      <c r="G904" s="9">
        <v>50000000</v>
      </c>
      <c r="H904" s="9">
        <v>153620822</v>
      </c>
      <c r="I904" s="5">
        <f>IMDB_Movies!$H904-IMDB_Movies!$G904</f>
        <v>103620822</v>
      </c>
    </row>
    <row r="905" spans="1:9" ht="23">
      <c r="A905" s="3" t="s">
        <v>1362</v>
      </c>
      <c r="B905" s="10" t="s">
        <v>953</v>
      </c>
      <c r="C905" s="10" t="s">
        <v>138</v>
      </c>
      <c r="D905" s="10" t="s">
        <v>11</v>
      </c>
      <c r="E905" s="10">
        <v>112</v>
      </c>
      <c r="F905" s="10">
        <v>7</v>
      </c>
      <c r="G905" s="10">
        <v>50000000</v>
      </c>
      <c r="H905" s="10">
        <v>218628680</v>
      </c>
      <c r="I905" s="5">
        <f>IMDB_Movies!$H905-IMDB_Movies!$G905</f>
        <v>168628680</v>
      </c>
    </row>
    <row r="906" spans="1:9" ht="23">
      <c r="A906" s="2" t="s">
        <v>1363</v>
      </c>
      <c r="B906" s="9" t="s">
        <v>380</v>
      </c>
      <c r="C906" s="9" t="s">
        <v>138</v>
      </c>
      <c r="D906" s="9" t="s">
        <v>11</v>
      </c>
      <c r="E906" s="9">
        <v>139</v>
      </c>
      <c r="F906" s="9">
        <v>7.7</v>
      </c>
      <c r="G906" s="9">
        <v>50000000</v>
      </c>
      <c r="H906" s="9">
        <v>147637474</v>
      </c>
      <c r="I906" s="5">
        <f>IMDB_Movies!$H906-IMDB_Movies!$G906</f>
        <v>97637474</v>
      </c>
    </row>
    <row r="907" spans="1:9" ht="23">
      <c r="A907" s="3" t="s">
        <v>1364</v>
      </c>
      <c r="B907" s="10" t="s">
        <v>137</v>
      </c>
      <c r="C907" s="10" t="s">
        <v>418</v>
      </c>
      <c r="D907" s="10" t="s">
        <v>11</v>
      </c>
      <c r="E907" s="10">
        <v>115</v>
      </c>
      <c r="F907" s="10">
        <v>6.7</v>
      </c>
      <c r="G907" s="10">
        <v>50000000</v>
      </c>
      <c r="H907" s="10">
        <v>135014968</v>
      </c>
      <c r="I907" s="5">
        <f>IMDB_Movies!$H907-IMDB_Movies!$G907</f>
        <v>85014968</v>
      </c>
    </row>
    <row r="908" spans="1:9" ht="23">
      <c r="A908" s="2" t="s">
        <v>1365</v>
      </c>
      <c r="B908" s="9" t="s">
        <v>468</v>
      </c>
      <c r="C908" s="9" t="s">
        <v>138</v>
      </c>
      <c r="D908" s="9" t="s">
        <v>11</v>
      </c>
      <c r="E908" s="9">
        <v>143</v>
      </c>
      <c r="F908" s="9">
        <v>6.3</v>
      </c>
      <c r="G908" s="9">
        <v>50000000</v>
      </c>
      <c r="H908" s="9">
        <v>2175312</v>
      </c>
      <c r="I908" s="5">
        <f>IMDB_Movies!$H908-IMDB_Movies!$G908</f>
        <v>-47824688</v>
      </c>
    </row>
    <row r="909" spans="1:9" ht="23">
      <c r="A909" s="3" t="s">
        <v>1366</v>
      </c>
      <c r="B909" s="10" t="s">
        <v>745</v>
      </c>
      <c r="C909" s="10" t="s">
        <v>138</v>
      </c>
      <c r="D909" s="10" t="s">
        <v>11</v>
      </c>
      <c r="E909" s="10">
        <v>96</v>
      </c>
      <c r="F909" s="10">
        <v>5.8</v>
      </c>
      <c r="G909" s="10">
        <v>50000000</v>
      </c>
      <c r="H909" s="10">
        <v>126203320</v>
      </c>
      <c r="I909" s="5">
        <f>IMDB_Movies!$H909-IMDB_Movies!$G909</f>
        <v>76203320</v>
      </c>
    </row>
    <row r="910" spans="1:9" ht="23">
      <c r="A910" s="2" t="s">
        <v>1367</v>
      </c>
      <c r="B910" s="9" t="s">
        <v>93</v>
      </c>
      <c r="C910" s="9" t="s">
        <v>228</v>
      </c>
      <c r="D910" s="9" t="s">
        <v>11</v>
      </c>
      <c r="E910" s="9">
        <v>112</v>
      </c>
      <c r="F910" s="9">
        <v>7.1</v>
      </c>
      <c r="G910" s="9">
        <v>50000000</v>
      </c>
      <c r="H910" s="9">
        <v>126975169</v>
      </c>
      <c r="I910" s="5">
        <f>IMDB_Movies!$H910-IMDB_Movies!$G910</f>
        <v>76975169</v>
      </c>
    </row>
    <row r="911" spans="1:9" ht="23">
      <c r="A911" s="3" t="s">
        <v>1368</v>
      </c>
      <c r="B911" s="10" t="s">
        <v>413</v>
      </c>
      <c r="C911" s="10" t="s">
        <v>418</v>
      </c>
      <c r="D911" s="10" t="s">
        <v>11</v>
      </c>
      <c r="E911" s="10">
        <v>131</v>
      </c>
      <c r="F911" s="10">
        <v>7.3</v>
      </c>
      <c r="G911" s="10">
        <v>52000000</v>
      </c>
      <c r="H911" s="10">
        <v>125548685</v>
      </c>
      <c r="I911" s="5">
        <f>IMDB_Movies!$H911-IMDB_Movies!$G911</f>
        <v>73548685</v>
      </c>
    </row>
    <row r="912" spans="1:9" ht="23">
      <c r="A912" s="2" t="s">
        <v>1369</v>
      </c>
      <c r="B912" s="9" t="s">
        <v>1147</v>
      </c>
      <c r="C912" s="9" t="s">
        <v>138</v>
      </c>
      <c r="D912" s="9" t="s">
        <v>11</v>
      </c>
      <c r="E912" s="9">
        <v>116</v>
      </c>
      <c r="F912" s="9">
        <v>6.4</v>
      </c>
      <c r="G912" s="9">
        <v>50000000</v>
      </c>
      <c r="H912" s="9">
        <v>105807520</v>
      </c>
      <c r="I912" s="5">
        <f>IMDB_Movies!$H912-IMDB_Movies!$G912</f>
        <v>55807520</v>
      </c>
    </row>
    <row r="913" spans="1:9" ht="23">
      <c r="A913" s="3" t="s">
        <v>1370</v>
      </c>
      <c r="B913" s="10" t="s">
        <v>565</v>
      </c>
      <c r="C913" s="10" t="s">
        <v>10</v>
      </c>
      <c r="D913" s="10" t="s">
        <v>11</v>
      </c>
      <c r="E913" s="10">
        <v>112</v>
      </c>
      <c r="F913" s="10">
        <v>7.1</v>
      </c>
      <c r="G913" s="10">
        <v>50000000</v>
      </c>
      <c r="H913" s="10">
        <v>191616238</v>
      </c>
      <c r="I913" s="5">
        <f>IMDB_Movies!$H913-IMDB_Movies!$G913</f>
        <v>141616238</v>
      </c>
    </row>
    <row r="914" spans="1:9" ht="23">
      <c r="A914" s="2" t="s">
        <v>1371</v>
      </c>
      <c r="B914" s="9" t="s">
        <v>1372</v>
      </c>
      <c r="C914" s="9" t="s">
        <v>56</v>
      </c>
      <c r="D914" s="9" t="s">
        <v>11</v>
      </c>
      <c r="E914" s="9">
        <v>123</v>
      </c>
      <c r="F914" s="9">
        <v>7.6</v>
      </c>
      <c r="G914" s="9">
        <v>60000000</v>
      </c>
      <c r="H914" s="9">
        <v>105264608</v>
      </c>
      <c r="I914" s="5">
        <f>IMDB_Movies!$H914-IMDB_Movies!$G914</f>
        <v>45264608</v>
      </c>
    </row>
    <row r="915" spans="1:9" ht="23">
      <c r="A915" s="3" t="s">
        <v>1373</v>
      </c>
      <c r="B915" s="10" t="s">
        <v>315</v>
      </c>
      <c r="C915" s="10" t="s">
        <v>138</v>
      </c>
      <c r="D915" s="10" t="s">
        <v>11</v>
      </c>
      <c r="E915" s="10">
        <v>104</v>
      </c>
      <c r="F915" s="10">
        <v>6.8</v>
      </c>
      <c r="G915" s="10">
        <v>70000000</v>
      </c>
      <c r="H915" s="10">
        <v>97680195</v>
      </c>
      <c r="I915" s="5">
        <f>IMDB_Movies!$H915-IMDB_Movies!$G915</f>
        <v>27680195</v>
      </c>
    </row>
    <row r="916" spans="1:9" ht="23">
      <c r="A916" s="2" t="s">
        <v>1374</v>
      </c>
      <c r="B916" s="9" t="s">
        <v>1375</v>
      </c>
      <c r="C916" s="9" t="s">
        <v>10</v>
      </c>
      <c r="D916" s="9" t="s">
        <v>11</v>
      </c>
      <c r="E916" s="9">
        <v>107</v>
      </c>
      <c r="F916" s="9">
        <v>6.6</v>
      </c>
      <c r="G916" s="9">
        <v>50000000</v>
      </c>
      <c r="H916" s="9">
        <v>126088877</v>
      </c>
      <c r="I916" s="5">
        <f>IMDB_Movies!$H916-IMDB_Movies!$G916</f>
        <v>76088877</v>
      </c>
    </row>
    <row r="917" spans="1:9" ht="23">
      <c r="A917" s="3" t="s">
        <v>1376</v>
      </c>
      <c r="B917" s="10" t="s">
        <v>337</v>
      </c>
      <c r="C917" s="10" t="s">
        <v>138</v>
      </c>
      <c r="D917" s="10" t="s">
        <v>11</v>
      </c>
      <c r="E917" s="10">
        <v>124</v>
      </c>
      <c r="F917" s="10">
        <v>6.7</v>
      </c>
      <c r="G917" s="10">
        <v>50000000</v>
      </c>
      <c r="H917" s="10">
        <v>91030827</v>
      </c>
      <c r="I917" s="5">
        <f>IMDB_Movies!$H917-IMDB_Movies!$G917</f>
        <v>41030827</v>
      </c>
    </row>
    <row r="918" spans="1:9" ht="23">
      <c r="A918" s="2" t="s">
        <v>1377</v>
      </c>
      <c r="B918" s="9" t="s">
        <v>1221</v>
      </c>
      <c r="C918" s="9" t="s">
        <v>138</v>
      </c>
      <c r="D918" s="9" t="s">
        <v>11</v>
      </c>
      <c r="E918" s="9">
        <v>96</v>
      </c>
      <c r="F918" s="9">
        <v>6.1</v>
      </c>
      <c r="G918" s="9">
        <v>50000000</v>
      </c>
      <c r="H918" s="9">
        <v>150315155</v>
      </c>
      <c r="I918" s="5">
        <f>IMDB_Movies!$H918-IMDB_Movies!$G918</f>
        <v>100315155</v>
      </c>
    </row>
    <row r="919" spans="1:9" ht="23">
      <c r="A919" s="3" t="s">
        <v>1378</v>
      </c>
      <c r="B919" s="10" t="s">
        <v>42</v>
      </c>
      <c r="C919" s="10" t="s">
        <v>24</v>
      </c>
      <c r="D919" s="10" t="s">
        <v>11</v>
      </c>
      <c r="E919" s="10">
        <v>125</v>
      </c>
      <c r="F919" s="10">
        <v>6</v>
      </c>
      <c r="G919" s="10">
        <v>50000000</v>
      </c>
      <c r="H919" s="10">
        <v>127997349</v>
      </c>
      <c r="I919" s="5">
        <f>IMDB_Movies!$H919-IMDB_Movies!$G919</f>
        <v>77997349</v>
      </c>
    </row>
    <row r="920" spans="1:9" ht="23">
      <c r="A920" s="2" t="s">
        <v>1379</v>
      </c>
      <c r="B920" s="9" t="s">
        <v>1380</v>
      </c>
      <c r="C920" s="9" t="s">
        <v>414</v>
      </c>
      <c r="D920" s="9" t="s">
        <v>11</v>
      </c>
      <c r="E920" s="9">
        <v>129</v>
      </c>
      <c r="F920" s="9">
        <v>7.6</v>
      </c>
      <c r="G920" s="9">
        <v>45000000</v>
      </c>
      <c r="H920" s="9">
        <v>88504640</v>
      </c>
      <c r="I920" s="5">
        <f>IMDB_Movies!$H920-IMDB_Movies!$G920</f>
        <v>43504640</v>
      </c>
    </row>
    <row r="921" spans="1:9" ht="23">
      <c r="A921" s="3" t="s">
        <v>1381</v>
      </c>
      <c r="B921" s="10" t="s">
        <v>1382</v>
      </c>
      <c r="C921" s="10" t="s">
        <v>10</v>
      </c>
      <c r="D921" s="10" t="s">
        <v>11</v>
      </c>
      <c r="E921" s="10">
        <v>90</v>
      </c>
      <c r="F921" s="10">
        <v>7.1</v>
      </c>
      <c r="G921" s="10">
        <v>50000000</v>
      </c>
      <c r="H921" s="10">
        <v>81517441</v>
      </c>
      <c r="I921" s="5">
        <f>IMDB_Movies!$H921-IMDB_Movies!$G921</f>
        <v>31517441</v>
      </c>
    </row>
    <row r="922" spans="1:9" ht="23">
      <c r="A922" s="2" t="s">
        <v>1383</v>
      </c>
      <c r="B922" s="9" t="s">
        <v>1384</v>
      </c>
      <c r="C922" s="9" t="s">
        <v>10</v>
      </c>
      <c r="D922" s="9" t="s">
        <v>11</v>
      </c>
      <c r="E922" s="9">
        <v>109</v>
      </c>
      <c r="F922" s="9">
        <v>5</v>
      </c>
      <c r="G922" s="9">
        <v>50000000</v>
      </c>
      <c r="H922" s="9">
        <v>81022333</v>
      </c>
      <c r="I922" s="5">
        <f>IMDB_Movies!$H922-IMDB_Movies!$G922</f>
        <v>31022333</v>
      </c>
    </row>
    <row r="923" spans="1:9" ht="23">
      <c r="A923" s="3" t="s">
        <v>1385</v>
      </c>
      <c r="B923" s="10" t="s">
        <v>894</v>
      </c>
      <c r="C923" s="10" t="s">
        <v>138</v>
      </c>
      <c r="D923" s="10" t="s">
        <v>11</v>
      </c>
      <c r="E923" s="10">
        <v>124</v>
      </c>
      <c r="F923" s="10">
        <v>7.1</v>
      </c>
      <c r="G923" s="10">
        <v>20000000</v>
      </c>
      <c r="H923" s="10">
        <v>75621915</v>
      </c>
      <c r="I923" s="5">
        <f>IMDB_Movies!$H923-IMDB_Movies!$G923</f>
        <v>55621915</v>
      </c>
    </row>
    <row r="924" spans="1:9" ht="23">
      <c r="A924" s="2" t="s">
        <v>1386</v>
      </c>
      <c r="B924" s="9" t="s">
        <v>281</v>
      </c>
      <c r="C924" s="9" t="s">
        <v>56</v>
      </c>
      <c r="D924" s="9" t="s">
        <v>11</v>
      </c>
      <c r="E924" s="9">
        <v>121</v>
      </c>
      <c r="F924" s="9">
        <v>6.2</v>
      </c>
      <c r="G924" s="9">
        <v>50000000</v>
      </c>
      <c r="H924" s="9">
        <v>79948113</v>
      </c>
      <c r="I924" s="5">
        <f>IMDB_Movies!$H924-IMDB_Movies!$G924</f>
        <v>29948113</v>
      </c>
    </row>
    <row r="925" spans="1:9" ht="23">
      <c r="A925" s="3" t="s">
        <v>1387</v>
      </c>
      <c r="B925" s="10" t="s">
        <v>1261</v>
      </c>
      <c r="C925" s="10" t="s">
        <v>138</v>
      </c>
      <c r="D925" s="10" t="s">
        <v>11</v>
      </c>
      <c r="E925" s="10">
        <v>95</v>
      </c>
      <c r="F925" s="10">
        <v>5.6</v>
      </c>
      <c r="G925" s="10">
        <v>50000000</v>
      </c>
      <c r="H925" s="10">
        <v>88658172</v>
      </c>
      <c r="I925" s="5">
        <f>IMDB_Movies!$H925-IMDB_Movies!$G925</f>
        <v>38658172</v>
      </c>
    </row>
    <row r="926" spans="1:9" ht="23">
      <c r="A926" s="2" t="s">
        <v>1388</v>
      </c>
      <c r="B926" s="9" t="s">
        <v>1389</v>
      </c>
      <c r="C926" s="9" t="s">
        <v>810</v>
      </c>
      <c r="D926" s="9" t="s">
        <v>11</v>
      </c>
      <c r="E926" s="9">
        <v>128</v>
      </c>
      <c r="F926" s="9">
        <v>5.4</v>
      </c>
      <c r="G926" s="9">
        <v>20000000</v>
      </c>
      <c r="H926" s="9">
        <v>75888270</v>
      </c>
      <c r="I926" s="5">
        <f>IMDB_Movies!$H926-IMDB_Movies!$G926</f>
        <v>55888270</v>
      </c>
    </row>
    <row r="927" spans="1:9" ht="23">
      <c r="A927" s="3" t="s">
        <v>1390</v>
      </c>
      <c r="B927" s="10" t="s">
        <v>1005</v>
      </c>
      <c r="C927" s="10" t="s">
        <v>138</v>
      </c>
      <c r="D927" s="10" t="s">
        <v>11</v>
      </c>
      <c r="E927" s="10">
        <v>118</v>
      </c>
      <c r="F927" s="10">
        <v>7.4</v>
      </c>
      <c r="G927" s="10">
        <v>50000000</v>
      </c>
      <c r="H927" s="10">
        <v>84244877</v>
      </c>
      <c r="I927" s="5">
        <f>IMDB_Movies!$H927-IMDB_Movies!$G927</f>
        <v>34244877</v>
      </c>
    </row>
    <row r="928" spans="1:9" ht="23">
      <c r="A928" s="2" t="s">
        <v>1391</v>
      </c>
      <c r="B928" s="9" t="s">
        <v>1392</v>
      </c>
      <c r="C928" s="9" t="s">
        <v>116</v>
      </c>
      <c r="D928" s="9" t="s">
        <v>11</v>
      </c>
      <c r="E928" s="9">
        <v>80</v>
      </c>
      <c r="F928" s="9">
        <v>5</v>
      </c>
      <c r="G928" s="9">
        <v>35000000</v>
      </c>
      <c r="H928" s="9">
        <v>75367693</v>
      </c>
      <c r="I928" s="5">
        <f>IMDB_Movies!$H928-IMDB_Movies!$G928</f>
        <v>40367693</v>
      </c>
    </row>
    <row r="929" spans="1:9" ht="23">
      <c r="A929" s="3" t="s">
        <v>1393</v>
      </c>
      <c r="B929" s="10" t="s">
        <v>1394</v>
      </c>
      <c r="C929" s="10" t="s">
        <v>138</v>
      </c>
      <c r="D929" s="10" t="s">
        <v>11</v>
      </c>
      <c r="E929" s="10">
        <v>99</v>
      </c>
      <c r="F929" s="10">
        <v>5.2</v>
      </c>
      <c r="G929" s="10">
        <v>60000000</v>
      </c>
      <c r="H929" s="10">
        <v>73701902</v>
      </c>
      <c r="I929" s="5">
        <f>IMDB_Movies!$H929-IMDB_Movies!$G929</f>
        <v>13701902</v>
      </c>
    </row>
    <row r="930" spans="1:9" ht="23">
      <c r="A930" s="2" t="s">
        <v>1395</v>
      </c>
      <c r="B930" s="9" t="s">
        <v>1396</v>
      </c>
      <c r="C930" s="9" t="s">
        <v>418</v>
      </c>
      <c r="D930" s="9" t="s">
        <v>11</v>
      </c>
      <c r="E930" s="9">
        <v>133</v>
      </c>
      <c r="F930" s="9">
        <v>7.6</v>
      </c>
      <c r="G930" s="9">
        <v>50000000</v>
      </c>
      <c r="H930" s="9">
        <v>75605492</v>
      </c>
      <c r="I930" s="5">
        <f>IMDB_Movies!$H930-IMDB_Movies!$G930</f>
        <v>25605492</v>
      </c>
    </row>
    <row r="931" spans="1:9" ht="23">
      <c r="A931" s="3" t="s">
        <v>1397</v>
      </c>
      <c r="B931" s="10" t="s">
        <v>191</v>
      </c>
      <c r="C931" s="10" t="s">
        <v>10</v>
      </c>
      <c r="D931" s="10" t="s">
        <v>11</v>
      </c>
      <c r="E931" s="10">
        <v>127</v>
      </c>
      <c r="F931" s="10">
        <v>6.6</v>
      </c>
      <c r="G931" s="10">
        <v>50000000</v>
      </c>
      <c r="H931" s="10">
        <v>67823573</v>
      </c>
      <c r="I931" s="5">
        <f>IMDB_Movies!$H931-IMDB_Movies!$G931</f>
        <v>17823573</v>
      </c>
    </row>
    <row r="932" spans="1:9" ht="23">
      <c r="A932" s="2" t="s">
        <v>1398</v>
      </c>
      <c r="B932" s="9" t="s">
        <v>1399</v>
      </c>
      <c r="C932" s="9" t="s">
        <v>10</v>
      </c>
      <c r="D932" s="9" t="s">
        <v>11</v>
      </c>
      <c r="E932" s="9">
        <v>106</v>
      </c>
      <c r="F932" s="9">
        <v>7</v>
      </c>
      <c r="G932" s="9">
        <v>50000000</v>
      </c>
      <c r="H932" s="9">
        <v>91439400</v>
      </c>
      <c r="I932" s="5">
        <f>IMDB_Movies!$H932-IMDB_Movies!$G932</f>
        <v>41439400</v>
      </c>
    </row>
    <row r="933" spans="1:9" ht="23">
      <c r="A933" s="3" t="s">
        <v>1400</v>
      </c>
      <c r="B933" s="10" t="s">
        <v>1401</v>
      </c>
      <c r="C933" s="10" t="s">
        <v>10</v>
      </c>
      <c r="D933" s="10" t="s">
        <v>11</v>
      </c>
      <c r="E933" s="10">
        <v>98</v>
      </c>
      <c r="F933" s="10">
        <v>5.7</v>
      </c>
      <c r="G933" s="10">
        <v>65000000</v>
      </c>
      <c r="H933" s="10">
        <v>67128202</v>
      </c>
      <c r="I933" s="5">
        <f>IMDB_Movies!$H933-IMDB_Movies!$G933</f>
        <v>2128202</v>
      </c>
    </row>
    <row r="934" spans="1:9" ht="23">
      <c r="A934" s="2" t="s">
        <v>1402</v>
      </c>
      <c r="B934" s="9" t="s">
        <v>1403</v>
      </c>
      <c r="C934" s="9" t="s">
        <v>10</v>
      </c>
      <c r="D934" s="9" t="s">
        <v>11</v>
      </c>
      <c r="E934" s="9">
        <v>132</v>
      </c>
      <c r="F934" s="9">
        <v>8.1999999999999993</v>
      </c>
      <c r="G934" s="9">
        <v>54000000</v>
      </c>
      <c r="H934" s="9">
        <v>70496802</v>
      </c>
      <c r="I934" s="5">
        <f>IMDB_Movies!$H934-IMDB_Movies!$G934</f>
        <v>16496802</v>
      </c>
    </row>
    <row r="935" spans="1:9" ht="23">
      <c r="A935" s="3" t="s">
        <v>1404</v>
      </c>
      <c r="B935" s="10" t="s">
        <v>1342</v>
      </c>
      <c r="C935" s="10" t="s">
        <v>10</v>
      </c>
      <c r="D935" s="10" t="s">
        <v>11</v>
      </c>
      <c r="E935" s="10">
        <v>114</v>
      </c>
      <c r="F935" s="10">
        <v>6.2</v>
      </c>
      <c r="G935" s="10">
        <v>50000000</v>
      </c>
      <c r="H935" s="10">
        <v>60470220</v>
      </c>
      <c r="I935" s="5">
        <f>IMDB_Movies!$H935-IMDB_Movies!$G935</f>
        <v>10470220</v>
      </c>
    </row>
    <row r="936" spans="1:9" ht="23">
      <c r="A936" s="2" t="s">
        <v>1405</v>
      </c>
      <c r="B936" s="9" t="s">
        <v>1406</v>
      </c>
      <c r="C936" s="9" t="s">
        <v>24</v>
      </c>
      <c r="D936" s="9" t="s">
        <v>11</v>
      </c>
      <c r="E936" s="9">
        <v>78</v>
      </c>
      <c r="F936" s="9">
        <v>6.6</v>
      </c>
      <c r="G936" s="9">
        <v>50000000</v>
      </c>
      <c r="H936" s="9">
        <v>58336565</v>
      </c>
      <c r="I936" s="5">
        <f>IMDB_Movies!$H936-IMDB_Movies!$G936</f>
        <v>8336565</v>
      </c>
    </row>
    <row r="937" spans="1:9" ht="23">
      <c r="A937" s="3" t="s">
        <v>1407</v>
      </c>
      <c r="B937" s="10" t="s">
        <v>1408</v>
      </c>
      <c r="C937" s="10" t="s">
        <v>24</v>
      </c>
      <c r="D937" s="10" t="s">
        <v>11</v>
      </c>
      <c r="E937" s="10">
        <v>101</v>
      </c>
      <c r="F937" s="10">
        <v>4.7</v>
      </c>
      <c r="G937" s="10">
        <v>50000000</v>
      </c>
      <c r="H937" s="10">
        <v>66002004</v>
      </c>
      <c r="I937" s="5">
        <f>IMDB_Movies!$H937-IMDB_Movies!$G937</f>
        <v>16002004</v>
      </c>
    </row>
    <row r="938" spans="1:9" ht="23">
      <c r="A938" s="2" t="s">
        <v>1409</v>
      </c>
      <c r="B938" s="9" t="s">
        <v>1410</v>
      </c>
      <c r="C938" s="9" t="s">
        <v>414</v>
      </c>
      <c r="D938" s="9" t="s">
        <v>11</v>
      </c>
      <c r="E938" s="9">
        <v>113</v>
      </c>
      <c r="F938" s="9">
        <v>6.3</v>
      </c>
      <c r="G938" s="9">
        <v>50000000</v>
      </c>
      <c r="H938" s="9">
        <v>54997476</v>
      </c>
      <c r="I938" s="5">
        <f>IMDB_Movies!$H938-IMDB_Movies!$G938</f>
        <v>4997476</v>
      </c>
    </row>
    <row r="939" spans="1:9" ht="23">
      <c r="A939" s="3" t="s">
        <v>1411</v>
      </c>
      <c r="B939" s="10" t="s">
        <v>1412</v>
      </c>
      <c r="C939" s="10" t="s">
        <v>10</v>
      </c>
      <c r="D939" s="10" t="s">
        <v>11</v>
      </c>
      <c r="E939" s="10">
        <v>98</v>
      </c>
      <c r="F939" s="10">
        <v>6.1</v>
      </c>
      <c r="G939" s="10">
        <v>50000000</v>
      </c>
      <c r="H939" s="10">
        <v>55682070</v>
      </c>
      <c r="I939" s="5">
        <f>IMDB_Movies!$H939-IMDB_Movies!$G939</f>
        <v>5682070</v>
      </c>
    </row>
    <row r="940" spans="1:9" ht="23">
      <c r="A940" s="2" t="s">
        <v>1413</v>
      </c>
      <c r="B940" s="9" t="s">
        <v>1414</v>
      </c>
      <c r="C940" s="9" t="s">
        <v>56</v>
      </c>
      <c r="D940" s="9" t="s">
        <v>11</v>
      </c>
      <c r="E940" s="9">
        <v>124</v>
      </c>
      <c r="F940" s="9">
        <v>6.7</v>
      </c>
      <c r="G940" s="9">
        <v>50000000</v>
      </c>
      <c r="H940" s="9">
        <v>52752475</v>
      </c>
      <c r="I940" s="5">
        <f>IMDB_Movies!$H940-IMDB_Movies!$G940</f>
        <v>2752475</v>
      </c>
    </row>
    <row r="941" spans="1:9" ht="23">
      <c r="A941" s="3" t="s">
        <v>1415</v>
      </c>
      <c r="B941" s="10" t="s">
        <v>705</v>
      </c>
      <c r="C941" s="10" t="s">
        <v>10</v>
      </c>
      <c r="D941" s="10" t="s">
        <v>11</v>
      </c>
      <c r="E941" s="10">
        <v>109</v>
      </c>
      <c r="F941" s="10">
        <v>6.1</v>
      </c>
      <c r="G941" s="10">
        <v>60000000</v>
      </c>
      <c r="H941" s="10">
        <v>55092830</v>
      </c>
      <c r="I941" s="5">
        <f>IMDB_Movies!$H941-IMDB_Movies!$G941</f>
        <v>-4907170</v>
      </c>
    </row>
    <row r="942" spans="1:9" ht="23">
      <c r="A942" s="2" t="s">
        <v>1416</v>
      </c>
      <c r="B942" s="9" t="s">
        <v>1417</v>
      </c>
      <c r="C942" s="9" t="s">
        <v>56</v>
      </c>
      <c r="D942" s="9" t="s">
        <v>11</v>
      </c>
      <c r="E942" s="9">
        <v>128</v>
      </c>
      <c r="F942" s="9">
        <v>7</v>
      </c>
      <c r="G942" s="9">
        <v>50000000</v>
      </c>
      <c r="H942" s="9">
        <v>50815288</v>
      </c>
      <c r="I942" s="5">
        <f>IMDB_Movies!$H942-IMDB_Movies!$G942</f>
        <v>815288</v>
      </c>
    </row>
    <row r="943" spans="1:9" ht="23">
      <c r="A943" s="3" t="s">
        <v>1418</v>
      </c>
      <c r="B943" s="10" t="s">
        <v>74</v>
      </c>
      <c r="C943" s="10" t="s">
        <v>10</v>
      </c>
      <c r="D943" s="10" t="s">
        <v>11</v>
      </c>
      <c r="E943" s="10">
        <v>144</v>
      </c>
      <c r="F943" s="10">
        <v>7.4</v>
      </c>
      <c r="G943" s="10">
        <v>50000000</v>
      </c>
      <c r="H943" s="10">
        <v>52822418</v>
      </c>
      <c r="I943" s="5">
        <f>IMDB_Movies!$H943-IMDB_Movies!$G943</f>
        <v>2822418</v>
      </c>
    </row>
    <row r="944" spans="1:9" ht="23">
      <c r="A944" s="2" t="s">
        <v>1419</v>
      </c>
      <c r="B944" s="9" t="s">
        <v>1420</v>
      </c>
      <c r="C944" s="9" t="s">
        <v>24</v>
      </c>
      <c r="D944" s="9" t="s">
        <v>11</v>
      </c>
      <c r="E944" s="9">
        <v>95</v>
      </c>
      <c r="F944" s="9">
        <v>7.3</v>
      </c>
      <c r="G944" s="9">
        <v>50000000</v>
      </c>
      <c r="H944" s="9">
        <v>50150619</v>
      </c>
      <c r="I944" s="5">
        <f>IMDB_Movies!$H944-IMDB_Movies!$G944</f>
        <v>150619</v>
      </c>
    </row>
    <row r="945" spans="1:9" ht="23">
      <c r="A945" s="3" t="s">
        <v>1421</v>
      </c>
      <c r="B945" s="10" t="s">
        <v>1422</v>
      </c>
      <c r="C945" s="10" t="s">
        <v>414</v>
      </c>
      <c r="D945" s="10" t="s">
        <v>11</v>
      </c>
      <c r="E945" s="10">
        <v>105</v>
      </c>
      <c r="F945" s="10">
        <v>5.8</v>
      </c>
      <c r="G945" s="10">
        <v>50000000</v>
      </c>
      <c r="H945" s="10">
        <v>48745150</v>
      </c>
      <c r="I945" s="5">
        <f>IMDB_Movies!$H945-IMDB_Movies!$G945</f>
        <v>-1254850</v>
      </c>
    </row>
    <row r="946" spans="1:9" ht="23">
      <c r="A946" s="2" t="s">
        <v>1423</v>
      </c>
      <c r="B946" s="9" t="s">
        <v>992</v>
      </c>
      <c r="C946" s="9" t="s">
        <v>10</v>
      </c>
      <c r="D946" s="9" t="s">
        <v>11</v>
      </c>
      <c r="E946" s="9">
        <v>121</v>
      </c>
      <c r="F946" s="9">
        <v>6.7</v>
      </c>
      <c r="G946" s="9">
        <v>50000000</v>
      </c>
      <c r="H946" s="9">
        <v>50007168</v>
      </c>
      <c r="I946" s="5">
        <f>IMDB_Movies!$H946-IMDB_Movies!$G946</f>
        <v>7168</v>
      </c>
    </row>
    <row r="947" spans="1:9" ht="23">
      <c r="A947" s="3" t="s">
        <v>1424</v>
      </c>
      <c r="B947" s="10" t="s">
        <v>50</v>
      </c>
      <c r="C947" s="10" t="s">
        <v>10</v>
      </c>
      <c r="D947" s="10" t="s">
        <v>11</v>
      </c>
      <c r="E947" s="10">
        <v>125</v>
      </c>
      <c r="F947" s="10">
        <v>5.8</v>
      </c>
      <c r="G947" s="10">
        <v>50000000</v>
      </c>
      <c r="H947" s="10">
        <v>48154732</v>
      </c>
      <c r="I947" s="5">
        <f>IMDB_Movies!$H947-IMDB_Movies!$G947</f>
        <v>-1845268</v>
      </c>
    </row>
    <row r="948" spans="1:9" ht="23">
      <c r="A948" s="2" t="s">
        <v>1425</v>
      </c>
      <c r="B948" s="9" t="s">
        <v>183</v>
      </c>
      <c r="C948" s="9" t="s">
        <v>56</v>
      </c>
      <c r="D948" s="9" t="s">
        <v>11</v>
      </c>
      <c r="E948" s="9">
        <v>129</v>
      </c>
      <c r="F948" s="9">
        <v>7.8</v>
      </c>
      <c r="G948" s="9">
        <v>50000000</v>
      </c>
      <c r="H948" s="9">
        <v>48265581</v>
      </c>
      <c r="I948" s="5">
        <f>IMDB_Movies!$H948-IMDB_Movies!$G948</f>
        <v>-1734419</v>
      </c>
    </row>
    <row r="949" spans="1:9" ht="23">
      <c r="A949" s="3" t="s">
        <v>1426</v>
      </c>
      <c r="B949" s="10" t="s">
        <v>1427</v>
      </c>
      <c r="C949" s="10" t="s">
        <v>24</v>
      </c>
      <c r="D949" s="10" t="s">
        <v>11</v>
      </c>
      <c r="E949" s="10">
        <v>132</v>
      </c>
      <c r="F949" s="10">
        <v>6.6</v>
      </c>
      <c r="G949" s="10">
        <v>50000000</v>
      </c>
      <c r="H949" s="10">
        <v>46982632</v>
      </c>
      <c r="I949" s="5">
        <f>IMDB_Movies!$H949-IMDB_Movies!$G949</f>
        <v>-3017368</v>
      </c>
    </row>
    <row r="950" spans="1:9" ht="23">
      <c r="A950" s="2" t="s">
        <v>1428</v>
      </c>
      <c r="B950" s="9" t="s">
        <v>1429</v>
      </c>
      <c r="C950" s="9" t="s">
        <v>138</v>
      </c>
      <c r="D950" s="9" t="s">
        <v>11</v>
      </c>
      <c r="E950" s="9">
        <v>118</v>
      </c>
      <c r="F950" s="9">
        <v>6.5</v>
      </c>
      <c r="G950" s="9">
        <v>50000000</v>
      </c>
      <c r="H950" s="9">
        <v>44737059</v>
      </c>
      <c r="I950" s="5">
        <f>IMDB_Movies!$H950-IMDB_Movies!$G950</f>
        <v>-5262941</v>
      </c>
    </row>
    <row r="951" spans="1:9" ht="23">
      <c r="A951" s="3" t="s">
        <v>1430</v>
      </c>
      <c r="B951" s="10" t="s">
        <v>1431</v>
      </c>
      <c r="C951" s="10" t="s">
        <v>138</v>
      </c>
      <c r="D951" s="10" t="s">
        <v>11</v>
      </c>
      <c r="E951" s="10">
        <v>113</v>
      </c>
      <c r="F951" s="10">
        <v>6.7</v>
      </c>
      <c r="G951" s="10">
        <v>50000000</v>
      </c>
      <c r="H951" s="10">
        <v>56724080</v>
      </c>
      <c r="I951" s="5">
        <f>IMDB_Movies!$H951-IMDB_Movies!$G951</f>
        <v>6724080</v>
      </c>
    </row>
    <row r="952" spans="1:9" ht="23">
      <c r="A952" s="2" t="s">
        <v>1432</v>
      </c>
      <c r="B952" s="9" t="s">
        <v>823</v>
      </c>
      <c r="C952" s="9" t="s">
        <v>10</v>
      </c>
      <c r="D952" s="9" t="s">
        <v>11</v>
      </c>
      <c r="E952" s="9">
        <v>140</v>
      </c>
      <c r="F952" s="9">
        <v>7.3</v>
      </c>
      <c r="G952" s="9">
        <v>50000000</v>
      </c>
      <c r="H952" s="9">
        <v>44484065</v>
      </c>
      <c r="I952" s="5">
        <f>IMDB_Movies!$H952-IMDB_Movies!$G952</f>
        <v>-5515935</v>
      </c>
    </row>
    <row r="953" spans="1:9" ht="23">
      <c r="A953" s="3" t="s">
        <v>1433</v>
      </c>
      <c r="B953" s="10" t="s">
        <v>1434</v>
      </c>
      <c r="C953" s="10" t="s">
        <v>10</v>
      </c>
      <c r="D953" s="10" t="s">
        <v>11</v>
      </c>
      <c r="E953" s="10">
        <v>89</v>
      </c>
      <c r="F953" s="10">
        <v>5.8</v>
      </c>
      <c r="G953" s="10">
        <v>50000000</v>
      </c>
      <c r="H953" s="10">
        <v>47553512</v>
      </c>
      <c r="I953" s="5">
        <f>IMDB_Movies!$H953-IMDB_Movies!$G953</f>
        <v>-2446488</v>
      </c>
    </row>
    <row r="954" spans="1:9" ht="23">
      <c r="A954" s="2" t="s">
        <v>1435</v>
      </c>
      <c r="B954" s="9" t="s">
        <v>1436</v>
      </c>
      <c r="C954" s="9" t="s">
        <v>10</v>
      </c>
      <c r="D954" s="9" t="s">
        <v>11</v>
      </c>
      <c r="E954" s="9">
        <v>104</v>
      </c>
      <c r="F954" s="9">
        <v>5.5</v>
      </c>
      <c r="G954" s="9">
        <v>55000000</v>
      </c>
      <c r="H954" s="9">
        <v>42610000</v>
      </c>
      <c r="I954" s="5">
        <f>IMDB_Movies!$H954-IMDB_Movies!$G954</f>
        <v>-12390000</v>
      </c>
    </row>
    <row r="955" spans="1:9" ht="23">
      <c r="A955" s="3" t="s">
        <v>1437</v>
      </c>
      <c r="B955" s="10" t="s">
        <v>760</v>
      </c>
      <c r="C955" s="10" t="s">
        <v>138</v>
      </c>
      <c r="D955" s="10" t="s">
        <v>11</v>
      </c>
      <c r="E955" s="10">
        <v>106</v>
      </c>
      <c r="F955" s="10">
        <v>6.3</v>
      </c>
      <c r="G955" s="10">
        <v>50000000</v>
      </c>
      <c r="H955" s="10">
        <v>41482207</v>
      </c>
      <c r="I955" s="5">
        <f>IMDB_Movies!$H955-IMDB_Movies!$G955</f>
        <v>-8517793</v>
      </c>
    </row>
    <row r="956" spans="1:9" ht="23">
      <c r="A956" s="2" t="s">
        <v>1438</v>
      </c>
      <c r="B956" s="9" t="s">
        <v>1342</v>
      </c>
      <c r="C956" s="9" t="s">
        <v>414</v>
      </c>
      <c r="D956" s="9" t="s">
        <v>11</v>
      </c>
      <c r="E956" s="9">
        <v>141</v>
      </c>
      <c r="F956" s="9">
        <v>7.4</v>
      </c>
      <c r="G956" s="9">
        <v>50000000</v>
      </c>
      <c r="H956" s="9">
        <v>47105085</v>
      </c>
      <c r="I956" s="5">
        <f>IMDB_Movies!$H956-IMDB_Movies!$G956</f>
        <v>-2894915</v>
      </c>
    </row>
    <row r="957" spans="1:9" ht="23">
      <c r="A957" s="3" t="s">
        <v>1439</v>
      </c>
      <c r="B957" s="10" t="s">
        <v>687</v>
      </c>
      <c r="C957" s="10" t="s">
        <v>10</v>
      </c>
      <c r="D957" s="10" t="s">
        <v>11</v>
      </c>
      <c r="E957" s="10">
        <v>124</v>
      </c>
      <c r="F957" s="10">
        <v>5.9</v>
      </c>
      <c r="G957" s="10">
        <v>50000000</v>
      </c>
      <c r="H957" s="10">
        <v>41256277</v>
      </c>
      <c r="I957" s="5">
        <f>IMDB_Movies!$H957-IMDB_Movies!$G957</f>
        <v>-8743723</v>
      </c>
    </row>
    <row r="958" spans="1:9" ht="23">
      <c r="A958" s="2" t="s">
        <v>1440</v>
      </c>
      <c r="B958" s="9" t="s">
        <v>1441</v>
      </c>
      <c r="C958" s="9" t="s">
        <v>10</v>
      </c>
      <c r="D958" s="9" t="s">
        <v>11</v>
      </c>
      <c r="E958" s="9">
        <v>98</v>
      </c>
      <c r="F958" s="9">
        <v>6.2</v>
      </c>
      <c r="G958" s="9">
        <v>45000000</v>
      </c>
      <c r="H958" s="9">
        <v>50740078</v>
      </c>
      <c r="I958" s="5">
        <f>IMDB_Movies!$H958-IMDB_Movies!$G958</f>
        <v>5740078</v>
      </c>
    </row>
    <row r="959" spans="1:9" ht="23">
      <c r="A959" s="3" t="s">
        <v>1442</v>
      </c>
      <c r="B959" s="10" t="s">
        <v>1443</v>
      </c>
      <c r="C959" s="10" t="s">
        <v>138</v>
      </c>
      <c r="D959" s="10" t="s">
        <v>11</v>
      </c>
      <c r="E959" s="10">
        <v>108</v>
      </c>
      <c r="F959" s="10">
        <v>5.9</v>
      </c>
      <c r="G959" s="10">
        <v>40000000</v>
      </c>
      <c r="H959" s="10">
        <v>40203020</v>
      </c>
      <c r="I959" s="5">
        <f>IMDB_Movies!$H959-IMDB_Movies!$G959</f>
        <v>203020</v>
      </c>
    </row>
    <row r="960" spans="1:9" ht="23">
      <c r="A960" s="2" t="s">
        <v>1444</v>
      </c>
      <c r="B960" s="9" t="s">
        <v>1445</v>
      </c>
      <c r="C960" s="9" t="s">
        <v>414</v>
      </c>
      <c r="D960" s="9" t="s">
        <v>11</v>
      </c>
      <c r="E960" s="9">
        <v>114</v>
      </c>
      <c r="F960" s="9">
        <v>6.5</v>
      </c>
      <c r="G960" s="9">
        <v>50000000</v>
      </c>
      <c r="H960" s="9">
        <v>40905277</v>
      </c>
      <c r="I960" s="5">
        <f>IMDB_Movies!$H960-IMDB_Movies!$G960</f>
        <v>-9094723</v>
      </c>
    </row>
    <row r="961" spans="1:9" ht="23">
      <c r="A961" s="3" t="s">
        <v>1446</v>
      </c>
      <c r="B961" s="10" t="s">
        <v>1447</v>
      </c>
      <c r="C961" s="10" t="s">
        <v>10</v>
      </c>
      <c r="D961" s="10" t="s">
        <v>11</v>
      </c>
      <c r="E961" s="10">
        <v>101</v>
      </c>
      <c r="F961" s="10">
        <v>4.4000000000000004</v>
      </c>
      <c r="G961" s="10">
        <v>50000000</v>
      </c>
      <c r="H961" s="10">
        <v>38590500</v>
      </c>
      <c r="I961" s="5">
        <f>IMDB_Movies!$H961-IMDB_Movies!$G961</f>
        <v>-11409500</v>
      </c>
    </row>
    <row r="962" spans="1:9" ht="23">
      <c r="A962" s="2" t="s">
        <v>1448</v>
      </c>
      <c r="B962" s="9" t="s">
        <v>1327</v>
      </c>
      <c r="C962" s="9" t="s">
        <v>10</v>
      </c>
      <c r="D962" s="9" t="s">
        <v>11</v>
      </c>
      <c r="E962" s="9">
        <v>93</v>
      </c>
      <c r="F962" s="9">
        <v>3.5</v>
      </c>
      <c r="G962" s="9">
        <v>50000000</v>
      </c>
      <c r="H962" s="9">
        <v>39177541</v>
      </c>
      <c r="I962" s="5">
        <f>IMDB_Movies!$H962-IMDB_Movies!$G962</f>
        <v>-10822459</v>
      </c>
    </row>
    <row r="963" spans="1:9" ht="23">
      <c r="A963" s="3" t="s">
        <v>1449</v>
      </c>
      <c r="B963" s="10" t="s">
        <v>1450</v>
      </c>
      <c r="C963" s="10" t="s">
        <v>24</v>
      </c>
      <c r="D963" s="10" t="s">
        <v>11</v>
      </c>
      <c r="E963" s="10">
        <v>119</v>
      </c>
      <c r="F963" s="10">
        <v>6.6</v>
      </c>
      <c r="G963" s="10">
        <v>50000000</v>
      </c>
      <c r="H963" s="10">
        <v>39778599</v>
      </c>
      <c r="I963" s="5">
        <f>IMDB_Movies!$H963-IMDB_Movies!$G963</f>
        <v>-10221401</v>
      </c>
    </row>
    <row r="964" spans="1:9" ht="23">
      <c r="A964" s="2" t="s">
        <v>1451</v>
      </c>
      <c r="B964" s="9" t="s">
        <v>883</v>
      </c>
      <c r="C964" s="9" t="s">
        <v>138</v>
      </c>
      <c r="D964" s="9" t="s">
        <v>11</v>
      </c>
      <c r="E964" s="9">
        <v>119</v>
      </c>
      <c r="F964" s="9">
        <v>6</v>
      </c>
      <c r="G964" s="9">
        <v>50000000</v>
      </c>
      <c r="H964" s="9">
        <v>37486138</v>
      </c>
      <c r="I964" s="5">
        <f>IMDB_Movies!$H964-IMDB_Movies!$G964</f>
        <v>-12513862</v>
      </c>
    </row>
    <row r="965" spans="1:9" ht="23">
      <c r="A965" s="3" t="s">
        <v>1452</v>
      </c>
      <c r="B965" s="10" t="s">
        <v>1403</v>
      </c>
      <c r="C965" s="10" t="s">
        <v>10</v>
      </c>
      <c r="D965" s="10" t="s">
        <v>11</v>
      </c>
      <c r="E965" s="10">
        <v>99</v>
      </c>
      <c r="F965" s="10">
        <v>6.4</v>
      </c>
      <c r="G965" s="10">
        <v>40000000</v>
      </c>
      <c r="H965" s="10">
        <v>38105077</v>
      </c>
      <c r="I965" s="5">
        <f>IMDB_Movies!$H965-IMDB_Movies!$G965</f>
        <v>-1894923</v>
      </c>
    </row>
    <row r="966" spans="1:9" ht="23">
      <c r="A966" s="2" t="s">
        <v>1453</v>
      </c>
      <c r="B966" s="9" t="s">
        <v>21</v>
      </c>
      <c r="C966" s="9" t="s">
        <v>56</v>
      </c>
      <c r="D966" s="9" t="s">
        <v>11</v>
      </c>
      <c r="E966" s="9">
        <v>137</v>
      </c>
      <c r="F966" s="9">
        <v>6.5</v>
      </c>
      <c r="G966" s="9">
        <v>50000000</v>
      </c>
      <c r="H966" s="9">
        <v>35168395</v>
      </c>
      <c r="I966" s="5">
        <f>IMDB_Movies!$H966-IMDB_Movies!$G966</f>
        <v>-14831605</v>
      </c>
    </row>
    <row r="967" spans="1:9" ht="23">
      <c r="A967" s="3" t="s">
        <v>1454</v>
      </c>
      <c r="B967" s="10" t="s">
        <v>1455</v>
      </c>
      <c r="C967" s="10" t="s">
        <v>138</v>
      </c>
      <c r="D967" s="10" t="s">
        <v>11</v>
      </c>
      <c r="E967" s="10">
        <v>117</v>
      </c>
      <c r="F967" s="10">
        <v>4.3</v>
      </c>
      <c r="G967" s="10">
        <v>40000000</v>
      </c>
      <c r="H967" s="10">
        <v>32800000</v>
      </c>
      <c r="I967" s="5">
        <f>IMDB_Movies!$H967-IMDB_Movies!$G967</f>
        <v>-7200000</v>
      </c>
    </row>
    <row r="968" spans="1:9" ht="23">
      <c r="A968" s="2" t="s">
        <v>1456</v>
      </c>
      <c r="B968" s="9" t="s">
        <v>1261</v>
      </c>
      <c r="C968" s="9" t="s">
        <v>138</v>
      </c>
      <c r="D968" s="9" t="s">
        <v>11</v>
      </c>
      <c r="E968" s="9">
        <v>87</v>
      </c>
      <c r="F968" s="9">
        <v>4.2</v>
      </c>
      <c r="G968" s="9">
        <v>50000000</v>
      </c>
      <c r="H968" s="9">
        <v>33643461</v>
      </c>
      <c r="I968" s="5">
        <f>IMDB_Movies!$H968-IMDB_Movies!$G968</f>
        <v>-16356539</v>
      </c>
    </row>
    <row r="969" spans="1:9" ht="23">
      <c r="A969" s="3" t="s">
        <v>1457</v>
      </c>
      <c r="B969" s="10" t="s">
        <v>992</v>
      </c>
      <c r="C969" s="10" t="s">
        <v>56</v>
      </c>
      <c r="D969" s="10" t="s">
        <v>11</v>
      </c>
      <c r="E969" s="10">
        <v>129</v>
      </c>
      <c r="F969" s="10">
        <v>6.5</v>
      </c>
      <c r="G969" s="10">
        <v>50000000</v>
      </c>
      <c r="H969" s="10">
        <v>32741596</v>
      </c>
      <c r="I969" s="5">
        <f>IMDB_Movies!$H969-IMDB_Movies!$G969</f>
        <v>-17258404</v>
      </c>
    </row>
    <row r="970" spans="1:9" ht="23">
      <c r="A970" s="2" t="s">
        <v>1458</v>
      </c>
      <c r="B970" s="9" t="s">
        <v>1459</v>
      </c>
      <c r="C970" s="9" t="s">
        <v>414</v>
      </c>
      <c r="D970" s="9" t="s">
        <v>11</v>
      </c>
      <c r="E970" s="9">
        <v>115</v>
      </c>
      <c r="F970" s="9">
        <v>6.1</v>
      </c>
      <c r="G970" s="9">
        <v>50000000</v>
      </c>
      <c r="H970" s="9">
        <v>31874869</v>
      </c>
      <c r="I970" s="5">
        <f>IMDB_Movies!$H970-IMDB_Movies!$G970</f>
        <v>-18125131</v>
      </c>
    </row>
    <row r="971" spans="1:9" ht="23">
      <c r="A971" s="3" t="s">
        <v>1460</v>
      </c>
      <c r="B971" s="10" t="s">
        <v>285</v>
      </c>
      <c r="C971" s="10" t="s">
        <v>10</v>
      </c>
      <c r="D971" s="10" t="s">
        <v>11</v>
      </c>
      <c r="E971" s="10">
        <v>132</v>
      </c>
      <c r="F971" s="10">
        <v>6.3</v>
      </c>
      <c r="G971" s="10">
        <v>50000000</v>
      </c>
      <c r="H971" s="10">
        <v>30306268</v>
      </c>
      <c r="I971" s="5">
        <f>IMDB_Movies!$H971-IMDB_Movies!$G971</f>
        <v>-19693732</v>
      </c>
    </row>
    <row r="972" spans="1:9" ht="23">
      <c r="A972" s="2" t="s">
        <v>1461</v>
      </c>
      <c r="B972" s="9" t="s">
        <v>1462</v>
      </c>
      <c r="C972" s="9" t="s">
        <v>414</v>
      </c>
      <c r="D972" s="9" t="s">
        <v>11</v>
      </c>
      <c r="E972" s="9">
        <v>131</v>
      </c>
      <c r="F972" s="9">
        <v>6.2</v>
      </c>
      <c r="G972" s="9">
        <v>50000000</v>
      </c>
      <c r="H972" s="9">
        <v>27667947</v>
      </c>
      <c r="I972" s="5">
        <f>IMDB_Movies!$H972-IMDB_Movies!$G972</f>
        <v>-22332053</v>
      </c>
    </row>
    <row r="973" spans="1:9" ht="23">
      <c r="A973" s="3" t="s">
        <v>1463</v>
      </c>
      <c r="B973" s="10" t="s">
        <v>1044</v>
      </c>
      <c r="C973" s="10" t="s">
        <v>138</v>
      </c>
      <c r="D973" s="10" t="s">
        <v>11</v>
      </c>
      <c r="E973" s="10">
        <v>95</v>
      </c>
      <c r="F973" s="10">
        <v>5.9</v>
      </c>
      <c r="G973" s="10">
        <v>50000000</v>
      </c>
      <c r="H973" s="10">
        <v>27067160</v>
      </c>
      <c r="I973" s="5">
        <f>IMDB_Movies!$H973-IMDB_Movies!$G973</f>
        <v>-22932840</v>
      </c>
    </row>
    <row r="974" spans="1:9" ht="23">
      <c r="A974" s="2" t="s">
        <v>1464</v>
      </c>
      <c r="B974" s="9" t="s">
        <v>1465</v>
      </c>
      <c r="C974" s="9" t="s">
        <v>10</v>
      </c>
      <c r="D974" s="9" t="s">
        <v>11</v>
      </c>
      <c r="E974" s="9">
        <v>125</v>
      </c>
      <c r="F974" s="9">
        <v>5.9</v>
      </c>
      <c r="G974" s="9">
        <v>40000000</v>
      </c>
      <c r="H974" s="9">
        <v>26616999</v>
      </c>
      <c r="I974" s="5">
        <f>IMDB_Movies!$H974-IMDB_Movies!$G974</f>
        <v>-13383001</v>
      </c>
    </row>
    <row r="975" spans="1:9" ht="23">
      <c r="A975" s="3" t="s">
        <v>1466</v>
      </c>
      <c r="B975" s="10" t="s">
        <v>353</v>
      </c>
      <c r="C975" s="10" t="s">
        <v>10</v>
      </c>
      <c r="D975" s="10" t="s">
        <v>11</v>
      </c>
      <c r="E975" s="10">
        <v>98</v>
      </c>
      <c r="F975" s="10">
        <v>6.5</v>
      </c>
      <c r="G975" s="10">
        <v>50000000</v>
      </c>
      <c r="H975" s="10">
        <v>26536120</v>
      </c>
      <c r="I975" s="5">
        <f>IMDB_Movies!$H975-IMDB_Movies!$G975</f>
        <v>-23463880</v>
      </c>
    </row>
    <row r="976" spans="1:9" ht="23">
      <c r="A976" s="2" t="s">
        <v>1467</v>
      </c>
      <c r="B976" s="9" t="s">
        <v>992</v>
      </c>
      <c r="C976" s="9" t="s">
        <v>10</v>
      </c>
      <c r="D976" s="9" t="s">
        <v>11</v>
      </c>
      <c r="E976" s="9">
        <v>110</v>
      </c>
      <c r="F976" s="9">
        <v>6.4</v>
      </c>
      <c r="G976" s="9">
        <v>50000000</v>
      </c>
      <c r="H976" s="9">
        <v>26199517</v>
      </c>
      <c r="I976" s="5">
        <f>IMDB_Movies!$H976-IMDB_Movies!$G976</f>
        <v>-23800483</v>
      </c>
    </row>
    <row r="977" spans="1:9" ht="23">
      <c r="A977" s="3" t="s">
        <v>1468</v>
      </c>
      <c r="B977" s="10" t="s">
        <v>495</v>
      </c>
      <c r="C977" s="10" t="s">
        <v>10</v>
      </c>
      <c r="D977" s="10" t="s">
        <v>11</v>
      </c>
      <c r="E977" s="10">
        <v>118</v>
      </c>
      <c r="F977" s="10">
        <v>6.5</v>
      </c>
      <c r="G977" s="10">
        <v>50000000</v>
      </c>
      <c r="H977" s="10">
        <v>25450527</v>
      </c>
      <c r="I977" s="5">
        <f>IMDB_Movies!$H977-IMDB_Movies!$G977</f>
        <v>-24549473</v>
      </c>
    </row>
    <row r="978" spans="1:9" ht="23">
      <c r="A978" s="2" t="s">
        <v>1469</v>
      </c>
      <c r="B978" s="9" t="s">
        <v>1470</v>
      </c>
      <c r="C978" s="9" t="s">
        <v>10</v>
      </c>
      <c r="D978" s="9" t="s">
        <v>11</v>
      </c>
      <c r="E978" s="9">
        <v>101</v>
      </c>
      <c r="F978" s="9">
        <v>5.7</v>
      </c>
      <c r="G978" s="9">
        <v>50000000</v>
      </c>
      <c r="H978" s="9">
        <v>25407250</v>
      </c>
      <c r="I978" s="5">
        <f>IMDB_Movies!$H978-IMDB_Movies!$G978</f>
        <v>-24592750</v>
      </c>
    </row>
    <row r="979" spans="1:9" ht="23">
      <c r="A979" s="3" t="s">
        <v>1471</v>
      </c>
      <c r="B979" s="10" t="s">
        <v>162</v>
      </c>
      <c r="C979" s="10" t="s">
        <v>10</v>
      </c>
      <c r="D979" s="10" t="s">
        <v>11</v>
      </c>
      <c r="E979" s="10">
        <v>90</v>
      </c>
      <c r="F979" s="10">
        <v>8</v>
      </c>
      <c r="G979" s="10">
        <v>70000000</v>
      </c>
      <c r="H979" s="10">
        <v>23159305</v>
      </c>
      <c r="I979" s="5">
        <f>IMDB_Movies!$H979-IMDB_Movies!$G979</f>
        <v>-46840695</v>
      </c>
    </row>
    <row r="980" spans="1:9" ht="23">
      <c r="A980" s="2" t="s">
        <v>1472</v>
      </c>
      <c r="B980" s="9" t="s">
        <v>1473</v>
      </c>
      <c r="C980" s="9" t="s">
        <v>24</v>
      </c>
      <c r="D980" s="9" t="s">
        <v>11</v>
      </c>
      <c r="E980" s="9">
        <v>119</v>
      </c>
      <c r="F980" s="9">
        <v>7.3</v>
      </c>
      <c r="G980" s="9">
        <v>50000000</v>
      </c>
      <c r="H980" s="9">
        <v>24006726</v>
      </c>
      <c r="I980" s="5">
        <f>IMDB_Movies!$H980-IMDB_Movies!$G980</f>
        <v>-25993274</v>
      </c>
    </row>
    <row r="981" spans="1:9" ht="23">
      <c r="A981" s="3" t="s">
        <v>1474</v>
      </c>
      <c r="B981" s="10" t="s">
        <v>615</v>
      </c>
      <c r="C981" s="10" t="s">
        <v>10</v>
      </c>
      <c r="D981" s="10" t="s">
        <v>11</v>
      </c>
      <c r="E981" s="10">
        <v>139</v>
      </c>
      <c r="F981" s="10">
        <v>6.7</v>
      </c>
      <c r="G981" s="10">
        <v>50000000</v>
      </c>
      <c r="H981" s="10">
        <v>20389967</v>
      </c>
      <c r="I981" s="5">
        <f>IMDB_Movies!$H981-IMDB_Movies!$G981</f>
        <v>-29610033</v>
      </c>
    </row>
    <row r="982" spans="1:9" ht="23">
      <c r="A982" s="2" t="s">
        <v>1475</v>
      </c>
      <c r="B982" s="9" t="s">
        <v>1269</v>
      </c>
      <c r="C982" s="9" t="s">
        <v>414</v>
      </c>
      <c r="D982" s="9" t="s">
        <v>11</v>
      </c>
      <c r="E982" s="9">
        <v>130</v>
      </c>
      <c r="F982" s="9">
        <v>7.5</v>
      </c>
      <c r="G982" s="9">
        <v>50000000</v>
      </c>
      <c r="H982" s="9">
        <v>19593740</v>
      </c>
      <c r="I982" s="5">
        <f>IMDB_Movies!$H982-IMDB_Movies!$G982</f>
        <v>-30406260</v>
      </c>
    </row>
    <row r="983" spans="1:9" ht="23">
      <c r="A983" s="3" t="s">
        <v>1476</v>
      </c>
      <c r="B983" s="10" t="s">
        <v>1205</v>
      </c>
      <c r="C983" s="10" t="s">
        <v>10</v>
      </c>
      <c r="D983" s="10" t="s">
        <v>11</v>
      </c>
      <c r="E983" s="10">
        <v>100</v>
      </c>
      <c r="F983" s="10">
        <v>5.4</v>
      </c>
      <c r="G983" s="10">
        <v>40000000</v>
      </c>
      <c r="H983" s="10">
        <v>19118247</v>
      </c>
      <c r="I983" s="5">
        <f>IMDB_Movies!$H983-IMDB_Movies!$G983</f>
        <v>-20881753</v>
      </c>
    </row>
    <row r="984" spans="1:9" ht="23">
      <c r="A984" s="2" t="s">
        <v>1477</v>
      </c>
      <c r="B984" s="9" t="s">
        <v>1399</v>
      </c>
      <c r="C984" s="9" t="s">
        <v>10</v>
      </c>
      <c r="D984" s="9" t="s">
        <v>11</v>
      </c>
      <c r="E984" s="9">
        <v>114</v>
      </c>
      <c r="F984" s="9">
        <v>6.6</v>
      </c>
      <c r="G984" s="9">
        <v>50000000</v>
      </c>
      <c r="H984" s="9">
        <v>26442251</v>
      </c>
      <c r="I984" s="5">
        <f>IMDB_Movies!$H984-IMDB_Movies!$G984</f>
        <v>-23557749</v>
      </c>
    </row>
    <row r="985" spans="1:9" ht="23">
      <c r="A985" s="3" t="s">
        <v>1478</v>
      </c>
      <c r="B985" s="10" t="s">
        <v>1479</v>
      </c>
      <c r="C985" s="10" t="s">
        <v>414</v>
      </c>
      <c r="D985" s="10" t="s">
        <v>11</v>
      </c>
      <c r="E985" s="10">
        <v>96</v>
      </c>
      <c r="F985" s="10">
        <v>7.7</v>
      </c>
      <c r="G985" s="10">
        <v>25000000</v>
      </c>
      <c r="H985" s="10">
        <v>17114882</v>
      </c>
      <c r="I985" s="5">
        <f>IMDB_Movies!$H985-IMDB_Movies!$G985</f>
        <v>-7885118</v>
      </c>
    </row>
    <row r="986" spans="1:9" ht="23">
      <c r="A986" s="2" t="s">
        <v>1480</v>
      </c>
      <c r="B986" s="9" t="s">
        <v>1481</v>
      </c>
      <c r="C986" s="9" t="s">
        <v>10</v>
      </c>
      <c r="D986" s="9" t="s">
        <v>11</v>
      </c>
      <c r="E986" s="9">
        <v>110</v>
      </c>
      <c r="F986" s="9">
        <v>5.8</v>
      </c>
      <c r="G986" s="9">
        <v>50000000</v>
      </c>
      <c r="H986" s="9">
        <v>18472363</v>
      </c>
      <c r="I986" s="5">
        <f>IMDB_Movies!$H986-IMDB_Movies!$G986</f>
        <v>-31527637</v>
      </c>
    </row>
    <row r="987" spans="1:9" ht="23">
      <c r="A987" s="3" t="s">
        <v>1482</v>
      </c>
      <c r="B987" s="10" t="s">
        <v>530</v>
      </c>
      <c r="C987" s="10" t="s">
        <v>24</v>
      </c>
      <c r="D987" s="10" t="s">
        <v>11</v>
      </c>
      <c r="E987" s="10">
        <v>158</v>
      </c>
      <c r="F987" s="10">
        <v>6.4</v>
      </c>
      <c r="G987" s="10">
        <v>390000000</v>
      </c>
      <c r="H987" s="10">
        <v>14131298</v>
      </c>
      <c r="I987" s="5">
        <f>IMDB_Movies!$H987-IMDB_Movies!$G987</f>
        <v>-375868702</v>
      </c>
    </row>
    <row r="988" spans="1:9" ht="23">
      <c r="A988" s="2" t="s">
        <v>1483</v>
      </c>
      <c r="B988" s="9" t="s">
        <v>1484</v>
      </c>
      <c r="C988" s="9" t="s">
        <v>24</v>
      </c>
      <c r="D988" s="9" t="s">
        <v>11</v>
      </c>
      <c r="E988" s="9">
        <v>102</v>
      </c>
      <c r="F988" s="9">
        <v>5.6</v>
      </c>
      <c r="G988" s="9">
        <v>49900000</v>
      </c>
      <c r="H988" s="9">
        <v>21557240</v>
      </c>
      <c r="I988" s="5">
        <f>IMDB_Movies!$H988-IMDB_Movies!$G988</f>
        <v>-28342760</v>
      </c>
    </row>
    <row r="989" spans="1:9" ht="23">
      <c r="A989" s="3" t="s">
        <v>1485</v>
      </c>
      <c r="B989" s="10" t="s">
        <v>1486</v>
      </c>
      <c r="C989" s="10" t="s">
        <v>56</v>
      </c>
      <c r="D989" s="10" t="s">
        <v>11</v>
      </c>
      <c r="E989" s="10">
        <v>84</v>
      </c>
      <c r="F989" s="10">
        <v>6</v>
      </c>
      <c r="G989" s="10">
        <v>55000000</v>
      </c>
      <c r="H989" s="10">
        <v>21283440</v>
      </c>
      <c r="I989" s="5">
        <f>IMDB_Movies!$H989-IMDB_Movies!$G989</f>
        <v>-33716560</v>
      </c>
    </row>
    <row r="990" spans="1:9" ht="23">
      <c r="A990" s="2" t="s">
        <v>1487</v>
      </c>
      <c r="B990" s="9" t="s">
        <v>1488</v>
      </c>
      <c r="C990" s="9" t="s">
        <v>414</v>
      </c>
      <c r="D990" s="9" t="s">
        <v>11</v>
      </c>
      <c r="E990" s="9">
        <v>115</v>
      </c>
      <c r="F990" s="9">
        <v>6.2</v>
      </c>
      <c r="G990" s="9">
        <v>50000000</v>
      </c>
      <c r="H990" s="9">
        <v>10556196</v>
      </c>
      <c r="I990" s="5">
        <f>IMDB_Movies!$H990-IMDB_Movies!$G990</f>
        <v>-39443804</v>
      </c>
    </row>
    <row r="991" spans="1:9" ht="23">
      <c r="A991" s="3" t="s">
        <v>1489</v>
      </c>
      <c r="B991" s="10" t="s">
        <v>1490</v>
      </c>
      <c r="C991" s="10" t="s">
        <v>24</v>
      </c>
      <c r="D991" s="10" t="s">
        <v>11</v>
      </c>
      <c r="E991" s="10">
        <v>99</v>
      </c>
      <c r="F991" s="10">
        <v>5.9</v>
      </c>
      <c r="G991" s="10">
        <v>50000000</v>
      </c>
      <c r="H991" s="10">
        <v>16671505</v>
      </c>
      <c r="I991" s="5">
        <f>IMDB_Movies!$H991-IMDB_Movies!$G991</f>
        <v>-33328495</v>
      </c>
    </row>
    <row r="992" spans="1:9" ht="23">
      <c r="A992" s="2" t="s">
        <v>1491</v>
      </c>
      <c r="B992" s="9" t="s">
        <v>155</v>
      </c>
      <c r="C992" s="9" t="s">
        <v>56</v>
      </c>
      <c r="D992" s="9" t="s">
        <v>11</v>
      </c>
      <c r="E992" s="9">
        <v>135</v>
      </c>
      <c r="F992" s="9">
        <v>5.0999999999999996</v>
      </c>
      <c r="G992" s="9">
        <v>50000000</v>
      </c>
      <c r="H992" s="9">
        <v>10400000</v>
      </c>
      <c r="I992" s="5">
        <f>IMDB_Movies!$H992-IMDB_Movies!$G992</f>
        <v>-39600000</v>
      </c>
    </row>
    <row r="993" spans="1:9" ht="23">
      <c r="A993" s="3" t="s">
        <v>1492</v>
      </c>
      <c r="B993" s="10" t="s">
        <v>140</v>
      </c>
      <c r="C993" s="10" t="s">
        <v>418</v>
      </c>
      <c r="D993" s="10" t="s">
        <v>11</v>
      </c>
      <c r="E993" s="10">
        <v>108</v>
      </c>
      <c r="F993" s="10">
        <v>6.8</v>
      </c>
      <c r="G993" s="10">
        <v>22000000</v>
      </c>
      <c r="H993" s="10">
        <v>9528092</v>
      </c>
      <c r="I993" s="5">
        <f>IMDB_Movies!$H993-IMDB_Movies!$G993</f>
        <v>-12471908</v>
      </c>
    </row>
    <row r="994" spans="1:9" ht="23">
      <c r="A994" s="2" t="s">
        <v>1493</v>
      </c>
      <c r="B994" s="9" t="s">
        <v>464</v>
      </c>
      <c r="C994" s="9" t="s">
        <v>10</v>
      </c>
      <c r="D994" s="9" t="s">
        <v>11</v>
      </c>
      <c r="E994" s="9">
        <v>127</v>
      </c>
      <c r="F994" s="9">
        <v>6</v>
      </c>
      <c r="G994" s="9">
        <v>50000000</v>
      </c>
      <c r="H994" s="9">
        <v>10137232</v>
      </c>
      <c r="I994" s="5">
        <f>IMDB_Movies!$H994-IMDB_Movies!$G994</f>
        <v>-39862768</v>
      </c>
    </row>
    <row r="995" spans="1:9" ht="23">
      <c r="A995" s="3" t="s">
        <v>1494</v>
      </c>
      <c r="B995" s="10" t="s">
        <v>1278</v>
      </c>
      <c r="C995" s="10" t="s">
        <v>414</v>
      </c>
      <c r="D995" s="10" t="s">
        <v>11</v>
      </c>
      <c r="E995" s="10">
        <v>107</v>
      </c>
      <c r="F995" s="10">
        <v>5.0999999999999996</v>
      </c>
      <c r="G995" s="10">
        <v>50000000</v>
      </c>
      <c r="H995" s="10">
        <v>9795017</v>
      </c>
      <c r="I995" s="5">
        <f>IMDB_Movies!$H995-IMDB_Movies!$G995</f>
        <v>-40204983</v>
      </c>
    </row>
    <row r="996" spans="1:9" ht="23">
      <c r="A996" s="2" t="s">
        <v>1495</v>
      </c>
      <c r="B996" s="9" t="s">
        <v>1225</v>
      </c>
      <c r="C996" s="9" t="s">
        <v>10</v>
      </c>
      <c r="D996" s="9" t="s">
        <v>11</v>
      </c>
      <c r="E996" s="9">
        <v>95</v>
      </c>
      <c r="F996" s="9">
        <v>5.8</v>
      </c>
      <c r="G996" s="9">
        <v>50000000</v>
      </c>
      <c r="H996" s="9">
        <v>20488579</v>
      </c>
      <c r="I996" s="5">
        <f>IMDB_Movies!$H996-IMDB_Movies!$G996</f>
        <v>-29511421</v>
      </c>
    </row>
    <row r="997" spans="1:9" ht="23">
      <c r="A997" s="3" t="s">
        <v>1496</v>
      </c>
      <c r="B997" s="10" t="s">
        <v>1497</v>
      </c>
      <c r="C997" s="10" t="s">
        <v>56</v>
      </c>
      <c r="D997" s="10" t="s">
        <v>11</v>
      </c>
      <c r="E997" s="10">
        <v>124</v>
      </c>
      <c r="F997" s="10">
        <v>6.2</v>
      </c>
      <c r="G997" s="10">
        <v>60000000</v>
      </c>
      <c r="H997" s="10">
        <v>19445217</v>
      </c>
      <c r="I997" s="5">
        <f>IMDB_Movies!$H997-IMDB_Movies!$G997</f>
        <v>-40554783</v>
      </c>
    </row>
    <row r="998" spans="1:9" ht="23">
      <c r="A998" s="2" t="s">
        <v>1498</v>
      </c>
      <c r="B998" s="9" t="s">
        <v>1499</v>
      </c>
      <c r="C998" s="9" t="s">
        <v>138</v>
      </c>
      <c r="D998" s="9" t="s">
        <v>11</v>
      </c>
      <c r="E998" s="9">
        <v>109</v>
      </c>
      <c r="F998" s="9">
        <v>6.4</v>
      </c>
      <c r="G998" s="9">
        <v>55000000</v>
      </c>
      <c r="H998" s="9">
        <v>8355815</v>
      </c>
      <c r="I998" s="5">
        <f>IMDB_Movies!$H998-IMDB_Movies!$G998</f>
        <v>-46644185</v>
      </c>
    </row>
    <row r="999" spans="1:9" ht="23">
      <c r="A999" s="3" t="s">
        <v>1500</v>
      </c>
      <c r="B999" s="10" t="s">
        <v>568</v>
      </c>
      <c r="C999" s="10" t="s">
        <v>138</v>
      </c>
      <c r="D999" s="10" t="s">
        <v>11</v>
      </c>
      <c r="E999" s="10">
        <v>102</v>
      </c>
      <c r="F999" s="10">
        <v>4.8</v>
      </c>
      <c r="G999" s="10">
        <v>50000000</v>
      </c>
      <c r="H999" s="10">
        <v>28837115</v>
      </c>
      <c r="I999" s="5">
        <f>IMDB_Movies!$H999-IMDB_Movies!$G999</f>
        <v>-21162885</v>
      </c>
    </row>
    <row r="1000" spans="1:9" ht="23">
      <c r="A1000" s="2" t="s">
        <v>1501</v>
      </c>
      <c r="B1000" s="9" t="s">
        <v>1502</v>
      </c>
      <c r="C1000" s="9" t="s">
        <v>138</v>
      </c>
      <c r="D1000" s="9" t="s">
        <v>11</v>
      </c>
      <c r="E1000" s="9">
        <v>88</v>
      </c>
      <c r="F1000" s="9">
        <v>4.9000000000000004</v>
      </c>
      <c r="G1000" s="9">
        <v>50000000</v>
      </c>
      <c r="H1000" s="9">
        <v>6471394</v>
      </c>
      <c r="I1000" s="5">
        <f>IMDB_Movies!$H1000-IMDB_Movies!$G1000</f>
        <v>-43528606</v>
      </c>
    </row>
    <row r="1001" spans="1:9" ht="23">
      <c r="A1001" s="3" t="s">
        <v>1503</v>
      </c>
      <c r="B1001" s="10" t="s">
        <v>819</v>
      </c>
      <c r="C1001" s="10" t="s">
        <v>138</v>
      </c>
      <c r="D1001" s="10" t="s">
        <v>11</v>
      </c>
      <c r="E1001" s="10">
        <v>87</v>
      </c>
      <c r="F1001" s="10">
        <v>5.6</v>
      </c>
      <c r="G1001" s="10">
        <v>50000000</v>
      </c>
      <c r="H1001" s="10">
        <v>6291602</v>
      </c>
      <c r="I1001" s="5">
        <f>IMDB_Movies!$H1001-IMDB_Movies!$G1001</f>
        <v>-43708398</v>
      </c>
    </row>
    <row r="1002" spans="1:9" ht="23">
      <c r="A1002" s="2" t="s">
        <v>1504</v>
      </c>
      <c r="B1002" s="9" t="s">
        <v>1505</v>
      </c>
      <c r="C1002" s="9" t="s">
        <v>10</v>
      </c>
      <c r="D1002" s="9" t="s">
        <v>11</v>
      </c>
      <c r="E1002" s="9">
        <v>104</v>
      </c>
      <c r="F1002" s="9">
        <v>5.5</v>
      </c>
      <c r="G1002" s="9">
        <v>50000000</v>
      </c>
      <c r="H1002" s="9">
        <v>10706786</v>
      </c>
      <c r="I1002" s="5">
        <f>IMDB_Movies!$H1002-IMDB_Movies!$G1002</f>
        <v>-39293214</v>
      </c>
    </row>
    <row r="1003" spans="1:9" ht="23">
      <c r="A1003" s="3" t="s">
        <v>1506</v>
      </c>
      <c r="B1003" s="10" t="s">
        <v>919</v>
      </c>
      <c r="C1003" s="10" t="s">
        <v>10</v>
      </c>
      <c r="D1003" s="10" t="s">
        <v>11</v>
      </c>
      <c r="E1003" s="10">
        <v>96</v>
      </c>
      <c r="F1003" s="10">
        <v>3.7</v>
      </c>
      <c r="G1003" s="10">
        <v>18000000</v>
      </c>
      <c r="H1003" s="10">
        <v>8742261</v>
      </c>
      <c r="I1003" s="5">
        <f>IMDB_Movies!$H1003-IMDB_Movies!$G1003</f>
        <v>-9257739</v>
      </c>
    </row>
    <row r="1004" spans="1:9" ht="23">
      <c r="A1004" s="2" t="s">
        <v>1507</v>
      </c>
      <c r="B1004" s="9" t="s">
        <v>1508</v>
      </c>
      <c r="C1004" s="9" t="s">
        <v>10</v>
      </c>
      <c r="D1004" s="9" t="s">
        <v>11</v>
      </c>
      <c r="E1004" s="9">
        <v>85</v>
      </c>
      <c r="F1004" s="9">
        <v>5.9</v>
      </c>
      <c r="G1004" s="9">
        <v>49000000</v>
      </c>
      <c r="H1004" s="9">
        <v>43905746</v>
      </c>
      <c r="I1004" s="5">
        <f>IMDB_Movies!$H1004-IMDB_Movies!$G1004</f>
        <v>-5094254</v>
      </c>
    </row>
    <row r="1005" spans="1:9" ht="23">
      <c r="A1005" s="3" t="s">
        <v>1509</v>
      </c>
      <c r="B1005" s="10" t="s">
        <v>557</v>
      </c>
      <c r="C1005" s="10" t="s">
        <v>10</v>
      </c>
      <c r="D1005" s="10" t="s">
        <v>11</v>
      </c>
      <c r="E1005" s="10">
        <v>104</v>
      </c>
      <c r="F1005" s="10">
        <v>6.3</v>
      </c>
      <c r="G1005" s="10">
        <v>40000000</v>
      </c>
      <c r="H1005" s="10">
        <v>21413502</v>
      </c>
      <c r="I1005" s="5">
        <f>IMDB_Movies!$H1005-IMDB_Movies!$G1005</f>
        <v>-18586498</v>
      </c>
    </row>
    <row r="1006" spans="1:9" ht="23">
      <c r="A1006" s="2" t="s">
        <v>1510</v>
      </c>
      <c r="B1006" s="9" t="s">
        <v>1511</v>
      </c>
      <c r="C1006" s="9" t="s">
        <v>138</v>
      </c>
      <c r="D1006" s="9" t="s">
        <v>11</v>
      </c>
      <c r="E1006" s="9">
        <v>135</v>
      </c>
      <c r="F1006" s="9">
        <v>7.4</v>
      </c>
      <c r="G1006" s="9">
        <v>20000000</v>
      </c>
      <c r="H1006" s="9">
        <v>7994115</v>
      </c>
      <c r="I1006" s="5">
        <f>IMDB_Movies!$H1006-IMDB_Movies!$G1006</f>
        <v>-12005885</v>
      </c>
    </row>
    <row r="1007" spans="1:9" ht="23">
      <c r="A1007" s="3" t="s">
        <v>1512</v>
      </c>
      <c r="B1007" s="10" t="s">
        <v>413</v>
      </c>
      <c r="C1007" s="10" t="s">
        <v>414</v>
      </c>
      <c r="D1007" s="10" t="s">
        <v>11</v>
      </c>
      <c r="E1007" s="10">
        <v>190</v>
      </c>
      <c r="F1007" s="10">
        <v>7.6</v>
      </c>
      <c r="G1007" s="10">
        <v>48000000</v>
      </c>
      <c r="H1007" s="10">
        <v>124107476</v>
      </c>
      <c r="I1007" s="5">
        <f>IMDB_Movies!$H1007-IMDB_Movies!$G1007</f>
        <v>76107476</v>
      </c>
    </row>
    <row r="1008" spans="1:9" ht="23">
      <c r="A1008" s="2" t="s">
        <v>1513</v>
      </c>
      <c r="B1008" s="9" t="s">
        <v>103</v>
      </c>
      <c r="C1008" s="9" t="s">
        <v>10</v>
      </c>
      <c r="D1008" s="9" t="s">
        <v>11</v>
      </c>
      <c r="E1008" s="9">
        <v>127</v>
      </c>
      <c r="F1008" s="9">
        <v>8.3000000000000007</v>
      </c>
      <c r="G1008" s="9">
        <v>48000000</v>
      </c>
      <c r="H1008" s="9">
        <v>197171806</v>
      </c>
      <c r="I1008" s="5">
        <f>IMDB_Movies!$H1008-IMDB_Movies!$G1008</f>
        <v>149171806</v>
      </c>
    </row>
    <row r="1009" spans="1:9" ht="23">
      <c r="A1009" s="3" t="s">
        <v>1514</v>
      </c>
      <c r="B1009" s="10" t="s">
        <v>255</v>
      </c>
      <c r="C1009" s="10" t="s">
        <v>56</v>
      </c>
      <c r="D1009" s="10" t="s">
        <v>11</v>
      </c>
      <c r="E1009" s="10">
        <v>129</v>
      </c>
      <c r="F1009" s="10">
        <v>6.6</v>
      </c>
      <c r="G1009" s="10">
        <v>20000000</v>
      </c>
      <c r="H1009" s="10">
        <v>12802907</v>
      </c>
      <c r="I1009" s="5">
        <f>IMDB_Movies!$H1009-IMDB_Movies!$G1009</f>
        <v>-7197093</v>
      </c>
    </row>
    <row r="1010" spans="1:9" ht="23">
      <c r="A1010" s="2" t="s">
        <v>1515</v>
      </c>
      <c r="B1010" s="9" t="s">
        <v>373</v>
      </c>
      <c r="C1010" s="9" t="s">
        <v>10</v>
      </c>
      <c r="D1010" s="9" t="s">
        <v>11</v>
      </c>
      <c r="E1010" s="9">
        <v>120</v>
      </c>
      <c r="F1010" s="9">
        <v>6.9</v>
      </c>
      <c r="G1010" s="9">
        <v>49000000</v>
      </c>
      <c r="H1010" s="9">
        <v>31569268</v>
      </c>
      <c r="I1010" s="5">
        <f>IMDB_Movies!$H1010-IMDB_Movies!$G1010</f>
        <v>-17430732</v>
      </c>
    </row>
    <row r="1011" spans="1:9" ht="23">
      <c r="A1011" s="3" t="s">
        <v>1516</v>
      </c>
      <c r="B1011" s="10" t="s">
        <v>323</v>
      </c>
      <c r="C1011" s="10" t="s">
        <v>414</v>
      </c>
      <c r="D1011" s="10" t="s">
        <v>11</v>
      </c>
      <c r="E1011" s="10">
        <v>118</v>
      </c>
      <c r="F1011" s="10">
        <v>6.7</v>
      </c>
      <c r="G1011" s="10">
        <v>48000000</v>
      </c>
      <c r="H1011" s="10">
        <v>66488090</v>
      </c>
      <c r="I1011" s="5">
        <f>IMDB_Movies!$H1011-IMDB_Movies!$G1011</f>
        <v>18488090</v>
      </c>
    </row>
    <row r="1012" spans="1:9" ht="23">
      <c r="A1012" s="2" t="s">
        <v>1517</v>
      </c>
      <c r="B1012" s="9" t="s">
        <v>183</v>
      </c>
      <c r="C1012" s="9" t="s">
        <v>414</v>
      </c>
      <c r="D1012" s="9" t="s">
        <v>11</v>
      </c>
      <c r="E1012" s="9">
        <v>112</v>
      </c>
      <c r="F1012" s="9">
        <v>6.8</v>
      </c>
      <c r="G1012" s="9">
        <v>48000000</v>
      </c>
      <c r="H1012" s="9">
        <v>95308367</v>
      </c>
      <c r="I1012" s="5">
        <f>IMDB_Movies!$H1012-IMDB_Movies!$G1012</f>
        <v>47308367</v>
      </c>
    </row>
    <row r="1013" spans="1:9" ht="23">
      <c r="A1013" s="3" t="s">
        <v>1518</v>
      </c>
      <c r="B1013" s="10" t="s">
        <v>1519</v>
      </c>
      <c r="C1013" s="10" t="s">
        <v>810</v>
      </c>
      <c r="D1013" s="10" t="s">
        <v>11</v>
      </c>
      <c r="E1013" s="10">
        <v>89</v>
      </c>
      <c r="F1013" s="10">
        <v>4.5999999999999996</v>
      </c>
      <c r="G1013" s="10">
        <v>1500000</v>
      </c>
      <c r="H1013" s="10">
        <v>25078937</v>
      </c>
      <c r="I1013" s="5">
        <f>IMDB_Movies!$H1013-IMDB_Movies!$G1013</f>
        <v>23578937</v>
      </c>
    </row>
    <row r="1014" spans="1:9" ht="23">
      <c r="A1014" s="2" t="s">
        <v>1520</v>
      </c>
      <c r="B1014" s="9" t="s">
        <v>1124</v>
      </c>
      <c r="C1014" s="9" t="s">
        <v>10</v>
      </c>
      <c r="D1014" s="9" t="s">
        <v>11</v>
      </c>
      <c r="E1014" s="9">
        <v>114</v>
      </c>
      <c r="F1014" s="9">
        <v>7.1</v>
      </c>
      <c r="G1014" s="9">
        <v>48000000</v>
      </c>
      <c r="H1014" s="9">
        <v>60652036</v>
      </c>
      <c r="I1014" s="5">
        <f>IMDB_Movies!$H1014-IMDB_Movies!$G1014</f>
        <v>12652036</v>
      </c>
    </row>
    <row r="1015" spans="1:9" ht="23">
      <c r="A1015" s="3" t="s">
        <v>1521</v>
      </c>
      <c r="B1015" s="10" t="s">
        <v>629</v>
      </c>
      <c r="C1015" s="10" t="s">
        <v>414</v>
      </c>
      <c r="D1015" s="10" t="s">
        <v>11</v>
      </c>
      <c r="E1015" s="10">
        <v>137</v>
      </c>
      <c r="F1015" s="10">
        <v>6.4</v>
      </c>
      <c r="G1015" s="10">
        <v>50000000</v>
      </c>
      <c r="H1015" s="10">
        <v>1206135</v>
      </c>
      <c r="I1015" s="5">
        <f>IMDB_Movies!$H1015-IMDB_Movies!$G1015</f>
        <v>-48793865</v>
      </c>
    </row>
    <row r="1016" spans="1:9" ht="23">
      <c r="A1016" s="2" t="s">
        <v>1522</v>
      </c>
      <c r="B1016" s="9" t="s">
        <v>836</v>
      </c>
      <c r="C1016" s="9" t="s">
        <v>24</v>
      </c>
      <c r="D1016" s="9" t="s">
        <v>11</v>
      </c>
      <c r="E1016" s="9">
        <v>112</v>
      </c>
      <c r="F1016" s="9">
        <v>6.4</v>
      </c>
      <c r="G1016" s="9">
        <v>48000000</v>
      </c>
      <c r="H1016" s="9">
        <v>56607223</v>
      </c>
      <c r="I1016" s="5">
        <f>IMDB_Movies!$H1016-IMDB_Movies!$G1016</f>
        <v>8607223</v>
      </c>
    </row>
    <row r="1017" spans="1:9" ht="23">
      <c r="A1017" s="3" t="s">
        <v>1523</v>
      </c>
      <c r="B1017" s="10" t="s">
        <v>1190</v>
      </c>
      <c r="C1017" s="10" t="s">
        <v>56</v>
      </c>
      <c r="D1017" s="10" t="s">
        <v>11</v>
      </c>
      <c r="E1017" s="10">
        <v>120</v>
      </c>
      <c r="F1017" s="10">
        <v>7.4</v>
      </c>
      <c r="G1017" s="10">
        <v>48000000</v>
      </c>
      <c r="H1017" s="10">
        <v>50173190</v>
      </c>
      <c r="I1017" s="5">
        <f>IMDB_Movies!$H1017-IMDB_Movies!$G1017</f>
        <v>2173190</v>
      </c>
    </row>
    <row r="1018" spans="1:9" ht="23">
      <c r="A1018" s="2" t="s">
        <v>1524</v>
      </c>
      <c r="B1018" s="9" t="s">
        <v>382</v>
      </c>
      <c r="C1018" s="9" t="s">
        <v>138</v>
      </c>
      <c r="D1018" s="9" t="s">
        <v>11</v>
      </c>
      <c r="E1018" s="9">
        <v>123</v>
      </c>
      <c r="F1018" s="9">
        <v>6.4</v>
      </c>
      <c r="G1018" s="9">
        <v>48000000</v>
      </c>
      <c r="H1018" s="9">
        <v>47095453</v>
      </c>
      <c r="I1018" s="5">
        <f>IMDB_Movies!$H1018-IMDB_Movies!$G1018</f>
        <v>-904547</v>
      </c>
    </row>
    <row r="1019" spans="1:9" ht="23">
      <c r="A1019" s="3" t="s">
        <v>1525</v>
      </c>
      <c r="B1019" s="10" t="s">
        <v>1141</v>
      </c>
      <c r="C1019" s="10" t="s">
        <v>138</v>
      </c>
      <c r="D1019" s="10" t="s">
        <v>11</v>
      </c>
      <c r="E1019" s="10">
        <v>93</v>
      </c>
      <c r="F1019" s="10">
        <v>6</v>
      </c>
      <c r="G1019" s="10">
        <v>48000000</v>
      </c>
      <c r="H1019" s="10">
        <v>37879996</v>
      </c>
      <c r="I1019" s="5">
        <f>IMDB_Movies!$H1019-IMDB_Movies!$G1019</f>
        <v>-10120004</v>
      </c>
    </row>
    <row r="1020" spans="1:9" ht="23">
      <c r="A1020" s="2" t="s">
        <v>1526</v>
      </c>
      <c r="B1020" s="9" t="s">
        <v>1311</v>
      </c>
      <c r="C1020" s="9" t="s">
        <v>414</v>
      </c>
      <c r="D1020" s="9" t="s">
        <v>11</v>
      </c>
      <c r="E1020" s="9">
        <v>123</v>
      </c>
      <c r="F1020" s="9">
        <v>6.5</v>
      </c>
      <c r="G1020" s="9">
        <v>58000000</v>
      </c>
      <c r="H1020" s="9">
        <v>25900000</v>
      </c>
      <c r="I1020" s="5">
        <f>IMDB_Movies!$H1020-IMDB_Movies!$G1020</f>
        <v>-32100000</v>
      </c>
    </row>
    <row r="1021" spans="1:9" ht="23">
      <c r="A1021" s="3" t="s">
        <v>1527</v>
      </c>
      <c r="B1021" s="10" t="s">
        <v>382</v>
      </c>
      <c r="C1021" s="10" t="s">
        <v>24</v>
      </c>
      <c r="D1021" s="10" t="s">
        <v>11</v>
      </c>
      <c r="E1021" s="10">
        <v>122</v>
      </c>
      <c r="F1021" s="10">
        <v>7.8</v>
      </c>
      <c r="G1021" s="10">
        <v>55000000</v>
      </c>
      <c r="H1021" s="10">
        <v>53574088</v>
      </c>
      <c r="I1021" s="5">
        <f>IMDB_Movies!$H1021-IMDB_Movies!$G1021</f>
        <v>-1425912</v>
      </c>
    </row>
    <row r="1022" spans="1:9" ht="23">
      <c r="A1022" s="2" t="s">
        <v>1528</v>
      </c>
      <c r="B1022" s="9" t="s">
        <v>1529</v>
      </c>
      <c r="C1022" s="9" t="s">
        <v>10</v>
      </c>
      <c r="D1022" s="9" t="s">
        <v>11</v>
      </c>
      <c r="E1022" s="9">
        <v>115</v>
      </c>
      <c r="F1022" s="9">
        <v>6</v>
      </c>
      <c r="G1022" s="9">
        <v>48000000</v>
      </c>
      <c r="H1022" s="9">
        <v>89253340</v>
      </c>
      <c r="I1022" s="5">
        <f>IMDB_Movies!$H1022-IMDB_Movies!$G1022</f>
        <v>41253340</v>
      </c>
    </row>
    <row r="1023" spans="1:9" ht="23">
      <c r="A1023" s="3" t="s">
        <v>1530</v>
      </c>
      <c r="B1023" s="10" t="s">
        <v>413</v>
      </c>
      <c r="C1023" s="10" t="s">
        <v>414</v>
      </c>
      <c r="D1023" s="10" t="s">
        <v>11</v>
      </c>
      <c r="E1023" s="10">
        <v>123</v>
      </c>
      <c r="F1023" s="10">
        <v>7</v>
      </c>
      <c r="G1023" s="10">
        <v>48000000</v>
      </c>
      <c r="H1023" s="10">
        <v>37339525</v>
      </c>
      <c r="I1023" s="5">
        <f>IMDB_Movies!$H1023-IMDB_Movies!$G1023</f>
        <v>-10660475</v>
      </c>
    </row>
    <row r="1024" spans="1:9" ht="23">
      <c r="A1024" s="2" t="s">
        <v>1531</v>
      </c>
      <c r="B1024" s="9" t="s">
        <v>568</v>
      </c>
      <c r="C1024" s="9" t="s">
        <v>138</v>
      </c>
      <c r="D1024" s="9" t="s">
        <v>11</v>
      </c>
      <c r="E1024" s="9">
        <v>96</v>
      </c>
      <c r="F1024" s="9">
        <v>6</v>
      </c>
      <c r="G1024" s="9">
        <v>47000000</v>
      </c>
      <c r="H1024" s="9">
        <v>60154431</v>
      </c>
      <c r="I1024" s="5">
        <f>IMDB_Movies!$H1024-IMDB_Movies!$G1024</f>
        <v>13154431</v>
      </c>
    </row>
    <row r="1025" spans="1:9" ht="23">
      <c r="A1025" s="3" t="s">
        <v>1532</v>
      </c>
      <c r="B1025" s="10" t="s">
        <v>1533</v>
      </c>
      <c r="C1025" s="10" t="s">
        <v>56</v>
      </c>
      <c r="D1025" s="10" t="s">
        <v>1534</v>
      </c>
      <c r="E1025" s="10">
        <v>110</v>
      </c>
      <c r="F1025" s="10">
        <v>7.8</v>
      </c>
      <c r="G1025" s="10">
        <v>20000000</v>
      </c>
      <c r="H1025" s="10">
        <v>528972</v>
      </c>
      <c r="I1025" s="5">
        <f>IMDB_Movies!$H1025-IMDB_Movies!$G1025</f>
        <v>-19471028</v>
      </c>
    </row>
    <row r="1026" spans="1:9" ht="23">
      <c r="A1026" s="2" t="s">
        <v>1535</v>
      </c>
      <c r="B1026" s="9" t="s">
        <v>1536</v>
      </c>
      <c r="C1026" s="9" t="s">
        <v>10</v>
      </c>
      <c r="D1026" s="9" t="s">
        <v>11</v>
      </c>
      <c r="E1026" s="9">
        <v>105</v>
      </c>
      <c r="F1026" s="9">
        <v>6.1</v>
      </c>
      <c r="G1026" s="9">
        <v>100000000</v>
      </c>
      <c r="H1026" s="9">
        <v>103738726</v>
      </c>
      <c r="I1026" s="5">
        <f>IMDB_Movies!$H1026-IMDB_Movies!$G1026</f>
        <v>3738726</v>
      </c>
    </row>
    <row r="1027" spans="1:9" ht="23">
      <c r="A1027" s="3" t="s">
        <v>1537</v>
      </c>
      <c r="B1027" s="10" t="s">
        <v>353</v>
      </c>
      <c r="C1027" s="10" t="s">
        <v>414</v>
      </c>
      <c r="D1027" s="10" t="s">
        <v>11</v>
      </c>
      <c r="E1027" s="10">
        <v>113</v>
      </c>
      <c r="F1027" s="10">
        <v>6.8</v>
      </c>
      <c r="G1027" s="10">
        <v>48000000</v>
      </c>
      <c r="H1027" s="10">
        <v>69304264</v>
      </c>
      <c r="I1027" s="5">
        <f>IMDB_Movies!$H1027-IMDB_Movies!$G1027</f>
        <v>21304264</v>
      </c>
    </row>
    <row r="1028" spans="1:9" ht="23">
      <c r="A1028" s="2" t="s">
        <v>1538</v>
      </c>
      <c r="B1028" s="9" t="s">
        <v>1539</v>
      </c>
      <c r="C1028" s="9" t="s">
        <v>418</v>
      </c>
      <c r="D1028" s="9" t="s">
        <v>11</v>
      </c>
      <c r="E1028" s="9">
        <v>132</v>
      </c>
      <c r="F1028" s="9">
        <v>6.4</v>
      </c>
      <c r="G1028" s="9">
        <v>48000000</v>
      </c>
      <c r="H1028" s="9">
        <v>29781453</v>
      </c>
      <c r="I1028" s="5">
        <f>IMDB_Movies!$H1028-IMDB_Movies!$G1028</f>
        <v>-18218547</v>
      </c>
    </row>
    <row r="1029" spans="1:9" ht="23">
      <c r="A1029" s="3" t="s">
        <v>1540</v>
      </c>
      <c r="B1029" s="10" t="s">
        <v>1541</v>
      </c>
      <c r="C1029" s="10" t="s">
        <v>10</v>
      </c>
      <c r="D1029" s="10" t="s">
        <v>11</v>
      </c>
      <c r="E1029" s="10">
        <v>93</v>
      </c>
      <c r="F1029" s="10">
        <v>7.7</v>
      </c>
      <c r="G1029" s="10">
        <v>14000000</v>
      </c>
      <c r="H1029" s="10">
        <v>25078937</v>
      </c>
      <c r="I1029" s="5">
        <f>IMDB_Movies!$H1029-IMDB_Movies!$G1029</f>
        <v>11078937</v>
      </c>
    </row>
    <row r="1030" spans="1:9" ht="23">
      <c r="A1030" s="2" t="s">
        <v>1542</v>
      </c>
      <c r="B1030" s="9" t="s">
        <v>1543</v>
      </c>
      <c r="C1030" s="9" t="s">
        <v>56</v>
      </c>
      <c r="D1030" s="9" t="s">
        <v>1544</v>
      </c>
      <c r="E1030" s="9">
        <v>115</v>
      </c>
      <c r="F1030" s="9">
        <v>8.1</v>
      </c>
      <c r="G1030" s="9">
        <v>1000000</v>
      </c>
      <c r="H1030" s="9">
        <v>25078937</v>
      </c>
      <c r="I1030" s="5">
        <f>IMDB_Movies!$H1030-IMDB_Movies!$G1030</f>
        <v>24078937</v>
      </c>
    </row>
    <row r="1031" spans="1:9" ht="23">
      <c r="A1031" s="3" t="s">
        <v>1545</v>
      </c>
      <c r="B1031" s="10" t="s">
        <v>1546</v>
      </c>
      <c r="C1031" s="10" t="s">
        <v>24</v>
      </c>
      <c r="D1031" s="10" t="s">
        <v>11</v>
      </c>
      <c r="E1031" s="10">
        <v>75</v>
      </c>
      <c r="F1031" s="10">
        <v>4.5</v>
      </c>
      <c r="G1031" s="10">
        <v>47000000</v>
      </c>
      <c r="H1031" s="10">
        <v>15519841</v>
      </c>
      <c r="I1031" s="5">
        <f>IMDB_Movies!$H1031-IMDB_Movies!$G1031</f>
        <v>-31480159</v>
      </c>
    </row>
    <row r="1032" spans="1:9" ht="23">
      <c r="A1032" s="2" t="s">
        <v>1547</v>
      </c>
      <c r="B1032" s="9" t="s">
        <v>1548</v>
      </c>
      <c r="C1032" s="9" t="s">
        <v>56</v>
      </c>
      <c r="D1032" s="9" t="s">
        <v>11</v>
      </c>
      <c r="E1032" s="9">
        <v>108</v>
      </c>
      <c r="F1032" s="9">
        <v>5.8</v>
      </c>
      <c r="G1032" s="9">
        <v>47000000</v>
      </c>
      <c r="H1032" s="9">
        <v>5600000</v>
      </c>
      <c r="I1032" s="5">
        <f>IMDB_Movies!$H1032-IMDB_Movies!$G1032</f>
        <v>-41400000</v>
      </c>
    </row>
    <row r="1033" spans="1:9" ht="23">
      <c r="A1033" s="3" t="s">
        <v>1549</v>
      </c>
      <c r="B1033" s="10" t="s">
        <v>1550</v>
      </c>
      <c r="C1033" s="10" t="s">
        <v>138</v>
      </c>
      <c r="D1033" s="10" t="s">
        <v>11</v>
      </c>
      <c r="E1033" s="10">
        <v>105</v>
      </c>
      <c r="F1033" s="10">
        <v>6.3</v>
      </c>
      <c r="G1033" s="10">
        <v>46000000</v>
      </c>
      <c r="H1033" s="10">
        <v>126805112</v>
      </c>
      <c r="I1033" s="5">
        <f>IMDB_Movies!$H1033-IMDB_Movies!$G1033</f>
        <v>80805112</v>
      </c>
    </row>
    <row r="1034" spans="1:9" ht="23">
      <c r="A1034" s="2" t="s">
        <v>1551</v>
      </c>
      <c r="B1034" s="9" t="s">
        <v>1394</v>
      </c>
      <c r="C1034" s="9" t="s">
        <v>138</v>
      </c>
      <c r="D1034" s="9" t="s">
        <v>11</v>
      </c>
      <c r="E1034" s="9">
        <v>102</v>
      </c>
      <c r="F1034" s="9">
        <v>5.7</v>
      </c>
      <c r="G1034" s="9">
        <v>48000000</v>
      </c>
      <c r="H1034" s="9">
        <v>93607673</v>
      </c>
      <c r="I1034" s="5">
        <f>IMDB_Movies!$H1034-IMDB_Movies!$G1034</f>
        <v>45607673</v>
      </c>
    </row>
    <row r="1035" spans="1:9" ht="23">
      <c r="A1035" s="3" t="s">
        <v>1552</v>
      </c>
      <c r="B1035" s="10" t="s">
        <v>17</v>
      </c>
      <c r="C1035" s="10" t="s">
        <v>56</v>
      </c>
      <c r="D1035" s="10" t="s">
        <v>11</v>
      </c>
      <c r="E1035" s="10">
        <v>118</v>
      </c>
      <c r="F1035" s="10">
        <v>7.2</v>
      </c>
      <c r="G1035" s="10">
        <v>46000000</v>
      </c>
      <c r="H1035" s="10">
        <v>67263182</v>
      </c>
      <c r="I1035" s="5">
        <f>IMDB_Movies!$H1035-IMDB_Movies!$G1035</f>
        <v>21263182</v>
      </c>
    </row>
    <row r="1036" spans="1:9" ht="23">
      <c r="A1036" s="2" t="s">
        <v>1553</v>
      </c>
      <c r="B1036" s="9" t="s">
        <v>902</v>
      </c>
      <c r="C1036" s="9" t="s">
        <v>10</v>
      </c>
      <c r="D1036" s="9" t="s">
        <v>11</v>
      </c>
      <c r="E1036" s="9">
        <v>111</v>
      </c>
      <c r="F1036" s="9">
        <v>7.6</v>
      </c>
      <c r="G1036" s="9">
        <v>45000000</v>
      </c>
      <c r="H1036" s="9">
        <v>92001027</v>
      </c>
      <c r="I1036" s="5">
        <f>IMDB_Movies!$H1036-IMDB_Movies!$G1036</f>
        <v>47001027</v>
      </c>
    </row>
    <row r="1037" spans="1:9" ht="23">
      <c r="A1037" s="3" t="s">
        <v>1554</v>
      </c>
      <c r="B1037" s="10" t="s">
        <v>1266</v>
      </c>
      <c r="C1037" s="10" t="s">
        <v>10</v>
      </c>
      <c r="D1037" s="10" t="s">
        <v>11</v>
      </c>
      <c r="E1037" s="10">
        <v>81</v>
      </c>
      <c r="F1037" s="10">
        <v>4.7</v>
      </c>
      <c r="G1037" s="10">
        <v>47000000</v>
      </c>
      <c r="H1037" s="10">
        <v>10539414</v>
      </c>
      <c r="I1037" s="5">
        <f>IMDB_Movies!$H1037-IMDB_Movies!$G1037</f>
        <v>-36460586</v>
      </c>
    </row>
    <row r="1038" spans="1:9" ht="23">
      <c r="A1038" s="2" t="s">
        <v>1555</v>
      </c>
      <c r="B1038" s="9" t="s">
        <v>275</v>
      </c>
      <c r="C1038" s="9" t="s">
        <v>10</v>
      </c>
      <c r="D1038" s="9" t="s">
        <v>11</v>
      </c>
      <c r="E1038" s="9">
        <v>116</v>
      </c>
      <c r="F1038" s="9">
        <v>6.6</v>
      </c>
      <c r="G1038" s="9">
        <v>46000000</v>
      </c>
      <c r="H1038" s="9">
        <v>58918501</v>
      </c>
      <c r="I1038" s="5">
        <f>IMDB_Movies!$H1038-IMDB_Movies!$G1038</f>
        <v>12918501</v>
      </c>
    </row>
    <row r="1039" spans="1:9" ht="23">
      <c r="A1039" s="3" t="s">
        <v>1556</v>
      </c>
      <c r="B1039" s="10" t="s">
        <v>137</v>
      </c>
      <c r="C1039" s="10" t="s">
        <v>138</v>
      </c>
      <c r="D1039" s="10" t="s">
        <v>11</v>
      </c>
      <c r="E1039" s="10">
        <v>86</v>
      </c>
      <c r="F1039" s="10">
        <v>6.8</v>
      </c>
      <c r="G1039" s="10">
        <v>45000000</v>
      </c>
      <c r="H1039" s="10">
        <v>181395380</v>
      </c>
      <c r="I1039" s="5">
        <f>IMDB_Movies!$H1039-IMDB_Movies!$G1039</f>
        <v>136395380</v>
      </c>
    </row>
    <row r="1040" spans="1:9" ht="23">
      <c r="A1040" s="2" t="s">
        <v>1557</v>
      </c>
      <c r="B1040" s="9" t="s">
        <v>1558</v>
      </c>
      <c r="C1040" s="9" t="s">
        <v>418</v>
      </c>
      <c r="D1040" s="9" t="s">
        <v>11</v>
      </c>
      <c r="E1040" s="9">
        <v>127</v>
      </c>
      <c r="F1040" s="9">
        <v>7.3</v>
      </c>
      <c r="G1040" s="9">
        <v>25000000</v>
      </c>
      <c r="H1040" s="9">
        <v>14946229</v>
      </c>
      <c r="I1040" s="5">
        <f>IMDB_Movies!$H1040-IMDB_Movies!$G1040</f>
        <v>-10053771</v>
      </c>
    </row>
    <row r="1041" spans="1:9" ht="23">
      <c r="A1041" s="3" t="s">
        <v>1559</v>
      </c>
      <c r="B1041" s="10" t="s">
        <v>1560</v>
      </c>
      <c r="C1041" s="10" t="s">
        <v>56</v>
      </c>
      <c r="D1041" s="10" t="s">
        <v>11</v>
      </c>
      <c r="E1041" s="10">
        <v>140</v>
      </c>
      <c r="F1041" s="10">
        <v>2.7</v>
      </c>
      <c r="G1041" s="10">
        <v>48000000</v>
      </c>
      <c r="H1041" s="10">
        <v>25078937</v>
      </c>
      <c r="I1041" s="5">
        <f>IMDB_Movies!$H1041-IMDB_Movies!$G1041</f>
        <v>-22921063</v>
      </c>
    </row>
    <row r="1042" spans="1:9" ht="23">
      <c r="A1042" s="2" t="s">
        <v>1561</v>
      </c>
      <c r="B1042" s="9" t="s">
        <v>1106</v>
      </c>
      <c r="C1042" s="9" t="s">
        <v>138</v>
      </c>
      <c r="D1042" s="9" t="s">
        <v>11</v>
      </c>
      <c r="E1042" s="9">
        <v>91</v>
      </c>
      <c r="F1042" s="9">
        <v>4.8</v>
      </c>
      <c r="G1042" s="9">
        <v>45000000</v>
      </c>
      <c r="H1042" s="9">
        <v>130512915</v>
      </c>
      <c r="I1042" s="5">
        <f>IMDB_Movies!$H1042-IMDB_Movies!$G1042</f>
        <v>85512915</v>
      </c>
    </row>
    <row r="1043" spans="1:9" ht="23">
      <c r="A1043" s="3" t="s">
        <v>1562</v>
      </c>
      <c r="B1043" s="10" t="s">
        <v>1529</v>
      </c>
      <c r="C1043" s="10" t="s">
        <v>10</v>
      </c>
      <c r="D1043" s="10" t="s">
        <v>11</v>
      </c>
      <c r="E1043" s="10">
        <v>98</v>
      </c>
      <c r="F1043" s="10">
        <v>6.3</v>
      </c>
      <c r="G1043" s="10">
        <v>45000000</v>
      </c>
      <c r="H1043" s="10">
        <v>139852971</v>
      </c>
      <c r="I1043" s="5">
        <f>IMDB_Movies!$H1043-IMDB_Movies!$G1043</f>
        <v>94852971</v>
      </c>
    </row>
    <row r="1044" spans="1:9" ht="23">
      <c r="A1044" s="2" t="s">
        <v>1563</v>
      </c>
      <c r="B1044" s="9" t="s">
        <v>1564</v>
      </c>
      <c r="C1044" s="9" t="s">
        <v>138</v>
      </c>
      <c r="D1044" s="9" t="s">
        <v>11</v>
      </c>
      <c r="E1044" s="9">
        <v>84</v>
      </c>
      <c r="F1044" s="9">
        <v>5.5</v>
      </c>
      <c r="G1044" s="9">
        <v>48000000</v>
      </c>
      <c r="H1044" s="9">
        <v>110000082</v>
      </c>
      <c r="I1044" s="5">
        <f>IMDB_Movies!$H1044-IMDB_Movies!$G1044</f>
        <v>62000082</v>
      </c>
    </row>
    <row r="1045" spans="1:9" ht="23">
      <c r="A1045" s="3" t="s">
        <v>1565</v>
      </c>
      <c r="B1045" s="10" t="s">
        <v>1147</v>
      </c>
      <c r="C1045" s="10" t="s">
        <v>10</v>
      </c>
      <c r="D1045" s="10" t="s">
        <v>11</v>
      </c>
      <c r="E1045" s="10">
        <v>109</v>
      </c>
      <c r="F1045" s="10">
        <v>6.2</v>
      </c>
      <c r="G1045" s="10">
        <v>45000000</v>
      </c>
      <c r="H1045" s="10">
        <v>106807667</v>
      </c>
      <c r="I1045" s="5">
        <f>IMDB_Movies!$H1045-IMDB_Movies!$G1045</f>
        <v>61807667</v>
      </c>
    </row>
    <row r="1046" spans="1:9" ht="23">
      <c r="A1046" s="2" t="s">
        <v>1566</v>
      </c>
      <c r="B1046" s="9" t="s">
        <v>724</v>
      </c>
      <c r="C1046" s="9" t="s">
        <v>10</v>
      </c>
      <c r="D1046" s="9" t="s">
        <v>11</v>
      </c>
      <c r="E1046" s="9">
        <v>93</v>
      </c>
      <c r="F1046" s="9">
        <v>5.8</v>
      </c>
      <c r="G1046" s="9">
        <v>45000000</v>
      </c>
      <c r="H1046" s="9">
        <v>101702060</v>
      </c>
      <c r="I1046" s="5">
        <f>IMDB_Movies!$H1046-IMDB_Movies!$G1046</f>
        <v>56702060</v>
      </c>
    </row>
    <row r="1047" spans="1:9" ht="23">
      <c r="A1047" s="3" t="s">
        <v>1567</v>
      </c>
      <c r="B1047" s="10" t="s">
        <v>883</v>
      </c>
      <c r="C1047" s="10" t="s">
        <v>138</v>
      </c>
      <c r="D1047" s="10" t="s">
        <v>11</v>
      </c>
      <c r="E1047" s="10">
        <v>113</v>
      </c>
      <c r="F1047" s="10">
        <v>5.7</v>
      </c>
      <c r="G1047" s="10">
        <v>40000000</v>
      </c>
      <c r="H1047" s="10">
        <v>95149435</v>
      </c>
      <c r="I1047" s="5">
        <f>IMDB_Movies!$H1047-IMDB_Movies!$G1047</f>
        <v>55149435</v>
      </c>
    </row>
    <row r="1048" spans="1:9" ht="23">
      <c r="A1048" s="2" t="s">
        <v>1568</v>
      </c>
      <c r="B1048" s="9" t="s">
        <v>606</v>
      </c>
      <c r="C1048" s="9" t="s">
        <v>414</v>
      </c>
      <c r="D1048" s="9" t="s">
        <v>11</v>
      </c>
      <c r="E1048" s="9">
        <v>141</v>
      </c>
      <c r="F1048" s="9">
        <v>6.5</v>
      </c>
      <c r="G1048" s="9">
        <v>45000000</v>
      </c>
      <c r="H1048" s="9">
        <v>100768056</v>
      </c>
      <c r="I1048" s="5">
        <f>IMDB_Movies!$H1048-IMDB_Movies!$G1048</f>
        <v>55768056</v>
      </c>
    </row>
    <row r="1049" spans="1:9" ht="23">
      <c r="A1049" s="3" t="s">
        <v>1569</v>
      </c>
      <c r="B1049" s="10" t="s">
        <v>357</v>
      </c>
      <c r="C1049" s="10" t="s">
        <v>414</v>
      </c>
      <c r="D1049" s="10" t="s">
        <v>11</v>
      </c>
      <c r="E1049" s="10">
        <v>119</v>
      </c>
      <c r="F1049" s="10">
        <v>6.7</v>
      </c>
      <c r="G1049" s="10">
        <v>45000000</v>
      </c>
      <c r="H1049" s="10">
        <v>92115211</v>
      </c>
      <c r="I1049" s="5">
        <f>IMDB_Movies!$H1049-IMDB_Movies!$G1049</f>
        <v>47115211</v>
      </c>
    </row>
    <row r="1050" spans="1:9" ht="23">
      <c r="A1050" s="2" t="s">
        <v>1570</v>
      </c>
      <c r="B1050" s="9" t="s">
        <v>1044</v>
      </c>
      <c r="C1050" s="9" t="s">
        <v>24</v>
      </c>
      <c r="D1050" s="9" t="s">
        <v>11</v>
      </c>
      <c r="E1050" s="9">
        <v>97</v>
      </c>
      <c r="F1050" s="9">
        <v>7.4</v>
      </c>
      <c r="G1050" s="9">
        <v>45000000</v>
      </c>
      <c r="H1050" s="9">
        <v>93452056</v>
      </c>
      <c r="I1050" s="5">
        <f>IMDB_Movies!$H1050-IMDB_Movies!$G1050</f>
        <v>48452056</v>
      </c>
    </row>
    <row r="1051" spans="1:9" ht="23">
      <c r="A1051" s="3" t="s">
        <v>1571</v>
      </c>
      <c r="B1051" s="10" t="s">
        <v>323</v>
      </c>
      <c r="C1051" s="10" t="s">
        <v>10</v>
      </c>
      <c r="D1051" s="10" t="s">
        <v>11</v>
      </c>
      <c r="E1051" s="10">
        <v>117</v>
      </c>
      <c r="F1051" s="10">
        <v>6.9</v>
      </c>
      <c r="G1051" s="10">
        <v>45000000</v>
      </c>
      <c r="H1051" s="10">
        <v>83287363</v>
      </c>
      <c r="I1051" s="5">
        <f>IMDB_Movies!$H1051-IMDB_Movies!$G1051</f>
        <v>38287363</v>
      </c>
    </row>
    <row r="1052" spans="1:9" ht="23">
      <c r="A1052" s="2" t="s">
        <v>1572</v>
      </c>
      <c r="B1052" s="9" t="s">
        <v>828</v>
      </c>
      <c r="C1052" s="9" t="s">
        <v>138</v>
      </c>
      <c r="D1052" s="9" t="s">
        <v>11</v>
      </c>
      <c r="E1052" s="9">
        <v>101</v>
      </c>
      <c r="F1052" s="9">
        <v>5.5</v>
      </c>
      <c r="G1052" s="9">
        <v>60000000</v>
      </c>
      <c r="H1052" s="9">
        <v>82931301</v>
      </c>
      <c r="I1052" s="5">
        <f>IMDB_Movies!$H1052-IMDB_Movies!$G1052</f>
        <v>22931301</v>
      </c>
    </row>
    <row r="1053" spans="1:9" ht="23">
      <c r="A1053" s="3" t="s">
        <v>1573</v>
      </c>
      <c r="B1053" s="10" t="s">
        <v>1574</v>
      </c>
      <c r="C1053" s="10" t="s">
        <v>414</v>
      </c>
      <c r="D1053" s="10" t="s">
        <v>11</v>
      </c>
      <c r="E1053" s="10">
        <v>153</v>
      </c>
      <c r="F1053" s="10">
        <v>8.1</v>
      </c>
      <c r="G1053" s="10">
        <v>46000000</v>
      </c>
      <c r="H1053" s="10">
        <v>60962878</v>
      </c>
      <c r="I1053" s="5">
        <f>IMDB_Movies!$H1053-IMDB_Movies!$G1053</f>
        <v>14962878</v>
      </c>
    </row>
    <row r="1054" spans="1:9" ht="23">
      <c r="A1054" s="2" t="s">
        <v>1575</v>
      </c>
      <c r="B1054" s="9" t="s">
        <v>826</v>
      </c>
      <c r="C1054" s="9" t="s">
        <v>414</v>
      </c>
      <c r="D1054" s="9" t="s">
        <v>11</v>
      </c>
      <c r="E1054" s="9">
        <v>122</v>
      </c>
      <c r="F1054" s="9">
        <v>7.7</v>
      </c>
      <c r="G1054" s="9">
        <v>45000000</v>
      </c>
      <c r="H1054" s="9">
        <v>76261036</v>
      </c>
      <c r="I1054" s="5">
        <f>IMDB_Movies!$H1054-IMDB_Movies!$G1054</f>
        <v>31261036</v>
      </c>
    </row>
    <row r="1055" spans="1:9" ht="23">
      <c r="A1055" s="3" t="s">
        <v>1576</v>
      </c>
      <c r="B1055" s="10" t="s">
        <v>273</v>
      </c>
      <c r="C1055" s="10" t="s">
        <v>24</v>
      </c>
      <c r="D1055" s="10" t="s">
        <v>11</v>
      </c>
      <c r="E1055" s="10">
        <v>102</v>
      </c>
      <c r="F1055" s="10">
        <v>7.3</v>
      </c>
      <c r="G1055" s="10">
        <v>45000000</v>
      </c>
      <c r="H1055" s="10">
        <v>71423726</v>
      </c>
      <c r="I1055" s="5">
        <f>IMDB_Movies!$H1055-IMDB_Movies!$G1055</f>
        <v>26423726</v>
      </c>
    </row>
    <row r="1056" spans="1:9" ht="23">
      <c r="A1056" s="2" t="s">
        <v>1577</v>
      </c>
      <c r="B1056" s="9" t="s">
        <v>1041</v>
      </c>
      <c r="C1056" s="9" t="s">
        <v>138</v>
      </c>
      <c r="D1056" s="9" t="s">
        <v>11</v>
      </c>
      <c r="E1056" s="9">
        <v>83</v>
      </c>
      <c r="F1056" s="9">
        <v>5.2</v>
      </c>
      <c r="G1056" s="9">
        <v>45000000</v>
      </c>
      <c r="H1056" s="9">
        <v>71277420</v>
      </c>
      <c r="I1056" s="5">
        <f>IMDB_Movies!$H1056-IMDB_Movies!$G1056</f>
        <v>26277420</v>
      </c>
    </row>
    <row r="1057" spans="1:9" ht="23">
      <c r="A1057" s="3" t="s">
        <v>1578</v>
      </c>
      <c r="B1057" s="10" t="s">
        <v>193</v>
      </c>
      <c r="C1057" s="10" t="s">
        <v>24</v>
      </c>
      <c r="D1057" s="10" t="s">
        <v>11</v>
      </c>
      <c r="E1057" s="10">
        <v>103</v>
      </c>
      <c r="F1057" s="10">
        <v>7.1</v>
      </c>
      <c r="G1057" s="10">
        <v>45000000</v>
      </c>
      <c r="H1057" s="10">
        <v>88625922</v>
      </c>
      <c r="I1057" s="5">
        <f>IMDB_Movies!$H1057-IMDB_Movies!$G1057</f>
        <v>43625922</v>
      </c>
    </row>
    <row r="1058" spans="1:9" ht="23">
      <c r="A1058" s="2" t="s">
        <v>1579</v>
      </c>
      <c r="B1058" s="9" t="s">
        <v>796</v>
      </c>
      <c r="C1058" s="9" t="s">
        <v>10</v>
      </c>
      <c r="D1058" s="9" t="s">
        <v>11</v>
      </c>
      <c r="E1058" s="9">
        <v>110</v>
      </c>
      <c r="F1058" s="9">
        <v>7.1</v>
      </c>
      <c r="G1058" s="9">
        <v>45000000</v>
      </c>
      <c r="H1058" s="9">
        <v>70001065</v>
      </c>
      <c r="I1058" s="5">
        <f>IMDB_Movies!$H1058-IMDB_Movies!$G1058</f>
        <v>25001065</v>
      </c>
    </row>
    <row r="1059" spans="1:9" ht="23">
      <c r="A1059" s="3" t="s">
        <v>1580</v>
      </c>
      <c r="B1059" s="10" t="s">
        <v>1581</v>
      </c>
      <c r="C1059" s="10" t="s">
        <v>56</v>
      </c>
      <c r="D1059" s="10" t="s">
        <v>11</v>
      </c>
      <c r="E1059" s="10">
        <v>136</v>
      </c>
      <c r="F1059" s="10">
        <v>7.2</v>
      </c>
      <c r="G1059" s="10">
        <v>30000000</v>
      </c>
      <c r="H1059" s="10">
        <v>67253092</v>
      </c>
      <c r="I1059" s="5">
        <f>IMDB_Movies!$H1059-IMDB_Movies!$G1059</f>
        <v>37253092</v>
      </c>
    </row>
    <row r="1060" spans="1:9" ht="23">
      <c r="A1060" s="2" t="s">
        <v>1582</v>
      </c>
      <c r="B1060" s="9" t="s">
        <v>1583</v>
      </c>
      <c r="C1060" s="9" t="s">
        <v>56</v>
      </c>
      <c r="D1060" s="9" t="s">
        <v>11</v>
      </c>
      <c r="E1060" s="9">
        <v>91</v>
      </c>
      <c r="F1060" s="9">
        <v>6.5</v>
      </c>
      <c r="G1060" s="9">
        <v>45000000</v>
      </c>
      <c r="H1060" s="9">
        <v>66790248</v>
      </c>
      <c r="I1060" s="5">
        <f>IMDB_Movies!$H1060-IMDB_Movies!$G1060</f>
        <v>21790248</v>
      </c>
    </row>
    <row r="1061" spans="1:9" ht="23">
      <c r="A1061" s="3" t="s">
        <v>1584</v>
      </c>
      <c r="B1061" s="10" t="s">
        <v>1585</v>
      </c>
      <c r="C1061" s="10" t="s">
        <v>10</v>
      </c>
      <c r="D1061" s="10" t="s">
        <v>11</v>
      </c>
      <c r="E1061" s="10">
        <v>89</v>
      </c>
      <c r="F1061" s="10">
        <v>4.5999999999999996</v>
      </c>
      <c r="G1061" s="10">
        <v>45000000</v>
      </c>
      <c r="H1061" s="10">
        <v>65557989</v>
      </c>
      <c r="I1061" s="5">
        <f>IMDB_Movies!$H1061-IMDB_Movies!$G1061</f>
        <v>20557989</v>
      </c>
    </row>
    <row r="1062" spans="1:9" ht="23">
      <c r="A1062" s="2" t="s">
        <v>1586</v>
      </c>
      <c r="B1062" s="9" t="s">
        <v>1098</v>
      </c>
      <c r="C1062" s="9" t="s">
        <v>138</v>
      </c>
      <c r="D1062" s="9" t="s">
        <v>11</v>
      </c>
      <c r="E1062" s="9">
        <v>107</v>
      </c>
      <c r="F1062" s="9">
        <v>5.6</v>
      </c>
      <c r="G1062" s="9">
        <v>45000000</v>
      </c>
      <c r="H1062" s="9">
        <v>60786269</v>
      </c>
      <c r="I1062" s="5">
        <f>IMDB_Movies!$H1062-IMDB_Movies!$G1062</f>
        <v>15786269</v>
      </c>
    </row>
    <row r="1063" spans="1:9" ht="23">
      <c r="A1063" s="3" t="s">
        <v>1587</v>
      </c>
      <c r="B1063" s="10" t="s">
        <v>1511</v>
      </c>
      <c r="C1063" s="10" t="s">
        <v>138</v>
      </c>
      <c r="D1063" s="10" t="s">
        <v>11</v>
      </c>
      <c r="E1063" s="10">
        <v>129</v>
      </c>
      <c r="F1063" s="10">
        <v>7.7</v>
      </c>
      <c r="G1063" s="10">
        <v>45000000</v>
      </c>
      <c r="H1063" s="10">
        <v>59365105</v>
      </c>
      <c r="I1063" s="5">
        <f>IMDB_Movies!$H1063-IMDB_Movies!$G1063</f>
        <v>14365105</v>
      </c>
    </row>
    <row r="1064" spans="1:9" ht="23">
      <c r="A1064" s="2" t="s">
        <v>1588</v>
      </c>
      <c r="B1064" s="9" t="s">
        <v>81</v>
      </c>
      <c r="C1064" s="9" t="s">
        <v>24</v>
      </c>
      <c r="D1064" s="9" t="s">
        <v>11</v>
      </c>
      <c r="E1064" s="9">
        <v>95</v>
      </c>
      <c r="F1064" s="9">
        <v>7.2</v>
      </c>
      <c r="G1064" s="9">
        <v>120000000</v>
      </c>
      <c r="H1064" s="9">
        <v>162792677</v>
      </c>
      <c r="I1064" s="5">
        <f>IMDB_Movies!$H1064-IMDB_Movies!$G1064</f>
        <v>42792677</v>
      </c>
    </row>
    <row r="1065" spans="1:9" ht="23">
      <c r="A1065" s="3" t="s">
        <v>1589</v>
      </c>
      <c r="B1065" s="10" t="s">
        <v>709</v>
      </c>
      <c r="C1065" s="10" t="s">
        <v>810</v>
      </c>
      <c r="D1065" s="10" t="s">
        <v>11</v>
      </c>
      <c r="E1065" s="10">
        <v>122</v>
      </c>
      <c r="F1065" s="10">
        <v>6.8</v>
      </c>
      <c r="G1065" s="10">
        <v>35000000</v>
      </c>
      <c r="H1065" s="10">
        <v>31598308</v>
      </c>
      <c r="I1065" s="5">
        <f>IMDB_Movies!$H1065-IMDB_Movies!$G1065</f>
        <v>-3401692</v>
      </c>
    </row>
    <row r="1066" spans="1:9" ht="23">
      <c r="A1066" s="2" t="s">
        <v>1590</v>
      </c>
      <c r="B1066" s="9" t="s">
        <v>1585</v>
      </c>
      <c r="C1066" s="9" t="s">
        <v>10</v>
      </c>
      <c r="D1066" s="9" t="s">
        <v>11</v>
      </c>
      <c r="E1066" s="9">
        <v>110</v>
      </c>
      <c r="F1066" s="9">
        <v>5.4</v>
      </c>
      <c r="G1066" s="9">
        <v>45000000</v>
      </c>
      <c r="H1066" s="9">
        <v>57362581</v>
      </c>
      <c r="I1066" s="5">
        <f>IMDB_Movies!$H1066-IMDB_Movies!$G1066</f>
        <v>12362581</v>
      </c>
    </row>
    <row r="1067" spans="1:9" ht="23">
      <c r="A1067" s="3" t="s">
        <v>1591</v>
      </c>
      <c r="B1067" s="10" t="s">
        <v>845</v>
      </c>
      <c r="C1067" s="10" t="s">
        <v>138</v>
      </c>
      <c r="D1067" s="10" t="s">
        <v>11</v>
      </c>
      <c r="E1067" s="10">
        <v>135</v>
      </c>
      <c r="F1067" s="10">
        <v>6.3</v>
      </c>
      <c r="G1067" s="10">
        <v>45000000</v>
      </c>
      <c r="H1067" s="10">
        <v>53854588</v>
      </c>
      <c r="I1067" s="5">
        <f>IMDB_Movies!$H1067-IMDB_Movies!$G1067</f>
        <v>8854588</v>
      </c>
    </row>
    <row r="1068" spans="1:9" ht="23">
      <c r="A1068" s="2" t="s">
        <v>1592</v>
      </c>
      <c r="B1068" s="9" t="s">
        <v>1593</v>
      </c>
      <c r="C1068" s="9" t="s">
        <v>138</v>
      </c>
      <c r="D1068" s="9" t="s">
        <v>11</v>
      </c>
      <c r="E1068" s="9">
        <v>111</v>
      </c>
      <c r="F1068" s="9">
        <v>7.2</v>
      </c>
      <c r="G1068" s="9">
        <v>2500000</v>
      </c>
      <c r="H1068" s="9">
        <v>25078937</v>
      </c>
      <c r="I1068" s="5">
        <f>IMDB_Movies!$H1068-IMDB_Movies!$G1068</f>
        <v>22578937</v>
      </c>
    </row>
    <row r="1069" spans="1:9" ht="23">
      <c r="A1069" s="3" t="s">
        <v>1594</v>
      </c>
      <c r="B1069" s="10" t="s">
        <v>1242</v>
      </c>
      <c r="C1069" s="10" t="s">
        <v>138</v>
      </c>
      <c r="D1069" s="10" t="s">
        <v>11</v>
      </c>
      <c r="E1069" s="10">
        <v>95</v>
      </c>
      <c r="F1069" s="10">
        <v>5.6</v>
      </c>
      <c r="G1069" s="10">
        <v>45000000</v>
      </c>
      <c r="H1069" s="10">
        <v>52580895</v>
      </c>
      <c r="I1069" s="5">
        <f>IMDB_Movies!$H1069-IMDB_Movies!$G1069</f>
        <v>7580895</v>
      </c>
    </row>
    <row r="1070" spans="1:9" ht="23">
      <c r="A1070" s="2" t="s">
        <v>1595</v>
      </c>
      <c r="B1070" s="9" t="s">
        <v>1596</v>
      </c>
      <c r="C1070" s="9" t="s">
        <v>24</v>
      </c>
      <c r="D1070" s="9" t="s">
        <v>11</v>
      </c>
      <c r="E1070" s="9">
        <v>109</v>
      </c>
      <c r="F1070" s="9">
        <v>6.8</v>
      </c>
      <c r="G1070" s="9">
        <v>50000000</v>
      </c>
      <c r="H1070" s="9">
        <v>51019112</v>
      </c>
      <c r="I1070" s="5">
        <f>IMDB_Movies!$H1070-IMDB_Movies!$G1070</f>
        <v>1019112</v>
      </c>
    </row>
    <row r="1071" spans="1:9" ht="23">
      <c r="A1071" s="3" t="s">
        <v>1597</v>
      </c>
      <c r="B1071" s="10" t="s">
        <v>1598</v>
      </c>
      <c r="C1071" s="10" t="s">
        <v>138</v>
      </c>
      <c r="D1071" s="10" t="s">
        <v>11</v>
      </c>
      <c r="E1071" s="10">
        <v>93</v>
      </c>
      <c r="F1071" s="10">
        <v>4.3</v>
      </c>
      <c r="G1071" s="10">
        <v>26000000</v>
      </c>
      <c r="H1071" s="10">
        <v>48114556</v>
      </c>
      <c r="I1071" s="5">
        <f>IMDB_Movies!$H1071-IMDB_Movies!$G1071</f>
        <v>22114556</v>
      </c>
    </row>
    <row r="1072" spans="1:9" ht="23">
      <c r="A1072" s="2" t="s">
        <v>1599</v>
      </c>
      <c r="B1072" s="9" t="s">
        <v>1600</v>
      </c>
      <c r="C1072" s="9" t="s">
        <v>10</v>
      </c>
      <c r="D1072" s="9" t="s">
        <v>11</v>
      </c>
      <c r="E1072" s="9">
        <v>94</v>
      </c>
      <c r="F1072" s="9">
        <v>6.3</v>
      </c>
      <c r="G1072" s="9">
        <v>45000000</v>
      </c>
      <c r="H1072" s="9">
        <v>50648679</v>
      </c>
      <c r="I1072" s="5">
        <f>IMDB_Movies!$H1072-IMDB_Movies!$G1072</f>
        <v>5648679</v>
      </c>
    </row>
    <row r="1073" spans="1:9" ht="23">
      <c r="A1073" s="3" t="s">
        <v>1601</v>
      </c>
      <c r="B1073" s="10" t="s">
        <v>438</v>
      </c>
      <c r="C1073" s="10" t="s">
        <v>138</v>
      </c>
      <c r="D1073" s="10" t="s">
        <v>11</v>
      </c>
      <c r="E1073" s="10">
        <v>117</v>
      </c>
      <c r="F1073" s="10">
        <v>6.5</v>
      </c>
      <c r="G1073" s="10">
        <v>40000000</v>
      </c>
      <c r="H1073" s="10">
        <v>46280507</v>
      </c>
      <c r="I1073" s="5">
        <f>IMDB_Movies!$H1073-IMDB_Movies!$G1073</f>
        <v>6280507</v>
      </c>
    </row>
    <row r="1074" spans="1:9" ht="23">
      <c r="A1074" s="2" t="s">
        <v>1602</v>
      </c>
      <c r="B1074" s="9" t="s">
        <v>1248</v>
      </c>
      <c r="C1074" s="9" t="s">
        <v>24</v>
      </c>
      <c r="D1074" s="9" t="s">
        <v>11</v>
      </c>
      <c r="E1074" s="9">
        <v>112</v>
      </c>
      <c r="F1074" s="9">
        <v>6.4</v>
      </c>
      <c r="G1074" s="9">
        <v>45000000</v>
      </c>
      <c r="H1074" s="9">
        <v>38360195</v>
      </c>
      <c r="I1074" s="5">
        <f>IMDB_Movies!$H1074-IMDB_Movies!$G1074</f>
        <v>-6639805</v>
      </c>
    </row>
    <row r="1075" spans="1:9" ht="23">
      <c r="A1075" s="3" t="s">
        <v>1603</v>
      </c>
      <c r="B1075" s="10" t="s">
        <v>1330</v>
      </c>
      <c r="C1075" s="10" t="s">
        <v>10</v>
      </c>
      <c r="D1075" s="10" t="s">
        <v>11</v>
      </c>
      <c r="E1075" s="10">
        <v>111</v>
      </c>
      <c r="F1075" s="10">
        <v>6.3</v>
      </c>
      <c r="G1075" s="10">
        <v>45000000</v>
      </c>
      <c r="H1075" s="10">
        <v>46815748</v>
      </c>
      <c r="I1075" s="5">
        <f>IMDB_Movies!$H1075-IMDB_Movies!$G1075</f>
        <v>1815748</v>
      </c>
    </row>
    <row r="1076" spans="1:9" ht="23">
      <c r="A1076" s="2" t="s">
        <v>1604</v>
      </c>
      <c r="B1076" s="9" t="s">
        <v>525</v>
      </c>
      <c r="C1076" s="9" t="s">
        <v>56</v>
      </c>
      <c r="D1076" s="9" t="s">
        <v>11</v>
      </c>
      <c r="E1076" s="9">
        <v>96</v>
      </c>
      <c r="F1076" s="9">
        <v>5.9</v>
      </c>
      <c r="G1076" s="9">
        <v>45000000</v>
      </c>
      <c r="H1076" s="9">
        <v>35617599</v>
      </c>
      <c r="I1076" s="5">
        <f>IMDB_Movies!$H1076-IMDB_Movies!$G1076</f>
        <v>-9382401</v>
      </c>
    </row>
    <row r="1077" spans="1:9" ht="23">
      <c r="A1077" s="3" t="s">
        <v>1605</v>
      </c>
      <c r="B1077" s="10" t="s">
        <v>205</v>
      </c>
      <c r="C1077" s="10" t="s">
        <v>414</v>
      </c>
      <c r="D1077" s="10" t="s">
        <v>11</v>
      </c>
      <c r="E1077" s="10">
        <v>141</v>
      </c>
      <c r="F1077" s="10">
        <v>6.5</v>
      </c>
      <c r="G1077" s="10">
        <v>45000000</v>
      </c>
      <c r="H1077" s="10">
        <v>47307550</v>
      </c>
      <c r="I1077" s="5">
        <f>IMDB_Movies!$H1077-IMDB_Movies!$G1077</f>
        <v>2307550</v>
      </c>
    </row>
    <row r="1078" spans="1:9" ht="23">
      <c r="A1078" s="2" t="s">
        <v>1606</v>
      </c>
      <c r="B1078" s="9" t="s">
        <v>1607</v>
      </c>
      <c r="C1078" s="9" t="s">
        <v>10</v>
      </c>
      <c r="D1078" s="9" t="s">
        <v>11</v>
      </c>
      <c r="E1078" s="9">
        <v>94</v>
      </c>
      <c r="F1078" s="9">
        <v>6.5</v>
      </c>
      <c r="G1078" s="9">
        <v>25000000</v>
      </c>
      <c r="H1078" s="9">
        <v>32003620</v>
      </c>
      <c r="I1078" s="5">
        <f>IMDB_Movies!$H1078-IMDB_Movies!$G1078</f>
        <v>7003620</v>
      </c>
    </row>
    <row r="1079" spans="1:9" ht="23">
      <c r="A1079" s="3" t="s">
        <v>1608</v>
      </c>
      <c r="B1079" s="10" t="s">
        <v>1609</v>
      </c>
      <c r="C1079" s="10" t="s">
        <v>10</v>
      </c>
      <c r="D1079" s="10" t="s">
        <v>11</v>
      </c>
      <c r="E1079" s="10">
        <v>87</v>
      </c>
      <c r="F1079" s="10">
        <v>6.1</v>
      </c>
      <c r="G1079" s="10">
        <v>35000000</v>
      </c>
      <c r="H1079" s="10">
        <v>27972410</v>
      </c>
      <c r="I1079" s="5">
        <f>IMDB_Movies!$H1079-IMDB_Movies!$G1079</f>
        <v>-7027590</v>
      </c>
    </row>
    <row r="1080" spans="1:9" ht="23">
      <c r="A1080" s="2" t="s">
        <v>1610</v>
      </c>
      <c r="B1080" s="9" t="s">
        <v>1611</v>
      </c>
      <c r="C1080" s="9" t="s">
        <v>24</v>
      </c>
      <c r="D1080" s="9" t="s">
        <v>11</v>
      </c>
      <c r="E1080" s="9">
        <v>88</v>
      </c>
      <c r="F1080" s="9">
        <v>5.9</v>
      </c>
      <c r="G1080" s="9">
        <v>50000000</v>
      </c>
      <c r="H1080" s="9">
        <v>28133159</v>
      </c>
      <c r="I1080" s="5">
        <f>IMDB_Movies!$H1080-IMDB_Movies!$G1080</f>
        <v>-21866841</v>
      </c>
    </row>
    <row r="1081" spans="1:9" ht="23">
      <c r="A1081" s="3" t="s">
        <v>1612</v>
      </c>
      <c r="B1081" s="10" t="s">
        <v>1613</v>
      </c>
      <c r="C1081" s="10" t="s">
        <v>10</v>
      </c>
      <c r="D1081" s="10" t="s">
        <v>11</v>
      </c>
      <c r="E1081" s="10">
        <v>177</v>
      </c>
      <c r="F1081" s="10">
        <v>6.6</v>
      </c>
      <c r="G1081" s="10">
        <v>40000000</v>
      </c>
      <c r="H1081" s="10">
        <v>27400000</v>
      </c>
      <c r="I1081" s="5">
        <f>IMDB_Movies!$H1081-IMDB_Movies!$G1081</f>
        <v>-12600000</v>
      </c>
    </row>
    <row r="1082" spans="1:9" ht="23">
      <c r="A1082" s="2" t="s">
        <v>1614</v>
      </c>
      <c r="B1082" s="9" t="s">
        <v>1615</v>
      </c>
      <c r="C1082" s="9" t="s">
        <v>56</v>
      </c>
      <c r="D1082" s="9" t="s">
        <v>11</v>
      </c>
      <c r="E1082" s="9">
        <v>133</v>
      </c>
      <c r="F1082" s="9">
        <v>7.4</v>
      </c>
      <c r="G1082" s="9">
        <v>45000000</v>
      </c>
      <c r="H1082" s="9">
        <v>24343673</v>
      </c>
      <c r="I1082" s="5">
        <f>IMDB_Movies!$H1082-IMDB_Movies!$G1082</f>
        <v>-20656327</v>
      </c>
    </row>
    <row r="1083" spans="1:9" ht="23">
      <c r="A1083" s="3" t="s">
        <v>1616</v>
      </c>
      <c r="B1083" s="10" t="s">
        <v>15</v>
      </c>
      <c r="C1083" s="10" t="s">
        <v>56</v>
      </c>
      <c r="D1083" s="10" t="s">
        <v>11</v>
      </c>
      <c r="E1083" s="10">
        <v>119</v>
      </c>
      <c r="F1083" s="10">
        <v>7.3</v>
      </c>
      <c r="G1083" s="10">
        <v>35000000</v>
      </c>
      <c r="H1083" s="10">
        <v>22877808</v>
      </c>
      <c r="I1083" s="5">
        <f>IMDB_Movies!$H1083-IMDB_Movies!$G1083</f>
        <v>-12122192</v>
      </c>
    </row>
    <row r="1084" spans="1:9" ht="23">
      <c r="A1084" s="2" t="s">
        <v>1617</v>
      </c>
      <c r="B1084" s="9" t="s">
        <v>285</v>
      </c>
      <c r="C1084" s="9" t="s">
        <v>10</v>
      </c>
      <c r="D1084" s="9" t="s">
        <v>11</v>
      </c>
      <c r="E1084" s="9">
        <v>102</v>
      </c>
      <c r="F1084" s="9">
        <v>6.6</v>
      </c>
      <c r="G1084" s="9">
        <v>52000000</v>
      </c>
      <c r="H1084" s="9">
        <v>36883539</v>
      </c>
      <c r="I1084" s="5">
        <f>IMDB_Movies!$H1084-IMDB_Movies!$G1084</f>
        <v>-15116461</v>
      </c>
    </row>
    <row r="1085" spans="1:9" ht="23">
      <c r="A1085" s="3" t="s">
        <v>1618</v>
      </c>
      <c r="B1085" s="10" t="s">
        <v>1619</v>
      </c>
      <c r="C1085" s="10" t="s">
        <v>10</v>
      </c>
      <c r="D1085" s="10" t="s">
        <v>11</v>
      </c>
      <c r="E1085" s="10">
        <v>101</v>
      </c>
      <c r="F1085" s="10">
        <v>5.6</v>
      </c>
      <c r="G1085" s="10">
        <v>70000000</v>
      </c>
      <c r="H1085" s="10">
        <v>22531698</v>
      </c>
      <c r="I1085" s="5">
        <f>IMDB_Movies!$H1085-IMDB_Movies!$G1085</f>
        <v>-47468302</v>
      </c>
    </row>
    <row r="1086" spans="1:9" ht="23">
      <c r="A1086" s="2" t="s">
        <v>1620</v>
      </c>
      <c r="B1086" s="9" t="s">
        <v>1621</v>
      </c>
      <c r="C1086" s="9" t="s">
        <v>10</v>
      </c>
      <c r="D1086" s="9" t="s">
        <v>11</v>
      </c>
      <c r="E1086" s="9">
        <v>91</v>
      </c>
      <c r="F1086" s="9">
        <v>5.3</v>
      </c>
      <c r="G1086" s="9">
        <v>45000000</v>
      </c>
      <c r="H1086" s="9">
        <v>20400913</v>
      </c>
      <c r="I1086" s="5">
        <f>IMDB_Movies!$H1086-IMDB_Movies!$G1086</f>
        <v>-24599087</v>
      </c>
    </row>
    <row r="1087" spans="1:9" ht="23">
      <c r="A1087" s="3" t="s">
        <v>1622</v>
      </c>
      <c r="B1087" s="10" t="s">
        <v>1141</v>
      </c>
      <c r="C1087" s="10" t="s">
        <v>138</v>
      </c>
      <c r="D1087" s="10" t="s">
        <v>11</v>
      </c>
      <c r="E1087" s="10">
        <v>117</v>
      </c>
      <c r="F1087" s="10">
        <v>6</v>
      </c>
      <c r="G1087" s="10">
        <v>45000000</v>
      </c>
      <c r="H1087" s="10">
        <v>20101861</v>
      </c>
      <c r="I1087" s="5">
        <f>IMDB_Movies!$H1087-IMDB_Movies!$G1087</f>
        <v>-24898139</v>
      </c>
    </row>
    <row r="1088" spans="1:9" ht="23">
      <c r="A1088" s="2" t="s">
        <v>1623</v>
      </c>
      <c r="B1088" s="9" t="s">
        <v>1624</v>
      </c>
      <c r="C1088" s="9" t="s">
        <v>24</v>
      </c>
      <c r="D1088" s="9" t="s">
        <v>11</v>
      </c>
      <c r="E1088" s="9">
        <v>86</v>
      </c>
      <c r="F1088" s="9">
        <v>5.4</v>
      </c>
      <c r="G1088" s="9">
        <v>45000000</v>
      </c>
      <c r="H1088" s="9">
        <v>25200412</v>
      </c>
      <c r="I1088" s="5">
        <f>IMDB_Movies!$H1088-IMDB_Movies!$G1088</f>
        <v>-19799588</v>
      </c>
    </row>
    <row r="1089" spans="1:9" ht="23">
      <c r="A1089" s="3" t="s">
        <v>1625</v>
      </c>
      <c r="B1089" s="10" t="s">
        <v>1626</v>
      </c>
      <c r="C1089" s="10" t="s">
        <v>414</v>
      </c>
      <c r="D1089" s="10" t="s">
        <v>11</v>
      </c>
      <c r="E1089" s="10">
        <v>124</v>
      </c>
      <c r="F1089" s="10">
        <v>6.8</v>
      </c>
      <c r="G1089" s="10">
        <v>45000000</v>
      </c>
      <c r="H1089" s="10">
        <v>19719930</v>
      </c>
      <c r="I1089" s="5">
        <f>IMDB_Movies!$H1089-IMDB_Movies!$G1089</f>
        <v>-25280070</v>
      </c>
    </row>
    <row r="1090" spans="1:9" ht="23">
      <c r="A1090" s="2" t="s">
        <v>1627</v>
      </c>
      <c r="B1090" s="9" t="s">
        <v>1628</v>
      </c>
      <c r="C1090" s="9" t="s">
        <v>138</v>
      </c>
      <c r="D1090" s="9" t="s">
        <v>11</v>
      </c>
      <c r="E1090" s="9">
        <v>134</v>
      </c>
      <c r="F1090" s="9">
        <v>6.4</v>
      </c>
      <c r="G1090" s="9">
        <v>45000000</v>
      </c>
      <c r="H1090" s="9">
        <v>19377727</v>
      </c>
      <c r="I1090" s="5">
        <f>IMDB_Movies!$H1090-IMDB_Movies!$G1090</f>
        <v>-25622273</v>
      </c>
    </row>
    <row r="1091" spans="1:9" ht="23">
      <c r="A1091" s="3" t="s">
        <v>1629</v>
      </c>
      <c r="B1091" s="10" t="s">
        <v>1630</v>
      </c>
      <c r="C1091" s="10" t="s">
        <v>10</v>
      </c>
      <c r="D1091" s="10" t="s">
        <v>11</v>
      </c>
      <c r="E1091" s="10">
        <v>100</v>
      </c>
      <c r="F1091" s="10">
        <v>4.9000000000000004</v>
      </c>
      <c r="G1091" s="10">
        <v>45000000</v>
      </c>
      <c r="H1091" s="10">
        <v>17300889</v>
      </c>
      <c r="I1091" s="5">
        <f>IMDB_Movies!$H1091-IMDB_Movies!$G1091</f>
        <v>-27699111</v>
      </c>
    </row>
    <row r="1092" spans="1:9" ht="23">
      <c r="A1092" s="2" t="s">
        <v>1631</v>
      </c>
      <c r="B1092" s="9" t="s">
        <v>1632</v>
      </c>
      <c r="C1092" s="9" t="s">
        <v>56</v>
      </c>
      <c r="D1092" s="9" t="s">
        <v>11</v>
      </c>
      <c r="E1092" s="9">
        <v>220</v>
      </c>
      <c r="F1092" s="9">
        <v>5.8</v>
      </c>
      <c r="G1092" s="9">
        <v>57000000</v>
      </c>
      <c r="H1092" s="9">
        <v>15527125</v>
      </c>
      <c r="I1092" s="5">
        <f>IMDB_Movies!$H1092-IMDB_Movies!$G1092</f>
        <v>-41472875</v>
      </c>
    </row>
    <row r="1093" spans="1:9" ht="23">
      <c r="A1093" s="3" t="s">
        <v>1633</v>
      </c>
      <c r="B1093" s="10" t="s">
        <v>205</v>
      </c>
      <c r="C1093" s="10" t="s">
        <v>418</v>
      </c>
      <c r="D1093" s="10" t="s">
        <v>11</v>
      </c>
      <c r="E1093" s="10">
        <v>212</v>
      </c>
      <c r="F1093" s="10">
        <v>7.1</v>
      </c>
      <c r="G1093" s="10">
        <v>50000000</v>
      </c>
      <c r="H1093" s="10">
        <v>13560960</v>
      </c>
      <c r="I1093" s="5">
        <f>IMDB_Movies!$H1093-IMDB_Movies!$G1093</f>
        <v>-36439040</v>
      </c>
    </row>
    <row r="1094" spans="1:9" ht="23">
      <c r="A1094" s="2" t="s">
        <v>1634</v>
      </c>
      <c r="B1094" s="9" t="s">
        <v>1025</v>
      </c>
      <c r="C1094" s="9" t="s">
        <v>228</v>
      </c>
      <c r="D1094" s="9" t="s">
        <v>11</v>
      </c>
      <c r="E1094" s="9">
        <v>128</v>
      </c>
      <c r="F1094" s="9">
        <v>7.2</v>
      </c>
      <c r="G1094" s="9">
        <v>45000000</v>
      </c>
      <c r="H1094" s="9">
        <v>15523168</v>
      </c>
      <c r="I1094" s="5">
        <f>IMDB_Movies!$H1094-IMDB_Movies!$G1094</f>
        <v>-29476832</v>
      </c>
    </row>
    <row r="1095" spans="1:9" ht="23">
      <c r="A1095" s="3" t="s">
        <v>1635</v>
      </c>
      <c r="B1095" s="10" t="s">
        <v>144</v>
      </c>
      <c r="C1095" s="10" t="s">
        <v>10</v>
      </c>
      <c r="D1095" s="10" t="s">
        <v>11</v>
      </c>
      <c r="E1095" s="10">
        <v>106</v>
      </c>
      <c r="F1095" s="10">
        <v>6</v>
      </c>
      <c r="G1095" s="10">
        <v>45000000</v>
      </c>
      <c r="H1095" s="10">
        <v>11146409</v>
      </c>
      <c r="I1095" s="5">
        <f>IMDB_Movies!$H1095-IMDB_Movies!$G1095</f>
        <v>-33853591</v>
      </c>
    </row>
    <row r="1096" spans="1:9" ht="23">
      <c r="A1096" s="2" t="s">
        <v>1636</v>
      </c>
      <c r="B1096" s="9" t="s">
        <v>1380</v>
      </c>
      <c r="C1096" s="9" t="s">
        <v>10</v>
      </c>
      <c r="D1096" s="9" t="s">
        <v>11</v>
      </c>
      <c r="E1096" s="9">
        <v>160</v>
      </c>
      <c r="F1096" s="9">
        <v>6</v>
      </c>
      <c r="G1096" s="9">
        <v>45000000</v>
      </c>
      <c r="H1096" s="9">
        <v>7916887</v>
      </c>
      <c r="I1096" s="5">
        <f>IMDB_Movies!$H1096-IMDB_Movies!$G1096</f>
        <v>-37083113</v>
      </c>
    </row>
    <row r="1097" spans="1:9" ht="23">
      <c r="A1097" s="3" t="s">
        <v>1637</v>
      </c>
      <c r="B1097" s="10" t="s">
        <v>520</v>
      </c>
      <c r="C1097" s="10" t="s">
        <v>56</v>
      </c>
      <c r="D1097" s="10" t="s">
        <v>521</v>
      </c>
      <c r="E1097" s="10">
        <v>114</v>
      </c>
      <c r="F1097" s="10">
        <v>7</v>
      </c>
      <c r="G1097" s="10">
        <v>45000000</v>
      </c>
      <c r="H1097" s="10">
        <v>6565495</v>
      </c>
      <c r="I1097" s="5">
        <f>IMDB_Movies!$H1097-IMDB_Movies!$G1097</f>
        <v>-38434505</v>
      </c>
    </row>
    <row r="1098" spans="1:9" ht="23">
      <c r="A1098" s="2" t="s">
        <v>1638</v>
      </c>
      <c r="B1098" s="9" t="s">
        <v>1639</v>
      </c>
      <c r="C1098" s="9" t="s">
        <v>10</v>
      </c>
      <c r="D1098" s="9" t="s">
        <v>11</v>
      </c>
      <c r="E1098" s="9">
        <v>99</v>
      </c>
      <c r="F1098" s="9">
        <v>5.4</v>
      </c>
      <c r="G1098" s="9">
        <v>40000000</v>
      </c>
      <c r="H1098" s="9">
        <v>15279680</v>
      </c>
      <c r="I1098" s="5">
        <f>IMDB_Movies!$H1098-IMDB_Movies!$G1098</f>
        <v>-24720320</v>
      </c>
    </row>
    <row r="1099" spans="1:9" ht="23">
      <c r="A1099" s="3" t="s">
        <v>1640</v>
      </c>
      <c r="B1099" s="10" t="s">
        <v>44</v>
      </c>
      <c r="C1099" s="10" t="s">
        <v>138</v>
      </c>
      <c r="D1099" s="10" t="s">
        <v>11</v>
      </c>
      <c r="E1099" s="10">
        <v>74</v>
      </c>
      <c r="F1099" s="10">
        <v>6.5</v>
      </c>
      <c r="G1099" s="10">
        <v>40000000</v>
      </c>
      <c r="H1099" s="10">
        <v>7262288</v>
      </c>
      <c r="I1099" s="5">
        <f>IMDB_Movies!$H1099-IMDB_Movies!$G1099</f>
        <v>-32737712</v>
      </c>
    </row>
    <row r="1100" spans="1:9" ht="23">
      <c r="A1100" s="2" t="s">
        <v>1641</v>
      </c>
      <c r="B1100" s="9" t="s">
        <v>98</v>
      </c>
      <c r="C1100" s="9" t="s">
        <v>56</v>
      </c>
      <c r="D1100" s="9" t="s">
        <v>11</v>
      </c>
      <c r="E1100" s="9">
        <v>139</v>
      </c>
      <c r="F1100" s="9">
        <v>6.4</v>
      </c>
      <c r="G1100" s="9">
        <v>45000000</v>
      </c>
      <c r="H1100" s="9">
        <v>4584886</v>
      </c>
      <c r="I1100" s="5">
        <f>IMDB_Movies!$H1100-IMDB_Movies!$G1100</f>
        <v>-40415114</v>
      </c>
    </row>
    <row r="1101" spans="1:9" ht="23">
      <c r="A1101" s="3" t="s">
        <v>1642</v>
      </c>
      <c r="B1101" s="10" t="s">
        <v>1643</v>
      </c>
      <c r="C1101" s="10" t="s">
        <v>10</v>
      </c>
      <c r="D1101" s="10" t="s">
        <v>11</v>
      </c>
      <c r="E1101" s="10">
        <v>103</v>
      </c>
      <c r="F1101" s="10">
        <v>4.9000000000000004</v>
      </c>
      <c r="G1101" s="10">
        <v>45000000</v>
      </c>
      <c r="H1101" s="10">
        <v>2154540</v>
      </c>
      <c r="I1101" s="5">
        <f>IMDB_Movies!$H1101-IMDB_Movies!$G1101</f>
        <v>-42845460</v>
      </c>
    </row>
    <row r="1102" spans="1:9" ht="23">
      <c r="A1102" s="2" t="s">
        <v>1644</v>
      </c>
      <c r="B1102" s="9" t="s">
        <v>1645</v>
      </c>
      <c r="C1102" s="9" t="s">
        <v>10</v>
      </c>
      <c r="D1102" s="9" t="s">
        <v>11</v>
      </c>
      <c r="E1102" s="9">
        <v>101</v>
      </c>
      <c r="F1102" s="9">
        <v>6.3</v>
      </c>
      <c r="G1102" s="9">
        <v>45000000</v>
      </c>
      <c r="H1102" s="9">
        <v>8129455</v>
      </c>
      <c r="I1102" s="5">
        <f>IMDB_Movies!$H1102-IMDB_Movies!$G1102</f>
        <v>-36870545</v>
      </c>
    </row>
    <row r="1103" spans="1:9" ht="23">
      <c r="A1103" s="3" t="s">
        <v>1646</v>
      </c>
      <c r="B1103" s="10" t="s">
        <v>1647</v>
      </c>
      <c r="C1103" s="10" t="s">
        <v>10</v>
      </c>
      <c r="D1103" s="10" t="s">
        <v>11</v>
      </c>
      <c r="E1103" s="10">
        <v>91</v>
      </c>
      <c r="F1103" s="10">
        <v>1.7</v>
      </c>
      <c r="G1103" s="10">
        <v>65000000</v>
      </c>
      <c r="H1103" s="10">
        <v>25078937</v>
      </c>
      <c r="I1103" s="5">
        <f>IMDB_Movies!$H1103-IMDB_Movies!$G1103</f>
        <v>-39921063</v>
      </c>
    </row>
    <row r="1104" spans="1:9" ht="23">
      <c r="A1104" s="2" t="s">
        <v>1648</v>
      </c>
      <c r="B1104" s="9" t="s">
        <v>1649</v>
      </c>
      <c r="C1104" s="9" t="s">
        <v>418</v>
      </c>
      <c r="D1104" s="9" t="s">
        <v>11</v>
      </c>
      <c r="E1104" s="9">
        <v>130</v>
      </c>
      <c r="F1104" s="9">
        <v>7.7</v>
      </c>
      <c r="G1104" s="9">
        <v>44500000</v>
      </c>
      <c r="H1104" s="9">
        <v>136019448</v>
      </c>
      <c r="I1104" s="5">
        <f>IMDB_Movies!$H1104-IMDB_Movies!$G1104</f>
        <v>91519448</v>
      </c>
    </row>
    <row r="1105" spans="1:9" ht="23">
      <c r="A1105" s="3" t="s">
        <v>1650</v>
      </c>
      <c r="B1105" s="10" t="s">
        <v>652</v>
      </c>
      <c r="C1105" s="10" t="s">
        <v>10</v>
      </c>
      <c r="D1105" s="10" t="s">
        <v>11</v>
      </c>
      <c r="E1105" s="10">
        <v>130</v>
      </c>
      <c r="F1105" s="10">
        <v>7.8</v>
      </c>
      <c r="G1105" s="10">
        <v>44000000</v>
      </c>
      <c r="H1105" s="10">
        <v>183875760</v>
      </c>
      <c r="I1105" s="5">
        <f>IMDB_Movies!$H1105-IMDB_Movies!$G1105</f>
        <v>139875760</v>
      </c>
    </row>
    <row r="1106" spans="1:9" ht="23">
      <c r="A1106" s="2" t="s">
        <v>1651</v>
      </c>
      <c r="B1106" s="9" t="s">
        <v>838</v>
      </c>
      <c r="C1106" s="9" t="s">
        <v>10</v>
      </c>
      <c r="D1106" s="9" t="s">
        <v>11</v>
      </c>
      <c r="E1106" s="9">
        <v>110</v>
      </c>
      <c r="F1106" s="9">
        <v>5.5</v>
      </c>
      <c r="G1106" s="9">
        <v>40000000</v>
      </c>
      <c r="H1106" s="9">
        <v>67061228</v>
      </c>
      <c r="I1106" s="5">
        <f>IMDB_Movies!$H1106-IMDB_Movies!$G1106</f>
        <v>27061228</v>
      </c>
    </row>
    <row r="1107" spans="1:9" ht="23">
      <c r="A1107" s="3" t="s">
        <v>1652</v>
      </c>
      <c r="B1107" s="10" t="s">
        <v>834</v>
      </c>
      <c r="C1107" s="10" t="s">
        <v>414</v>
      </c>
      <c r="D1107" s="10" t="s">
        <v>11</v>
      </c>
      <c r="E1107" s="10">
        <v>147</v>
      </c>
      <c r="F1107" s="10">
        <v>7.5</v>
      </c>
      <c r="G1107" s="10">
        <v>44000000</v>
      </c>
      <c r="H1107" s="10">
        <v>53300852</v>
      </c>
      <c r="I1107" s="5">
        <f>IMDB_Movies!$H1107-IMDB_Movies!$G1107</f>
        <v>9300852</v>
      </c>
    </row>
    <row r="1108" spans="1:9" ht="23">
      <c r="A1108" s="2" t="s">
        <v>1653</v>
      </c>
      <c r="B1108" s="9" t="s">
        <v>1643</v>
      </c>
      <c r="C1108" s="9" t="s">
        <v>10</v>
      </c>
      <c r="D1108" s="9" t="s">
        <v>11</v>
      </c>
      <c r="E1108" s="9">
        <v>96</v>
      </c>
      <c r="F1108" s="9">
        <v>6.4</v>
      </c>
      <c r="G1108" s="9">
        <v>44000000</v>
      </c>
      <c r="H1108" s="9">
        <v>150415432</v>
      </c>
      <c r="I1108" s="5">
        <f>IMDB_Movies!$H1108-IMDB_Movies!$G1108</f>
        <v>106415432</v>
      </c>
    </row>
    <row r="1109" spans="1:9" ht="23">
      <c r="A1109" s="3" t="s">
        <v>1654</v>
      </c>
      <c r="B1109" s="10" t="s">
        <v>1655</v>
      </c>
      <c r="C1109" s="10" t="s">
        <v>56</v>
      </c>
      <c r="D1109" s="10" t="s">
        <v>11</v>
      </c>
      <c r="E1109" s="10">
        <v>118</v>
      </c>
      <c r="F1109" s="10">
        <v>5.6</v>
      </c>
      <c r="G1109" s="10">
        <v>44000000</v>
      </c>
      <c r="H1109" s="10">
        <v>44834712</v>
      </c>
      <c r="I1109" s="5">
        <f>IMDB_Movies!$H1109-IMDB_Movies!$G1109</f>
        <v>834712</v>
      </c>
    </row>
    <row r="1110" spans="1:9" ht="23">
      <c r="A1110" s="2" t="s">
        <v>1656</v>
      </c>
      <c r="B1110" s="9" t="s">
        <v>1657</v>
      </c>
      <c r="C1110" s="9" t="s">
        <v>116</v>
      </c>
      <c r="D1110" s="9" t="s">
        <v>11</v>
      </c>
      <c r="E1110" s="9">
        <v>88</v>
      </c>
      <c r="F1110" s="9">
        <v>7.5</v>
      </c>
      <c r="G1110" s="9">
        <v>2600000</v>
      </c>
      <c r="H1110" s="9">
        <v>84300000</v>
      </c>
      <c r="I1110" s="5">
        <f>IMDB_Movies!$H1110-IMDB_Movies!$G1110</f>
        <v>81700000</v>
      </c>
    </row>
    <row r="1111" spans="1:9" ht="23">
      <c r="A1111" s="3" t="s">
        <v>1658</v>
      </c>
      <c r="B1111" s="10" t="s">
        <v>1659</v>
      </c>
      <c r="C1111" s="10" t="s">
        <v>24</v>
      </c>
      <c r="D1111" s="10" t="s">
        <v>11</v>
      </c>
      <c r="E1111" s="10">
        <v>325</v>
      </c>
      <c r="F1111" s="10">
        <v>6.8</v>
      </c>
      <c r="G1111" s="10">
        <v>44000000</v>
      </c>
      <c r="H1111" s="10">
        <v>1500000</v>
      </c>
      <c r="I1111" s="5">
        <f>IMDB_Movies!$H1111-IMDB_Movies!$G1111</f>
        <v>-42500000</v>
      </c>
    </row>
    <row r="1112" spans="1:9" ht="23">
      <c r="A1112" s="2" t="s">
        <v>1660</v>
      </c>
      <c r="B1112" s="9" t="s">
        <v>435</v>
      </c>
      <c r="C1112" s="9" t="s">
        <v>10</v>
      </c>
      <c r="D1112" s="9" t="s">
        <v>11</v>
      </c>
      <c r="E1112" s="9">
        <v>102</v>
      </c>
      <c r="F1112" s="9">
        <v>6.8</v>
      </c>
      <c r="G1112" s="9">
        <v>50000000</v>
      </c>
      <c r="H1112" s="9">
        <v>62318875</v>
      </c>
      <c r="I1112" s="5">
        <f>IMDB_Movies!$H1112-IMDB_Movies!$G1112</f>
        <v>12318875</v>
      </c>
    </row>
    <row r="1113" spans="1:9" ht="23">
      <c r="A1113" s="3" t="s">
        <v>1661</v>
      </c>
      <c r="B1113" s="10" t="s">
        <v>1662</v>
      </c>
      <c r="C1113" s="10" t="s">
        <v>56</v>
      </c>
      <c r="D1113" s="10" t="s">
        <v>11</v>
      </c>
      <c r="E1113" s="10">
        <v>110</v>
      </c>
      <c r="F1113" s="10">
        <v>6</v>
      </c>
      <c r="G1113" s="10">
        <v>40000000</v>
      </c>
      <c r="H1113" s="10">
        <v>5773519</v>
      </c>
      <c r="I1113" s="5">
        <f>IMDB_Movies!$H1113-IMDB_Movies!$G1113</f>
        <v>-34226481</v>
      </c>
    </row>
    <row r="1114" spans="1:9" ht="23">
      <c r="A1114" s="2" t="s">
        <v>1663</v>
      </c>
      <c r="B1114" s="9" t="s">
        <v>1664</v>
      </c>
      <c r="C1114" s="9" t="s">
        <v>56</v>
      </c>
      <c r="D1114" s="9" t="s">
        <v>11</v>
      </c>
      <c r="E1114" s="9">
        <v>136</v>
      </c>
      <c r="F1114" s="9">
        <v>7.3</v>
      </c>
      <c r="G1114" s="9">
        <v>43000000</v>
      </c>
      <c r="H1114" s="9">
        <v>51768623</v>
      </c>
      <c r="I1114" s="5">
        <f>IMDB_Movies!$H1114-IMDB_Movies!$G1114</f>
        <v>8768623</v>
      </c>
    </row>
    <row r="1115" spans="1:9" ht="23">
      <c r="A1115" s="3" t="s">
        <v>1665</v>
      </c>
      <c r="B1115" s="10" t="s">
        <v>878</v>
      </c>
      <c r="C1115" s="10" t="s">
        <v>138</v>
      </c>
      <c r="D1115" s="10" t="s">
        <v>11</v>
      </c>
      <c r="E1115" s="10">
        <v>103</v>
      </c>
      <c r="F1115" s="10">
        <v>6</v>
      </c>
      <c r="G1115" s="10">
        <v>43000000</v>
      </c>
      <c r="H1115" s="10">
        <v>37035515</v>
      </c>
      <c r="I1115" s="5">
        <f>IMDB_Movies!$H1115-IMDB_Movies!$G1115</f>
        <v>-5964485</v>
      </c>
    </row>
    <row r="1116" spans="1:9" ht="23">
      <c r="A1116" s="2" t="s">
        <v>1666</v>
      </c>
      <c r="B1116" s="9" t="s">
        <v>302</v>
      </c>
      <c r="C1116" s="9" t="s">
        <v>10</v>
      </c>
      <c r="D1116" s="9" t="s">
        <v>11</v>
      </c>
      <c r="E1116" s="9">
        <v>103</v>
      </c>
      <c r="F1116" s="9">
        <v>7</v>
      </c>
      <c r="G1116" s="9">
        <v>45000000</v>
      </c>
      <c r="H1116" s="9">
        <v>24520892</v>
      </c>
      <c r="I1116" s="5">
        <f>IMDB_Movies!$H1116-IMDB_Movies!$G1116</f>
        <v>-20479108</v>
      </c>
    </row>
    <row r="1117" spans="1:9" ht="23">
      <c r="A1117" s="3" t="s">
        <v>1667</v>
      </c>
      <c r="B1117" s="10" t="s">
        <v>1668</v>
      </c>
      <c r="C1117" s="10" t="s">
        <v>138</v>
      </c>
      <c r="D1117" s="10" t="s">
        <v>11</v>
      </c>
      <c r="E1117" s="10">
        <v>90</v>
      </c>
      <c r="F1117" s="10">
        <v>5.0999999999999996</v>
      </c>
      <c r="G1117" s="10">
        <v>43000000</v>
      </c>
      <c r="H1117" s="10">
        <v>24430272</v>
      </c>
      <c r="I1117" s="5">
        <f>IMDB_Movies!$H1117-IMDB_Movies!$G1117</f>
        <v>-18569728</v>
      </c>
    </row>
    <row r="1118" spans="1:9" ht="23">
      <c r="A1118" s="2" t="s">
        <v>1669</v>
      </c>
      <c r="B1118" s="9" t="s">
        <v>591</v>
      </c>
      <c r="C1118" s="9" t="s">
        <v>56</v>
      </c>
      <c r="D1118" s="9" t="s">
        <v>11</v>
      </c>
      <c r="E1118" s="9">
        <v>154</v>
      </c>
      <c r="F1118" s="9">
        <v>6.8</v>
      </c>
      <c r="G1118" s="9">
        <v>42000000</v>
      </c>
      <c r="H1118" s="9">
        <v>158348400</v>
      </c>
      <c r="I1118" s="5">
        <f>IMDB_Movies!$H1118-IMDB_Movies!$G1118</f>
        <v>116348400</v>
      </c>
    </row>
    <row r="1119" spans="1:9" ht="23">
      <c r="A1119" s="3" t="s">
        <v>1670</v>
      </c>
      <c r="B1119" s="10" t="s">
        <v>1671</v>
      </c>
      <c r="C1119" s="10" t="s">
        <v>56</v>
      </c>
      <c r="D1119" s="10" t="s">
        <v>11</v>
      </c>
      <c r="E1119" s="10">
        <v>99</v>
      </c>
      <c r="F1119" s="10">
        <v>6.5</v>
      </c>
      <c r="G1119" s="10">
        <v>44000000</v>
      </c>
      <c r="H1119" s="10">
        <v>31136950</v>
      </c>
      <c r="I1119" s="5">
        <f>IMDB_Movies!$H1119-IMDB_Movies!$G1119</f>
        <v>-12863050</v>
      </c>
    </row>
    <row r="1120" spans="1:9" ht="23">
      <c r="A1120" s="2" t="s">
        <v>1672</v>
      </c>
      <c r="B1120" s="9" t="s">
        <v>478</v>
      </c>
      <c r="C1120" s="9" t="s">
        <v>10</v>
      </c>
      <c r="D1120" s="9" t="s">
        <v>11</v>
      </c>
      <c r="E1120" s="9">
        <v>93</v>
      </c>
      <c r="F1120" s="9">
        <v>6.6</v>
      </c>
      <c r="G1120" s="9">
        <v>40000000</v>
      </c>
      <c r="H1120" s="9">
        <v>29113588</v>
      </c>
      <c r="I1120" s="5">
        <f>IMDB_Movies!$H1120-IMDB_Movies!$G1120</f>
        <v>-10886412</v>
      </c>
    </row>
    <row r="1121" spans="1:9" ht="23">
      <c r="A1121" s="3" t="s">
        <v>1673</v>
      </c>
      <c r="B1121" s="10" t="s">
        <v>565</v>
      </c>
      <c r="C1121" s="10" t="s">
        <v>10</v>
      </c>
      <c r="D1121" s="10" t="s">
        <v>11</v>
      </c>
      <c r="E1121" s="10">
        <v>109</v>
      </c>
      <c r="F1121" s="10">
        <v>7.2</v>
      </c>
      <c r="G1121" s="10">
        <v>42000000</v>
      </c>
      <c r="H1121" s="10">
        <v>138447667</v>
      </c>
      <c r="I1121" s="5">
        <f>IMDB_Movies!$H1121-IMDB_Movies!$G1121</f>
        <v>96447667</v>
      </c>
    </row>
    <row r="1122" spans="1:9" ht="23">
      <c r="A1122" s="2" t="s">
        <v>1674</v>
      </c>
      <c r="B1122" s="9" t="s">
        <v>1583</v>
      </c>
      <c r="C1122" s="9" t="s">
        <v>138</v>
      </c>
      <c r="D1122" s="9" t="s">
        <v>11</v>
      </c>
      <c r="E1122" s="9">
        <v>124</v>
      </c>
      <c r="F1122" s="9">
        <v>7</v>
      </c>
      <c r="G1122" s="9">
        <v>42000000</v>
      </c>
      <c r="H1122" s="9">
        <v>116006080</v>
      </c>
      <c r="I1122" s="5">
        <f>IMDB_Movies!$H1122-IMDB_Movies!$G1122</f>
        <v>74006080</v>
      </c>
    </row>
    <row r="1123" spans="1:9" ht="23">
      <c r="A1123" s="3" t="s">
        <v>1675</v>
      </c>
      <c r="B1123" s="10" t="s">
        <v>1284</v>
      </c>
      <c r="C1123" s="10" t="s">
        <v>24</v>
      </c>
      <c r="D1123" s="10" t="s">
        <v>11</v>
      </c>
      <c r="E1123" s="10">
        <v>84</v>
      </c>
      <c r="F1123" s="10">
        <v>7</v>
      </c>
      <c r="G1123" s="10">
        <v>45000000</v>
      </c>
      <c r="H1123" s="10">
        <v>106793915</v>
      </c>
      <c r="I1123" s="5">
        <f>IMDB_Movies!$H1123-IMDB_Movies!$G1123</f>
        <v>61793915</v>
      </c>
    </row>
    <row r="1124" spans="1:9" ht="23">
      <c r="A1124" s="2" t="s">
        <v>1676</v>
      </c>
      <c r="B1124" s="9" t="s">
        <v>1677</v>
      </c>
      <c r="C1124" s="9" t="s">
        <v>138</v>
      </c>
      <c r="D1124" s="9" t="s">
        <v>11</v>
      </c>
      <c r="E1124" s="9">
        <v>90</v>
      </c>
      <c r="F1124" s="9">
        <v>5.9</v>
      </c>
      <c r="G1124" s="9">
        <v>42000000</v>
      </c>
      <c r="H1124" s="9">
        <v>87856565</v>
      </c>
      <c r="I1124" s="5">
        <f>IMDB_Movies!$H1124-IMDB_Movies!$G1124</f>
        <v>45856565</v>
      </c>
    </row>
    <row r="1125" spans="1:9" ht="23">
      <c r="A1125" s="3" t="s">
        <v>1678</v>
      </c>
      <c r="B1125" s="10" t="s">
        <v>1679</v>
      </c>
      <c r="C1125" s="10" t="s">
        <v>138</v>
      </c>
      <c r="D1125" s="10" t="s">
        <v>11</v>
      </c>
      <c r="E1125" s="10">
        <v>117</v>
      </c>
      <c r="F1125" s="10">
        <v>5.4</v>
      </c>
      <c r="G1125" s="10">
        <v>40000000</v>
      </c>
      <c r="H1125" s="10">
        <v>70100000</v>
      </c>
      <c r="I1125" s="5">
        <f>IMDB_Movies!$H1125-IMDB_Movies!$G1125</f>
        <v>30100000</v>
      </c>
    </row>
    <row r="1126" spans="1:9" ht="23">
      <c r="A1126" s="2" t="s">
        <v>1680</v>
      </c>
      <c r="B1126" s="9" t="s">
        <v>263</v>
      </c>
      <c r="C1126" s="9" t="s">
        <v>10</v>
      </c>
      <c r="D1126" s="9" t="s">
        <v>11</v>
      </c>
      <c r="E1126" s="9">
        <v>123</v>
      </c>
      <c r="F1126" s="9">
        <v>6.6</v>
      </c>
      <c r="G1126" s="9">
        <v>43000000</v>
      </c>
      <c r="H1126" s="9">
        <v>159578352</v>
      </c>
      <c r="I1126" s="5">
        <f>IMDB_Movies!$H1126-IMDB_Movies!$G1126</f>
        <v>116578352</v>
      </c>
    </row>
    <row r="1127" spans="1:9" ht="23">
      <c r="A1127" s="3" t="s">
        <v>1681</v>
      </c>
      <c r="B1127" s="10" t="s">
        <v>1682</v>
      </c>
      <c r="C1127" s="10" t="s">
        <v>418</v>
      </c>
      <c r="D1127" s="10" t="s">
        <v>11</v>
      </c>
      <c r="E1127" s="10">
        <v>251</v>
      </c>
      <c r="F1127" s="10">
        <v>7</v>
      </c>
      <c r="G1127" s="10">
        <v>31115000</v>
      </c>
      <c r="H1127" s="10">
        <v>57750000</v>
      </c>
      <c r="I1127" s="5">
        <f>IMDB_Movies!$H1127-IMDB_Movies!$G1127</f>
        <v>26635000</v>
      </c>
    </row>
    <row r="1128" spans="1:9" ht="23">
      <c r="A1128" s="2" t="s">
        <v>1683</v>
      </c>
      <c r="B1128" s="9" t="s">
        <v>438</v>
      </c>
      <c r="C1128" s="9" t="s">
        <v>10</v>
      </c>
      <c r="D1128" s="9" t="s">
        <v>11</v>
      </c>
      <c r="E1128" s="9">
        <v>105</v>
      </c>
      <c r="F1128" s="9">
        <v>6.5</v>
      </c>
      <c r="G1128" s="9">
        <v>42000000</v>
      </c>
      <c r="H1128" s="9">
        <v>45290318</v>
      </c>
      <c r="I1128" s="5">
        <f>IMDB_Movies!$H1128-IMDB_Movies!$G1128</f>
        <v>3290318</v>
      </c>
    </row>
    <row r="1129" spans="1:9" ht="23">
      <c r="A1129" s="3" t="s">
        <v>1684</v>
      </c>
      <c r="B1129" s="10" t="s">
        <v>1445</v>
      </c>
      <c r="C1129" s="10" t="s">
        <v>414</v>
      </c>
      <c r="D1129" s="10" t="s">
        <v>11</v>
      </c>
      <c r="E1129" s="10">
        <v>115</v>
      </c>
      <c r="F1129" s="10">
        <v>6.3</v>
      </c>
      <c r="G1129" s="10">
        <v>42000000</v>
      </c>
      <c r="H1129" s="10">
        <v>41543207</v>
      </c>
      <c r="I1129" s="5">
        <f>IMDB_Movies!$H1129-IMDB_Movies!$G1129</f>
        <v>-456793</v>
      </c>
    </row>
    <row r="1130" spans="1:9" ht="23">
      <c r="A1130" s="2" t="s">
        <v>1685</v>
      </c>
      <c r="B1130" s="9" t="s">
        <v>1686</v>
      </c>
      <c r="C1130" s="9" t="s">
        <v>138</v>
      </c>
      <c r="D1130" s="9" t="s">
        <v>11</v>
      </c>
      <c r="E1130" s="9">
        <v>122</v>
      </c>
      <c r="F1130" s="9">
        <v>6.5</v>
      </c>
      <c r="G1130" s="9">
        <v>42000000</v>
      </c>
      <c r="H1130" s="9">
        <v>41252428</v>
      </c>
      <c r="I1130" s="5">
        <f>IMDB_Movies!$H1130-IMDB_Movies!$G1130</f>
        <v>-747572</v>
      </c>
    </row>
    <row r="1131" spans="1:9" ht="23">
      <c r="A1131" s="3" t="s">
        <v>1687</v>
      </c>
      <c r="B1131" s="10" t="s">
        <v>1688</v>
      </c>
      <c r="C1131" s="10" t="s">
        <v>56</v>
      </c>
      <c r="D1131" s="10" t="s">
        <v>11</v>
      </c>
      <c r="E1131" s="10">
        <v>119</v>
      </c>
      <c r="F1131" s="10">
        <v>6.5</v>
      </c>
      <c r="G1131" s="10">
        <v>32000000</v>
      </c>
      <c r="H1131" s="10">
        <v>35228696</v>
      </c>
      <c r="I1131" s="5">
        <f>IMDB_Movies!$H1131-IMDB_Movies!$G1131</f>
        <v>3228696</v>
      </c>
    </row>
    <row r="1132" spans="1:9" ht="23">
      <c r="A1132" s="2" t="s">
        <v>1689</v>
      </c>
      <c r="B1132" s="9" t="s">
        <v>999</v>
      </c>
      <c r="C1132" s="9" t="s">
        <v>138</v>
      </c>
      <c r="D1132" s="9" t="s">
        <v>11</v>
      </c>
      <c r="E1132" s="9">
        <v>81</v>
      </c>
      <c r="F1132" s="9">
        <v>5.8</v>
      </c>
      <c r="G1132" s="9">
        <v>42000000</v>
      </c>
      <c r="H1132" s="9">
        <v>59992760</v>
      </c>
      <c r="I1132" s="5">
        <f>IMDB_Movies!$H1132-IMDB_Movies!$G1132</f>
        <v>17992760</v>
      </c>
    </row>
    <row r="1133" spans="1:9" ht="23">
      <c r="A1133" s="3" t="s">
        <v>1690</v>
      </c>
      <c r="B1133" s="10" t="s">
        <v>1691</v>
      </c>
      <c r="C1133" s="10" t="s">
        <v>10</v>
      </c>
      <c r="D1133" s="10" t="s">
        <v>11</v>
      </c>
      <c r="E1133" s="10">
        <v>133</v>
      </c>
      <c r="F1133" s="10">
        <v>6.6</v>
      </c>
      <c r="G1133" s="10">
        <v>32000000</v>
      </c>
      <c r="H1133" s="10">
        <v>34667015</v>
      </c>
      <c r="I1133" s="5">
        <f>IMDB_Movies!$H1133-IMDB_Movies!$G1133</f>
        <v>2667015</v>
      </c>
    </row>
    <row r="1134" spans="1:9" ht="23">
      <c r="A1134" s="2" t="s">
        <v>1692</v>
      </c>
      <c r="B1134" s="9" t="s">
        <v>1693</v>
      </c>
      <c r="C1134" s="9" t="s">
        <v>713</v>
      </c>
      <c r="D1134" s="9" t="s">
        <v>11</v>
      </c>
      <c r="E1134" s="9">
        <v>100</v>
      </c>
      <c r="F1134" s="9">
        <v>5.4</v>
      </c>
      <c r="G1134" s="9">
        <v>42000000</v>
      </c>
      <c r="H1134" s="9">
        <v>37652565</v>
      </c>
      <c r="I1134" s="5">
        <f>IMDB_Movies!$H1134-IMDB_Movies!$G1134</f>
        <v>-4347435</v>
      </c>
    </row>
    <row r="1135" spans="1:9" ht="23">
      <c r="A1135" s="3" t="s">
        <v>1694</v>
      </c>
      <c r="B1135" s="10" t="s">
        <v>1695</v>
      </c>
      <c r="C1135" s="10" t="s">
        <v>10</v>
      </c>
      <c r="D1135" s="10" t="s">
        <v>11</v>
      </c>
      <c r="E1135" s="10">
        <v>120</v>
      </c>
      <c r="F1135" s="10">
        <v>6.1</v>
      </c>
      <c r="G1135" s="10">
        <v>42000000</v>
      </c>
      <c r="H1135" s="10">
        <v>24375436</v>
      </c>
      <c r="I1135" s="5">
        <f>IMDB_Movies!$H1135-IMDB_Movies!$G1135</f>
        <v>-17624564</v>
      </c>
    </row>
    <row r="1136" spans="1:9" ht="23">
      <c r="A1136" s="2" t="s">
        <v>1696</v>
      </c>
      <c r="B1136" s="9" t="s">
        <v>1697</v>
      </c>
      <c r="C1136" s="9" t="s">
        <v>24</v>
      </c>
      <c r="D1136" s="9" t="s">
        <v>11</v>
      </c>
      <c r="E1136" s="9">
        <v>104</v>
      </c>
      <c r="F1136" s="9">
        <v>4</v>
      </c>
      <c r="G1136" s="9">
        <v>42000000</v>
      </c>
      <c r="H1136" s="9">
        <v>20915465</v>
      </c>
      <c r="I1136" s="5">
        <f>IMDB_Movies!$H1136-IMDB_Movies!$G1136</f>
        <v>-21084535</v>
      </c>
    </row>
    <row r="1137" spans="1:9" ht="23">
      <c r="A1137" s="3" t="s">
        <v>1698</v>
      </c>
      <c r="B1137" s="10" t="s">
        <v>1465</v>
      </c>
      <c r="C1137" s="10" t="s">
        <v>414</v>
      </c>
      <c r="D1137" s="10" t="s">
        <v>11</v>
      </c>
      <c r="E1137" s="10">
        <v>122</v>
      </c>
      <c r="F1137" s="10">
        <v>7.6</v>
      </c>
      <c r="G1137" s="10">
        <v>50000000</v>
      </c>
      <c r="H1137" s="10">
        <v>24127895</v>
      </c>
      <c r="I1137" s="5">
        <f>IMDB_Movies!$H1137-IMDB_Movies!$G1137</f>
        <v>-25872105</v>
      </c>
    </row>
    <row r="1138" spans="1:9" ht="23">
      <c r="A1138" s="2" t="s">
        <v>1699</v>
      </c>
      <c r="B1138" s="9" t="s">
        <v>520</v>
      </c>
      <c r="C1138" s="9" t="s">
        <v>10</v>
      </c>
      <c r="D1138" s="9" t="s">
        <v>521</v>
      </c>
      <c r="E1138" s="9">
        <v>80</v>
      </c>
      <c r="F1138" s="9">
        <v>7.9</v>
      </c>
      <c r="G1138" s="9">
        <v>31000000</v>
      </c>
      <c r="H1138" s="9">
        <v>84961</v>
      </c>
      <c r="I1138" s="5">
        <f>IMDB_Movies!$H1138-IMDB_Movies!$G1138</f>
        <v>-30915039</v>
      </c>
    </row>
    <row r="1139" spans="1:9" ht="23">
      <c r="A1139" s="3" t="s">
        <v>1700</v>
      </c>
      <c r="B1139" s="10" t="s">
        <v>1701</v>
      </c>
      <c r="C1139" s="10" t="s">
        <v>10</v>
      </c>
      <c r="D1139" s="10" t="s">
        <v>11</v>
      </c>
      <c r="E1139" s="10">
        <v>91</v>
      </c>
      <c r="F1139" s="10">
        <v>5.3</v>
      </c>
      <c r="G1139" s="10">
        <v>40000000</v>
      </c>
      <c r="H1139" s="10">
        <v>26404753</v>
      </c>
      <c r="I1139" s="5">
        <f>IMDB_Movies!$H1139-IMDB_Movies!$G1139</f>
        <v>-13595247</v>
      </c>
    </row>
    <row r="1140" spans="1:9" ht="23">
      <c r="A1140" s="2" t="s">
        <v>1702</v>
      </c>
      <c r="B1140" s="9" t="s">
        <v>1703</v>
      </c>
      <c r="C1140" s="9" t="s">
        <v>138</v>
      </c>
      <c r="D1140" s="9" t="s">
        <v>11</v>
      </c>
      <c r="E1140" s="9">
        <v>112</v>
      </c>
      <c r="F1140" s="9">
        <v>6.6</v>
      </c>
      <c r="G1140" s="9">
        <v>44000000</v>
      </c>
      <c r="H1140" s="9">
        <v>6105175</v>
      </c>
      <c r="I1140" s="5">
        <f>IMDB_Movies!$H1140-IMDB_Movies!$G1140</f>
        <v>-37894825</v>
      </c>
    </row>
    <row r="1141" spans="1:9" ht="23">
      <c r="A1141" s="3" t="s">
        <v>1704</v>
      </c>
      <c r="B1141" s="10" t="s">
        <v>1705</v>
      </c>
      <c r="C1141" s="10" t="s">
        <v>10</v>
      </c>
      <c r="D1141" s="10" t="s">
        <v>11</v>
      </c>
      <c r="E1141" s="10">
        <v>100</v>
      </c>
      <c r="F1141" s="10">
        <v>6.3</v>
      </c>
      <c r="G1141" s="10">
        <v>45000000</v>
      </c>
      <c r="H1141" s="10">
        <v>5664251</v>
      </c>
      <c r="I1141" s="5">
        <f>IMDB_Movies!$H1141-IMDB_Movies!$G1141</f>
        <v>-39335749</v>
      </c>
    </row>
    <row r="1142" spans="1:9" ht="23">
      <c r="A1142" s="2" t="s">
        <v>1706</v>
      </c>
      <c r="B1142" s="9" t="s">
        <v>1128</v>
      </c>
      <c r="C1142" s="9" t="s">
        <v>10</v>
      </c>
      <c r="D1142" s="9" t="s">
        <v>394</v>
      </c>
      <c r="E1142" s="9">
        <v>105</v>
      </c>
      <c r="F1142" s="9">
        <v>7.2</v>
      </c>
      <c r="G1142" s="9">
        <v>27000000</v>
      </c>
      <c r="H1142" s="9">
        <v>1260917</v>
      </c>
      <c r="I1142" s="5">
        <f>IMDB_Movies!$H1142-IMDB_Movies!$G1142</f>
        <v>-25739083</v>
      </c>
    </row>
    <row r="1143" spans="1:9" ht="23">
      <c r="A1143" s="3" t="s">
        <v>1707</v>
      </c>
      <c r="B1143" s="10" t="s">
        <v>1330</v>
      </c>
      <c r="C1143" s="10" t="s">
        <v>56</v>
      </c>
      <c r="D1143" s="10" t="s">
        <v>11</v>
      </c>
      <c r="E1143" s="10">
        <v>110</v>
      </c>
      <c r="F1143" s="10">
        <v>7</v>
      </c>
      <c r="G1143" s="10">
        <v>41000000</v>
      </c>
      <c r="H1143" s="10">
        <v>116724075</v>
      </c>
      <c r="I1143" s="5">
        <f>IMDB_Movies!$H1143-IMDB_Movies!$G1143</f>
        <v>75724075</v>
      </c>
    </row>
    <row r="1144" spans="1:9" ht="23">
      <c r="A1144" s="2" t="s">
        <v>1708</v>
      </c>
      <c r="B1144" s="9" t="s">
        <v>1709</v>
      </c>
      <c r="C1144" s="9" t="s">
        <v>24</v>
      </c>
      <c r="D1144" s="9" t="s">
        <v>394</v>
      </c>
      <c r="E1144" s="9">
        <v>101</v>
      </c>
      <c r="F1144" s="9">
        <v>4.9000000000000004</v>
      </c>
      <c r="G1144" s="9">
        <v>20000000</v>
      </c>
      <c r="H1144" s="9">
        <v>25078937</v>
      </c>
      <c r="I1144" s="5">
        <f>IMDB_Movies!$H1144-IMDB_Movies!$G1144</f>
        <v>5078937</v>
      </c>
    </row>
    <row r="1145" spans="1:9" ht="23">
      <c r="A1145" s="3" t="s">
        <v>1710</v>
      </c>
      <c r="B1145" s="10" t="s">
        <v>1382</v>
      </c>
      <c r="C1145" s="10" t="s">
        <v>10</v>
      </c>
      <c r="D1145" s="10" t="s">
        <v>11</v>
      </c>
      <c r="E1145" s="10">
        <v>144</v>
      </c>
      <c r="F1145" s="10">
        <v>6.9</v>
      </c>
      <c r="G1145" s="10">
        <v>65000000</v>
      </c>
      <c r="H1145" s="10">
        <v>56083966</v>
      </c>
      <c r="I1145" s="5">
        <f>IMDB_Movies!$H1145-IMDB_Movies!$G1145</f>
        <v>-8916034</v>
      </c>
    </row>
    <row r="1146" spans="1:9" ht="23">
      <c r="A1146" s="2" t="s">
        <v>1711</v>
      </c>
      <c r="B1146" s="9" t="s">
        <v>1712</v>
      </c>
      <c r="C1146" s="9" t="s">
        <v>10</v>
      </c>
      <c r="D1146" s="9" t="s">
        <v>11</v>
      </c>
      <c r="E1146" s="9">
        <v>108</v>
      </c>
      <c r="F1146" s="9">
        <v>5.2</v>
      </c>
      <c r="G1146" s="9">
        <v>41000000</v>
      </c>
      <c r="H1146" s="9">
        <v>22108977</v>
      </c>
      <c r="I1146" s="5">
        <f>IMDB_Movies!$H1146-IMDB_Movies!$G1146</f>
        <v>-18891023</v>
      </c>
    </row>
    <row r="1147" spans="1:9" ht="23">
      <c r="A1147" s="3" t="s">
        <v>1713</v>
      </c>
      <c r="B1147" s="10" t="s">
        <v>247</v>
      </c>
      <c r="C1147" s="10" t="s">
        <v>56</v>
      </c>
      <c r="D1147" s="10" t="s">
        <v>11</v>
      </c>
      <c r="E1147" s="10">
        <v>107</v>
      </c>
      <c r="F1147" s="10">
        <v>8.1</v>
      </c>
      <c r="G1147" s="10">
        <v>40000000</v>
      </c>
      <c r="H1147" s="10">
        <v>293501675</v>
      </c>
      <c r="I1147" s="5">
        <f>IMDB_Movies!$H1147-IMDB_Movies!$G1147</f>
        <v>253501675</v>
      </c>
    </row>
    <row r="1148" spans="1:9" ht="23">
      <c r="A1148" s="2" t="s">
        <v>1714</v>
      </c>
      <c r="B1148" s="9" t="s">
        <v>1715</v>
      </c>
      <c r="C1148" s="9" t="s">
        <v>10</v>
      </c>
      <c r="D1148" s="9" t="s">
        <v>11</v>
      </c>
      <c r="E1148" s="9">
        <v>102</v>
      </c>
      <c r="F1148" s="9">
        <v>6.6</v>
      </c>
      <c r="G1148" s="9">
        <v>42000000</v>
      </c>
      <c r="H1148" s="9">
        <v>18600911</v>
      </c>
      <c r="I1148" s="5">
        <f>IMDB_Movies!$H1148-IMDB_Movies!$G1148</f>
        <v>-23399089</v>
      </c>
    </row>
    <row r="1149" spans="1:9" ht="23">
      <c r="A1149" s="3" t="s">
        <v>1716</v>
      </c>
      <c r="B1149" s="10" t="s">
        <v>1057</v>
      </c>
      <c r="C1149" s="10" t="s">
        <v>138</v>
      </c>
      <c r="D1149" s="10" t="s">
        <v>11</v>
      </c>
      <c r="E1149" s="10">
        <v>100</v>
      </c>
      <c r="F1149" s="10">
        <v>6.2</v>
      </c>
      <c r="G1149" s="10">
        <v>41000000</v>
      </c>
      <c r="H1149" s="10">
        <v>7204138</v>
      </c>
      <c r="I1149" s="5">
        <f>IMDB_Movies!$H1149-IMDB_Movies!$G1149</f>
        <v>-33795862</v>
      </c>
    </row>
    <row r="1150" spans="1:9" ht="23">
      <c r="A1150" s="2" t="s">
        <v>1717</v>
      </c>
      <c r="B1150" s="9" t="s">
        <v>1718</v>
      </c>
      <c r="C1150" s="9" t="s">
        <v>10</v>
      </c>
      <c r="D1150" s="9" t="s">
        <v>11</v>
      </c>
      <c r="E1150" s="9">
        <v>126</v>
      </c>
      <c r="F1150" s="9">
        <v>7.2</v>
      </c>
      <c r="G1150" s="9">
        <v>8000000</v>
      </c>
      <c r="H1150" s="9">
        <v>90800000</v>
      </c>
      <c r="I1150" s="5">
        <f>IMDB_Movies!$H1150-IMDB_Movies!$G1150</f>
        <v>82800000</v>
      </c>
    </row>
    <row r="1151" spans="1:9" ht="23">
      <c r="A1151" s="3" t="s">
        <v>1719</v>
      </c>
      <c r="B1151" s="10" t="s">
        <v>1124</v>
      </c>
      <c r="C1151" s="10" t="s">
        <v>414</v>
      </c>
      <c r="D1151" s="10" t="s">
        <v>11</v>
      </c>
      <c r="E1151" s="10">
        <v>138</v>
      </c>
      <c r="F1151" s="10">
        <v>7.3</v>
      </c>
      <c r="G1151" s="10">
        <v>40000000</v>
      </c>
      <c r="H1151" s="10">
        <v>150117807</v>
      </c>
      <c r="I1151" s="5">
        <f>IMDB_Movies!$H1151-IMDB_Movies!$G1151</f>
        <v>110117807</v>
      </c>
    </row>
    <row r="1152" spans="1:9" ht="23">
      <c r="A1152" s="2" t="s">
        <v>1720</v>
      </c>
      <c r="B1152" s="9" t="s">
        <v>1721</v>
      </c>
      <c r="C1152" s="9" t="s">
        <v>138</v>
      </c>
      <c r="D1152" s="9" t="s">
        <v>11</v>
      </c>
      <c r="E1152" s="9">
        <v>108</v>
      </c>
      <c r="F1152" s="9">
        <v>6.7</v>
      </c>
      <c r="G1152" s="9">
        <v>40000000</v>
      </c>
      <c r="H1152" s="9">
        <v>163947053</v>
      </c>
      <c r="I1152" s="5">
        <f>IMDB_Movies!$H1152-IMDB_Movies!$G1152</f>
        <v>123947053</v>
      </c>
    </row>
    <row r="1153" spans="1:9" ht="23">
      <c r="A1153" s="3" t="s">
        <v>1722</v>
      </c>
      <c r="B1153" s="10" t="s">
        <v>1723</v>
      </c>
      <c r="C1153" s="10" t="s">
        <v>414</v>
      </c>
      <c r="D1153" s="10" t="s">
        <v>11</v>
      </c>
      <c r="E1153" s="10">
        <v>105</v>
      </c>
      <c r="F1153" s="10">
        <v>6.4</v>
      </c>
      <c r="G1153" s="10">
        <v>70000000</v>
      </c>
      <c r="H1153" s="10">
        <v>116735231</v>
      </c>
      <c r="I1153" s="5">
        <f>IMDB_Movies!$H1153-IMDB_Movies!$G1153</f>
        <v>46735231</v>
      </c>
    </row>
    <row r="1154" spans="1:9" ht="23">
      <c r="A1154" s="2" t="s">
        <v>1724</v>
      </c>
      <c r="B1154" s="9" t="s">
        <v>115</v>
      </c>
      <c r="C1154" s="9" t="s">
        <v>24</v>
      </c>
      <c r="D1154" s="9" t="s">
        <v>11</v>
      </c>
      <c r="E1154" s="9">
        <v>108</v>
      </c>
      <c r="F1154" s="9">
        <v>7.8</v>
      </c>
      <c r="G1154" s="9">
        <v>40000000</v>
      </c>
      <c r="H1154" s="9">
        <v>118500000</v>
      </c>
      <c r="I1154" s="5">
        <f>IMDB_Movies!$H1154-IMDB_Movies!$G1154</f>
        <v>78500000</v>
      </c>
    </row>
    <row r="1155" spans="1:9" ht="23">
      <c r="A1155" s="3" t="s">
        <v>1725</v>
      </c>
      <c r="B1155" s="10" t="s">
        <v>530</v>
      </c>
      <c r="C1155" s="10" t="s">
        <v>10</v>
      </c>
      <c r="D1155" s="10" t="s">
        <v>11</v>
      </c>
      <c r="E1155" s="10">
        <v>89</v>
      </c>
      <c r="F1155" s="10">
        <v>6.4</v>
      </c>
      <c r="G1155" s="10">
        <v>40000000</v>
      </c>
      <c r="H1155" s="10">
        <v>126546825</v>
      </c>
      <c r="I1155" s="5">
        <f>IMDB_Movies!$H1155-IMDB_Movies!$G1155</f>
        <v>86546825</v>
      </c>
    </row>
    <row r="1156" spans="1:9" ht="23">
      <c r="A1156" s="2" t="s">
        <v>1726</v>
      </c>
      <c r="B1156" s="9" t="s">
        <v>1727</v>
      </c>
      <c r="C1156" s="9" t="s">
        <v>56</v>
      </c>
      <c r="D1156" s="9" t="s">
        <v>11</v>
      </c>
      <c r="E1156" s="9">
        <v>129</v>
      </c>
      <c r="F1156" s="9">
        <v>4.0999999999999996</v>
      </c>
      <c r="G1156" s="9">
        <v>40000000</v>
      </c>
      <c r="H1156" s="9">
        <v>166147885</v>
      </c>
      <c r="I1156" s="5">
        <f>IMDB_Movies!$H1156-IMDB_Movies!$G1156</f>
        <v>126147885</v>
      </c>
    </row>
    <row r="1157" spans="1:9" ht="23">
      <c r="A1157" s="3" t="s">
        <v>1728</v>
      </c>
      <c r="B1157" s="10" t="s">
        <v>1327</v>
      </c>
      <c r="C1157" s="10" t="s">
        <v>10</v>
      </c>
      <c r="D1157" s="10" t="s">
        <v>11</v>
      </c>
      <c r="E1157" s="10">
        <v>84</v>
      </c>
      <c r="F1157" s="10">
        <v>4.0999999999999996</v>
      </c>
      <c r="G1157" s="10">
        <v>38000000</v>
      </c>
      <c r="H1157" s="10">
        <v>111760631</v>
      </c>
      <c r="I1157" s="5">
        <f>IMDB_Movies!$H1157-IMDB_Movies!$G1157</f>
        <v>73760631</v>
      </c>
    </row>
    <row r="1158" spans="1:9" ht="23">
      <c r="A1158" s="2" t="s">
        <v>1729</v>
      </c>
      <c r="B1158" s="9" t="s">
        <v>357</v>
      </c>
      <c r="C1158" s="9" t="s">
        <v>414</v>
      </c>
      <c r="D1158" s="9" t="s">
        <v>11</v>
      </c>
      <c r="E1158" s="9">
        <v>149</v>
      </c>
      <c r="F1158" s="9">
        <v>7.4</v>
      </c>
      <c r="G1158" s="9">
        <v>40000000</v>
      </c>
      <c r="H1158" s="9">
        <v>108706165</v>
      </c>
      <c r="I1158" s="5">
        <f>IMDB_Movies!$H1158-IMDB_Movies!$G1158</f>
        <v>68706165</v>
      </c>
    </row>
    <row r="1159" spans="1:9" ht="23">
      <c r="A1159" s="3" t="s">
        <v>1730</v>
      </c>
      <c r="B1159" s="10" t="s">
        <v>216</v>
      </c>
      <c r="C1159" s="10" t="s">
        <v>138</v>
      </c>
      <c r="D1159" s="10" t="s">
        <v>11</v>
      </c>
      <c r="E1159" s="10">
        <v>94</v>
      </c>
      <c r="F1159" s="10">
        <v>5.8</v>
      </c>
      <c r="G1159" s="10">
        <v>40000000</v>
      </c>
      <c r="H1159" s="10">
        <v>138614544</v>
      </c>
      <c r="I1159" s="5">
        <f>IMDB_Movies!$H1159-IMDB_Movies!$G1159</f>
        <v>98614544</v>
      </c>
    </row>
    <row r="1160" spans="1:9" ht="23">
      <c r="A1160" s="2" t="s">
        <v>1731</v>
      </c>
      <c r="B1160" s="9" t="s">
        <v>60</v>
      </c>
      <c r="C1160" s="9" t="s">
        <v>10</v>
      </c>
      <c r="D1160" s="9" t="s">
        <v>11</v>
      </c>
      <c r="E1160" s="9">
        <v>121</v>
      </c>
      <c r="F1160" s="9">
        <v>7.6</v>
      </c>
      <c r="G1160" s="9">
        <v>40000000</v>
      </c>
      <c r="H1160" s="9">
        <v>125069696</v>
      </c>
      <c r="I1160" s="5">
        <f>IMDB_Movies!$H1160-IMDB_Movies!$G1160</f>
        <v>85069696</v>
      </c>
    </row>
    <row r="1161" spans="1:9" ht="23">
      <c r="A1161" s="3" t="s">
        <v>1732</v>
      </c>
      <c r="B1161" s="10" t="s">
        <v>1539</v>
      </c>
      <c r="C1161" s="10" t="s">
        <v>138</v>
      </c>
      <c r="D1161" s="10" t="s">
        <v>11</v>
      </c>
      <c r="E1161" s="10">
        <v>128</v>
      </c>
      <c r="F1161" s="10">
        <v>7.2</v>
      </c>
      <c r="G1161" s="10">
        <v>40000000</v>
      </c>
      <c r="H1161" s="10">
        <v>107458785</v>
      </c>
      <c r="I1161" s="5">
        <f>IMDB_Movies!$H1161-IMDB_Movies!$G1161</f>
        <v>67458785</v>
      </c>
    </row>
    <row r="1162" spans="1:9" ht="23">
      <c r="A1162" s="2" t="s">
        <v>1733</v>
      </c>
      <c r="B1162" s="9" t="s">
        <v>89</v>
      </c>
      <c r="C1162" s="9" t="s">
        <v>810</v>
      </c>
      <c r="D1162" s="9" t="s">
        <v>11</v>
      </c>
      <c r="E1162" s="9">
        <v>134</v>
      </c>
      <c r="F1162" s="9">
        <v>7.8</v>
      </c>
      <c r="G1162" s="9">
        <v>40000000</v>
      </c>
      <c r="H1162" s="9">
        <v>102310175</v>
      </c>
      <c r="I1162" s="5">
        <f>IMDB_Movies!$H1162-IMDB_Movies!$G1162</f>
        <v>62310175</v>
      </c>
    </row>
    <row r="1163" spans="1:9" ht="23">
      <c r="A1163" s="3" t="s">
        <v>1734</v>
      </c>
      <c r="B1163" s="10" t="s">
        <v>183</v>
      </c>
      <c r="C1163" s="10" t="s">
        <v>418</v>
      </c>
      <c r="D1163" s="10" t="s">
        <v>11</v>
      </c>
      <c r="E1163" s="10">
        <v>120</v>
      </c>
      <c r="F1163" s="10">
        <v>7.7</v>
      </c>
      <c r="G1163" s="10">
        <v>40000000</v>
      </c>
      <c r="H1163" s="10">
        <v>96917897</v>
      </c>
      <c r="I1163" s="5">
        <f>IMDB_Movies!$H1163-IMDB_Movies!$G1163</f>
        <v>56917897</v>
      </c>
    </row>
    <row r="1164" spans="1:9" ht="23">
      <c r="A1164" s="2" t="s">
        <v>1735</v>
      </c>
      <c r="B1164" s="9" t="s">
        <v>1736</v>
      </c>
      <c r="C1164" s="9" t="s">
        <v>138</v>
      </c>
      <c r="D1164" s="9" t="s">
        <v>11</v>
      </c>
      <c r="E1164" s="9">
        <v>129</v>
      </c>
      <c r="F1164" s="9">
        <v>6.4</v>
      </c>
      <c r="G1164" s="9">
        <v>40000000</v>
      </c>
      <c r="H1164" s="9">
        <v>93952276</v>
      </c>
      <c r="I1164" s="5">
        <f>IMDB_Movies!$H1164-IMDB_Movies!$G1164</f>
        <v>53952276</v>
      </c>
    </row>
    <row r="1165" spans="1:9" ht="23">
      <c r="A1165" s="3" t="s">
        <v>1737</v>
      </c>
      <c r="B1165" s="10" t="s">
        <v>1564</v>
      </c>
      <c r="C1165" s="10" t="s">
        <v>138</v>
      </c>
      <c r="D1165" s="10" t="s">
        <v>11</v>
      </c>
      <c r="E1165" s="10">
        <v>89</v>
      </c>
      <c r="F1165" s="10">
        <v>5.0999999999999996</v>
      </c>
      <c r="G1165" s="10">
        <v>45000000</v>
      </c>
      <c r="H1165" s="10">
        <v>90703745</v>
      </c>
      <c r="I1165" s="5">
        <f>IMDB_Movies!$H1165-IMDB_Movies!$G1165</f>
        <v>45703745</v>
      </c>
    </row>
    <row r="1166" spans="1:9" ht="23">
      <c r="A1166" s="2" t="s">
        <v>1738</v>
      </c>
      <c r="B1166" s="9" t="s">
        <v>1739</v>
      </c>
      <c r="C1166" s="9" t="s">
        <v>810</v>
      </c>
      <c r="D1166" s="9" t="s">
        <v>11</v>
      </c>
      <c r="E1166" s="9">
        <v>116</v>
      </c>
      <c r="F1166" s="9">
        <v>5.5</v>
      </c>
      <c r="G1166" s="9">
        <v>40000000</v>
      </c>
      <c r="H1166" s="9">
        <v>89138076</v>
      </c>
      <c r="I1166" s="5">
        <f>IMDB_Movies!$H1166-IMDB_Movies!$G1166</f>
        <v>49138076</v>
      </c>
    </row>
    <row r="1167" spans="1:9" ht="23">
      <c r="A1167" s="3" t="s">
        <v>1740</v>
      </c>
      <c r="B1167" s="10" t="s">
        <v>115</v>
      </c>
      <c r="C1167" s="10" t="s">
        <v>24</v>
      </c>
      <c r="D1167" s="10" t="s">
        <v>11</v>
      </c>
      <c r="E1167" s="10">
        <v>118</v>
      </c>
      <c r="F1167" s="10">
        <v>7.4</v>
      </c>
      <c r="G1167" s="10">
        <v>40000000</v>
      </c>
      <c r="H1167" s="10">
        <v>87666629</v>
      </c>
      <c r="I1167" s="5">
        <f>IMDB_Movies!$H1167-IMDB_Movies!$G1167</f>
        <v>47666629</v>
      </c>
    </row>
    <row r="1168" spans="1:9" ht="23">
      <c r="A1168" s="2" t="s">
        <v>1741</v>
      </c>
      <c r="B1168" s="9" t="s">
        <v>1742</v>
      </c>
      <c r="C1168" s="9" t="s">
        <v>138</v>
      </c>
      <c r="D1168" s="9" t="s">
        <v>11</v>
      </c>
      <c r="E1168" s="9">
        <v>107</v>
      </c>
      <c r="F1168" s="9">
        <v>6</v>
      </c>
      <c r="G1168" s="9">
        <v>40000000</v>
      </c>
      <c r="H1168" s="9">
        <v>90353764</v>
      </c>
      <c r="I1168" s="5">
        <f>IMDB_Movies!$H1168-IMDB_Movies!$G1168</f>
        <v>50353764</v>
      </c>
    </row>
    <row r="1169" spans="1:9" ht="23">
      <c r="A1169" s="3" t="s">
        <v>1743</v>
      </c>
      <c r="B1169" s="10" t="s">
        <v>1311</v>
      </c>
      <c r="C1169" s="10" t="s">
        <v>713</v>
      </c>
      <c r="D1169" s="10" t="s">
        <v>11</v>
      </c>
      <c r="E1169" s="10">
        <v>155</v>
      </c>
      <c r="F1169" s="10">
        <v>7.5</v>
      </c>
      <c r="G1169" s="10">
        <v>40000000</v>
      </c>
      <c r="H1169" s="10">
        <v>82522790</v>
      </c>
      <c r="I1169" s="5">
        <f>IMDB_Movies!$H1169-IMDB_Movies!$G1169</f>
        <v>42522790</v>
      </c>
    </row>
    <row r="1170" spans="1:9" ht="23">
      <c r="A1170" s="2" t="s">
        <v>1744</v>
      </c>
      <c r="B1170" s="9" t="s">
        <v>985</v>
      </c>
      <c r="C1170" s="9" t="s">
        <v>418</v>
      </c>
      <c r="D1170" s="9" t="s">
        <v>11</v>
      </c>
      <c r="E1170" s="9">
        <v>123</v>
      </c>
      <c r="F1170" s="9">
        <v>7</v>
      </c>
      <c r="G1170" s="9">
        <v>40000000</v>
      </c>
      <c r="H1170" s="9">
        <v>94125426</v>
      </c>
      <c r="I1170" s="5">
        <f>IMDB_Movies!$H1170-IMDB_Movies!$G1170</f>
        <v>54125426</v>
      </c>
    </row>
    <row r="1171" spans="1:9" ht="23">
      <c r="A1171" s="3" t="s">
        <v>1745</v>
      </c>
      <c r="B1171" s="10" t="s">
        <v>1382</v>
      </c>
      <c r="C1171" s="10" t="s">
        <v>418</v>
      </c>
      <c r="D1171" s="10" t="s">
        <v>11</v>
      </c>
      <c r="E1171" s="10">
        <v>128</v>
      </c>
      <c r="F1171" s="10">
        <v>7.5</v>
      </c>
      <c r="G1171" s="10">
        <v>40000000</v>
      </c>
      <c r="H1171" s="10">
        <v>95001343</v>
      </c>
      <c r="I1171" s="5">
        <f>IMDB_Movies!$H1171-IMDB_Movies!$G1171</f>
        <v>55001343</v>
      </c>
    </row>
    <row r="1172" spans="1:9" ht="23">
      <c r="A1172" s="2" t="s">
        <v>1746</v>
      </c>
      <c r="B1172" s="9" t="s">
        <v>707</v>
      </c>
      <c r="C1172" s="9" t="s">
        <v>414</v>
      </c>
      <c r="D1172" s="9" t="s">
        <v>11</v>
      </c>
      <c r="E1172" s="9">
        <v>139</v>
      </c>
      <c r="F1172" s="9">
        <v>7.3</v>
      </c>
      <c r="G1172" s="9">
        <v>40000000</v>
      </c>
      <c r="H1172" s="9">
        <v>81292135</v>
      </c>
      <c r="I1172" s="5">
        <f>IMDB_Movies!$H1172-IMDB_Movies!$G1172</f>
        <v>41292135</v>
      </c>
    </row>
    <row r="1173" spans="1:9" ht="23">
      <c r="A1173" s="3" t="s">
        <v>1747</v>
      </c>
      <c r="B1173" s="10" t="s">
        <v>934</v>
      </c>
      <c r="C1173" s="10" t="s">
        <v>138</v>
      </c>
      <c r="D1173" s="10" t="s">
        <v>11</v>
      </c>
      <c r="E1173" s="10">
        <v>109</v>
      </c>
      <c r="F1173" s="10">
        <v>5.7</v>
      </c>
      <c r="G1173" s="10">
        <v>35000000</v>
      </c>
      <c r="H1173" s="10">
        <v>86208010</v>
      </c>
      <c r="I1173" s="5">
        <f>IMDB_Movies!$H1173-IMDB_Movies!$G1173</f>
        <v>51208010</v>
      </c>
    </row>
    <row r="1174" spans="1:9" ht="23">
      <c r="A1174" s="2" t="s">
        <v>1748</v>
      </c>
      <c r="B1174" s="9" t="s">
        <v>1384</v>
      </c>
      <c r="C1174" s="9" t="s">
        <v>24</v>
      </c>
      <c r="D1174" s="9" t="s">
        <v>11</v>
      </c>
      <c r="E1174" s="9">
        <v>120</v>
      </c>
      <c r="F1174" s="9">
        <v>7.3</v>
      </c>
      <c r="G1174" s="9">
        <v>40000000</v>
      </c>
      <c r="H1174" s="9">
        <v>81593527</v>
      </c>
      <c r="I1174" s="5">
        <f>IMDB_Movies!$H1174-IMDB_Movies!$G1174</f>
        <v>41593527</v>
      </c>
    </row>
    <row r="1175" spans="1:9" ht="23">
      <c r="A1175" s="3" t="s">
        <v>1749</v>
      </c>
      <c r="B1175" s="10" t="s">
        <v>633</v>
      </c>
      <c r="C1175" s="10" t="s">
        <v>138</v>
      </c>
      <c r="D1175" s="10" t="s">
        <v>11</v>
      </c>
      <c r="E1175" s="10">
        <v>121</v>
      </c>
      <c r="F1175" s="10">
        <v>7.2</v>
      </c>
      <c r="G1175" s="10">
        <v>35000000</v>
      </c>
      <c r="H1175" s="10">
        <v>75274748</v>
      </c>
      <c r="I1175" s="5">
        <f>IMDB_Movies!$H1175-IMDB_Movies!$G1175</f>
        <v>40274748</v>
      </c>
    </row>
    <row r="1176" spans="1:9" ht="23">
      <c r="A1176" s="2" t="s">
        <v>1750</v>
      </c>
      <c r="B1176" s="9" t="s">
        <v>364</v>
      </c>
      <c r="C1176" s="9" t="s">
        <v>10</v>
      </c>
      <c r="D1176" s="9" t="s">
        <v>11</v>
      </c>
      <c r="E1176" s="9">
        <v>102</v>
      </c>
      <c r="F1176" s="9">
        <v>5.9</v>
      </c>
      <c r="G1176" s="9">
        <v>40000000</v>
      </c>
      <c r="H1176" s="9">
        <v>90835030</v>
      </c>
      <c r="I1176" s="5">
        <f>IMDB_Movies!$H1176-IMDB_Movies!$G1176</f>
        <v>50835030</v>
      </c>
    </row>
    <row r="1177" spans="1:9" ht="23">
      <c r="A1177" s="3" t="s">
        <v>1751</v>
      </c>
      <c r="B1177" s="10" t="s">
        <v>440</v>
      </c>
      <c r="C1177" s="10" t="s">
        <v>10</v>
      </c>
      <c r="D1177" s="10" t="s">
        <v>11</v>
      </c>
      <c r="E1177" s="10">
        <v>117</v>
      </c>
      <c r="F1177" s="10">
        <v>7.8</v>
      </c>
      <c r="G1177" s="10">
        <v>40000000</v>
      </c>
      <c r="H1177" s="10">
        <v>72455275</v>
      </c>
      <c r="I1177" s="5">
        <f>IMDB_Movies!$H1177-IMDB_Movies!$G1177</f>
        <v>32455275</v>
      </c>
    </row>
    <row r="1178" spans="1:9" ht="23">
      <c r="A1178" s="2" t="s">
        <v>1752</v>
      </c>
      <c r="B1178" s="9" t="s">
        <v>1015</v>
      </c>
      <c r="C1178" s="9" t="s">
        <v>418</v>
      </c>
      <c r="D1178" s="9" t="s">
        <v>11</v>
      </c>
      <c r="E1178" s="9">
        <v>178</v>
      </c>
      <c r="F1178" s="9">
        <v>7.7</v>
      </c>
      <c r="G1178" s="9">
        <v>40000000</v>
      </c>
      <c r="H1178" s="9">
        <v>75305995</v>
      </c>
      <c r="I1178" s="5">
        <f>IMDB_Movies!$H1178-IMDB_Movies!$G1178</f>
        <v>35305995</v>
      </c>
    </row>
    <row r="1179" spans="1:9" ht="23">
      <c r="A1179" s="3" t="s">
        <v>1753</v>
      </c>
      <c r="B1179" s="10" t="s">
        <v>1028</v>
      </c>
      <c r="C1179" s="10" t="s">
        <v>414</v>
      </c>
      <c r="D1179" s="10" t="s">
        <v>11</v>
      </c>
      <c r="E1179" s="10">
        <v>147</v>
      </c>
      <c r="F1179" s="10">
        <v>8.1</v>
      </c>
      <c r="G1179" s="10">
        <v>40000000</v>
      </c>
      <c r="H1179" s="10">
        <v>74098862</v>
      </c>
      <c r="I1179" s="5">
        <f>IMDB_Movies!$H1179-IMDB_Movies!$G1179</f>
        <v>34098862</v>
      </c>
    </row>
    <row r="1180" spans="1:9" ht="23">
      <c r="A1180" s="2" t="s">
        <v>1754</v>
      </c>
      <c r="B1180" s="9" t="s">
        <v>665</v>
      </c>
      <c r="C1180" s="9" t="s">
        <v>414</v>
      </c>
      <c r="D1180" s="9" t="s">
        <v>11</v>
      </c>
      <c r="E1180" s="9">
        <v>90</v>
      </c>
      <c r="F1180" s="9">
        <v>6.6</v>
      </c>
      <c r="G1180" s="9">
        <v>40000000</v>
      </c>
      <c r="H1180" s="9">
        <v>72266306</v>
      </c>
      <c r="I1180" s="5">
        <f>IMDB_Movies!$H1180-IMDB_Movies!$G1180</f>
        <v>32266306</v>
      </c>
    </row>
    <row r="1181" spans="1:9" ht="23">
      <c r="A1181" s="3" t="s">
        <v>1755</v>
      </c>
      <c r="B1181" s="10" t="s">
        <v>1677</v>
      </c>
      <c r="C1181" s="10" t="s">
        <v>138</v>
      </c>
      <c r="D1181" s="10" t="s">
        <v>11</v>
      </c>
      <c r="E1181" s="10">
        <v>105</v>
      </c>
      <c r="F1181" s="10">
        <v>7.1</v>
      </c>
      <c r="G1181" s="10">
        <v>40000000</v>
      </c>
      <c r="H1181" s="10">
        <v>71347010</v>
      </c>
      <c r="I1181" s="5">
        <f>IMDB_Movies!$H1181-IMDB_Movies!$G1181</f>
        <v>31347010</v>
      </c>
    </row>
    <row r="1182" spans="1:9" ht="23">
      <c r="A1182" s="2" t="s">
        <v>1756</v>
      </c>
      <c r="B1182" s="9" t="s">
        <v>934</v>
      </c>
      <c r="C1182" s="9" t="s">
        <v>138</v>
      </c>
      <c r="D1182" s="9" t="s">
        <v>11</v>
      </c>
      <c r="E1182" s="9">
        <v>114</v>
      </c>
      <c r="F1182" s="9">
        <v>5.9</v>
      </c>
      <c r="G1182" s="9">
        <v>40000000</v>
      </c>
      <c r="H1182" s="9">
        <v>70836296</v>
      </c>
      <c r="I1182" s="5">
        <f>IMDB_Movies!$H1182-IMDB_Movies!$G1182</f>
        <v>30836296</v>
      </c>
    </row>
    <row r="1183" spans="1:9" ht="23">
      <c r="A1183" s="3" t="s">
        <v>1757</v>
      </c>
      <c r="B1183" s="10" t="s">
        <v>205</v>
      </c>
      <c r="C1183" s="10" t="s">
        <v>56</v>
      </c>
      <c r="D1183" s="10" t="s">
        <v>11</v>
      </c>
      <c r="E1183" s="10">
        <v>206</v>
      </c>
      <c r="F1183" s="10">
        <v>8</v>
      </c>
      <c r="G1183" s="10">
        <v>40000000</v>
      </c>
      <c r="H1183" s="10">
        <v>70405498</v>
      </c>
      <c r="I1183" s="5">
        <f>IMDB_Movies!$H1183-IMDB_Movies!$G1183</f>
        <v>30405498</v>
      </c>
    </row>
    <row r="1184" spans="1:9" ht="23">
      <c r="A1184" s="2" t="s">
        <v>1758</v>
      </c>
      <c r="B1184" s="9" t="s">
        <v>1354</v>
      </c>
      <c r="C1184" s="9" t="s">
        <v>138</v>
      </c>
      <c r="D1184" s="9" t="s">
        <v>11</v>
      </c>
      <c r="E1184" s="9">
        <v>99</v>
      </c>
      <c r="F1184" s="9">
        <v>4.5999999999999996</v>
      </c>
      <c r="G1184" s="9">
        <v>40000000</v>
      </c>
      <c r="H1184" s="9">
        <v>70163652</v>
      </c>
      <c r="I1184" s="5">
        <f>IMDB_Movies!$H1184-IMDB_Movies!$G1184</f>
        <v>30163652</v>
      </c>
    </row>
    <row r="1185" spans="1:9" ht="23">
      <c r="A1185" s="3" t="s">
        <v>1759</v>
      </c>
      <c r="B1185" s="10" t="s">
        <v>13</v>
      </c>
      <c r="C1185" s="10" t="s">
        <v>24</v>
      </c>
      <c r="D1185" s="10" t="s">
        <v>11</v>
      </c>
      <c r="E1185" s="10">
        <v>123</v>
      </c>
      <c r="F1185" s="10">
        <v>6.1</v>
      </c>
      <c r="G1185" s="10">
        <v>34000000</v>
      </c>
      <c r="H1185" s="10">
        <v>66808615</v>
      </c>
      <c r="I1185" s="5">
        <f>IMDB_Movies!$H1185-IMDB_Movies!$G1185</f>
        <v>32808615</v>
      </c>
    </row>
    <row r="1186" spans="1:9" ht="23">
      <c r="A1186" s="2" t="s">
        <v>1760</v>
      </c>
      <c r="B1186" s="9" t="s">
        <v>1671</v>
      </c>
      <c r="C1186" s="9" t="s">
        <v>138</v>
      </c>
      <c r="D1186" s="9" t="s">
        <v>11</v>
      </c>
      <c r="E1186" s="9">
        <v>102</v>
      </c>
      <c r="F1186" s="9">
        <v>6.4</v>
      </c>
      <c r="G1186" s="9">
        <v>20000000</v>
      </c>
      <c r="H1186" s="9">
        <v>64149837</v>
      </c>
      <c r="I1186" s="5">
        <f>IMDB_Movies!$H1186-IMDB_Movies!$G1186</f>
        <v>44149837</v>
      </c>
    </row>
    <row r="1187" spans="1:9" ht="23">
      <c r="A1187" s="3" t="s">
        <v>1761</v>
      </c>
      <c r="B1187" s="10" t="s">
        <v>1762</v>
      </c>
      <c r="C1187" s="10" t="s">
        <v>138</v>
      </c>
      <c r="D1187" s="10" t="s">
        <v>11</v>
      </c>
      <c r="E1187" s="10">
        <v>109</v>
      </c>
      <c r="F1187" s="10">
        <v>6</v>
      </c>
      <c r="G1187" s="10">
        <v>40000000</v>
      </c>
      <c r="H1187" s="10">
        <v>83906114</v>
      </c>
      <c r="I1187" s="5">
        <f>IMDB_Movies!$H1187-IMDB_Movies!$G1187</f>
        <v>43906114</v>
      </c>
    </row>
    <row r="1188" spans="1:9" ht="23">
      <c r="A1188" s="2" t="s">
        <v>1763</v>
      </c>
      <c r="B1188" s="9" t="s">
        <v>1607</v>
      </c>
      <c r="C1188" s="9" t="s">
        <v>810</v>
      </c>
      <c r="D1188" s="9" t="s">
        <v>11</v>
      </c>
      <c r="E1188" s="9">
        <v>82</v>
      </c>
      <c r="F1188" s="9">
        <v>5.2</v>
      </c>
      <c r="G1188" s="9">
        <v>40000000</v>
      </c>
      <c r="H1188" s="9">
        <v>66466372</v>
      </c>
      <c r="I1188" s="5">
        <f>IMDB_Movies!$H1188-IMDB_Movies!$G1188</f>
        <v>26466372</v>
      </c>
    </row>
    <row r="1189" spans="1:9" ht="23">
      <c r="A1189" s="3" t="s">
        <v>1764</v>
      </c>
      <c r="B1189" s="10" t="s">
        <v>103</v>
      </c>
      <c r="C1189" s="10" t="s">
        <v>56</v>
      </c>
      <c r="D1189" s="10" t="s">
        <v>11</v>
      </c>
      <c r="E1189" s="10">
        <v>142</v>
      </c>
      <c r="F1189" s="10">
        <v>7.6</v>
      </c>
      <c r="G1189" s="10">
        <v>40000000</v>
      </c>
      <c r="H1189" s="10">
        <v>72306065</v>
      </c>
      <c r="I1189" s="5">
        <f>IMDB_Movies!$H1189-IMDB_Movies!$G1189</f>
        <v>32306065</v>
      </c>
    </row>
    <row r="1190" spans="1:9" ht="23">
      <c r="A1190" s="2" t="s">
        <v>1765</v>
      </c>
      <c r="B1190" s="9" t="s">
        <v>552</v>
      </c>
      <c r="C1190" s="9" t="s">
        <v>10</v>
      </c>
      <c r="D1190" s="9" t="s">
        <v>11</v>
      </c>
      <c r="E1190" s="9">
        <v>106</v>
      </c>
      <c r="F1190" s="9">
        <v>6.4</v>
      </c>
      <c r="G1190" s="9">
        <v>40000000</v>
      </c>
      <c r="H1190" s="9">
        <v>59068786</v>
      </c>
      <c r="I1190" s="5">
        <f>IMDB_Movies!$H1190-IMDB_Movies!$G1190</f>
        <v>19068786</v>
      </c>
    </row>
    <row r="1191" spans="1:9" ht="23">
      <c r="A1191" s="3" t="s">
        <v>1766</v>
      </c>
      <c r="B1191" s="10" t="s">
        <v>1767</v>
      </c>
      <c r="C1191" s="10" t="s">
        <v>138</v>
      </c>
      <c r="D1191" s="10" t="s">
        <v>11</v>
      </c>
      <c r="E1191" s="10">
        <v>114</v>
      </c>
      <c r="F1191" s="10">
        <v>6.4</v>
      </c>
      <c r="G1191" s="10">
        <v>20000000</v>
      </c>
      <c r="H1191" s="10">
        <v>60923325</v>
      </c>
      <c r="I1191" s="5">
        <f>IMDB_Movies!$H1191-IMDB_Movies!$G1191</f>
        <v>40923325</v>
      </c>
    </row>
    <row r="1192" spans="1:9" ht="23">
      <c r="A1192" s="2" t="s">
        <v>1768</v>
      </c>
      <c r="B1192" s="9" t="s">
        <v>451</v>
      </c>
      <c r="C1192" s="9" t="s">
        <v>138</v>
      </c>
      <c r="D1192" s="9" t="s">
        <v>11</v>
      </c>
      <c r="E1192" s="9">
        <v>106</v>
      </c>
      <c r="F1192" s="9">
        <v>6.1</v>
      </c>
      <c r="G1192" s="9">
        <v>50000000</v>
      </c>
      <c r="H1192" s="9">
        <v>57887882</v>
      </c>
      <c r="I1192" s="5">
        <f>IMDB_Movies!$H1192-IMDB_Movies!$G1192</f>
        <v>7887882</v>
      </c>
    </row>
    <row r="1193" spans="1:9" ht="23">
      <c r="A1193" s="3" t="s">
        <v>1769</v>
      </c>
      <c r="B1193" s="10" t="s">
        <v>760</v>
      </c>
      <c r="C1193" s="10" t="s">
        <v>10</v>
      </c>
      <c r="D1193" s="10" t="s">
        <v>11</v>
      </c>
      <c r="E1193" s="10">
        <v>108</v>
      </c>
      <c r="F1193" s="10">
        <v>6.1</v>
      </c>
      <c r="G1193" s="10">
        <v>40000000</v>
      </c>
      <c r="H1193" s="10">
        <v>53955614</v>
      </c>
      <c r="I1193" s="5">
        <f>IMDB_Movies!$H1193-IMDB_Movies!$G1193</f>
        <v>13955614</v>
      </c>
    </row>
    <row r="1194" spans="1:9" ht="23">
      <c r="A1194" s="2" t="s">
        <v>1770</v>
      </c>
      <c r="B1194" s="9" t="s">
        <v>1771</v>
      </c>
      <c r="C1194" s="9" t="s">
        <v>10</v>
      </c>
      <c r="D1194" s="9" t="s">
        <v>11</v>
      </c>
      <c r="E1194" s="9">
        <v>98</v>
      </c>
      <c r="F1194" s="9">
        <v>5.2</v>
      </c>
      <c r="G1194" s="9">
        <v>40000000</v>
      </c>
      <c r="H1194" s="9">
        <v>54967359</v>
      </c>
      <c r="I1194" s="5">
        <f>IMDB_Movies!$H1194-IMDB_Movies!$G1194</f>
        <v>14967359</v>
      </c>
    </row>
    <row r="1195" spans="1:9" ht="23">
      <c r="A1195" s="3" t="s">
        <v>1772</v>
      </c>
      <c r="B1195" s="10" t="s">
        <v>142</v>
      </c>
      <c r="C1195" s="10" t="s">
        <v>10</v>
      </c>
      <c r="D1195" s="10" t="s">
        <v>11</v>
      </c>
      <c r="E1195" s="10">
        <v>131</v>
      </c>
      <c r="F1195" s="10">
        <v>7.7</v>
      </c>
      <c r="G1195" s="10">
        <v>35000000</v>
      </c>
      <c r="H1195" s="10">
        <v>54228104</v>
      </c>
      <c r="I1195" s="5">
        <f>IMDB_Movies!$H1195-IMDB_Movies!$G1195</f>
        <v>19228104</v>
      </c>
    </row>
    <row r="1196" spans="1:9" ht="23">
      <c r="A1196" s="2" t="s">
        <v>1773</v>
      </c>
      <c r="B1196" s="9" t="s">
        <v>1558</v>
      </c>
      <c r="C1196" s="9" t="s">
        <v>414</v>
      </c>
      <c r="D1196" s="9" t="s">
        <v>11</v>
      </c>
      <c r="E1196" s="9">
        <v>118</v>
      </c>
      <c r="F1196" s="9">
        <v>7.3</v>
      </c>
      <c r="G1196" s="9">
        <v>40000000</v>
      </c>
      <c r="H1196" s="9">
        <v>57981889</v>
      </c>
      <c r="I1196" s="5">
        <f>IMDB_Movies!$H1196-IMDB_Movies!$G1196</f>
        <v>17981889</v>
      </c>
    </row>
    <row r="1197" spans="1:9" ht="23">
      <c r="A1197" s="3" t="s">
        <v>1774</v>
      </c>
      <c r="B1197" s="10" t="s">
        <v>1399</v>
      </c>
      <c r="C1197" s="10" t="s">
        <v>10</v>
      </c>
      <c r="D1197" s="10" t="s">
        <v>11</v>
      </c>
      <c r="E1197" s="10">
        <v>113</v>
      </c>
      <c r="F1197" s="10">
        <v>6.9</v>
      </c>
      <c r="G1197" s="10">
        <v>30000000</v>
      </c>
      <c r="H1197" s="10">
        <v>61094903</v>
      </c>
      <c r="I1197" s="5">
        <f>IMDB_Movies!$H1197-IMDB_Movies!$G1197</f>
        <v>31094903</v>
      </c>
    </row>
    <row r="1198" spans="1:9" ht="23">
      <c r="A1198" s="2" t="s">
        <v>1775</v>
      </c>
      <c r="B1198" s="9" t="s">
        <v>17</v>
      </c>
      <c r="C1198" s="9" t="s">
        <v>56</v>
      </c>
      <c r="D1198" s="9" t="s">
        <v>11</v>
      </c>
      <c r="E1198" s="9">
        <v>130</v>
      </c>
      <c r="F1198" s="9">
        <v>8.5</v>
      </c>
      <c r="G1198" s="9">
        <v>40000000</v>
      </c>
      <c r="H1198" s="9">
        <v>53082743</v>
      </c>
      <c r="I1198" s="5">
        <f>IMDB_Movies!$H1198-IMDB_Movies!$G1198</f>
        <v>13082743</v>
      </c>
    </row>
    <row r="1199" spans="1:9" ht="23">
      <c r="A1199" s="3" t="s">
        <v>1776</v>
      </c>
      <c r="B1199" s="10" t="s">
        <v>1221</v>
      </c>
      <c r="C1199" s="10" t="s">
        <v>138</v>
      </c>
      <c r="D1199" s="10" t="s">
        <v>11</v>
      </c>
      <c r="E1199" s="10">
        <v>116</v>
      </c>
      <c r="F1199" s="10">
        <v>6.3</v>
      </c>
      <c r="G1199" s="10">
        <v>42000000</v>
      </c>
      <c r="H1199" s="10">
        <v>54414716</v>
      </c>
      <c r="I1199" s="5">
        <f>IMDB_Movies!$H1199-IMDB_Movies!$G1199</f>
        <v>12414716</v>
      </c>
    </row>
    <row r="1200" spans="1:9" ht="23">
      <c r="A1200" s="2" t="s">
        <v>1777</v>
      </c>
      <c r="B1200" s="9" t="s">
        <v>1778</v>
      </c>
      <c r="C1200" s="9" t="s">
        <v>24</v>
      </c>
      <c r="D1200" s="9" t="s">
        <v>11</v>
      </c>
      <c r="E1200" s="9">
        <v>89</v>
      </c>
      <c r="F1200" s="9">
        <v>5.9</v>
      </c>
      <c r="G1200" s="9">
        <v>40000000</v>
      </c>
      <c r="H1200" s="9">
        <v>57011847</v>
      </c>
      <c r="I1200" s="5">
        <f>IMDB_Movies!$H1200-IMDB_Movies!$G1200</f>
        <v>17011847</v>
      </c>
    </row>
    <row r="1201" spans="1:9" ht="23">
      <c r="A1201" s="3" t="s">
        <v>1779</v>
      </c>
      <c r="B1201" s="10" t="s">
        <v>868</v>
      </c>
      <c r="C1201" s="10" t="s">
        <v>10</v>
      </c>
      <c r="D1201" s="10" t="s">
        <v>1780</v>
      </c>
      <c r="E1201" s="10">
        <v>139</v>
      </c>
      <c r="F1201" s="10">
        <v>7.8</v>
      </c>
      <c r="G1201" s="10">
        <v>40000000</v>
      </c>
      <c r="H1201" s="10">
        <v>50859889</v>
      </c>
      <c r="I1201" s="5">
        <f>IMDB_Movies!$H1201-IMDB_Movies!$G1201</f>
        <v>10859889</v>
      </c>
    </row>
    <row r="1202" spans="1:9" ht="23">
      <c r="A1202" s="2" t="s">
        <v>1781</v>
      </c>
      <c r="B1202" s="9" t="s">
        <v>1691</v>
      </c>
      <c r="C1202" s="9" t="s">
        <v>10</v>
      </c>
      <c r="D1202" s="9" t="s">
        <v>11</v>
      </c>
      <c r="E1202" s="9">
        <v>130</v>
      </c>
      <c r="F1202" s="9">
        <v>6.7</v>
      </c>
      <c r="G1202" s="9">
        <v>30000000</v>
      </c>
      <c r="H1202" s="9">
        <v>51185897</v>
      </c>
      <c r="I1202" s="5">
        <f>IMDB_Movies!$H1202-IMDB_Movies!$G1202</f>
        <v>21185897</v>
      </c>
    </row>
    <row r="1203" spans="1:9" ht="23">
      <c r="A1203" s="3" t="s">
        <v>1782</v>
      </c>
      <c r="B1203" s="10" t="s">
        <v>1783</v>
      </c>
      <c r="C1203" s="10" t="s">
        <v>10</v>
      </c>
      <c r="D1203" s="10" t="s">
        <v>11</v>
      </c>
      <c r="E1203" s="10">
        <v>107</v>
      </c>
      <c r="F1203" s="10">
        <v>6.4</v>
      </c>
      <c r="G1203" s="10">
        <v>40000000</v>
      </c>
      <c r="H1203" s="10">
        <v>52000688</v>
      </c>
      <c r="I1203" s="5">
        <f>IMDB_Movies!$H1203-IMDB_Movies!$G1203</f>
        <v>12000688</v>
      </c>
    </row>
    <row r="1204" spans="1:9" ht="23">
      <c r="A1204" s="2" t="s">
        <v>1784</v>
      </c>
      <c r="B1204" s="9" t="s">
        <v>722</v>
      </c>
      <c r="C1204" s="9" t="s">
        <v>138</v>
      </c>
      <c r="D1204" s="9" t="s">
        <v>11</v>
      </c>
      <c r="E1204" s="9">
        <v>116</v>
      </c>
      <c r="F1204" s="9">
        <v>5.9</v>
      </c>
      <c r="G1204" s="9">
        <v>40000000</v>
      </c>
      <c r="H1204" s="9">
        <v>49851591</v>
      </c>
      <c r="I1204" s="5">
        <f>IMDB_Movies!$H1204-IMDB_Movies!$G1204</f>
        <v>9851591</v>
      </c>
    </row>
    <row r="1205" spans="1:9" ht="23">
      <c r="A1205" s="3" t="s">
        <v>1785</v>
      </c>
      <c r="B1205" s="10" t="s">
        <v>1193</v>
      </c>
      <c r="C1205" s="10" t="s">
        <v>228</v>
      </c>
      <c r="D1205" s="10" t="s">
        <v>11</v>
      </c>
      <c r="E1205" s="10">
        <v>96</v>
      </c>
      <c r="F1205" s="10">
        <v>6.6</v>
      </c>
      <c r="G1205" s="10">
        <v>40000000</v>
      </c>
      <c r="H1205" s="10">
        <v>47781388</v>
      </c>
      <c r="I1205" s="5">
        <f>IMDB_Movies!$H1205-IMDB_Movies!$G1205</f>
        <v>7781388</v>
      </c>
    </row>
    <row r="1206" spans="1:9" ht="23">
      <c r="A1206" s="2" t="s">
        <v>1786</v>
      </c>
      <c r="B1206" s="9" t="s">
        <v>1787</v>
      </c>
      <c r="C1206" s="9" t="s">
        <v>56</v>
      </c>
      <c r="D1206" s="9" t="s">
        <v>11</v>
      </c>
      <c r="E1206" s="9">
        <v>99</v>
      </c>
      <c r="F1206" s="9">
        <v>6.8</v>
      </c>
      <c r="G1206" s="9">
        <v>40000000</v>
      </c>
      <c r="H1206" s="9">
        <v>52320979</v>
      </c>
      <c r="I1206" s="5">
        <f>IMDB_Movies!$H1206-IMDB_Movies!$G1206</f>
        <v>12320979</v>
      </c>
    </row>
    <row r="1207" spans="1:9" ht="23">
      <c r="A1207" s="3" t="s">
        <v>1788</v>
      </c>
      <c r="B1207" s="10" t="s">
        <v>1190</v>
      </c>
      <c r="C1207" s="10" t="s">
        <v>810</v>
      </c>
      <c r="D1207" s="10" t="s">
        <v>11</v>
      </c>
      <c r="E1207" s="10">
        <v>104</v>
      </c>
      <c r="F1207" s="10">
        <v>6.5</v>
      </c>
      <c r="G1207" s="10">
        <v>43000000</v>
      </c>
      <c r="H1207" s="10">
        <v>47806295</v>
      </c>
      <c r="I1207" s="5">
        <f>IMDB_Movies!$H1207-IMDB_Movies!$G1207</f>
        <v>4806295</v>
      </c>
    </row>
    <row r="1208" spans="1:9" ht="23">
      <c r="A1208" s="2" t="s">
        <v>1789</v>
      </c>
      <c r="B1208" s="9" t="s">
        <v>1790</v>
      </c>
      <c r="C1208" s="9" t="s">
        <v>138</v>
      </c>
      <c r="D1208" s="9" t="s">
        <v>11</v>
      </c>
      <c r="E1208" s="9">
        <v>105</v>
      </c>
      <c r="F1208" s="9">
        <v>6.6</v>
      </c>
      <c r="G1208" s="9">
        <v>25000000</v>
      </c>
      <c r="H1208" s="9">
        <v>51853450</v>
      </c>
      <c r="I1208" s="5">
        <f>IMDB_Movies!$H1208-IMDB_Movies!$G1208</f>
        <v>26853450</v>
      </c>
    </row>
    <row r="1209" spans="1:9" ht="23">
      <c r="A1209" s="3" t="s">
        <v>1791</v>
      </c>
      <c r="B1209" s="10" t="s">
        <v>1792</v>
      </c>
      <c r="C1209" s="10" t="s">
        <v>138</v>
      </c>
      <c r="D1209" s="10" t="s">
        <v>11</v>
      </c>
      <c r="E1209" s="10">
        <v>101</v>
      </c>
      <c r="F1209" s="10">
        <v>5.8</v>
      </c>
      <c r="G1209" s="10">
        <v>40000000</v>
      </c>
      <c r="H1209" s="10">
        <v>46012734</v>
      </c>
      <c r="I1209" s="5">
        <f>IMDB_Movies!$H1209-IMDB_Movies!$G1209</f>
        <v>6012734</v>
      </c>
    </row>
    <row r="1210" spans="1:9" ht="23">
      <c r="A1210" s="2" t="s">
        <v>1793</v>
      </c>
      <c r="B1210" s="9" t="s">
        <v>992</v>
      </c>
      <c r="C1210" s="9" t="s">
        <v>418</v>
      </c>
      <c r="D1210" s="9" t="s">
        <v>11</v>
      </c>
      <c r="E1210" s="9">
        <v>134</v>
      </c>
      <c r="F1210" s="9">
        <v>6.9</v>
      </c>
      <c r="G1210" s="9">
        <v>40000000</v>
      </c>
      <c r="H1210" s="9">
        <v>47034272</v>
      </c>
      <c r="I1210" s="5">
        <f>IMDB_Movies!$H1210-IMDB_Movies!$G1210</f>
        <v>7034272</v>
      </c>
    </row>
    <row r="1211" spans="1:9" ht="23">
      <c r="A1211" s="3" t="s">
        <v>1794</v>
      </c>
      <c r="B1211" s="10" t="s">
        <v>1311</v>
      </c>
      <c r="C1211" s="10" t="s">
        <v>414</v>
      </c>
      <c r="D1211" s="10" t="s">
        <v>11</v>
      </c>
      <c r="E1211" s="10">
        <v>135</v>
      </c>
      <c r="F1211" s="10">
        <v>7.1</v>
      </c>
      <c r="G1211" s="10">
        <v>40000000</v>
      </c>
      <c r="H1211" s="10">
        <v>45856732</v>
      </c>
      <c r="I1211" s="5">
        <f>IMDB_Movies!$H1211-IMDB_Movies!$G1211</f>
        <v>5856732</v>
      </c>
    </row>
    <row r="1212" spans="1:9" ht="23">
      <c r="A1212" s="2" t="s">
        <v>1795</v>
      </c>
      <c r="B1212" s="9" t="s">
        <v>1619</v>
      </c>
      <c r="C1212" s="9" t="s">
        <v>810</v>
      </c>
      <c r="D1212" s="9" t="s">
        <v>11</v>
      </c>
      <c r="E1212" s="9">
        <v>98</v>
      </c>
      <c r="F1212" s="9">
        <v>5.8</v>
      </c>
      <c r="G1212" s="9">
        <v>40000000</v>
      </c>
      <c r="H1212" s="9">
        <v>59588068</v>
      </c>
      <c r="I1212" s="5">
        <f>IMDB_Movies!$H1212-IMDB_Movies!$G1212</f>
        <v>19588068</v>
      </c>
    </row>
    <row r="1213" spans="1:9" ht="23">
      <c r="A1213" s="3" t="s">
        <v>1796</v>
      </c>
      <c r="B1213" s="10" t="s">
        <v>103</v>
      </c>
      <c r="C1213" s="10" t="s">
        <v>56</v>
      </c>
      <c r="D1213" s="10" t="s">
        <v>11</v>
      </c>
      <c r="E1213" s="10">
        <v>155</v>
      </c>
      <c r="F1213" s="10">
        <v>7.2</v>
      </c>
      <c r="G1213" s="10">
        <v>36000000</v>
      </c>
      <c r="H1213" s="10">
        <v>44175394</v>
      </c>
      <c r="I1213" s="5">
        <f>IMDB_Movies!$H1213-IMDB_Movies!$G1213</f>
        <v>8175394</v>
      </c>
    </row>
    <row r="1214" spans="1:9" ht="23">
      <c r="A1214" s="2" t="s">
        <v>1797</v>
      </c>
      <c r="B1214" s="9" t="s">
        <v>353</v>
      </c>
      <c r="C1214" s="9" t="s">
        <v>24</v>
      </c>
      <c r="D1214" s="9" t="s">
        <v>11</v>
      </c>
      <c r="E1214" s="9">
        <v>106</v>
      </c>
      <c r="F1214" s="9">
        <v>6</v>
      </c>
      <c r="G1214" s="9">
        <v>40000000</v>
      </c>
      <c r="H1214" s="9">
        <v>45500797</v>
      </c>
      <c r="I1214" s="5">
        <f>IMDB_Movies!$H1214-IMDB_Movies!$G1214</f>
        <v>5500797</v>
      </c>
    </row>
    <row r="1215" spans="1:9" ht="23">
      <c r="A1215" s="3" t="s">
        <v>1798</v>
      </c>
      <c r="B1215" s="10" t="s">
        <v>1799</v>
      </c>
      <c r="C1215" s="10" t="s">
        <v>10</v>
      </c>
      <c r="D1215" s="10" t="s">
        <v>11</v>
      </c>
      <c r="E1215" s="10">
        <v>102</v>
      </c>
      <c r="F1215" s="10">
        <v>4.7</v>
      </c>
      <c r="G1215" s="10">
        <v>40000000</v>
      </c>
      <c r="H1215" s="10">
        <v>41797066</v>
      </c>
      <c r="I1215" s="5">
        <f>IMDB_Movies!$H1215-IMDB_Movies!$G1215</f>
        <v>1797066</v>
      </c>
    </row>
    <row r="1216" spans="1:9" ht="23">
      <c r="A1216" s="2" t="s">
        <v>1800</v>
      </c>
      <c r="B1216" s="9" t="s">
        <v>1147</v>
      </c>
      <c r="C1216" s="9" t="s">
        <v>138</v>
      </c>
      <c r="D1216" s="9" t="s">
        <v>11</v>
      </c>
      <c r="E1216" s="9">
        <v>95</v>
      </c>
      <c r="F1216" s="9">
        <v>5.2</v>
      </c>
      <c r="G1216" s="9">
        <v>40000000</v>
      </c>
      <c r="H1216" s="9">
        <v>38087756</v>
      </c>
      <c r="I1216" s="5">
        <f>IMDB_Movies!$H1216-IMDB_Movies!$G1216</f>
        <v>-1912244</v>
      </c>
    </row>
    <row r="1217" spans="1:9" ht="23">
      <c r="A1217" s="3" t="s">
        <v>1801</v>
      </c>
      <c r="B1217" s="10" t="s">
        <v>1802</v>
      </c>
      <c r="C1217" s="10" t="s">
        <v>56</v>
      </c>
      <c r="D1217" s="10" t="s">
        <v>11</v>
      </c>
      <c r="E1217" s="10">
        <v>103</v>
      </c>
      <c r="F1217" s="10">
        <v>5.5</v>
      </c>
      <c r="G1217" s="10">
        <v>40000000</v>
      </c>
      <c r="H1217" s="10">
        <v>37752931</v>
      </c>
      <c r="I1217" s="5">
        <f>IMDB_Movies!$H1217-IMDB_Movies!$G1217</f>
        <v>-2247069</v>
      </c>
    </row>
    <row r="1218" spans="1:9" ht="23">
      <c r="A1218" s="2" t="s">
        <v>1803</v>
      </c>
      <c r="B1218" s="9" t="s">
        <v>1073</v>
      </c>
      <c r="C1218" s="9" t="s">
        <v>138</v>
      </c>
      <c r="D1218" s="9" t="s">
        <v>11</v>
      </c>
      <c r="E1218" s="9">
        <v>95</v>
      </c>
      <c r="F1218" s="9">
        <v>6.5</v>
      </c>
      <c r="G1218" s="9">
        <v>20000000</v>
      </c>
      <c r="H1218" s="9">
        <v>50562555</v>
      </c>
      <c r="I1218" s="5">
        <f>IMDB_Movies!$H1218-IMDB_Movies!$G1218</f>
        <v>30562555</v>
      </c>
    </row>
    <row r="1219" spans="1:9" ht="23">
      <c r="A1219" s="3" t="s">
        <v>1804</v>
      </c>
      <c r="B1219" s="10" t="s">
        <v>1805</v>
      </c>
      <c r="C1219" s="10" t="s">
        <v>24</v>
      </c>
      <c r="D1219" s="10" t="s">
        <v>11</v>
      </c>
      <c r="E1219" s="10">
        <v>109</v>
      </c>
      <c r="F1219" s="10">
        <v>7</v>
      </c>
      <c r="G1219" s="10">
        <v>40000000</v>
      </c>
      <c r="H1219" s="10">
        <v>37371385</v>
      </c>
      <c r="I1219" s="5">
        <f>IMDB_Movies!$H1219-IMDB_Movies!$G1219</f>
        <v>-2628615</v>
      </c>
    </row>
    <row r="1220" spans="1:9" ht="23">
      <c r="A1220" s="2" t="s">
        <v>1806</v>
      </c>
      <c r="B1220" s="9" t="s">
        <v>1721</v>
      </c>
      <c r="C1220" s="9" t="s">
        <v>138</v>
      </c>
      <c r="D1220" s="9" t="s">
        <v>11</v>
      </c>
      <c r="E1220" s="9">
        <v>95</v>
      </c>
      <c r="F1220" s="9">
        <v>5.8</v>
      </c>
      <c r="G1220" s="9">
        <v>40000000</v>
      </c>
      <c r="H1220" s="9">
        <v>37101011</v>
      </c>
      <c r="I1220" s="5">
        <f>IMDB_Movies!$H1220-IMDB_Movies!$G1220</f>
        <v>-2898989</v>
      </c>
    </row>
    <row r="1221" spans="1:9" ht="23">
      <c r="A1221" s="3" t="s">
        <v>1807</v>
      </c>
      <c r="B1221" s="10" t="s">
        <v>1739</v>
      </c>
      <c r="C1221" s="10" t="s">
        <v>810</v>
      </c>
      <c r="D1221" s="10" t="s">
        <v>11</v>
      </c>
      <c r="E1221" s="10">
        <v>111</v>
      </c>
      <c r="F1221" s="10">
        <v>6.2</v>
      </c>
      <c r="G1221" s="10">
        <v>40000000</v>
      </c>
      <c r="H1221" s="10">
        <v>38176892</v>
      </c>
      <c r="I1221" s="5">
        <f>IMDB_Movies!$H1221-IMDB_Movies!$G1221</f>
        <v>-1823108</v>
      </c>
    </row>
    <row r="1222" spans="1:9" ht="23">
      <c r="A1222" s="2" t="s">
        <v>1808</v>
      </c>
      <c r="B1222" s="9" t="s">
        <v>357</v>
      </c>
      <c r="C1222" s="9" t="s">
        <v>228</v>
      </c>
      <c r="D1222" s="9" t="s">
        <v>11</v>
      </c>
      <c r="E1222" s="9">
        <v>123</v>
      </c>
      <c r="F1222" s="9">
        <v>6.5</v>
      </c>
      <c r="G1222" s="9">
        <v>40000000</v>
      </c>
      <c r="H1222" s="9">
        <v>36283504</v>
      </c>
      <c r="I1222" s="5">
        <f>IMDB_Movies!$H1222-IMDB_Movies!$G1222</f>
        <v>-3716496</v>
      </c>
    </row>
    <row r="1223" spans="1:9" ht="23">
      <c r="A1223" s="3" t="s">
        <v>1809</v>
      </c>
      <c r="B1223" s="10" t="s">
        <v>205</v>
      </c>
      <c r="C1223" s="10" t="s">
        <v>418</v>
      </c>
      <c r="D1223" s="10" t="s">
        <v>11</v>
      </c>
      <c r="E1223" s="10">
        <v>140</v>
      </c>
      <c r="F1223" s="10">
        <v>7.2</v>
      </c>
      <c r="G1223" s="10">
        <v>38000000</v>
      </c>
      <c r="H1223" s="10">
        <v>35183792</v>
      </c>
      <c r="I1223" s="5">
        <f>IMDB_Movies!$H1223-IMDB_Movies!$G1223</f>
        <v>-2816208</v>
      </c>
    </row>
    <row r="1224" spans="1:9" ht="23">
      <c r="A1224" s="2" t="s">
        <v>1810</v>
      </c>
      <c r="B1224" s="9" t="s">
        <v>1811</v>
      </c>
      <c r="C1224" s="9" t="s">
        <v>138</v>
      </c>
      <c r="D1224" s="9" t="s">
        <v>11</v>
      </c>
      <c r="E1224" s="9">
        <v>94</v>
      </c>
      <c r="F1224" s="9">
        <v>5.0999999999999996</v>
      </c>
      <c r="G1224" s="9">
        <v>40000000</v>
      </c>
      <c r="H1224" s="9">
        <v>38543473</v>
      </c>
      <c r="I1224" s="5">
        <f>IMDB_Movies!$H1224-IMDB_Movies!$G1224</f>
        <v>-1456527</v>
      </c>
    </row>
    <row r="1225" spans="1:9" ht="23">
      <c r="A1225" s="3" t="s">
        <v>1812</v>
      </c>
      <c r="B1225" s="10" t="s">
        <v>1813</v>
      </c>
      <c r="C1225" s="10" t="s">
        <v>138</v>
      </c>
      <c r="D1225" s="10" t="s">
        <v>11</v>
      </c>
      <c r="E1225" s="10">
        <v>94</v>
      </c>
      <c r="F1225" s="10">
        <v>4.7</v>
      </c>
      <c r="G1225" s="10">
        <v>60000000</v>
      </c>
      <c r="H1225" s="10">
        <v>36037909</v>
      </c>
      <c r="I1225" s="5">
        <f>IMDB_Movies!$H1225-IMDB_Movies!$G1225</f>
        <v>-23962091</v>
      </c>
    </row>
    <row r="1226" spans="1:9" ht="23">
      <c r="A1226" s="2" t="s">
        <v>1814</v>
      </c>
      <c r="B1226" s="9" t="s">
        <v>1434</v>
      </c>
      <c r="C1226" s="9" t="s">
        <v>810</v>
      </c>
      <c r="D1226" s="9" t="s">
        <v>11</v>
      </c>
      <c r="E1226" s="9">
        <v>92</v>
      </c>
      <c r="F1226" s="9">
        <v>5.9</v>
      </c>
      <c r="G1226" s="9">
        <v>40000000</v>
      </c>
      <c r="H1226" s="9">
        <v>42575718</v>
      </c>
      <c r="I1226" s="5">
        <f>IMDB_Movies!$H1226-IMDB_Movies!$G1226</f>
        <v>2575718</v>
      </c>
    </row>
    <row r="1227" spans="1:9" ht="23">
      <c r="A1227" s="3" t="s">
        <v>1815</v>
      </c>
      <c r="B1227" s="10" t="s">
        <v>1816</v>
      </c>
      <c r="C1227" s="10" t="s">
        <v>138</v>
      </c>
      <c r="D1227" s="10" t="s">
        <v>11</v>
      </c>
      <c r="E1227" s="10">
        <v>102</v>
      </c>
      <c r="F1227" s="10">
        <v>5.8</v>
      </c>
      <c r="G1227" s="10">
        <v>40000000</v>
      </c>
      <c r="H1227" s="10">
        <v>33864342</v>
      </c>
      <c r="I1227" s="5">
        <f>IMDB_Movies!$H1227-IMDB_Movies!$G1227</f>
        <v>-6135658</v>
      </c>
    </row>
    <row r="1228" spans="1:9" ht="23">
      <c r="A1228" s="2" t="s">
        <v>1817</v>
      </c>
      <c r="B1228" s="9" t="s">
        <v>687</v>
      </c>
      <c r="C1228" s="9" t="s">
        <v>56</v>
      </c>
      <c r="D1228" s="9" t="s">
        <v>11</v>
      </c>
      <c r="E1228" s="9">
        <v>123</v>
      </c>
      <c r="F1228" s="9">
        <v>7.2</v>
      </c>
      <c r="G1228" s="9">
        <v>40000000</v>
      </c>
      <c r="H1228" s="9">
        <v>33508922</v>
      </c>
      <c r="I1228" s="5">
        <f>IMDB_Movies!$H1228-IMDB_Movies!$G1228</f>
        <v>-6491078</v>
      </c>
    </row>
    <row r="1229" spans="1:9" ht="23">
      <c r="A1229" s="3" t="s">
        <v>1818</v>
      </c>
      <c r="B1229" s="10" t="s">
        <v>934</v>
      </c>
      <c r="C1229" s="10" t="s">
        <v>138</v>
      </c>
      <c r="D1229" s="10" t="s">
        <v>11</v>
      </c>
      <c r="E1229" s="10">
        <v>104</v>
      </c>
      <c r="F1229" s="10">
        <v>6.2</v>
      </c>
      <c r="G1229" s="10">
        <v>30000000</v>
      </c>
      <c r="H1229" s="10">
        <v>42071069</v>
      </c>
      <c r="I1229" s="5">
        <f>IMDB_Movies!$H1229-IMDB_Movies!$G1229</f>
        <v>12071069</v>
      </c>
    </row>
    <row r="1230" spans="1:9" ht="23">
      <c r="A1230" s="2" t="s">
        <v>1819</v>
      </c>
      <c r="B1230" s="9" t="s">
        <v>745</v>
      </c>
      <c r="C1230" s="9" t="s">
        <v>138</v>
      </c>
      <c r="D1230" s="9" t="s">
        <v>11</v>
      </c>
      <c r="E1230" s="9">
        <v>102</v>
      </c>
      <c r="F1230" s="9">
        <v>5.7</v>
      </c>
      <c r="G1230" s="9">
        <v>40000000</v>
      </c>
      <c r="H1230" s="9">
        <v>32853640</v>
      </c>
      <c r="I1230" s="5">
        <f>IMDB_Movies!$H1230-IMDB_Movies!$G1230</f>
        <v>-7146360</v>
      </c>
    </row>
    <row r="1231" spans="1:9" ht="23">
      <c r="A1231" s="3" t="s">
        <v>1820</v>
      </c>
      <c r="B1231" s="10" t="s">
        <v>953</v>
      </c>
      <c r="C1231" s="10" t="s">
        <v>138</v>
      </c>
      <c r="D1231" s="10" t="s">
        <v>11</v>
      </c>
      <c r="E1231" s="10">
        <v>136</v>
      </c>
      <c r="F1231" s="10">
        <v>6.1</v>
      </c>
      <c r="G1231" s="10">
        <v>40000000</v>
      </c>
      <c r="H1231" s="10">
        <v>42615685</v>
      </c>
      <c r="I1231" s="5">
        <f>IMDB_Movies!$H1231-IMDB_Movies!$G1231</f>
        <v>2615685</v>
      </c>
    </row>
    <row r="1232" spans="1:9" ht="23">
      <c r="A1232" s="2" t="s">
        <v>1821</v>
      </c>
      <c r="B1232" s="9" t="s">
        <v>1600</v>
      </c>
      <c r="C1232" s="9" t="s">
        <v>10</v>
      </c>
      <c r="D1232" s="9" t="s">
        <v>11</v>
      </c>
      <c r="E1232" s="9">
        <v>93</v>
      </c>
      <c r="F1232" s="9">
        <v>6</v>
      </c>
      <c r="G1232" s="9">
        <v>25000000</v>
      </c>
      <c r="H1232" s="9">
        <v>32055248</v>
      </c>
      <c r="I1232" s="5">
        <f>IMDB_Movies!$H1232-IMDB_Movies!$G1232</f>
        <v>7055248</v>
      </c>
    </row>
    <row r="1233" spans="1:9" ht="23">
      <c r="A1233" s="3" t="s">
        <v>1822</v>
      </c>
      <c r="B1233" s="10" t="s">
        <v>1823</v>
      </c>
      <c r="C1233" s="10" t="s">
        <v>24</v>
      </c>
      <c r="D1233" s="10" t="s">
        <v>11</v>
      </c>
      <c r="E1233" s="10">
        <v>129</v>
      </c>
      <c r="F1233" s="10">
        <v>6.9</v>
      </c>
      <c r="G1233" s="10">
        <v>40000000</v>
      </c>
      <c r="H1233" s="10">
        <v>31836745</v>
      </c>
      <c r="I1233" s="5">
        <f>IMDB_Movies!$H1233-IMDB_Movies!$G1233</f>
        <v>-8163255</v>
      </c>
    </row>
    <row r="1234" spans="1:9" ht="23">
      <c r="A1234" s="2" t="s">
        <v>1824</v>
      </c>
      <c r="B1234" s="9" t="s">
        <v>1583</v>
      </c>
      <c r="C1234" s="9" t="s">
        <v>138</v>
      </c>
      <c r="D1234" s="9" t="s">
        <v>11</v>
      </c>
      <c r="E1234" s="9">
        <v>107</v>
      </c>
      <c r="F1234" s="9">
        <v>6.5</v>
      </c>
      <c r="G1234" s="9">
        <v>40000000</v>
      </c>
      <c r="H1234" s="9">
        <v>30993544</v>
      </c>
      <c r="I1234" s="5">
        <f>IMDB_Movies!$H1234-IMDB_Movies!$G1234</f>
        <v>-9006456</v>
      </c>
    </row>
    <row r="1235" spans="1:9" ht="23">
      <c r="A1235" s="3" t="s">
        <v>1825</v>
      </c>
      <c r="B1235" s="10" t="s">
        <v>1486</v>
      </c>
      <c r="C1235" s="10" t="s">
        <v>418</v>
      </c>
      <c r="D1235" s="10" t="s">
        <v>11</v>
      </c>
      <c r="E1235" s="10">
        <v>117</v>
      </c>
      <c r="F1235" s="10">
        <v>5</v>
      </c>
      <c r="G1235" s="10">
        <v>40000000</v>
      </c>
      <c r="H1235" s="10">
        <v>30981850</v>
      </c>
      <c r="I1235" s="5">
        <f>IMDB_Movies!$H1235-IMDB_Movies!$G1235</f>
        <v>-9018150</v>
      </c>
    </row>
    <row r="1236" spans="1:9" ht="23">
      <c r="A1236" s="2" t="s">
        <v>1826</v>
      </c>
      <c r="B1236" s="9" t="s">
        <v>1827</v>
      </c>
      <c r="C1236" s="9" t="s">
        <v>10</v>
      </c>
      <c r="D1236" s="9" t="s">
        <v>11</v>
      </c>
      <c r="E1236" s="9">
        <v>116</v>
      </c>
      <c r="F1236" s="9">
        <v>5.7</v>
      </c>
      <c r="G1236" s="9">
        <v>40000000</v>
      </c>
      <c r="H1236" s="9">
        <v>30199105</v>
      </c>
      <c r="I1236" s="5">
        <f>IMDB_Movies!$H1236-IMDB_Movies!$G1236</f>
        <v>-9800895</v>
      </c>
    </row>
    <row r="1237" spans="1:9" ht="23">
      <c r="A1237" s="3" t="s">
        <v>1828</v>
      </c>
      <c r="B1237" s="10" t="s">
        <v>337</v>
      </c>
      <c r="C1237" s="10" t="s">
        <v>56</v>
      </c>
      <c r="D1237" s="10" t="s">
        <v>11</v>
      </c>
      <c r="E1237" s="10">
        <v>135</v>
      </c>
      <c r="F1237" s="10">
        <v>7</v>
      </c>
      <c r="G1237" s="10">
        <v>40000000</v>
      </c>
      <c r="H1237" s="10">
        <v>29077547</v>
      </c>
      <c r="I1237" s="5">
        <f>IMDB_Movies!$H1237-IMDB_Movies!$G1237</f>
        <v>-10922453</v>
      </c>
    </row>
    <row r="1238" spans="1:9" ht="23">
      <c r="A1238" s="2" t="s">
        <v>1829</v>
      </c>
      <c r="B1238" s="9" t="s">
        <v>470</v>
      </c>
      <c r="C1238" s="9" t="s">
        <v>414</v>
      </c>
      <c r="D1238" s="9" t="s">
        <v>11</v>
      </c>
      <c r="E1238" s="9">
        <v>107</v>
      </c>
      <c r="F1238" s="9">
        <v>5.0999999999999996</v>
      </c>
      <c r="G1238" s="9">
        <v>40000000</v>
      </c>
      <c r="H1238" s="9">
        <v>29374178</v>
      </c>
      <c r="I1238" s="5">
        <f>IMDB_Movies!$H1238-IMDB_Movies!$G1238</f>
        <v>-10625822</v>
      </c>
    </row>
    <row r="1239" spans="1:9" ht="23">
      <c r="A1239" s="3" t="s">
        <v>1830</v>
      </c>
      <c r="B1239" s="10" t="s">
        <v>1240</v>
      </c>
      <c r="C1239" s="10" t="s">
        <v>138</v>
      </c>
      <c r="D1239" s="10" t="s">
        <v>11</v>
      </c>
      <c r="E1239" s="10">
        <v>90</v>
      </c>
      <c r="F1239" s="10">
        <v>5.3</v>
      </c>
      <c r="G1239" s="10">
        <v>40000000</v>
      </c>
      <c r="H1239" s="10">
        <v>28535768</v>
      </c>
      <c r="I1239" s="5">
        <f>IMDB_Movies!$H1239-IMDB_Movies!$G1239</f>
        <v>-11464232</v>
      </c>
    </row>
    <row r="1240" spans="1:9" ht="23">
      <c r="A1240" s="2" t="s">
        <v>1831</v>
      </c>
      <c r="B1240" s="9" t="s">
        <v>1271</v>
      </c>
      <c r="C1240" s="9" t="s">
        <v>810</v>
      </c>
      <c r="D1240" s="9" t="s">
        <v>11</v>
      </c>
      <c r="E1240" s="9">
        <v>99</v>
      </c>
      <c r="F1240" s="9">
        <v>4.4000000000000004</v>
      </c>
      <c r="G1240" s="9">
        <v>40000000</v>
      </c>
      <c r="H1240" s="9">
        <v>27663982</v>
      </c>
      <c r="I1240" s="5">
        <f>IMDB_Movies!$H1240-IMDB_Movies!$G1240</f>
        <v>-12336018</v>
      </c>
    </row>
    <row r="1241" spans="1:9" ht="23">
      <c r="A1241" s="3" t="s">
        <v>1832</v>
      </c>
      <c r="B1241" s="10" t="s">
        <v>489</v>
      </c>
      <c r="C1241" s="10" t="s">
        <v>10</v>
      </c>
      <c r="D1241" s="10" t="s">
        <v>11</v>
      </c>
      <c r="E1241" s="10">
        <v>104</v>
      </c>
      <c r="F1241" s="10">
        <v>4.7</v>
      </c>
      <c r="G1241" s="10">
        <v>40000000</v>
      </c>
      <c r="H1241" s="10">
        <v>27053815</v>
      </c>
      <c r="I1241" s="5">
        <f>IMDB_Movies!$H1241-IMDB_Movies!$G1241</f>
        <v>-12946185</v>
      </c>
    </row>
    <row r="1242" spans="1:9" ht="23">
      <c r="A1242" s="2" t="s">
        <v>1833</v>
      </c>
      <c r="B1242" s="9" t="s">
        <v>1834</v>
      </c>
      <c r="C1242" s="9" t="s">
        <v>418</v>
      </c>
      <c r="D1242" s="9" t="s">
        <v>11</v>
      </c>
      <c r="E1242" s="9">
        <v>115</v>
      </c>
      <c r="F1242" s="9">
        <v>6.7</v>
      </c>
      <c r="G1242" s="9">
        <v>35000000</v>
      </c>
      <c r="H1242" s="9">
        <v>26814957</v>
      </c>
      <c r="I1242" s="5">
        <f>IMDB_Movies!$H1242-IMDB_Movies!$G1242</f>
        <v>-8185043</v>
      </c>
    </row>
    <row r="1243" spans="1:9" ht="23">
      <c r="A1243" s="3" t="s">
        <v>1835</v>
      </c>
      <c r="B1243" s="10" t="s">
        <v>1836</v>
      </c>
      <c r="C1243" s="10" t="s">
        <v>56</v>
      </c>
      <c r="D1243" s="10" t="s">
        <v>11</v>
      </c>
      <c r="E1243" s="10">
        <v>119</v>
      </c>
      <c r="F1243" s="10">
        <v>6.7</v>
      </c>
      <c r="G1243" s="10">
        <v>40000000</v>
      </c>
      <c r="H1243" s="10">
        <v>25178165</v>
      </c>
      <c r="I1243" s="5">
        <f>IMDB_Movies!$H1243-IMDB_Movies!$G1243</f>
        <v>-14821835</v>
      </c>
    </row>
    <row r="1244" spans="1:9" ht="23">
      <c r="A1244" s="2" t="s">
        <v>1837</v>
      </c>
      <c r="B1244" s="9" t="s">
        <v>729</v>
      </c>
      <c r="C1244" s="9" t="s">
        <v>810</v>
      </c>
      <c r="D1244" s="9" t="s">
        <v>11</v>
      </c>
      <c r="E1244" s="9">
        <v>99</v>
      </c>
      <c r="F1244" s="9">
        <v>5.7</v>
      </c>
      <c r="G1244" s="9">
        <v>40000000</v>
      </c>
      <c r="H1244" s="9">
        <v>25117498</v>
      </c>
      <c r="I1244" s="5">
        <f>IMDB_Movies!$H1244-IMDB_Movies!$G1244</f>
        <v>-14882502</v>
      </c>
    </row>
    <row r="1245" spans="1:9" ht="23">
      <c r="A1245" s="3" t="s">
        <v>1838</v>
      </c>
      <c r="B1245" s="10" t="s">
        <v>130</v>
      </c>
      <c r="C1245" s="10" t="s">
        <v>414</v>
      </c>
      <c r="D1245" s="10" t="s">
        <v>11</v>
      </c>
      <c r="E1245" s="10">
        <v>112</v>
      </c>
      <c r="F1245" s="10">
        <v>7.4</v>
      </c>
      <c r="G1245" s="10">
        <v>500000</v>
      </c>
      <c r="H1245" s="10">
        <v>32645</v>
      </c>
      <c r="I1245" s="5">
        <f>IMDB_Movies!$H1245-IMDB_Movies!$G1245</f>
        <v>-467355</v>
      </c>
    </row>
    <row r="1246" spans="1:9" ht="23">
      <c r="A1246" s="2" t="s">
        <v>1839</v>
      </c>
      <c r="B1246" s="9" t="s">
        <v>1539</v>
      </c>
      <c r="C1246" s="9" t="s">
        <v>138</v>
      </c>
      <c r="D1246" s="9" t="s">
        <v>11</v>
      </c>
      <c r="E1246" s="9">
        <v>128</v>
      </c>
      <c r="F1246" s="9">
        <v>6.1</v>
      </c>
      <c r="G1246" s="9">
        <v>40000000</v>
      </c>
      <c r="H1246" s="9">
        <v>24332324</v>
      </c>
      <c r="I1246" s="5">
        <f>IMDB_Movies!$H1246-IMDB_Movies!$G1246</f>
        <v>-15667676</v>
      </c>
    </row>
    <row r="1247" spans="1:9" ht="23">
      <c r="A1247" s="3" t="s">
        <v>1840</v>
      </c>
      <c r="B1247" s="10" t="s">
        <v>1529</v>
      </c>
      <c r="C1247" s="10" t="s">
        <v>10</v>
      </c>
      <c r="D1247" s="10" t="s">
        <v>11</v>
      </c>
      <c r="E1247" s="10">
        <v>112</v>
      </c>
      <c r="F1247" s="10">
        <v>6.4</v>
      </c>
      <c r="G1247" s="10">
        <v>40000000</v>
      </c>
      <c r="H1247" s="10">
        <v>36665854</v>
      </c>
      <c r="I1247" s="5">
        <f>IMDB_Movies!$H1247-IMDB_Movies!$G1247</f>
        <v>-3334146</v>
      </c>
    </row>
    <row r="1248" spans="1:9" ht="23">
      <c r="A1248" s="2" t="s">
        <v>1841</v>
      </c>
      <c r="B1248" s="9" t="s">
        <v>1842</v>
      </c>
      <c r="C1248" s="9" t="s">
        <v>24</v>
      </c>
      <c r="D1248" s="9" t="s">
        <v>11</v>
      </c>
      <c r="E1248" s="9">
        <v>86</v>
      </c>
      <c r="F1248" s="9">
        <v>6.2</v>
      </c>
      <c r="G1248" s="9">
        <v>40000000</v>
      </c>
      <c r="H1248" s="9">
        <v>22717758</v>
      </c>
      <c r="I1248" s="5">
        <f>IMDB_Movies!$H1248-IMDB_Movies!$G1248</f>
        <v>-17282242</v>
      </c>
    </row>
    <row r="1249" spans="1:9" ht="23">
      <c r="A1249" s="3" t="s">
        <v>1843</v>
      </c>
      <c r="B1249" s="10" t="s">
        <v>940</v>
      </c>
      <c r="C1249" s="10" t="s">
        <v>414</v>
      </c>
      <c r="D1249" s="10" t="s">
        <v>11</v>
      </c>
      <c r="E1249" s="10">
        <v>108</v>
      </c>
      <c r="F1249" s="10">
        <v>6.2</v>
      </c>
      <c r="G1249" s="10">
        <v>60000000</v>
      </c>
      <c r="H1249" s="10">
        <v>22433915</v>
      </c>
      <c r="I1249" s="5">
        <f>IMDB_Movies!$H1249-IMDB_Movies!$G1249</f>
        <v>-37566085</v>
      </c>
    </row>
    <row r="1250" spans="1:9" ht="23">
      <c r="A1250" s="2" t="s">
        <v>1844</v>
      </c>
      <c r="B1250" s="9" t="s">
        <v>1845</v>
      </c>
      <c r="C1250" s="9" t="s">
        <v>56</v>
      </c>
      <c r="D1250" s="9" t="s">
        <v>11</v>
      </c>
      <c r="E1250" s="9">
        <v>128</v>
      </c>
      <c r="F1250" s="9">
        <v>5.9</v>
      </c>
      <c r="G1250" s="9">
        <v>60000000</v>
      </c>
      <c r="H1250" s="9">
        <v>22326247</v>
      </c>
      <c r="I1250" s="5">
        <f>IMDB_Movies!$H1250-IMDB_Movies!$G1250</f>
        <v>-37673753</v>
      </c>
    </row>
    <row r="1251" spans="1:9" ht="23">
      <c r="A1251" s="3" t="s">
        <v>1846</v>
      </c>
      <c r="B1251" s="10" t="s">
        <v>1847</v>
      </c>
      <c r="C1251" s="10" t="s">
        <v>10</v>
      </c>
      <c r="D1251" s="10" t="s">
        <v>11</v>
      </c>
      <c r="E1251" s="10">
        <v>84</v>
      </c>
      <c r="F1251" s="10">
        <v>4</v>
      </c>
      <c r="G1251" s="10">
        <v>40000000</v>
      </c>
      <c r="H1251" s="10">
        <v>21176322</v>
      </c>
      <c r="I1251" s="5">
        <f>IMDB_Movies!$H1251-IMDB_Movies!$G1251</f>
        <v>-18823678</v>
      </c>
    </row>
    <row r="1252" spans="1:9" ht="23">
      <c r="A1252" s="2" t="s">
        <v>1848</v>
      </c>
      <c r="B1252" s="9" t="s">
        <v>1162</v>
      </c>
      <c r="C1252" s="9" t="s">
        <v>56</v>
      </c>
      <c r="D1252" s="9" t="s">
        <v>11</v>
      </c>
      <c r="E1252" s="9">
        <v>111</v>
      </c>
      <c r="F1252" s="9">
        <v>6.2</v>
      </c>
      <c r="G1252" s="9">
        <v>40000000</v>
      </c>
      <c r="H1252" s="9">
        <v>20300000</v>
      </c>
      <c r="I1252" s="5">
        <f>IMDB_Movies!$H1252-IMDB_Movies!$G1252</f>
        <v>-19700000</v>
      </c>
    </row>
    <row r="1253" spans="1:9" ht="23">
      <c r="A1253" s="3" t="s">
        <v>1849</v>
      </c>
      <c r="B1253" s="10" t="s">
        <v>351</v>
      </c>
      <c r="C1253" s="10" t="s">
        <v>56</v>
      </c>
      <c r="D1253" s="10" t="s">
        <v>11</v>
      </c>
      <c r="E1253" s="10">
        <v>131</v>
      </c>
      <c r="F1253" s="10">
        <v>4.5999999999999996</v>
      </c>
      <c r="G1253" s="10">
        <v>45000000</v>
      </c>
      <c r="H1253" s="10">
        <v>20302961</v>
      </c>
      <c r="I1253" s="5">
        <f>IMDB_Movies!$H1253-IMDB_Movies!$G1253</f>
        <v>-24697039</v>
      </c>
    </row>
    <row r="1254" spans="1:9" ht="23">
      <c r="A1254" s="2" t="s">
        <v>1850</v>
      </c>
      <c r="B1254" s="9" t="s">
        <v>1851</v>
      </c>
      <c r="C1254" s="9" t="s">
        <v>418</v>
      </c>
      <c r="D1254" s="9" t="s">
        <v>11</v>
      </c>
      <c r="E1254" s="9">
        <v>123</v>
      </c>
      <c r="F1254" s="9">
        <v>6.4</v>
      </c>
      <c r="G1254" s="9">
        <v>40000000</v>
      </c>
      <c r="H1254" s="9">
        <v>15962471</v>
      </c>
      <c r="I1254" s="5">
        <f>IMDB_Movies!$H1254-IMDB_Movies!$G1254</f>
        <v>-24037529</v>
      </c>
    </row>
    <row r="1255" spans="1:9" ht="23">
      <c r="A1255" s="3" t="s">
        <v>1852</v>
      </c>
      <c r="B1255" s="10" t="s">
        <v>1459</v>
      </c>
      <c r="C1255" s="10" t="s">
        <v>10</v>
      </c>
      <c r="D1255" s="10" t="s">
        <v>11</v>
      </c>
      <c r="E1255" s="10">
        <v>101</v>
      </c>
      <c r="F1255" s="10">
        <v>5.9</v>
      </c>
      <c r="G1255" s="10">
        <v>40000000</v>
      </c>
      <c r="H1255" s="10">
        <v>14942422</v>
      </c>
      <c r="I1255" s="5">
        <f>IMDB_Movies!$H1255-IMDB_Movies!$G1255</f>
        <v>-25057578</v>
      </c>
    </row>
    <row r="1256" spans="1:9" ht="23">
      <c r="A1256" s="2" t="s">
        <v>1853</v>
      </c>
      <c r="B1256" s="9" t="s">
        <v>1854</v>
      </c>
      <c r="C1256" s="9" t="s">
        <v>10</v>
      </c>
      <c r="D1256" s="9" t="s">
        <v>11</v>
      </c>
      <c r="E1256" s="9">
        <v>102</v>
      </c>
      <c r="F1256" s="9">
        <v>5.0999999999999996</v>
      </c>
      <c r="G1256" s="9">
        <v>40000000</v>
      </c>
      <c r="H1256" s="9">
        <v>14967182</v>
      </c>
      <c r="I1256" s="5">
        <f>IMDB_Movies!$H1256-IMDB_Movies!$G1256</f>
        <v>-25032818</v>
      </c>
    </row>
    <row r="1257" spans="1:9" ht="23">
      <c r="A1257" s="3" t="s">
        <v>1855</v>
      </c>
      <c r="B1257" s="10" t="s">
        <v>1856</v>
      </c>
      <c r="C1257" s="10" t="s">
        <v>56</v>
      </c>
      <c r="D1257" s="10" t="s">
        <v>11</v>
      </c>
      <c r="E1257" s="10">
        <v>114</v>
      </c>
      <c r="F1257" s="10">
        <v>7.6</v>
      </c>
      <c r="G1257" s="10">
        <v>45000000</v>
      </c>
      <c r="H1257" s="10">
        <v>18996755</v>
      </c>
      <c r="I1257" s="5">
        <f>IMDB_Movies!$H1257-IMDB_Movies!$G1257</f>
        <v>-26003245</v>
      </c>
    </row>
    <row r="1258" spans="1:9" ht="23">
      <c r="A1258" s="2" t="s">
        <v>1857</v>
      </c>
      <c r="B1258" s="9" t="s">
        <v>1858</v>
      </c>
      <c r="C1258" s="9" t="s">
        <v>10</v>
      </c>
      <c r="D1258" s="9" t="s">
        <v>11</v>
      </c>
      <c r="E1258" s="9">
        <v>107</v>
      </c>
      <c r="F1258" s="9">
        <v>4.2</v>
      </c>
      <c r="G1258" s="9">
        <v>51000000</v>
      </c>
      <c r="H1258" s="9">
        <v>14375181</v>
      </c>
      <c r="I1258" s="5">
        <f>IMDB_Movies!$H1258-IMDB_Movies!$G1258</f>
        <v>-36624819</v>
      </c>
    </row>
    <row r="1259" spans="1:9" ht="23">
      <c r="A1259" s="3" t="s">
        <v>1859</v>
      </c>
      <c r="B1259" s="10" t="s">
        <v>1473</v>
      </c>
      <c r="C1259" s="10" t="s">
        <v>24</v>
      </c>
      <c r="D1259" s="10" t="s">
        <v>11</v>
      </c>
      <c r="E1259" s="10">
        <v>87</v>
      </c>
      <c r="F1259" s="10">
        <v>7.8</v>
      </c>
      <c r="G1259" s="10">
        <v>40000000</v>
      </c>
      <c r="H1259" s="10">
        <v>20999103</v>
      </c>
      <c r="I1259" s="5">
        <f>IMDB_Movies!$H1259-IMDB_Movies!$G1259</f>
        <v>-19000897</v>
      </c>
    </row>
    <row r="1260" spans="1:9" ht="23">
      <c r="A1260" s="2" t="s">
        <v>1860</v>
      </c>
      <c r="B1260" s="9" t="s">
        <v>1205</v>
      </c>
      <c r="C1260" s="9" t="s">
        <v>138</v>
      </c>
      <c r="D1260" s="9" t="s">
        <v>11</v>
      </c>
      <c r="E1260" s="9">
        <v>103</v>
      </c>
      <c r="F1260" s="9">
        <v>5.8</v>
      </c>
      <c r="G1260" s="9">
        <v>40000000</v>
      </c>
      <c r="H1260" s="9">
        <v>14448589</v>
      </c>
      <c r="I1260" s="5">
        <f>IMDB_Movies!$H1260-IMDB_Movies!$G1260</f>
        <v>-25551411</v>
      </c>
    </row>
    <row r="1261" spans="1:9" ht="23">
      <c r="A1261" s="3" t="s">
        <v>1861</v>
      </c>
      <c r="B1261" s="10" t="s">
        <v>1470</v>
      </c>
      <c r="C1261" s="10" t="s">
        <v>138</v>
      </c>
      <c r="D1261" s="10" t="s">
        <v>11</v>
      </c>
      <c r="E1261" s="10">
        <v>99</v>
      </c>
      <c r="F1261" s="10">
        <v>5.9</v>
      </c>
      <c r="G1261" s="10">
        <v>40000000</v>
      </c>
      <c r="H1261" s="10">
        <v>14358033</v>
      </c>
      <c r="I1261" s="5">
        <f>IMDB_Movies!$H1261-IMDB_Movies!$G1261</f>
        <v>-25641967</v>
      </c>
    </row>
    <row r="1262" spans="1:9" ht="23">
      <c r="A1262" s="2" t="s">
        <v>1862</v>
      </c>
      <c r="B1262" s="9" t="s">
        <v>1128</v>
      </c>
      <c r="C1262" s="9" t="s">
        <v>138</v>
      </c>
      <c r="D1262" s="9" t="s">
        <v>394</v>
      </c>
      <c r="E1262" s="9">
        <v>122</v>
      </c>
      <c r="F1262" s="9">
        <v>8.4</v>
      </c>
      <c r="G1262" s="9">
        <v>77000000</v>
      </c>
      <c r="H1262" s="9">
        <v>33201661</v>
      </c>
      <c r="I1262" s="5">
        <f>IMDB_Movies!$H1262-IMDB_Movies!$G1262</f>
        <v>-43798339</v>
      </c>
    </row>
    <row r="1263" spans="1:9" ht="23">
      <c r="A1263" s="3" t="s">
        <v>1863</v>
      </c>
      <c r="B1263" s="10" t="s">
        <v>1864</v>
      </c>
      <c r="C1263" s="10" t="s">
        <v>138</v>
      </c>
      <c r="D1263" s="10" t="s">
        <v>11</v>
      </c>
      <c r="E1263" s="10">
        <v>91</v>
      </c>
      <c r="F1263" s="10">
        <v>4.8</v>
      </c>
      <c r="G1263" s="10">
        <v>30000000</v>
      </c>
      <c r="H1263" s="10">
        <v>14018364</v>
      </c>
      <c r="I1263" s="5">
        <f>IMDB_Movies!$H1263-IMDB_Movies!$G1263</f>
        <v>-15981636</v>
      </c>
    </row>
    <row r="1264" spans="1:9" ht="23">
      <c r="A1264" s="2" t="s">
        <v>1865</v>
      </c>
      <c r="B1264" s="9" t="s">
        <v>1866</v>
      </c>
      <c r="C1264" s="9" t="s">
        <v>138</v>
      </c>
      <c r="D1264" s="9" t="s">
        <v>11</v>
      </c>
      <c r="E1264" s="9">
        <v>103</v>
      </c>
      <c r="F1264" s="9">
        <v>6.2</v>
      </c>
      <c r="G1264" s="9">
        <v>60000000</v>
      </c>
      <c r="H1264" s="9">
        <v>13395939</v>
      </c>
      <c r="I1264" s="5">
        <f>IMDB_Movies!$H1264-IMDB_Movies!$G1264</f>
        <v>-46604061</v>
      </c>
    </row>
    <row r="1265" spans="1:9" ht="23">
      <c r="A1265" s="3" t="s">
        <v>1867</v>
      </c>
      <c r="B1265" s="10" t="s">
        <v>1736</v>
      </c>
      <c r="C1265" s="10" t="s">
        <v>418</v>
      </c>
      <c r="D1265" s="10" t="s">
        <v>11</v>
      </c>
      <c r="E1265" s="10">
        <v>107</v>
      </c>
      <c r="F1265" s="10">
        <v>6.5</v>
      </c>
      <c r="G1265" s="10">
        <v>40000000</v>
      </c>
      <c r="H1265" s="10">
        <v>20113965</v>
      </c>
      <c r="I1265" s="5">
        <f>IMDB_Movies!$H1265-IMDB_Movies!$G1265</f>
        <v>-19886035</v>
      </c>
    </row>
    <row r="1266" spans="1:9" ht="23">
      <c r="A1266" s="2" t="s">
        <v>1868</v>
      </c>
      <c r="B1266" s="9" t="s">
        <v>1869</v>
      </c>
      <c r="C1266" s="9" t="s">
        <v>56</v>
      </c>
      <c r="D1266" s="9" t="s">
        <v>11</v>
      </c>
      <c r="E1266" s="9">
        <v>106</v>
      </c>
      <c r="F1266" s="9">
        <v>6.3</v>
      </c>
      <c r="G1266" s="9">
        <v>40000000</v>
      </c>
      <c r="H1266" s="9">
        <v>13376506</v>
      </c>
      <c r="I1266" s="5">
        <f>IMDB_Movies!$H1266-IMDB_Movies!$G1266</f>
        <v>-26623494</v>
      </c>
    </row>
    <row r="1267" spans="1:9" ht="23">
      <c r="A1267" s="3" t="s">
        <v>1870</v>
      </c>
      <c r="B1267" s="10" t="s">
        <v>1871</v>
      </c>
      <c r="C1267" s="10" t="s">
        <v>414</v>
      </c>
      <c r="D1267" s="10" t="s">
        <v>11</v>
      </c>
      <c r="E1267" s="10">
        <v>101</v>
      </c>
      <c r="F1267" s="10">
        <v>3.3</v>
      </c>
      <c r="G1267" s="10">
        <v>42000000</v>
      </c>
      <c r="H1267" s="10">
        <v>13208023</v>
      </c>
      <c r="I1267" s="5">
        <f>IMDB_Movies!$H1267-IMDB_Movies!$G1267</f>
        <v>-28791977</v>
      </c>
    </row>
    <row r="1268" spans="1:9" ht="23">
      <c r="A1268" s="2" t="s">
        <v>1872</v>
      </c>
      <c r="B1268" s="9" t="s">
        <v>466</v>
      </c>
      <c r="C1268" s="9" t="s">
        <v>10</v>
      </c>
      <c r="D1268" s="9" t="s">
        <v>11</v>
      </c>
      <c r="E1268" s="9">
        <v>109</v>
      </c>
      <c r="F1268" s="9">
        <v>5.9</v>
      </c>
      <c r="G1268" s="9">
        <v>40000000</v>
      </c>
      <c r="H1268" s="9">
        <v>13838130</v>
      </c>
      <c r="I1268" s="5">
        <f>IMDB_Movies!$H1268-IMDB_Movies!$G1268</f>
        <v>-26161870</v>
      </c>
    </row>
    <row r="1269" spans="1:9" ht="23">
      <c r="A1269" s="3" t="s">
        <v>1873</v>
      </c>
      <c r="B1269" s="10" t="s">
        <v>1499</v>
      </c>
      <c r="C1269" s="10" t="s">
        <v>138</v>
      </c>
      <c r="D1269" s="10" t="s">
        <v>11</v>
      </c>
      <c r="E1269" s="10">
        <v>89</v>
      </c>
      <c r="F1269" s="10">
        <v>5.8</v>
      </c>
      <c r="G1269" s="10">
        <v>40000000</v>
      </c>
      <c r="H1269" s="10">
        <v>9652000</v>
      </c>
      <c r="I1269" s="5">
        <f>IMDB_Movies!$H1269-IMDB_Movies!$G1269</f>
        <v>-30348000</v>
      </c>
    </row>
    <row r="1270" spans="1:9" ht="23">
      <c r="A1270" s="2" t="s">
        <v>1874</v>
      </c>
      <c r="B1270" s="9" t="s">
        <v>1875</v>
      </c>
      <c r="C1270" s="9" t="s">
        <v>138</v>
      </c>
      <c r="D1270" s="9" t="s">
        <v>11</v>
      </c>
      <c r="E1270" s="9">
        <v>100</v>
      </c>
      <c r="F1270" s="9">
        <v>6.5</v>
      </c>
      <c r="G1270" s="9">
        <v>20000000</v>
      </c>
      <c r="H1270" s="9">
        <v>12081447</v>
      </c>
      <c r="I1270" s="5">
        <f>IMDB_Movies!$H1270-IMDB_Movies!$G1270</f>
        <v>-7918553</v>
      </c>
    </row>
    <row r="1271" spans="1:9" ht="23">
      <c r="A1271" s="3" t="s">
        <v>1876</v>
      </c>
      <c r="B1271" s="10" t="s">
        <v>1877</v>
      </c>
      <c r="C1271" s="10" t="s">
        <v>10</v>
      </c>
      <c r="D1271" s="10" t="s">
        <v>11</v>
      </c>
      <c r="E1271" s="10">
        <v>119</v>
      </c>
      <c r="F1271" s="10">
        <v>4.7</v>
      </c>
      <c r="G1271" s="10">
        <v>36000000</v>
      </c>
      <c r="H1271" s="10">
        <v>7000000</v>
      </c>
      <c r="I1271" s="5">
        <f>IMDB_Movies!$H1271-IMDB_Movies!$G1271</f>
        <v>-29000000</v>
      </c>
    </row>
    <row r="1272" spans="1:9" ht="23">
      <c r="A1272" s="2" t="s">
        <v>1878</v>
      </c>
      <c r="B1272" s="9" t="s">
        <v>1879</v>
      </c>
      <c r="C1272" s="9" t="s">
        <v>10</v>
      </c>
      <c r="D1272" s="9" t="s">
        <v>11</v>
      </c>
      <c r="E1272" s="9">
        <v>83</v>
      </c>
      <c r="F1272" s="9">
        <v>4.0999999999999996</v>
      </c>
      <c r="G1272" s="9">
        <v>24000000</v>
      </c>
      <c r="H1272" s="9">
        <v>10431220</v>
      </c>
      <c r="I1272" s="5">
        <f>IMDB_Movies!$H1272-IMDB_Movies!$G1272</f>
        <v>-13568780</v>
      </c>
    </row>
    <row r="1273" spans="1:9" ht="23">
      <c r="A1273" s="3" t="s">
        <v>1880</v>
      </c>
      <c r="B1273" s="10" t="s">
        <v>1881</v>
      </c>
      <c r="C1273" s="10" t="s">
        <v>10</v>
      </c>
      <c r="D1273" s="10" t="s">
        <v>11</v>
      </c>
      <c r="E1273" s="10">
        <v>108</v>
      </c>
      <c r="F1273" s="10">
        <v>6.8</v>
      </c>
      <c r="G1273" s="10">
        <v>33000000</v>
      </c>
      <c r="H1273" s="10">
        <v>10326062</v>
      </c>
      <c r="I1273" s="5">
        <f>IMDB_Movies!$H1273-IMDB_Movies!$G1273</f>
        <v>-22673938</v>
      </c>
    </row>
    <row r="1274" spans="1:9" ht="23">
      <c r="A1274" s="2" t="s">
        <v>1882</v>
      </c>
      <c r="B1274" s="9" t="s">
        <v>1410</v>
      </c>
      <c r="C1274" s="9" t="s">
        <v>56</v>
      </c>
      <c r="D1274" s="9" t="s">
        <v>11</v>
      </c>
      <c r="E1274" s="9">
        <v>102</v>
      </c>
      <c r="F1274" s="9">
        <v>6.2</v>
      </c>
      <c r="G1274" s="9">
        <v>40000000</v>
      </c>
      <c r="H1274" s="9">
        <v>6114237</v>
      </c>
      <c r="I1274" s="5">
        <f>IMDB_Movies!$H1274-IMDB_Movies!$G1274</f>
        <v>-33885763</v>
      </c>
    </row>
    <row r="1275" spans="1:9" ht="23">
      <c r="A1275" s="3" t="s">
        <v>1883</v>
      </c>
      <c r="B1275" s="10" t="s">
        <v>1827</v>
      </c>
      <c r="C1275" s="10" t="s">
        <v>10</v>
      </c>
      <c r="D1275" s="10" t="s">
        <v>11</v>
      </c>
      <c r="E1275" s="10">
        <v>93</v>
      </c>
      <c r="F1275" s="10">
        <v>4.5</v>
      </c>
      <c r="G1275" s="10">
        <v>40000000</v>
      </c>
      <c r="H1275" s="10">
        <v>4835968</v>
      </c>
      <c r="I1275" s="5">
        <f>IMDB_Movies!$H1275-IMDB_Movies!$G1275</f>
        <v>-35164032</v>
      </c>
    </row>
    <row r="1276" spans="1:9" ht="23">
      <c r="A1276" s="2" t="s">
        <v>1884</v>
      </c>
      <c r="B1276" s="9" t="s">
        <v>1885</v>
      </c>
      <c r="C1276" s="9" t="s">
        <v>138</v>
      </c>
      <c r="D1276" s="9" t="s">
        <v>11</v>
      </c>
      <c r="E1276" s="9">
        <v>84</v>
      </c>
      <c r="F1276" s="9">
        <v>5.8</v>
      </c>
      <c r="G1276" s="9">
        <v>40000000</v>
      </c>
      <c r="H1276" s="9">
        <v>4777007</v>
      </c>
      <c r="I1276" s="5">
        <f>IMDB_Movies!$H1276-IMDB_Movies!$G1276</f>
        <v>-35222993</v>
      </c>
    </row>
    <row r="1277" spans="1:9" ht="23">
      <c r="A1277" s="3" t="s">
        <v>1886</v>
      </c>
      <c r="B1277" s="10" t="s">
        <v>1450</v>
      </c>
      <c r="C1277" s="10" t="s">
        <v>24</v>
      </c>
      <c r="D1277" s="10" t="s">
        <v>11</v>
      </c>
      <c r="E1277" s="10">
        <v>107</v>
      </c>
      <c r="F1277" s="10">
        <v>7.3</v>
      </c>
      <c r="G1277" s="10">
        <v>26000000</v>
      </c>
      <c r="H1277" s="10">
        <v>3675072</v>
      </c>
      <c r="I1277" s="5">
        <f>IMDB_Movies!$H1277-IMDB_Movies!$G1277</f>
        <v>-22324928</v>
      </c>
    </row>
    <row r="1278" spans="1:9" ht="23">
      <c r="A1278" s="2" t="s">
        <v>1887</v>
      </c>
      <c r="B1278" s="9" t="s">
        <v>1103</v>
      </c>
      <c r="C1278" s="9" t="s">
        <v>138</v>
      </c>
      <c r="D1278" s="9" t="s">
        <v>11</v>
      </c>
      <c r="E1278" s="9">
        <v>91</v>
      </c>
      <c r="F1278" s="9">
        <v>5.9</v>
      </c>
      <c r="G1278" s="9">
        <v>40000000</v>
      </c>
      <c r="H1278" s="9">
        <v>18438149</v>
      </c>
      <c r="I1278" s="5">
        <f>IMDB_Movies!$H1278-IMDB_Movies!$G1278</f>
        <v>-21561851</v>
      </c>
    </row>
    <row r="1279" spans="1:9" ht="23">
      <c r="A1279" s="3" t="s">
        <v>1888</v>
      </c>
      <c r="B1279" s="10" t="s">
        <v>1889</v>
      </c>
      <c r="C1279" s="10" t="s">
        <v>24</v>
      </c>
      <c r="D1279" s="10" t="s">
        <v>11</v>
      </c>
      <c r="E1279" s="10">
        <v>94</v>
      </c>
      <c r="F1279" s="10">
        <v>4.4000000000000004</v>
      </c>
      <c r="G1279" s="10">
        <v>40000000</v>
      </c>
      <c r="H1279" s="10">
        <v>511920</v>
      </c>
      <c r="I1279" s="5">
        <f>IMDB_Movies!$H1279-IMDB_Movies!$G1279</f>
        <v>-39488080</v>
      </c>
    </row>
    <row r="1280" spans="1:9" ht="23">
      <c r="A1280" s="2" t="s">
        <v>1890</v>
      </c>
      <c r="B1280" s="9" t="s">
        <v>1347</v>
      </c>
      <c r="C1280" s="9" t="s">
        <v>10</v>
      </c>
      <c r="D1280" s="9" t="s">
        <v>11</v>
      </c>
      <c r="E1280" s="9">
        <v>115</v>
      </c>
      <c r="F1280" s="9">
        <v>5.8</v>
      </c>
      <c r="G1280" s="9">
        <v>40000000</v>
      </c>
      <c r="H1280" s="9">
        <v>10640645</v>
      </c>
      <c r="I1280" s="5">
        <f>IMDB_Movies!$H1280-IMDB_Movies!$G1280</f>
        <v>-29359355</v>
      </c>
    </row>
    <row r="1281" spans="1:9" ht="23">
      <c r="A1281" s="3" t="s">
        <v>1891</v>
      </c>
      <c r="B1281" s="10" t="s">
        <v>1892</v>
      </c>
      <c r="C1281" s="10" t="s">
        <v>10</v>
      </c>
      <c r="D1281" s="10" t="s">
        <v>11</v>
      </c>
      <c r="E1281" s="10">
        <v>93</v>
      </c>
      <c r="F1281" s="10">
        <v>5.0999999999999996</v>
      </c>
      <c r="G1281" s="10">
        <v>40000000</v>
      </c>
      <c r="H1281" s="10">
        <v>652526</v>
      </c>
      <c r="I1281" s="5">
        <f>IMDB_Movies!$H1281-IMDB_Movies!$G1281</f>
        <v>-39347474</v>
      </c>
    </row>
    <row r="1282" spans="1:9" ht="23">
      <c r="A1282" s="2" t="s">
        <v>1893</v>
      </c>
      <c r="B1282" s="9" t="s">
        <v>705</v>
      </c>
      <c r="C1282" s="9" t="s">
        <v>56</v>
      </c>
      <c r="D1282" s="9" t="s">
        <v>11</v>
      </c>
      <c r="E1282" s="9">
        <v>105</v>
      </c>
      <c r="F1282" s="9">
        <v>6.9</v>
      </c>
      <c r="G1282" s="9">
        <v>20000000</v>
      </c>
      <c r="H1282" s="9">
        <v>80050171</v>
      </c>
      <c r="I1282" s="5">
        <f>IMDB_Movies!$H1282-IMDB_Movies!$G1282</f>
        <v>60050171</v>
      </c>
    </row>
    <row r="1283" spans="1:9" ht="23">
      <c r="A1283" s="3" t="s">
        <v>1894</v>
      </c>
      <c r="B1283" s="10" t="s">
        <v>1190</v>
      </c>
      <c r="C1283" s="10" t="s">
        <v>138</v>
      </c>
      <c r="D1283" s="10" t="s">
        <v>11</v>
      </c>
      <c r="E1283" s="10">
        <v>107</v>
      </c>
      <c r="F1283" s="10">
        <v>6.2</v>
      </c>
      <c r="G1283" s="10">
        <v>20000000</v>
      </c>
      <c r="H1283" s="10">
        <v>7564000</v>
      </c>
      <c r="I1283" s="5">
        <f>IMDB_Movies!$H1283-IMDB_Movies!$G1283</f>
        <v>-12436000</v>
      </c>
    </row>
    <row r="1284" spans="1:9" ht="23">
      <c r="A1284" s="2" t="s">
        <v>1895</v>
      </c>
      <c r="B1284" s="9" t="s">
        <v>1896</v>
      </c>
      <c r="C1284" s="9" t="s">
        <v>24</v>
      </c>
      <c r="D1284" s="9" t="s">
        <v>11</v>
      </c>
      <c r="E1284" s="9">
        <v>101</v>
      </c>
      <c r="F1284" s="9">
        <v>6.9</v>
      </c>
      <c r="G1284" s="9">
        <v>25000000</v>
      </c>
      <c r="H1284" s="9">
        <v>876671</v>
      </c>
      <c r="I1284" s="5">
        <f>IMDB_Movies!$H1284-IMDB_Movies!$G1284</f>
        <v>-24123329</v>
      </c>
    </row>
    <row r="1285" spans="1:9" ht="23">
      <c r="A1285" s="3" t="s">
        <v>1897</v>
      </c>
      <c r="B1285" s="10" t="s">
        <v>1154</v>
      </c>
      <c r="C1285" s="10" t="s">
        <v>138</v>
      </c>
      <c r="D1285" s="10" t="s">
        <v>11</v>
      </c>
      <c r="E1285" s="10">
        <v>111</v>
      </c>
      <c r="F1285" s="10">
        <v>7.3</v>
      </c>
      <c r="G1285" s="10">
        <v>30000000</v>
      </c>
      <c r="H1285" s="10">
        <v>2869369</v>
      </c>
      <c r="I1285" s="5">
        <f>IMDB_Movies!$H1285-IMDB_Movies!$G1285</f>
        <v>-27130631</v>
      </c>
    </row>
    <row r="1286" spans="1:9" ht="23">
      <c r="A1286" s="2" t="s">
        <v>1898</v>
      </c>
      <c r="B1286" s="9" t="s">
        <v>1899</v>
      </c>
      <c r="C1286" s="9" t="s">
        <v>10</v>
      </c>
      <c r="D1286" s="9" t="s">
        <v>521</v>
      </c>
      <c r="E1286" s="9">
        <v>113</v>
      </c>
      <c r="F1286" s="9">
        <v>7.1</v>
      </c>
      <c r="G1286" s="9">
        <v>40000000</v>
      </c>
      <c r="H1286" s="9">
        <v>128978</v>
      </c>
      <c r="I1286" s="5">
        <f>IMDB_Movies!$H1286-IMDB_Movies!$G1286</f>
        <v>-39871022</v>
      </c>
    </row>
    <row r="1287" spans="1:9" ht="23">
      <c r="A1287" s="3" t="s">
        <v>1900</v>
      </c>
      <c r="B1287" s="10" t="s">
        <v>542</v>
      </c>
      <c r="C1287" s="10" t="s">
        <v>56</v>
      </c>
      <c r="D1287" s="10" t="s">
        <v>1901</v>
      </c>
      <c r="E1287" s="10">
        <v>112</v>
      </c>
      <c r="F1287" s="10">
        <v>6</v>
      </c>
      <c r="G1287" s="10">
        <v>25000000</v>
      </c>
      <c r="H1287" s="10">
        <v>77231</v>
      </c>
      <c r="I1287" s="5">
        <f>IMDB_Movies!$H1287-IMDB_Movies!$G1287</f>
        <v>-24922769</v>
      </c>
    </row>
    <row r="1288" spans="1:9" ht="23">
      <c r="A1288" s="2" t="s">
        <v>1902</v>
      </c>
      <c r="B1288" s="9" t="s">
        <v>1903</v>
      </c>
      <c r="C1288" s="9" t="s">
        <v>10</v>
      </c>
      <c r="D1288" s="9" t="s">
        <v>11</v>
      </c>
      <c r="E1288" s="9">
        <v>126</v>
      </c>
      <c r="F1288" s="9">
        <v>7</v>
      </c>
      <c r="G1288" s="9">
        <v>39200000</v>
      </c>
      <c r="H1288" s="9">
        <v>4563029</v>
      </c>
      <c r="I1288" s="5">
        <f>IMDB_Movies!$H1288-IMDB_Movies!$G1288</f>
        <v>-34636971</v>
      </c>
    </row>
    <row r="1289" spans="1:9" ht="23">
      <c r="A1289" s="3" t="s">
        <v>1904</v>
      </c>
      <c r="B1289" s="10" t="s">
        <v>534</v>
      </c>
      <c r="C1289" s="10" t="s">
        <v>24</v>
      </c>
      <c r="D1289" s="10" t="s">
        <v>394</v>
      </c>
      <c r="E1289" s="10">
        <v>90</v>
      </c>
      <c r="F1289" s="10">
        <v>6.8</v>
      </c>
      <c r="G1289" s="10">
        <v>25000000</v>
      </c>
      <c r="H1289" s="10">
        <v>25078937</v>
      </c>
      <c r="I1289" s="5">
        <f>IMDB_Movies!$H1289-IMDB_Movies!$G1289</f>
        <v>78937</v>
      </c>
    </row>
    <row r="1290" spans="1:9" ht="23">
      <c r="A1290" s="2" t="s">
        <v>1905</v>
      </c>
      <c r="B1290" s="9" t="s">
        <v>1906</v>
      </c>
      <c r="C1290" s="9" t="s">
        <v>138</v>
      </c>
      <c r="D1290" s="9" t="s">
        <v>11</v>
      </c>
      <c r="E1290" s="9">
        <v>93</v>
      </c>
      <c r="F1290" s="9">
        <v>5.7</v>
      </c>
      <c r="G1290" s="9">
        <v>20000000</v>
      </c>
      <c r="H1290" s="9">
        <v>463730</v>
      </c>
      <c r="I1290" s="5">
        <f>IMDB_Movies!$H1290-IMDB_Movies!$G1290</f>
        <v>-19536270</v>
      </c>
    </row>
    <row r="1291" spans="1:9" ht="23">
      <c r="A1291" s="3" t="s">
        <v>1907</v>
      </c>
      <c r="B1291" s="10" t="s">
        <v>281</v>
      </c>
      <c r="C1291" s="10" t="s">
        <v>10</v>
      </c>
      <c r="D1291" s="10" t="s">
        <v>11</v>
      </c>
      <c r="E1291" s="10">
        <v>98</v>
      </c>
      <c r="F1291" s="10">
        <v>7.6</v>
      </c>
      <c r="G1291" s="10">
        <v>23000000</v>
      </c>
      <c r="H1291" s="10">
        <v>50693162</v>
      </c>
      <c r="I1291" s="5">
        <f>IMDB_Movies!$H1291-IMDB_Movies!$G1291</f>
        <v>27693162</v>
      </c>
    </row>
    <row r="1292" spans="1:9" ht="23">
      <c r="A1292" s="2" t="s">
        <v>1908</v>
      </c>
      <c r="B1292" s="9" t="s">
        <v>1909</v>
      </c>
      <c r="C1292" s="9" t="s">
        <v>10</v>
      </c>
      <c r="D1292" s="9" t="s">
        <v>1910</v>
      </c>
      <c r="E1292" s="9">
        <v>159</v>
      </c>
      <c r="F1292" s="9">
        <v>8.4</v>
      </c>
      <c r="G1292" s="9">
        <v>18026148</v>
      </c>
      <c r="H1292" s="9">
        <v>6498000</v>
      </c>
      <c r="I1292" s="5">
        <f>IMDB_Movies!$H1292-IMDB_Movies!$G1292</f>
        <v>-11528148</v>
      </c>
    </row>
    <row r="1293" spans="1:9" ht="23">
      <c r="A1293" s="3" t="s">
        <v>1911</v>
      </c>
      <c r="B1293" s="10" t="s">
        <v>339</v>
      </c>
      <c r="C1293" s="10" t="s">
        <v>56</v>
      </c>
      <c r="D1293" s="10" t="s">
        <v>11</v>
      </c>
      <c r="E1293" s="10">
        <v>107</v>
      </c>
      <c r="F1293" s="10">
        <v>7.1</v>
      </c>
      <c r="G1293" s="10">
        <v>39000000</v>
      </c>
      <c r="H1293" s="10">
        <v>63411478</v>
      </c>
      <c r="I1293" s="5">
        <f>IMDB_Movies!$H1293-IMDB_Movies!$G1293</f>
        <v>24411478</v>
      </c>
    </row>
    <row r="1294" spans="1:9" ht="23">
      <c r="A1294" s="2" t="s">
        <v>1912</v>
      </c>
      <c r="B1294" s="9" t="s">
        <v>1020</v>
      </c>
      <c r="C1294" s="9" t="s">
        <v>138</v>
      </c>
      <c r="D1294" s="9" t="s">
        <v>11</v>
      </c>
      <c r="E1294" s="9">
        <v>102</v>
      </c>
      <c r="F1294" s="9">
        <v>5.6</v>
      </c>
      <c r="G1294" s="9">
        <v>20000000</v>
      </c>
      <c r="H1294" s="9">
        <v>42640890</v>
      </c>
      <c r="I1294" s="5">
        <f>IMDB_Movies!$H1294-IMDB_Movies!$G1294</f>
        <v>22640890</v>
      </c>
    </row>
    <row r="1295" spans="1:9" ht="23">
      <c r="A1295" s="3" t="s">
        <v>1913</v>
      </c>
      <c r="B1295" s="10" t="s">
        <v>68</v>
      </c>
      <c r="C1295" s="10" t="s">
        <v>116</v>
      </c>
      <c r="D1295" s="10" t="s">
        <v>11</v>
      </c>
      <c r="E1295" s="10">
        <v>87</v>
      </c>
      <c r="F1295" s="10">
        <v>7</v>
      </c>
      <c r="G1295" s="10">
        <v>39000000</v>
      </c>
      <c r="H1295" s="10">
        <v>35287788</v>
      </c>
      <c r="I1295" s="5">
        <f>IMDB_Movies!$H1295-IMDB_Movies!$G1295</f>
        <v>-3712212</v>
      </c>
    </row>
    <row r="1296" spans="1:9" ht="23">
      <c r="A1296" s="2" t="s">
        <v>1914</v>
      </c>
      <c r="B1296" s="9" t="s">
        <v>26</v>
      </c>
      <c r="C1296" s="9" t="s">
        <v>10</v>
      </c>
      <c r="D1296" s="9" t="s">
        <v>11</v>
      </c>
      <c r="E1296" s="9">
        <v>119</v>
      </c>
      <c r="F1296" s="9">
        <v>8</v>
      </c>
      <c r="G1296" s="9">
        <v>40000000</v>
      </c>
      <c r="H1296" s="9">
        <v>25335935</v>
      </c>
      <c r="I1296" s="5">
        <f>IMDB_Movies!$H1296-IMDB_Movies!$G1296</f>
        <v>-14664065</v>
      </c>
    </row>
    <row r="1297" spans="1:9" ht="23">
      <c r="A1297" s="3" t="s">
        <v>1915</v>
      </c>
      <c r="B1297" s="10" t="s">
        <v>1916</v>
      </c>
      <c r="C1297" s="10" t="s">
        <v>418</v>
      </c>
      <c r="D1297" s="10" t="s">
        <v>11</v>
      </c>
      <c r="E1297" s="10">
        <v>110</v>
      </c>
      <c r="F1297" s="10">
        <v>5.3</v>
      </c>
      <c r="G1297" s="10">
        <v>39000000</v>
      </c>
      <c r="H1297" s="10">
        <v>5881504</v>
      </c>
      <c r="I1297" s="5">
        <f>IMDB_Movies!$H1297-IMDB_Movies!$G1297</f>
        <v>-33118496</v>
      </c>
    </row>
    <row r="1298" spans="1:9" ht="23">
      <c r="A1298" s="2" t="s">
        <v>1917</v>
      </c>
      <c r="B1298" s="9" t="s">
        <v>1315</v>
      </c>
      <c r="C1298" s="9" t="s">
        <v>10</v>
      </c>
      <c r="D1298" s="9" t="s">
        <v>11</v>
      </c>
      <c r="E1298" s="9">
        <v>125</v>
      </c>
      <c r="F1298" s="9">
        <v>4.9000000000000004</v>
      </c>
      <c r="G1298" s="9">
        <v>39000000</v>
      </c>
      <c r="H1298" s="9">
        <v>60000000</v>
      </c>
      <c r="I1298" s="5">
        <f>IMDB_Movies!$H1298-IMDB_Movies!$G1298</f>
        <v>21000000</v>
      </c>
    </row>
    <row r="1299" spans="1:9" ht="23">
      <c r="A1299" s="3" t="s">
        <v>1918</v>
      </c>
      <c r="B1299" s="10" t="s">
        <v>662</v>
      </c>
      <c r="C1299" s="10" t="s">
        <v>138</v>
      </c>
      <c r="D1299" s="10" t="s">
        <v>11</v>
      </c>
      <c r="E1299" s="10">
        <v>113</v>
      </c>
      <c r="F1299" s="10">
        <v>6.4</v>
      </c>
      <c r="G1299" s="10">
        <v>40000000</v>
      </c>
      <c r="H1299" s="10">
        <v>29802761</v>
      </c>
      <c r="I1299" s="5">
        <f>IMDB_Movies!$H1299-IMDB_Movies!$G1299</f>
        <v>-10197239</v>
      </c>
    </row>
    <row r="1300" spans="1:9" ht="23">
      <c r="A1300" s="2" t="s">
        <v>1919</v>
      </c>
      <c r="B1300" s="9" t="s">
        <v>361</v>
      </c>
      <c r="C1300" s="9" t="s">
        <v>10</v>
      </c>
      <c r="D1300" s="9" t="s">
        <v>521</v>
      </c>
      <c r="E1300" s="9">
        <v>150</v>
      </c>
      <c r="F1300" s="9">
        <v>7.4</v>
      </c>
      <c r="G1300" s="9">
        <v>553632000</v>
      </c>
      <c r="H1300" s="9">
        <v>626809</v>
      </c>
      <c r="I1300" s="5">
        <f>IMDB_Movies!$H1300-IMDB_Movies!$G1300</f>
        <v>-553005191</v>
      </c>
    </row>
    <row r="1301" spans="1:9" ht="23">
      <c r="A1301" s="3" t="s">
        <v>1920</v>
      </c>
      <c r="B1301" s="10" t="s">
        <v>838</v>
      </c>
      <c r="C1301" s="10" t="s">
        <v>138</v>
      </c>
      <c r="D1301" s="10" t="s">
        <v>11</v>
      </c>
      <c r="E1301" s="10">
        <v>108</v>
      </c>
      <c r="F1301" s="10">
        <v>6.1</v>
      </c>
      <c r="G1301" s="10">
        <v>38000000</v>
      </c>
      <c r="H1301" s="10">
        <v>127214072</v>
      </c>
      <c r="I1301" s="5">
        <f>IMDB_Movies!$H1301-IMDB_Movies!$G1301</f>
        <v>89214072</v>
      </c>
    </row>
    <row r="1302" spans="1:9" ht="23">
      <c r="A1302" s="2" t="s">
        <v>1921</v>
      </c>
      <c r="B1302" s="9" t="s">
        <v>828</v>
      </c>
      <c r="C1302" s="9" t="s">
        <v>138</v>
      </c>
      <c r="D1302" s="9" t="s">
        <v>11</v>
      </c>
      <c r="E1302" s="9">
        <v>96</v>
      </c>
      <c r="F1302" s="9">
        <v>6.5</v>
      </c>
      <c r="G1302" s="9">
        <v>38000000</v>
      </c>
      <c r="H1302" s="9">
        <v>88915214</v>
      </c>
      <c r="I1302" s="5">
        <f>IMDB_Movies!$H1302-IMDB_Movies!$G1302</f>
        <v>50915214</v>
      </c>
    </row>
    <row r="1303" spans="1:9" ht="23">
      <c r="A1303" s="3" t="s">
        <v>1922</v>
      </c>
      <c r="B1303" s="10" t="s">
        <v>1923</v>
      </c>
      <c r="C1303" s="10" t="s">
        <v>138</v>
      </c>
      <c r="D1303" s="10" t="s">
        <v>11</v>
      </c>
      <c r="E1303" s="10">
        <v>93</v>
      </c>
      <c r="F1303" s="10">
        <v>5.7</v>
      </c>
      <c r="G1303" s="10">
        <v>39000000</v>
      </c>
      <c r="H1303" s="10">
        <v>30400000</v>
      </c>
      <c r="I1303" s="5">
        <f>IMDB_Movies!$H1303-IMDB_Movies!$G1303</f>
        <v>-8600000</v>
      </c>
    </row>
    <row r="1304" spans="1:9" ht="23">
      <c r="A1304" s="2" t="s">
        <v>1924</v>
      </c>
      <c r="B1304" s="9" t="s">
        <v>1327</v>
      </c>
      <c r="C1304" s="9" t="s">
        <v>10</v>
      </c>
      <c r="D1304" s="9" t="s">
        <v>11</v>
      </c>
      <c r="E1304" s="9">
        <v>100</v>
      </c>
      <c r="F1304" s="9">
        <v>5.0999999999999996</v>
      </c>
      <c r="G1304" s="9">
        <v>38000000</v>
      </c>
      <c r="H1304" s="9">
        <v>85570368</v>
      </c>
      <c r="I1304" s="5">
        <f>IMDB_Movies!$H1304-IMDB_Movies!$G1304</f>
        <v>47570368</v>
      </c>
    </row>
    <row r="1305" spans="1:9" ht="23">
      <c r="A1305" s="3" t="s">
        <v>1925</v>
      </c>
      <c r="B1305" s="10" t="s">
        <v>1926</v>
      </c>
      <c r="C1305" s="10" t="s">
        <v>10</v>
      </c>
      <c r="D1305" s="10" t="s">
        <v>11</v>
      </c>
      <c r="E1305" s="10">
        <v>118</v>
      </c>
      <c r="F1305" s="10">
        <v>6.6</v>
      </c>
      <c r="G1305" s="10">
        <v>35000000</v>
      </c>
      <c r="H1305" s="10">
        <v>75668868</v>
      </c>
      <c r="I1305" s="5">
        <f>IMDB_Movies!$H1305-IMDB_Movies!$G1305</f>
        <v>40668868</v>
      </c>
    </row>
    <row r="1306" spans="1:9" ht="23">
      <c r="A1306" s="2" t="s">
        <v>1927</v>
      </c>
      <c r="B1306" s="9" t="s">
        <v>1928</v>
      </c>
      <c r="C1306" s="9" t="s">
        <v>10</v>
      </c>
      <c r="D1306" s="9" t="s">
        <v>521</v>
      </c>
      <c r="E1306" s="9">
        <v>122</v>
      </c>
      <c r="F1306" s="9">
        <v>6.5</v>
      </c>
      <c r="G1306" s="9">
        <v>38600000</v>
      </c>
      <c r="H1306" s="9">
        <v>6594136</v>
      </c>
      <c r="I1306" s="5">
        <f>IMDB_Movies!$H1306-IMDB_Movies!$G1306</f>
        <v>-32005864</v>
      </c>
    </row>
    <row r="1307" spans="1:9" ht="23">
      <c r="A1307" s="3" t="s">
        <v>1929</v>
      </c>
      <c r="B1307" s="10" t="s">
        <v>187</v>
      </c>
      <c r="C1307" s="10" t="s">
        <v>56</v>
      </c>
      <c r="D1307" s="10" t="s">
        <v>11</v>
      </c>
      <c r="E1307" s="10">
        <v>120</v>
      </c>
      <c r="F1307" s="10">
        <v>6.9</v>
      </c>
      <c r="G1307" s="10">
        <v>38000000</v>
      </c>
      <c r="H1307" s="10">
        <v>58700247</v>
      </c>
      <c r="I1307" s="5">
        <f>IMDB_Movies!$H1307-IMDB_Movies!$G1307</f>
        <v>20700247</v>
      </c>
    </row>
    <row r="1308" spans="1:9" ht="23">
      <c r="A1308" s="2" t="s">
        <v>1930</v>
      </c>
      <c r="B1308" s="9" t="s">
        <v>1931</v>
      </c>
      <c r="C1308" s="9" t="s">
        <v>24</v>
      </c>
      <c r="D1308" s="9" t="s">
        <v>11</v>
      </c>
      <c r="E1308" s="9">
        <v>88</v>
      </c>
      <c r="F1308" s="9">
        <v>6.4</v>
      </c>
      <c r="G1308" s="9">
        <v>40000000</v>
      </c>
      <c r="H1308" s="9">
        <v>25078937</v>
      </c>
      <c r="I1308" s="5">
        <f>IMDB_Movies!$H1308-IMDB_Movies!$G1308</f>
        <v>-14921063</v>
      </c>
    </row>
    <row r="1309" spans="1:9" ht="23">
      <c r="A1309" s="3" t="s">
        <v>1932</v>
      </c>
      <c r="B1309" s="10" t="s">
        <v>1933</v>
      </c>
      <c r="C1309" s="10" t="s">
        <v>418</v>
      </c>
      <c r="D1309" s="10" t="s">
        <v>11</v>
      </c>
      <c r="E1309" s="10">
        <v>146</v>
      </c>
      <c r="F1309" s="10">
        <v>7.6</v>
      </c>
      <c r="G1309" s="10">
        <v>38000000</v>
      </c>
      <c r="H1309" s="10">
        <v>50668906</v>
      </c>
      <c r="I1309" s="5">
        <f>IMDB_Movies!$H1309-IMDB_Movies!$G1309</f>
        <v>12668906</v>
      </c>
    </row>
    <row r="1310" spans="1:9" ht="23">
      <c r="A1310" s="2" t="s">
        <v>1934</v>
      </c>
      <c r="B1310" s="9" t="s">
        <v>201</v>
      </c>
      <c r="C1310" s="9" t="s">
        <v>414</v>
      </c>
      <c r="D1310" s="9" t="s">
        <v>11</v>
      </c>
      <c r="E1310" s="9">
        <v>115</v>
      </c>
      <c r="F1310" s="9">
        <v>5.6</v>
      </c>
      <c r="G1310" s="9">
        <v>38000000</v>
      </c>
      <c r="H1310" s="9">
        <v>39177215</v>
      </c>
      <c r="I1310" s="5">
        <f>IMDB_Movies!$H1310-IMDB_Movies!$G1310</f>
        <v>1177215</v>
      </c>
    </row>
    <row r="1311" spans="1:9" ht="23">
      <c r="A1311" s="3" t="s">
        <v>1935</v>
      </c>
      <c r="B1311" s="10" t="s">
        <v>1936</v>
      </c>
      <c r="C1311" s="10" t="s">
        <v>138</v>
      </c>
      <c r="D1311" s="10" t="s">
        <v>11</v>
      </c>
      <c r="E1311" s="10">
        <v>123</v>
      </c>
      <c r="F1311" s="10">
        <v>6.2</v>
      </c>
      <c r="G1311" s="10">
        <v>35000000</v>
      </c>
      <c r="H1311" s="10">
        <v>40334024</v>
      </c>
      <c r="I1311" s="5">
        <f>IMDB_Movies!$H1311-IMDB_Movies!$G1311</f>
        <v>5334024</v>
      </c>
    </row>
    <row r="1312" spans="1:9" ht="23">
      <c r="A1312" s="2" t="s">
        <v>1937</v>
      </c>
      <c r="B1312" s="9" t="s">
        <v>1401</v>
      </c>
      <c r="C1312" s="9" t="s">
        <v>10</v>
      </c>
      <c r="D1312" s="9" t="s">
        <v>11</v>
      </c>
      <c r="E1312" s="9">
        <v>94</v>
      </c>
      <c r="F1312" s="9">
        <v>4.4000000000000004</v>
      </c>
      <c r="G1312" s="9">
        <v>30000000</v>
      </c>
      <c r="H1312" s="9">
        <v>71038190</v>
      </c>
      <c r="I1312" s="5">
        <f>IMDB_Movies!$H1312-IMDB_Movies!$G1312</f>
        <v>41038190</v>
      </c>
    </row>
    <row r="1313" spans="1:9" ht="23">
      <c r="A1313" s="3" t="s">
        <v>1938</v>
      </c>
      <c r="B1313" s="10" t="s">
        <v>1939</v>
      </c>
      <c r="C1313" s="10" t="s">
        <v>56</v>
      </c>
      <c r="D1313" s="10" t="s">
        <v>11</v>
      </c>
      <c r="E1313" s="10">
        <v>102</v>
      </c>
      <c r="F1313" s="10">
        <v>5.6</v>
      </c>
      <c r="G1313" s="10">
        <v>38000000</v>
      </c>
      <c r="H1313" s="10">
        <v>24044532</v>
      </c>
      <c r="I1313" s="5">
        <f>IMDB_Movies!$H1313-IMDB_Movies!$G1313</f>
        <v>-13955468</v>
      </c>
    </row>
    <row r="1314" spans="1:9" ht="23">
      <c r="A1314" s="2" t="s">
        <v>1940</v>
      </c>
      <c r="B1314" s="9" t="s">
        <v>1136</v>
      </c>
      <c r="C1314" s="9" t="s">
        <v>138</v>
      </c>
      <c r="D1314" s="9" t="s">
        <v>11</v>
      </c>
      <c r="E1314" s="9">
        <v>98</v>
      </c>
      <c r="F1314" s="9">
        <v>5.5</v>
      </c>
      <c r="G1314" s="9">
        <v>38000000</v>
      </c>
      <c r="H1314" s="9">
        <v>22770864</v>
      </c>
      <c r="I1314" s="5">
        <f>IMDB_Movies!$H1314-IMDB_Movies!$G1314</f>
        <v>-15229136</v>
      </c>
    </row>
    <row r="1315" spans="1:9" ht="23">
      <c r="A1315" s="3" t="s">
        <v>1941</v>
      </c>
      <c r="B1315" s="10" t="s">
        <v>1025</v>
      </c>
      <c r="C1315" s="10" t="s">
        <v>228</v>
      </c>
      <c r="D1315" s="10" t="s">
        <v>11</v>
      </c>
      <c r="E1315" s="10">
        <v>133</v>
      </c>
      <c r="F1315" s="10">
        <v>6.7</v>
      </c>
      <c r="G1315" s="10">
        <v>38000000</v>
      </c>
      <c r="H1315" s="10">
        <v>18653746</v>
      </c>
      <c r="I1315" s="5">
        <f>IMDB_Movies!$H1315-IMDB_Movies!$G1315</f>
        <v>-19346254</v>
      </c>
    </row>
    <row r="1316" spans="1:9" ht="23">
      <c r="A1316" s="2" t="s">
        <v>1942</v>
      </c>
      <c r="B1316" s="9" t="s">
        <v>201</v>
      </c>
      <c r="C1316" s="9" t="s">
        <v>414</v>
      </c>
      <c r="D1316" s="9" t="s">
        <v>11</v>
      </c>
      <c r="E1316" s="9">
        <v>118</v>
      </c>
      <c r="F1316" s="9">
        <v>6.1</v>
      </c>
      <c r="G1316" s="9">
        <v>38000000</v>
      </c>
      <c r="H1316" s="9">
        <v>17305211</v>
      </c>
      <c r="I1316" s="5">
        <f>IMDB_Movies!$H1316-IMDB_Movies!$G1316</f>
        <v>-20694789</v>
      </c>
    </row>
    <row r="1317" spans="1:9" ht="23">
      <c r="A1317" s="3" t="s">
        <v>1943</v>
      </c>
      <c r="B1317" s="10" t="s">
        <v>1205</v>
      </c>
      <c r="C1317" s="10" t="s">
        <v>56</v>
      </c>
      <c r="D1317" s="10" t="s">
        <v>11</v>
      </c>
      <c r="E1317" s="10">
        <v>105</v>
      </c>
      <c r="F1317" s="10">
        <v>6.2</v>
      </c>
      <c r="G1317" s="10">
        <v>57000000</v>
      </c>
      <c r="H1317" s="10">
        <v>16991902</v>
      </c>
      <c r="I1317" s="5">
        <f>IMDB_Movies!$H1317-IMDB_Movies!$G1317</f>
        <v>-40008098</v>
      </c>
    </row>
    <row r="1318" spans="1:9" ht="23">
      <c r="A1318" s="2" t="s">
        <v>1944</v>
      </c>
      <c r="B1318" s="9" t="s">
        <v>1945</v>
      </c>
      <c r="C1318" s="9" t="s">
        <v>56</v>
      </c>
      <c r="D1318" s="9" t="s">
        <v>11</v>
      </c>
      <c r="E1318" s="9">
        <v>109</v>
      </c>
      <c r="F1318" s="9">
        <v>7.3</v>
      </c>
      <c r="G1318" s="9">
        <v>10000000</v>
      </c>
      <c r="H1318" s="9">
        <v>47536959</v>
      </c>
      <c r="I1318" s="5">
        <f>IMDB_Movies!$H1318-IMDB_Movies!$G1318</f>
        <v>37536959</v>
      </c>
    </row>
    <row r="1319" spans="1:9" ht="23">
      <c r="A1319" s="3" t="s">
        <v>1946</v>
      </c>
      <c r="B1319" s="10" t="s">
        <v>50</v>
      </c>
      <c r="C1319" s="10" t="s">
        <v>24</v>
      </c>
      <c r="D1319" s="10" t="s">
        <v>11</v>
      </c>
      <c r="E1319" s="10">
        <v>129</v>
      </c>
      <c r="F1319" s="10">
        <v>6.6</v>
      </c>
      <c r="G1319" s="10">
        <v>38000000</v>
      </c>
      <c r="H1319" s="10">
        <v>10300000</v>
      </c>
      <c r="I1319" s="5">
        <f>IMDB_Movies!$H1319-IMDB_Movies!$G1319</f>
        <v>-27700000</v>
      </c>
    </row>
    <row r="1320" spans="1:9" ht="23">
      <c r="A1320" s="2" t="s">
        <v>1947</v>
      </c>
      <c r="B1320" s="9" t="s">
        <v>1470</v>
      </c>
      <c r="C1320" s="9" t="s">
        <v>810</v>
      </c>
      <c r="D1320" s="9" t="s">
        <v>11</v>
      </c>
      <c r="E1320" s="9">
        <v>109</v>
      </c>
      <c r="F1320" s="9">
        <v>8.1999999999999993</v>
      </c>
      <c r="G1320" s="9">
        <v>15000000</v>
      </c>
      <c r="H1320" s="9">
        <v>13782838</v>
      </c>
      <c r="I1320" s="5">
        <f>IMDB_Movies!$H1320-IMDB_Movies!$G1320</f>
        <v>-1217162</v>
      </c>
    </row>
    <row r="1321" spans="1:9" ht="23">
      <c r="A1321" s="3" t="s">
        <v>1948</v>
      </c>
      <c r="B1321" s="10" t="s">
        <v>375</v>
      </c>
      <c r="C1321" s="10" t="s">
        <v>10</v>
      </c>
      <c r="D1321" s="10" t="s">
        <v>11</v>
      </c>
      <c r="E1321" s="10">
        <v>127</v>
      </c>
      <c r="F1321" s="10">
        <v>6.4</v>
      </c>
      <c r="G1321" s="10">
        <v>38000000</v>
      </c>
      <c r="H1321" s="10">
        <v>41997790</v>
      </c>
      <c r="I1321" s="5">
        <f>IMDB_Movies!$H1321-IMDB_Movies!$G1321</f>
        <v>3997790</v>
      </c>
    </row>
    <row r="1322" spans="1:9" ht="23">
      <c r="A1322" s="2" t="s">
        <v>1949</v>
      </c>
      <c r="B1322" s="9" t="s">
        <v>1950</v>
      </c>
      <c r="C1322" s="9" t="s">
        <v>414</v>
      </c>
      <c r="D1322" s="9" t="s">
        <v>11</v>
      </c>
      <c r="E1322" s="9">
        <v>118</v>
      </c>
      <c r="F1322" s="9">
        <v>6.4</v>
      </c>
      <c r="G1322" s="9">
        <v>37000000</v>
      </c>
      <c r="H1322" s="9">
        <v>6482195</v>
      </c>
      <c r="I1322" s="5">
        <f>IMDB_Movies!$H1322-IMDB_Movies!$G1322</f>
        <v>-30517805</v>
      </c>
    </row>
    <row r="1323" spans="1:9" ht="23">
      <c r="A1323" s="3" t="s">
        <v>1951</v>
      </c>
      <c r="B1323" s="10" t="s">
        <v>1952</v>
      </c>
      <c r="C1323" s="10" t="s">
        <v>10</v>
      </c>
      <c r="D1323" s="10" t="s">
        <v>11</v>
      </c>
      <c r="E1323" s="10">
        <v>110</v>
      </c>
      <c r="F1323" s="10">
        <v>5.2</v>
      </c>
      <c r="G1323" s="10">
        <v>38000000</v>
      </c>
      <c r="H1323" s="10">
        <v>623374</v>
      </c>
      <c r="I1323" s="5">
        <f>IMDB_Movies!$H1323-IMDB_Movies!$G1323</f>
        <v>-37376626</v>
      </c>
    </row>
    <row r="1324" spans="1:9" ht="23">
      <c r="A1324" s="2" t="s">
        <v>1953</v>
      </c>
      <c r="B1324" s="9" t="s">
        <v>832</v>
      </c>
      <c r="C1324" s="9" t="s">
        <v>24</v>
      </c>
      <c r="D1324" s="9" t="s">
        <v>11</v>
      </c>
      <c r="E1324" s="9">
        <v>90</v>
      </c>
      <c r="F1324" s="9">
        <v>6.5</v>
      </c>
      <c r="G1324" s="9">
        <v>55000000</v>
      </c>
      <c r="H1324" s="9">
        <v>7871693</v>
      </c>
      <c r="I1324" s="5">
        <f>IMDB_Movies!$H1324-IMDB_Movies!$G1324</f>
        <v>-47128307</v>
      </c>
    </row>
    <row r="1325" spans="1:9" ht="23">
      <c r="A1325" s="3" t="s">
        <v>1954</v>
      </c>
      <c r="B1325" s="10" t="s">
        <v>1955</v>
      </c>
      <c r="C1325" s="10" t="s">
        <v>56</v>
      </c>
      <c r="D1325" s="10" t="s">
        <v>11</v>
      </c>
      <c r="E1325" s="10">
        <v>144</v>
      </c>
      <c r="F1325" s="10">
        <v>7.1</v>
      </c>
      <c r="G1325" s="10">
        <v>32000000</v>
      </c>
      <c r="H1325" s="10">
        <v>16377274</v>
      </c>
      <c r="I1325" s="5">
        <f>IMDB_Movies!$H1325-IMDB_Movies!$G1325</f>
        <v>-15622726</v>
      </c>
    </row>
    <row r="1326" spans="1:9" ht="23">
      <c r="A1326" s="2" t="s">
        <v>1956</v>
      </c>
      <c r="B1326" s="9" t="s">
        <v>1957</v>
      </c>
      <c r="C1326" s="9" t="s">
        <v>24</v>
      </c>
      <c r="D1326" s="9" t="s">
        <v>11</v>
      </c>
      <c r="E1326" s="9">
        <v>97</v>
      </c>
      <c r="F1326" s="9">
        <v>4.8</v>
      </c>
      <c r="G1326" s="9">
        <v>38000000</v>
      </c>
      <c r="H1326" s="9">
        <v>25078937</v>
      </c>
      <c r="I1326" s="5">
        <f>IMDB_Movies!$H1326-IMDB_Movies!$G1326</f>
        <v>-12921063</v>
      </c>
    </row>
    <row r="1327" spans="1:9" ht="23">
      <c r="A1327" s="3" t="s">
        <v>1958</v>
      </c>
      <c r="B1327" s="10" t="s">
        <v>1410</v>
      </c>
      <c r="C1327" s="10" t="s">
        <v>418</v>
      </c>
      <c r="D1327" s="10" t="s">
        <v>11</v>
      </c>
      <c r="E1327" s="10">
        <v>130</v>
      </c>
      <c r="F1327" s="10">
        <v>7.3</v>
      </c>
      <c r="G1327" s="10">
        <v>40000000</v>
      </c>
      <c r="H1327" s="10">
        <v>9589875</v>
      </c>
      <c r="I1327" s="5">
        <f>IMDB_Movies!$H1327-IMDB_Movies!$G1327</f>
        <v>-30410125</v>
      </c>
    </row>
    <row r="1328" spans="1:9" ht="23">
      <c r="A1328" s="2" t="s">
        <v>1959</v>
      </c>
      <c r="B1328" s="9" t="s">
        <v>1960</v>
      </c>
      <c r="C1328" s="9" t="s">
        <v>10</v>
      </c>
      <c r="D1328" s="9" t="s">
        <v>11</v>
      </c>
      <c r="E1328" s="9">
        <v>112</v>
      </c>
      <c r="F1328" s="9">
        <v>5.2</v>
      </c>
      <c r="G1328" s="9">
        <v>38000000</v>
      </c>
      <c r="H1328" s="9">
        <v>34912982</v>
      </c>
      <c r="I1328" s="5">
        <f>IMDB_Movies!$H1328-IMDB_Movies!$G1328</f>
        <v>-3087018</v>
      </c>
    </row>
    <row r="1329" spans="1:9" ht="23">
      <c r="A1329" s="3" t="s">
        <v>1961</v>
      </c>
      <c r="B1329" s="10" t="s">
        <v>1962</v>
      </c>
      <c r="C1329" s="10" t="s">
        <v>56</v>
      </c>
      <c r="D1329" s="10" t="s">
        <v>11</v>
      </c>
      <c r="E1329" s="10">
        <v>133</v>
      </c>
      <c r="F1329" s="10">
        <v>7.7</v>
      </c>
      <c r="G1329" s="10">
        <v>35000000</v>
      </c>
      <c r="H1329" s="10">
        <v>109712885</v>
      </c>
      <c r="I1329" s="5">
        <f>IMDB_Movies!$H1329-IMDB_Movies!$G1329</f>
        <v>74712885</v>
      </c>
    </row>
    <row r="1330" spans="1:9" ht="23">
      <c r="A1330" s="2" t="s">
        <v>1963</v>
      </c>
      <c r="B1330" s="9" t="s">
        <v>1649</v>
      </c>
      <c r="C1330" s="9" t="s">
        <v>414</v>
      </c>
      <c r="D1330" s="9" t="s">
        <v>11</v>
      </c>
      <c r="E1330" s="9">
        <v>150</v>
      </c>
      <c r="F1330" s="9">
        <v>7.6</v>
      </c>
      <c r="G1330" s="9">
        <v>37000000</v>
      </c>
      <c r="H1330" s="9">
        <v>92173235</v>
      </c>
      <c r="I1330" s="5">
        <f>IMDB_Movies!$H1330-IMDB_Movies!$G1330</f>
        <v>55173235</v>
      </c>
    </row>
    <row r="1331" spans="1:9" ht="23">
      <c r="A1331" s="3" t="s">
        <v>1964</v>
      </c>
      <c r="B1331" s="10" t="s">
        <v>1965</v>
      </c>
      <c r="C1331" s="10" t="s">
        <v>138</v>
      </c>
      <c r="D1331" s="10" t="s">
        <v>11</v>
      </c>
      <c r="E1331" s="10">
        <v>110</v>
      </c>
      <c r="F1331" s="10">
        <v>5.7</v>
      </c>
      <c r="G1331" s="10">
        <v>40000000</v>
      </c>
      <c r="H1331" s="10">
        <v>41102171</v>
      </c>
      <c r="I1331" s="5">
        <f>IMDB_Movies!$H1331-IMDB_Movies!$G1331</f>
        <v>1102171</v>
      </c>
    </row>
    <row r="1332" spans="1:9" ht="23">
      <c r="A1332" s="2" t="s">
        <v>1966</v>
      </c>
      <c r="B1332" s="9" t="s">
        <v>1967</v>
      </c>
      <c r="C1332" s="9" t="s">
        <v>138</v>
      </c>
      <c r="D1332" s="9" t="s">
        <v>11</v>
      </c>
      <c r="E1332" s="9">
        <v>96</v>
      </c>
      <c r="F1332" s="9">
        <v>7</v>
      </c>
      <c r="G1332" s="9">
        <v>37000000</v>
      </c>
      <c r="H1332" s="9">
        <v>60338891</v>
      </c>
      <c r="I1332" s="5">
        <f>IMDB_Movies!$H1332-IMDB_Movies!$G1332</f>
        <v>23338891</v>
      </c>
    </row>
    <row r="1333" spans="1:9" ht="23">
      <c r="A1333" s="3" t="s">
        <v>1968</v>
      </c>
      <c r="B1333" s="10" t="s">
        <v>1969</v>
      </c>
      <c r="C1333" s="10" t="s">
        <v>24</v>
      </c>
      <c r="D1333" s="10" t="s">
        <v>11</v>
      </c>
      <c r="E1333" s="10">
        <v>96</v>
      </c>
      <c r="F1333" s="10">
        <v>6</v>
      </c>
      <c r="G1333" s="10">
        <v>37000000</v>
      </c>
      <c r="H1333" s="10">
        <v>48006503</v>
      </c>
      <c r="I1333" s="5">
        <f>IMDB_Movies!$H1333-IMDB_Movies!$G1333</f>
        <v>11006503</v>
      </c>
    </row>
    <row r="1334" spans="1:9" ht="23">
      <c r="A1334" s="2" t="s">
        <v>1970</v>
      </c>
      <c r="B1334" s="9" t="s">
        <v>227</v>
      </c>
      <c r="C1334" s="9" t="s">
        <v>10</v>
      </c>
      <c r="D1334" s="9" t="s">
        <v>11</v>
      </c>
      <c r="E1334" s="9">
        <v>123</v>
      </c>
      <c r="F1334" s="9">
        <v>8.1</v>
      </c>
      <c r="G1334" s="9">
        <v>38000000</v>
      </c>
      <c r="H1334" s="9">
        <v>26903709</v>
      </c>
      <c r="I1334" s="5">
        <f>IMDB_Movies!$H1334-IMDB_Movies!$G1334</f>
        <v>-11096291</v>
      </c>
    </row>
    <row r="1335" spans="1:9" ht="23">
      <c r="A1335" s="3" t="s">
        <v>1971</v>
      </c>
      <c r="B1335" s="10" t="s">
        <v>1955</v>
      </c>
      <c r="C1335" s="10" t="s">
        <v>56</v>
      </c>
      <c r="D1335" s="10" t="s">
        <v>11</v>
      </c>
      <c r="E1335" s="10">
        <v>188</v>
      </c>
      <c r="F1335" s="10">
        <v>8</v>
      </c>
      <c r="G1335" s="10">
        <v>37000000</v>
      </c>
      <c r="H1335" s="10">
        <v>22450975</v>
      </c>
      <c r="I1335" s="5">
        <f>IMDB_Movies!$H1335-IMDB_Movies!$G1335</f>
        <v>-14549025</v>
      </c>
    </row>
    <row r="1336" spans="1:9" ht="23">
      <c r="A1336" s="2" t="s">
        <v>1972</v>
      </c>
      <c r="B1336" s="9" t="s">
        <v>1973</v>
      </c>
      <c r="C1336" s="9" t="s">
        <v>10</v>
      </c>
      <c r="D1336" s="9" t="s">
        <v>11</v>
      </c>
      <c r="E1336" s="9">
        <v>107</v>
      </c>
      <c r="F1336" s="9">
        <v>5.6</v>
      </c>
      <c r="G1336" s="9">
        <v>37000000</v>
      </c>
      <c r="H1336" s="9">
        <v>44867349</v>
      </c>
      <c r="I1336" s="5">
        <f>IMDB_Movies!$H1336-IMDB_Movies!$G1336</f>
        <v>7867349</v>
      </c>
    </row>
    <row r="1337" spans="1:9" ht="23">
      <c r="A1337" s="3" t="s">
        <v>1974</v>
      </c>
      <c r="B1337" s="10" t="s">
        <v>1975</v>
      </c>
      <c r="C1337" s="10" t="s">
        <v>138</v>
      </c>
      <c r="D1337" s="10" t="s">
        <v>11</v>
      </c>
      <c r="E1337" s="10">
        <v>110</v>
      </c>
      <c r="F1337" s="10">
        <v>6.1</v>
      </c>
      <c r="G1337" s="10">
        <v>38000000</v>
      </c>
      <c r="H1337" s="10">
        <v>46813366</v>
      </c>
      <c r="I1337" s="5">
        <f>IMDB_Movies!$H1337-IMDB_Movies!$G1337</f>
        <v>8813366</v>
      </c>
    </row>
    <row r="1338" spans="1:9" ht="23">
      <c r="A1338" s="2" t="s">
        <v>1976</v>
      </c>
      <c r="B1338" s="9" t="s">
        <v>1977</v>
      </c>
      <c r="C1338" s="9" t="s">
        <v>56</v>
      </c>
      <c r="D1338" s="9" t="s">
        <v>11</v>
      </c>
      <c r="E1338" s="9">
        <v>113</v>
      </c>
      <c r="F1338" s="9">
        <v>6.9</v>
      </c>
      <c r="G1338" s="9">
        <v>37000000</v>
      </c>
      <c r="H1338" s="9">
        <v>72279690</v>
      </c>
      <c r="I1338" s="5">
        <f>IMDB_Movies!$H1338-IMDB_Movies!$G1338</f>
        <v>35279690</v>
      </c>
    </row>
    <row r="1339" spans="1:9" ht="23">
      <c r="A1339" s="3" t="s">
        <v>1978</v>
      </c>
      <c r="B1339" s="10" t="s">
        <v>1693</v>
      </c>
      <c r="C1339" s="10" t="s">
        <v>56</v>
      </c>
      <c r="D1339" s="10" t="s">
        <v>11</v>
      </c>
      <c r="E1339" s="10">
        <v>122</v>
      </c>
      <c r="F1339" s="10">
        <v>5.2</v>
      </c>
      <c r="G1339" s="10">
        <v>37000000</v>
      </c>
      <c r="H1339" s="10">
        <v>191449475</v>
      </c>
      <c r="I1339" s="5">
        <f>IMDB_Movies!$H1339-IMDB_Movies!$G1339</f>
        <v>154449475</v>
      </c>
    </row>
    <row r="1340" spans="1:9" ht="23">
      <c r="A1340" s="2" t="s">
        <v>1979</v>
      </c>
      <c r="B1340" s="9" t="s">
        <v>1762</v>
      </c>
      <c r="C1340" s="9" t="s">
        <v>414</v>
      </c>
      <c r="D1340" s="9" t="s">
        <v>11</v>
      </c>
      <c r="E1340" s="9">
        <v>116</v>
      </c>
      <c r="F1340" s="9">
        <v>7</v>
      </c>
      <c r="G1340" s="9">
        <v>36000000</v>
      </c>
      <c r="H1340" s="9">
        <v>71026631</v>
      </c>
      <c r="I1340" s="5">
        <f>IMDB_Movies!$H1340-IMDB_Movies!$G1340</f>
        <v>35026631</v>
      </c>
    </row>
    <row r="1341" spans="1:9" ht="23">
      <c r="A1341" s="3" t="s">
        <v>1980</v>
      </c>
      <c r="B1341" s="10" t="s">
        <v>711</v>
      </c>
      <c r="C1341" s="10" t="s">
        <v>10</v>
      </c>
      <c r="D1341" s="10" t="s">
        <v>11</v>
      </c>
      <c r="E1341" s="10">
        <v>93</v>
      </c>
      <c r="F1341" s="10">
        <v>6.3</v>
      </c>
      <c r="G1341" s="10">
        <v>65000000</v>
      </c>
      <c r="H1341" s="10">
        <v>68208190</v>
      </c>
      <c r="I1341" s="5">
        <f>IMDB_Movies!$H1341-IMDB_Movies!$G1341</f>
        <v>3208190</v>
      </c>
    </row>
    <row r="1342" spans="1:9" ht="23">
      <c r="A1342" s="2" t="s">
        <v>1981</v>
      </c>
      <c r="B1342" s="9" t="s">
        <v>1375</v>
      </c>
      <c r="C1342" s="9" t="s">
        <v>138</v>
      </c>
      <c r="D1342" s="9" t="s">
        <v>11</v>
      </c>
      <c r="E1342" s="9">
        <v>118</v>
      </c>
      <c r="F1342" s="9">
        <v>7</v>
      </c>
      <c r="G1342" s="9">
        <v>37000000</v>
      </c>
      <c r="H1342" s="9">
        <v>150368971</v>
      </c>
      <c r="I1342" s="5">
        <f>IMDB_Movies!$H1342-IMDB_Movies!$G1342</f>
        <v>113368971</v>
      </c>
    </row>
    <row r="1343" spans="1:9" ht="23">
      <c r="A1343" s="3" t="s">
        <v>1982</v>
      </c>
      <c r="B1343" s="10" t="s">
        <v>1983</v>
      </c>
      <c r="C1343" s="10" t="s">
        <v>10</v>
      </c>
      <c r="D1343" s="10" t="s">
        <v>1544</v>
      </c>
      <c r="E1343" s="10">
        <v>115</v>
      </c>
      <c r="F1343" s="10">
        <v>5.3</v>
      </c>
      <c r="G1343" s="10">
        <v>29500000</v>
      </c>
      <c r="H1343" s="10">
        <v>25078937</v>
      </c>
      <c r="I1343" s="5">
        <f>IMDB_Movies!$H1343-IMDB_Movies!$G1343</f>
        <v>-4421063</v>
      </c>
    </row>
    <row r="1344" spans="1:9" ht="23">
      <c r="A1344" s="2" t="s">
        <v>1984</v>
      </c>
      <c r="B1344" s="9" t="s">
        <v>172</v>
      </c>
      <c r="C1344" s="9" t="s">
        <v>10</v>
      </c>
      <c r="D1344" s="9" t="s">
        <v>11</v>
      </c>
      <c r="E1344" s="9">
        <v>93</v>
      </c>
      <c r="F1344" s="9">
        <v>6.9</v>
      </c>
      <c r="G1344" s="9">
        <v>36000000</v>
      </c>
      <c r="H1344" s="9">
        <v>50129186</v>
      </c>
      <c r="I1344" s="5">
        <f>IMDB_Movies!$H1344-IMDB_Movies!$G1344</f>
        <v>14129186</v>
      </c>
    </row>
    <row r="1345" spans="1:9" ht="23">
      <c r="A1345" s="3" t="s">
        <v>1985</v>
      </c>
      <c r="B1345" s="10" t="s">
        <v>1986</v>
      </c>
      <c r="C1345" s="10" t="s">
        <v>10</v>
      </c>
      <c r="D1345" s="10" t="s">
        <v>11</v>
      </c>
      <c r="E1345" s="10">
        <v>121</v>
      </c>
      <c r="F1345" s="10">
        <v>6.2</v>
      </c>
      <c r="G1345" s="10">
        <v>36000000</v>
      </c>
      <c r="H1345" s="10">
        <v>55500000</v>
      </c>
      <c r="I1345" s="5">
        <f>IMDB_Movies!$H1345-IMDB_Movies!$G1345</f>
        <v>19500000</v>
      </c>
    </row>
    <row r="1346" spans="1:9" ht="23">
      <c r="A1346" s="2" t="s">
        <v>1987</v>
      </c>
      <c r="B1346" s="9" t="s">
        <v>1988</v>
      </c>
      <c r="C1346" s="9" t="s">
        <v>138</v>
      </c>
      <c r="D1346" s="9" t="s">
        <v>11</v>
      </c>
      <c r="E1346" s="9">
        <v>101</v>
      </c>
      <c r="F1346" s="9">
        <v>6.4</v>
      </c>
      <c r="G1346" s="9">
        <v>36000000</v>
      </c>
      <c r="H1346" s="9">
        <v>50213619</v>
      </c>
      <c r="I1346" s="5">
        <f>IMDB_Movies!$H1346-IMDB_Movies!$G1346</f>
        <v>14213619</v>
      </c>
    </row>
    <row r="1347" spans="1:9" ht="23">
      <c r="A1347" s="3" t="s">
        <v>1989</v>
      </c>
      <c r="B1347" s="10" t="s">
        <v>1977</v>
      </c>
      <c r="C1347" s="10" t="s">
        <v>56</v>
      </c>
      <c r="D1347" s="10" t="s">
        <v>11</v>
      </c>
      <c r="E1347" s="10">
        <v>107</v>
      </c>
      <c r="F1347" s="10">
        <v>6.4</v>
      </c>
      <c r="G1347" s="10">
        <v>36000000</v>
      </c>
      <c r="H1347" s="10">
        <v>42019483</v>
      </c>
      <c r="I1347" s="5">
        <f>IMDB_Movies!$H1347-IMDB_Movies!$G1347</f>
        <v>6019483</v>
      </c>
    </row>
    <row r="1348" spans="1:9" ht="23">
      <c r="A1348" s="2" t="s">
        <v>1990</v>
      </c>
      <c r="B1348" s="9" t="s">
        <v>1271</v>
      </c>
      <c r="C1348" s="9" t="s">
        <v>10</v>
      </c>
      <c r="D1348" s="9" t="s">
        <v>11</v>
      </c>
      <c r="E1348" s="9">
        <v>124</v>
      </c>
      <c r="F1348" s="9">
        <v>5.7</v>
      </c>
      <c r="G1348" s="9">
        <v>34000000</v>
      </c>
      <c r="H1348" s="9">
        <v>23360779</v>
      </c>
      <c r="I1348" s="5">
        <f>IMDB_Movies!$H1348-IMDB_Movies!$G1348</f>
        <v>-10639221</v>
      </c>
    </row>
    <row r="1349" spans="1:9" ht="23">
      <c r="A1349" s="3" t="s">
        <v>1991</v>
      </c>
      <c r="B1349" s="10" t="s">
        <v>823</v>
      </c>
      <c r="C1349" s="10" t="s">
        <v>10</v>
      </c>
      <c r="D1349" s="10" t="s">
        <v>11</v>
      </c>
      <c r="E1349" s="10">
        <v>109</v>
      </c>
      <c r="F1349" s="10">
        <v>6.1</v>
      </c>
      <c r="G1349" s="10">
        <v>36000000</v>
      </c>
      <c r="H1349" s="10">
        <v>26183197</v>
      </c>
      <c r="I1349" s="5">
        <f>IMDB_Movies!$H1349-IMDB_Movies!$G1349</f>
        <v>-9816803</v>
      </c>
    </row>
    <row r="1350" spans="1:9" ht="23">
      <c r="A1350" s="2" t="s">
        <v>1992</v>
      </c>
      <c r="B1350" s="9" t="s">
        <v>894</v>
      </c>
      <c r="C1350" s="9" t="s">
        <v>138</v>
      </c>
      <c r="D1350" s="9" t="s">
        <v>11</v>
      </c>
      <c r="E1350" s="9">
        <v>105</v>
      </c>
      <c r="F1350" s="9">
        <v>5.4</v>
      </c>
      <c r="G1350" s="9">
        <v>37000000</v>
      </c>
      <c r="H1350" s="9">
        <v>20991497</v>
      </c>
      <c r="I1350" s="5">
        <f>IMDB_Movies!$H1350-IMDB_Movies!$G1350</f>
        <v>-16008503</v>
      </c>
    </row>
    <row r="1351" spans="1:9" ht="23">
      <c r="A1351" s="3" t="s">
        <v>1993</v>
      </c>
      <c r="B1351" s="10" t="s">
        <v>1044</v>
      </c>
      <c r="C1351" s="10" t="s">
        <v>56</v>
      </c>
      <c r="D1351" s="10" t="s">
        <v>11</v>
      </c>
      <c r="E1351" s="10">
        <v>130</v>
      </c>
      <c r="F1351" s="10">
        <v>6.7</v>
      </c>
      <c r="G1351" s="10">
        <v>36000000</v>
      </c>
      <c r="H1351" s="10">
        <v>13052741</v>
      </c>
      <c r="I1351" s="5">
        <f>IMDB_Movies!$H1351-IMDB_Movies!$G1351</f>
        <v>-22947259</v>
      </c>
    </row>
    <row r="1352" spans="1:9" ht="23">
      <c r="A1352" s="2" t="s">
        <v>1994</v>
      </c>
      <c r="B1352" s="9" t="s">
        <v>1995</v>
      </c>
      <c r="C1352" s="9" t="s">
        <v>56</v>
      </c>
      <c r="D1352" s="9" t="s">
        <v>11</v>
      </c>
      <c r="E1352" s="9">
        <v>127</v>
      </c>
      <c r="F1352" s="9">
        <v>6.8</v>
      </c>
      <c r="G1352" s="9">
        <v>36000000</v>
      </c>
      <c r="H1352" s="9">
        <v>14378353</v>
      </c>
      <c r="I1352" s="5">
        <f>IMDB_Movies!$H1352-IMDB_Movies!$G1352</f>
        <v>-21621647</v>
      </c>
    </row>
    <row r="1353" spans="1:9" ht="23">
      <c r="A1353" s="3" t="s">
        <v>1996</v>
      </c>
      <c r="B1353" s="10" t="s">
        <v>942</v>
      </c>
      <c r="C1353" s="10" t="s">
        <v>56</v>
      </c>
      <c r="D1353" s="10" t="s">
        <v>11</v>
      </c>
      <c r="E1353" s="10">
        <v>114</v>
      </c>
      <c r="F1353" s="10">
        <v>6</v>
      </c>
      <c r="G1353" s="10">
        <v>37000000</v>
      </c>
      <c r="H1353" s="10">
        <v>33037754</v>
      </c>
      <c r="I1353" s="5">
        <f>IMDB_Movies!$H1353-IMDB_Movies!$G1353</f>
        <v>-3962246</v>
      </c>
    </row>
    <row r="1354" spans="1:9" ht="23">
      <c r="A1354" s="2" t="s">
        <v>1997</v>
      </c>
      <c r="B1354" s="9" t="s">
        <v>1465</v>
      </c>
      <c r="C1354" s="9" t="s">
        <v>56</v>
      </c>
      <c r="D1354" s="9" t="s">
        <v>11</v>
      </c>
      <c r="E1354" s="9">
        <v>106</v>
      </c>
      <c r="F1354" s="9">
        <v>7.8</v>
      </c>
      <c r="G1354" s="9">
        <v>36000000</v>
      </c>
      <c r="H1354" s="9">
        <v>12339633</v>
      </c>
      <c r="I1354" s="5">
        <f>IMDB_Movies!$H1354-IMDB_Movies!$G1354</f>
        <v>-23660367</v>
      </c>
    </row>
    <row r="1355" spans="1:9" ht="23">
      <c r="A1355" s="3" t="s">
        <v>1998</v>
      </c>
      <c r="B1355" s="10" t="s">
        <v>1455</v>
      </c>
      <c r="C1355" s="10" t="s">
        <v>418</v>
      </c>
      <c r="D1355" s="10" t="s">
        <v>11</v>
      </c>
      <c r="E1355" s="10">
        <v>95</v>
      </c>
      <c r="F1355" s="10">
        <v>5.3</v>
      </c>
      <c r="G1355" s="10">
        <v>36000000</v>
      </c>
      <c r="H1355" s="10">
        <v>2954405</v>
      </c>
      <c r="I1355" s="5">
        <f>IMDB_Movies!$H1355-IMDB_Movies!$G1355</f>
        <v>-33045595</v>
      </c>
    </row>
    <row r="1356" spans="1:9" ht="23">
      <c r="A1356" s="2" t="s">
        <v>1999</v>
      </c>
      <c r="B1356" s="9" t="s">
        <v>391</v>
      </c>
      <c r="C1356" s="9" t="s">
        <v>24</v>
      </c>
      <c r="D1356" s="9" t="s">
        <v>11</v>
      </c>
      <c r="E1356" s="9">
        <v>81</v>
      </c>
      <c r="F1356" s="9">
        <v>4.5</v>
      </c>
      <c r="G1356" s="9">
        <v>37000000</v>
      </c>
      <c r="H1356" s="9">
        <v>30105968</v>
      </c>
      <c r="I1356" s="5">
        <f>IMDB_Movies!$H1356-IMDB_Movies!$G1356</f>
        <v>-6894032</v>
      </c>
    </row>
    <row r="1357" spans="1:9" ht="23">
      <c r="A1357" s="3" t="s">
        <v>2000</v>
      </c>
      <c r="B1357" s="10" t="s">
        <v>2001</v>
      </c>
      <c r="C1357" s="10" t="s">
        <v>138</v>
      </c>
      <c r="D1357" s="10" t="s">
        <v>11</v>
      </c>
      <c r="E1357" s="10">
        <v>95</v>
      </c>
      <c r="F1357" s="10">
        <v>5.4</v>
      </c>
      <c r="G1357" s="10">
        <v>35200000</v>
      </c>
      <c r="H1357" s="10">
        <v>37788228</v>
      </c>
      <c r="I1357" s="5">
        <f>IMDB_Movies!$H1357-IMDB_Movies!$G1357</f>
        <v>2588228</v>
      </c>
    </row>
    <row r="1358" spans="1:9" ht="23">
      <c r="A1358" s="2" t="s">
        <v>2002</v>
      </c>
      <c r="B1358" s="9" t="s">
        <v>680</v>
      </c>
      <c r="C1358" s="9" t="s">
        <v>138</v>
      </c>
      <c r="D1358" s="9" t="s">
        <v>11</v>
      </c>
      <c r="E1358" s="9">
        <v>108</v>
      </c>
      <c r="F1358" s="9">
        <v>7.8</v>
      </c>
      <c r="G1358" s="9">
        <v>35000000</v>
      </c>
      <c r="H1358" s="9">
        <v>277313371</v>
      </c>
      <c r="I1358" s="5">
        <f>IMDB_Movies!$H1358-IMDB_Movies!$G1358</f>
        <v>242313371</v>
      </c>
    </row>
    <row r="1359" spans="1:9" ht="23">
      <c r="A1359" s="3" t="s">
        <v>2003</v>
      </c>
      <c r="B1359" s="10" t="s">
        <v>2004</v>
      </c>
      <c r="C1359" s="10" t="s">
        <v>10</v>
      </c>
      <c r="D1359" s="10" t="s">
        <v>2005</v>
      </c>
      <c r="E1359" s="10">
        <v>105</v>
      </c>
      <c r="F1359" s="10">
        <v>7.2</v>
      </c>
      <c r="G1359" s="10">
        <v>36000000</v>
      </c>
      <c r="H1359" s="10">
        <v>2126511</v>
      </c>
      <c r="I1359" s="5">
        <f>IMDB_Movies!$H1359-IMDB_Movies!$G1359</f>
        <v>-33873489</v>
      </c>
    </row>
    <row r="1360" spans="1:9" ht="23">
      <c r="A1360" s="2" t="s">
        <v>2006</v>
      </c>
      <c r="B1360" s="9" t="s">
        <v>528</v>
      </c>
      <c r="C1360" s="9" t="s">
        <v>10</v>
      </c>
      <c r="D1360" s="9" t="s">
        <v>11</v>
      </c>
      <c r="E1360" s="9">
        <v>95</v>
      </c>
      <c r="F1360" s="9">
        <v>6.6</v>
      </c>
      <c r="G1360" s="9">
        <v>33000000</v>
      </c>
      <c r="H1360" s="9">
        <v>205399422</v>
      </c>
      <c r="I1360" s="5">
        <f>IMDB_Movies!$H1360-IMDB_Movies!$G1360</f>
        <v>172399422</v>
      </c>
    </row>
    <row r="1361" spans="1:9" ht="23">
      <c r="A1361" s="3" t="s">
        <v>2007</v>
      </c>
      <c r="B1361" s="10" t="s">
        <v>68</v>
      </c>
      <c r="C1361" s="10" t="s">
        <v>10</v>
      </c>
      <c r="D1361" s="10" t="s">
        <v>11</v>
      </c>
      <c r="E1361" s="10">
        <v>126</v>
      </c>
      <c r="F1361" s="10">
        <v>7.6</v>
      </c>
      <c r="G1361" s="10">
        <v>35000000</v>
      </c>
      <c r="H1361" s="10">
        <v>251188924</v>
      </c>
      <c r="I1361" s="5">
        <f>IMDB_Movies!$H1361-IMDB_Movies!$G1361</f>
        <v>216188924</v>
      </c>
    </row>
    <row r="1362" spans="1:9" ht="23">
      <c r="A1362" s="2" t="s">
        <v>2008</v>
      </c>
      <c r="B1362" s="9" t="s">
        <v>155</v>
      </c>
      <c r="C1362" s="9" t="s">
        <v>418</v>
      </c>
      <c r="D1362" s="9" t="s">
        <v>11</v>
      </c>
      <c r="E1362" s="9">
        <v>102</v>
      </c>
      <c r="F1362" s="9">
        <v>5.9</v>
      </c>
      <c r="G1362" s="9">
        <v>36000000</v>
      </c>
      <c r="H1362" s="9">
        <v>1068392</v>
      </c>
      <c r="I1362" s="5">
        <f>IMDB_Movies!$H1362-IMDB_Movies!$G1362</f>
        <v>-34931608</v>
      </c>
    </row>
    <row r="1363" spans="1:9" ht="23">
      <c r="A1363" s="3" t="s">
        <v>2009</v>
      </c>
      <c r="B1363" s="10" t="s">
        <v>285</v>
      </c>
      <c r="C1363" s="10" t="s">
        <v>10</v>
      </c>
      <c r="D1363" s="10" t="s">
        <v>11</v>
      </c>
      <c r="E1363" s="10">
        <v>121</v>
      </c>
      <c r="F1363" s="10">
        <v>6.7</v>
      </c>
      <c r="G1363" s="10">
        <v>35000000</v>
      </c>
      <c r="H1363" s="10">
        <v>144731527</v>
      </c>
      <c r="I1363" s="5">
        <f>IMDB_Movies!$H1363-IMDB_Movies!$G1363</f>
        <v>109731527</v>
      </c>
    </row>
    <row r="1364" spans="1:9" ht="23">
      <c r="A1364" s="2" t="s">
        <v>2010</v>
      </c>
      <c r="B1364" s="9" t="s">
        <v>554</v>
      </c>
      <c r="C1364" s="9" t="s">
        <v>418</v>
      </c>
      <c r="D1364" s="9" t="s">
        <v>11</v>
      </c>
      <c r="E1364" s="9">
        <v>129</v>
      </c>
      <c r="F1364" s="9">
        <v>7.7</v>
      </c>
      <c r="G1364" s="9">
        <v>29000000</v>
      </c>
      <c r="H1364" s="9">
        <v>255950375</v>
      </c>
      <c r="I1364" s="5">
        <f>IMDB_Movies!$H1364-IMDB_Movies!$G1364</f>
        <v>226950375</v>
      </c>
    </row>
    <row r="1365" spans="1:9" ht="23">
      <c r="A1365" s="3" t="s">
        <v>2011</v>
      </c>
      <c r="B1365" s="10" t="s">
        <v>1327</v>
      </c>
      <c r="C1365" s="10" t="s">
        <v>10</v>
      </c>
      <c r="D1365" s="10" t="s">
        <v>11</v>
      </c>
      <c r="E1365" s="10">
        <v>88</v>
      </c>
      <c r="F1365" s="10">
        <v>5.4</v>
      </c>
      <c r="G1365" s="10">
        <v>35000000</v>
      </c>
      <c r="H1365" s="10">
        <v>112692062</v>
      </c>
      <c r="I1365" s="5">
        <f>IMDB_Movies!$H1365-IMDB_Movies!$G1365</f>
        <v>77692062</v>
      </c>
    </row>
    <row r="1366" spans="1:9" ht="23">
      <c r="A1366" s="2" t="s">
        <v>2012</v>
      </c>
      <c r="B1366" s="9" t="s">
        <v>696</v>
      </c>
      <c r="C1366" s="9" t="s">
        <v>138</v>
      </c>
      <c r="D1366" s="9" t="s">
        <v>11</v>
      </c>
      <c r="E1366" s="9">
        <v>106</v>
      </c>
      <c r="F1366" s="9">
        <v>6.9</v>
      </c>
      <c r="G1366" s="9">
        <v>35000000</v>
      </c>
      <c r="H1366" s="9">
        <v>117528646</v>
      </c>
      <c r="I1366" s="5">
        <f>IMDB_Movies!$H1366-IMDB_Movies!$G1366</f>
        <v>82528646</v>
      </c>
    </row>
    <row r="1367" spans="1:9" ht="23">
      <c r="A1367" s="3" t="s">
        <v>2013</v>
      </c>
      <c r="B1367" s="10" t="s">
        <v>1967</v>
      </c>
      <c r="C1367" s="10" t="s">
        <v>24</v>
      </c>
      <c r="D1367" s="10" t="s">
        <v>11</v>
      </c>
      <c r="E1367" s="10">
        <v>110</v>
      </c>
      <c r="F1367" s="10">
        <v>7.7</v>
      </c>
      <c r="G1367" s="10">
        <v>38000000</v>
      </c>
      <c r="H1367" s="10">
        <v>171031347</v>
      </c>
      <c r="I1367" s="5">
        <f>IMDB_Movies!$H1367-IMDB_Movies!$G1367</f>
        <v>133031347</v>
      </c>
    </row>
    <row r="1368" spans="1:9" ht="23">
      <c r="A1368" s="2" t="s">
        <v>2014</v>
      </c>
      <c r="B1368" s="9" t="s">
        <v>1057</v>
      </c>
      <c r="C1368" s="9" t="s">
        <v>138</v>
      </c>
      <c r="D1368" s="9" t="s">
        <v>11</v>
      </c>
      <c r="E1368" s="9">
        <v>109</v>
      </c>
      <c r="F1368" s="9">
        <v>6.8</v>
      </c>
      <c r="G1368" s="9">
        <v>35000000</v>
      </c>
      <c r="H1368" s="9">
        <v>124732962</v>
      </c>
      <c r="I1368" s="5">
        <f>IMDB_Movies!$H1368-IMDB_Movies!$G1368</f>
        <v>89732962</v>
      </c>
    </row>
    <row r="1369" spans="1:9" ht="23">
      <c r="A1369" s="3" t="s">
        <v>2015</v>
      </c>
      <c r="B1369" s="10" t="s">
        <v>2016</v>
      </c>
      <c r="C1369" s="10" t="s">
        <v>24</v>
      </c>
      <c r="D1369" s="10" t="s">
        <v>11</v>
      </c>
      <c r="E1369" s="10">
        <v>143</v>
      </c>
      <c r="F1369" s="10">
        <v>6.4</v>
      </c>
      <c r="G1369" s="10">
        <v>35000000</v>
      </c>
      <c r="H1369" s="10">
        <v>82300000</v>
      </c>
      <c r="I1369" s="5">
        <f>IMDB_Movies!$H1369-IMDB_Movies!$G1369</f>
        <v>47300000</v>
      </c>
    </row>
    <row r="1370" spans="1:9" ht="23">
      <c r="A1370" s="2" t="s">
        <v>2017</v>
      </c>
      <c r="B1370" s="9" t="s">
        <v>696</v>
      </c>
      <c r="C1370" s="9" t="s">
        <v>138</v>
      </c>
      <c r="D1370" s="9" t="s">
        <v>11</v>
      </c>
      <c r="E1370" s="9">
        <v>120</v>
      </c>
      <c r="F1370" s="9">
        <v>5.7</v>
      </c>
      <c r="G1370" s="9">
        <v>35000000</v>
      </c>
      <c r="H1370" s="9">
        <v>134455175</v>
      </c>
      <c r="I1370" s="5">
        <f>IMDB_Movies!$H1370-IMDB_Movies!$G1370</f>
        <v>99455175</v>
      </c>
    </row>
    <row r="1371" spans="1:9" ht="23">
      <c r="A1371" s="3" t="s">
        <v>2018</v>
      </c>
      <c r="B1371" s="10" t="s">
        <v>130</v>
      </c>
      <c r="C1371" s="10" t="s">
        <v>414</v>
      </c>
      <c r="D1371" s="10" t="s">
        <v>11</v>
      </c>
      <c r="E1371" s="10">
        <v>128</v>
      </c>
      <c r="F1371" s="10">
        <v>7.3</v>
      </c>
      <c r="G1371" s="10">
        <v>35000000</v>
      </c>
      <c r="H1371" s="10">
        <v>79100000</v>
      </c>
      <c r="I1371" s="5">
        <f>IMDB_Movies!$H1371-IMDB_Movies!$G1371</f>
        <v>44100000</v>
      </c>
    </row>
    <row r="1372" spans="1:9" ht="23">
      <c r="A1372" s="2" t="s">
        <v>2019</v>
      </c>
      <c r="B1372" s="9" t="s">
        <v>828</v>
      </c>
      <c r="C1372" s="9" t="s">
        <v>414</v>
      </c>
      <c r="D1372" s="9" t="s">
        <v>11</v>
      </c>
      <c r="E1372" s="9">
        <v>123</v>
      </c>
      <c r="F1372" s="9">
        <v>6.8</v>
      </c>
      <c r="G1372" s="9">
        <v>35000000</v>
      </c>
      <c r="H1372" s="9">
        <v>81159365</v>
      </c>
      <c r="I1372" s="5">
        <f>IMDB_Movies!$H1372-IMDB_Movies!$G1372</f>
        <v>46159365</v>
      </c>
    </row>
    <row r="1373" spans="1:9" ht="23">
      <c r="A1373" s="3" t="s">
        <v>2020</v>
      </c>
      <c r="B1373" s="10" t="s">
        <v>862</v>
      </c>
      <c r="C1373" s="10" t="s">
        <v>138</v>
      </c>
      <c r="D1373" s="10" t="s">
        <v>11</v>
      </c>
      <c r="E1373" s="10">
        <v>129</v>
      </c>
      <c r="F1373" s="10">
        <v>6.3</v>
      </c>
      <c r="G1373" s="10">
        <v>35000000</v>
      </c>
      <c r="H1373" s="10">
        <v>110008260</v>
      </c>
      <c r="I1373" s="5">
        <f>IMDB_Movies!$H1373-IMDB_Movies!$G1373</f>
        <v>75008260</v>
      </c>
    </row>
    <row r="1374" spans="1:9" ht="23">
      <c r="A1374" s="2" t="s">
        <v>2021</v>
      </c>
      <c r="B1374" s="9" t="s">
        <v>2022</v>
      </c>
      <c r="C1374" s="9" t="s">
        <v>138</v>
      </c>
      <c r="D1374" s="9" t="s">
        <v>11</v>
      </c>
      <c r="E1374" s="9">
        <v>105</v>
      </c>
      <c r="F1374" s="9">
        <v>5.9</v>
      </c>
      <c r="G1374" s="9">
        <v>35000000</v>
      </c>
      <c r="H1374" s="9">
        <v>67962333</v>
      </c>
      <c r="I1374" s="5">
        <f>IMDB_Movies!$H1374-IMDB_Movies!$G1374</f>
        <v>32962333</v>
      </c>
    </row>
    <row r="1375" spans="1:9" ht="23">
      <c r="A1375" s="3" t="s">
        <v>2023</v>
      </c>
      <c r="B1375" s="10" t="s">
        <v>707</v>
      </c>
      <c r="C1375" s="10" t="s">
        <v>56</v>
      </c>
      <c r="D1375" s="10" t="s">
        <v>11</v>
      </c>
      <c r="E1375" s="10">
        <v>162</v>
      </c>
      <c r="F1375" s="10">
        <v>7.4</v>
      </c>
      <c r="G1375" s="10">
        <v>27000000</v>
      </c>
      <c r="H1375" s="10">
        <v>78651430</v>
      </c>
      <c r="I1375" s="5">
        <f>IMDB_Movies!$H1375-IMDB_Movies!$G1375</f>
        <v>51651430</v>
      </c>
    </row>
    <row r="1376" spans="1:9" ht="23">
      <c r="A1376" s="2" t="s">
        <v>2024</v>
      </c>
      <c r="B1376" s="9" t="s">
        <v>1330</v>
      </c>
      <c r="C1376" s="9" t="s">
        <v>414</v>
      </c>
      <c r="D1376" s="9" t="s">
        <v>11</v>
      </c>
      <c r="E1376" s="9">
        <v>138</v>
      </c>
      <c r="F1376" s="9">
        <v>8.3000000000000007</v>
      </c>
      <c r="G1376" s="9">
        <v>35000000</v>
      </c>
      <c r="H1376" s="9">
        <v>64604977</v>
      </c>
      <c r="I1376" s="5">
        <f>IMDB_Movies!$H1376-IMDB_Movies!$G1376</f>
        <v>29604977</v>
      </c>
    </row>
    <row r="1377" spans="1:9" ht="23">
      <c r="A1377" s="3" t="s">
        <v>2025</v>
      </c>
      <c r="B1377" s="10" t="s">
        <v>160</v>
      </c>
      <c r="C1377" s="10" t="s">
        <v>24</v>
      </c>
      <c r="D1377" s="10" t="s">
        <v>11</v>
      </c>
      <c r="E1377" s="10">
        <v>100</v>
      </c>
      <c r="F1377" s="10">
        <v>6.2</v>
      </c>
      <c r="G1377" s="10">
        <v>35000000</v>
      </c>
      <c r="H1377" s="10">
        <v>63939454</v>
      </c>
      <c r="I1377" s="5">
        <f>IMDB_Movies!$H1377-IMDB_Movies!$G1377</f>
        <v>28939454</v>
      </c>
    </row>
    <row r="1378" spans="1:9" ht="23">
      <c r="A1378" s="2" t="s">
        <v>2026</v>
      </c>
      <c r="B1378" s="9" t="s">
        <v>525</v>
      </c>
      <c r="C1378" s="9" t="s">
        <v>138</v>
      </c>
      <c r="D1378" s="9" t="s">
        <v>11</v>
      </c>
      <c r="E1378" s="9">
        <v>90</v>
      </c>
      <c r="F1378" s="9">
        <v>6.3</v>
      </c>
      <c r="G1378" s="9">
        <v>35000000</v>
      </c>
      <c r="H1378" s="9">
        <v>63826569</v>
      </c>
      <c r="I1378" s="5">
        <f>IMDB_Movies!$H1378-IMDB_Movies!$G1378</f>
        <v>28826569</v>
      </c>
    </row>
    <row r="1379" spans="1:9" ht="23">
      <c r="A1379" s="3" t="s">
        <v>2027</v>
      </c>
      <c r="B1379" s="10" t="s">
        <v>401</v>
      </c>
      <c r="C1379" s="10" t="s">
        <v>10</v>
      </c>
      <c r="D1379" s="10" t="s">
        <v>11</v>
      </c>
      <c r="E1379" s="10">
        <v>108</v>
      </c>
      <c r="F1379" s="10">
        <v>5.8</v>
      </c>
      <c r="G1379" s="10">
        <v>35000000</v>
      </c>
      <c r="H1379" s="10">
        <v>60054449</v>
      </c>
      <c r="I1379" s="5">
        <f>IMDB_Movies!$H1379-IMDB_Movies!$G1379</f>
        <v>25054449</v>
      </c>
    </row>
    <row r="1380" spans="1:9" ht="23">
      <c r="A1380" s="2" t="s">
        <v>2028</v>
      </c>
      <c r="B1380" s="9" t="s">
        <v>1739</v>
      </c>
      <c r="C1380" s="9" t="s">
        <v>810</v>
      </c>
      <c r="D1380" s="9" t="s">
        <v>11</v>
      </c>
      <c r="E1380" s="9">
        <v>101</v>
      </c>
      <c r="F1380" s="9">
        <v>7.5</v>
      </c>
      <c r="G1380" s="9">
        <v>1800000</v>
      </c>
      <c r="H1380" s="9">
        <v>26505000</v>
      </c>
      <c r="I1380" s="5">
        <f>IMDB_Movies!$H1380-IMDB_Movies!$G1380</f>
        <v>24705000</v>
      </c>
    </row>
    <row r="1381" spans="1:9" ht="23">
      <c r="A1381" s="3" t="s">
        <v>2029</v>
      </c>
      <c r="B1381" s="10" t="s">
        <v>656</v>
      </c>
      <c r="C1381" s="10" t="s">
        <v>810</v>
      </c>
      <c r="D1381" s="10" t="s">
        <v>11</v>
      </c>
      <c r="E1381" s="10">
        <v>109</v>
      </c>
      <c r="F1381" s="10">
        <v>6.3</v>
      </c>
      <c r="G1381" s="10">
        <v>33000000</v>
      </c>
      <c r="H1381" s="10">
        <v>61280963</v>
      </c>
      <c r="I1381" s="5">
        <f>IMDB_Movies!$H1381-IMDB_Movies!$G1381</f>
        <v>28280963</v>
      </c>
    </row>
    <row r="1382" spans="1:9" ht="23">
      <c r="A1382" s="2" t="s">
        <v>2030</v>
      </c>
      <c r="B1382" s="9" t="s">
        <v>899</v>
      </c>
      <c r="C1382" s="9" t="s">
        <v>10</v>
      </c>
      <c r="D1382" s="9" t="s">
        <v>11</v>
      </c>
      <c r="E1382" s="9">
        <v>132</v>
      </c>
      <c r="F1382" s="9">
        <v>6.4</v>
      </c>
      <c r="G1382" s="9">
        <v>35000000</v>
      </c>
      <c r="H1382" s="9">
        <v>56876365</v>
      </c>
      <c r="I1382" s="5">
        <f>IMDB_Movies!$H1382-IMDB_Movies!$G1382</f>
        <v>21876365</v>
      </c>
    </row>
    <row r="1383" spans="1:9" ht="23">
      <c r="A1383" s="3" t="s">
        <v>2031</v>
      </c>
      <c r="B1383" s="10" t="s">
        <v>899</v>
      </c>
      <c r="C1383" s="10" t="s">
        <v>418</v>
      </c>
      <c r="D1383" s="10" t="s">
        <v>11</v>
      </c>
      <c r="E1383" s="10">
        <v>123</v>
      </c>
      <c r="F1383" s="10">
        <v>7.2</v>
      </c>
      <c r="G1383" s="10">
        <v>35000000</v>
      </c>
      <c r="H1383" s="10">
        <v>59699513</v>
      </c>
      <c r="I1383" s="5">
        <f>IMDB_Movies!$H1383-IMDB_Movies!$G1383</f>
        <v>24699513</v>
      </c>
    </row>
    <row r="1384" spans="1:9" ht="23">
      <c r="A1384" s="2" t="s">
        <v>2032</v>
      </c>
      <c r="B1384" s="9" t="s">
        <v>2033</v>
      </c>
      <c r="C1384" s="9" t="s">
        <v>10</v>
      </c>
      <c r="D1384" s="9" t="s">
        <v>11</v>
      </c>
      <c r="E1384" s="9">
        <v>87</v>
      </c>
      <c r="F1384" s="9">
        <v>6.3</v>
      </c>
      <c r="G1384" s="9">
        <v>34000000</v>
      </c>
      <c r="H1384" s="9">
        <v>54132596</v>
      </c>
      <c r="I1384" s="5">
        <f>IMDB_Movies!$H1384-IMDB_Movies!$G1384</f>
        <v>20132596</v>
      </c>
    </row>
    <row r="1385" spans="1:9" ht="23">
      <c r="A1385" s="3" t="s">
        <v>2034</v>
      </c>
      <c r="B1385" s="10" t="s">
        <v>2035</v>
      </c>
      <c r="C1385" s="10" t="s">
        <v>418</v>
      </c>
      <c r="D1385" s="10" t="s">
        <v>11</v>
      </c>
      <c r="E1385" s="10">
        <v>109</v>
      </c>
      <c r="F1385" s="10">
        <v>6.9</v>
      </c>
      <c r="G1385" s="10">
        <v>35000000</v>
      </c>
      <c r="H1385" s="10">
        <v>52277485</v>
      </c>
      <c r="I1385" s="5">
        <f>IMDB_Movies!$H1385-IMDB_Movies!$G1385</f>
        <v>17277485</v>
      </c>
    </row>
    <row r="1386" spans="1:9" ht="23">
      <c r="A1386" s="2" t="s">
        <v>2036</v>
      </c>
      <c r="B1386" s="9" t="s">
        <v>1003</v>
      </c>
      <c r="C1386" s="9" t="s">
        <v>138</v>
      </c>
      <c r="D1386" s="9" t="s">
        <v>11</v>
      </c>
      <c r="E1386" s="9">
        <v>109</v>
      </c>
      <c r="F1386" s="9">
        <v>6.6</v>
      </c>
      <c r="G1386" s="9">
        <v>35000000</v>
      </c>
      <c r="H1386" s="9">
        <v>55802754</v>
      </c>
      <c r="I1386" s="5">
        <f>IMDB_Movies!$H1386-IMDB_Movies!$G1386</f>
        <v>20802754</v>
      </c>
    </row>
    <row r="1387" spans="1:9" ht="23">
      <c r="A1387" s="3" t="s">
        <v>2037</v>
      </c>
      <c r="B1387" s="10" t="s">
        <v>1767</v>
      </c>
      <c r="C1387" s="10" t="s">
        <v>138</v>
      </c>
      <c r="D1387" s="10" t="s">
        <v>11</v>
      </c>
      <c r="E1387" s="10">
        <v>92</v>
      </c>
      <c r="F1387" s="10">
        <v>6</v>
      </c>
      <c r="G1387" s="10">
        <v>35000000</v>
      </c>
      <c r="H1387" s="10">
        <v>55291815</v>
      </c>
      <c r="I1387" s="5">
        <f>IMDB_Movies!$H1387-IMDB_Movies!$G1387</f>
        <v>20291815</v>
      </c>
    </row>
    <row r="1388" spans="1:9" ht="23">
      <c r="A1388" s="2" t="s">
        <v>2038</v>
      </c>
      <c r="B1388" s="9" t="s">
        <v>554</v>
      </c>
      <c r="C1388" s="9" t="s">
        <v>418</v>
      </c>
      <c r="D1388" s="9" t="s">
        <v>11</v>
      </c>
      <c r="E1388" s="9">
        <v>125</v>
      </c>
      <c r="F1388" s="9">
        <v>7.5</v>
      </c>
      <c r="G1388" s="9">
        <v>35000000</v>
      </c>
      <c r="H1388" s="9">
        <v>83299761</v>
      </c>
      <c r="I1388" s="5">
        <f>IMDB_Movies!$H1388-IMDB_Movies!$G1388</f>
        <v>48299761</v>
      </c>
    </row>
    <row r="1389" spans="1:9" ht="23">
      <c r="A1389" s="3" t="s">
        <v>2039</v>
      </c>
      <c r="B1389" s="10" t="s">
        <v>1380</v>
      </c>
      <c r="C1389" s="10" t="s">
        <v>418</v>
      </c>
      <c r="D1389" s="10" t="s">
        <v>11</v>
      </c>
      <c r="E1389" s="10">
        <v>202</v>
      </c>
      <c r="F1389" s="10">
        <v>7.7</v>
      </c>
      <c r="G1389" s="10">
        <v>33000000</v>
      </c>
      <c r="H1389" s="10">
        <v>48169908</v>
      </c>
      <c r="I1389" s="5">
        <f>IMDB_Movies!$H1389-IMDB_Movies!$G1389</f>
        <v>15169908</v>
      </c>
    </row>
    <row r="1390" spans="1:9" ht="23">
      <c r="A1390" s="2" t="s">
        <v>2040</v>
      </c>
      <c r="B1390" s="9" t="s">
        <v>862</v>
      </c>
      <c r="C1390" s="9" t="s">
        <v>138</v>
      </c>
      <c r="D1390" s="9" t="s">
        <v>11</v>
      </c>
      <c r="E1390" s="9">
        <v>134</v>
      </c>
      <c r="F1390" s="9">
        <v>6.2</v>
      </c>
      <c r="G1390" s="9">
        <v>35000000</v>
      </c>
      <c r="H1390" s="9">
        <v>67523385</v>
      </c>
      <c r="I1390" s="5">
        <f>IMDB_Movies!$H1390-IMDB_Movies!$G1390</f>
        <v>32523385</v>
      </c>
    </row>
    <row r="1391" spans="1:9" ht="23">
      <c r="A1391" s="3" t="s">
        <v>2041</v>
      </c>
      <c r="B1391" s="10" t="s">
        <v>581</v>
      </c>
      <c r="C1391" s="10" t="s">
        <v>138</v>
      </c>
      <c r="D1391" s="10" t="s">
        <v>11</v>
      </c>
      <c r="E1391" s="10">
        <v>88</v>
      </c>
      <c r="F1391" s="10">
        <v>5.4</v>
      </c>
      <c r="G1391" s="10">
        <v>35000000</v>
      </c>
      <c r="H1391" s="10">
        <v>49474048</v>
      </c>
      <c r="I1391" s="5">
        <f>IMDB_Movies!$H1391-IMDB_Movies!$G1391</f>
        <v>14474048</v>
      </c>
    </row>
    <row r="1392" spans="1:9" ht="23">
      <c r="A1392" s="2" t="s">
        <v>2042</v>
      </c>
      <c r="B1392" s="9" t="s">
        <v>2043</v>
      </c>
      <c r="C1392" s="9" t="s">
        <v>10</v>
      </c>
      <c r="D1392" s="9" t="s">
        <v>11</v>
      </c>
      <c r="E1392" s="9">
        <v>92</v>
      </c>
      <c r="F1392" s="9">
        <v>6.6</v>
      </c>
      <c r="G1392" s="9">
        <v>35000000</v>
      </c>
      <c r="H1392" s="9">
        <v>45802315</v>
      </c>
      <c r="I1392" s="5">
        <f>IMDB_Movies!$H1392-IMDB_Movies!$G1392</f>
        <v>10802315</v>
      </c>
    </row>
    <row r="1393" spans="1:9" ht="23">
      <c r="A1393" s="3" t="s">
        <v>2044</v>
      </c>
      <c r="B1393" s="10" t="s">
        <v>1736</v>
      </c>
      <c r="C1393" s="10" t="s">
        <v>138</v>
      </c>
      <c r="D1393" s="10" t="s">
        <v>11</v>
      </c>
      <c r="E1393" s="10">
        <v>91</v>
      </c>
      <c r="F1393" s="10">
        <v>5.3</v>
      </c>
      <c r="G1393" s="10">
        <v>35000000</v>
      </c>
      <c r="H1393" s="10">
        <v>43792641</v>
      </c>
      <c r="I1393" s="5">
        <f>IMDB_Movies!$H1393-IMDB_Movies!$G1393</f>
        <v>8792641</v>
      </c>
    </row>
    <row r="1394" spans="1:9" ht="23">
      <c r="A1394" s="2" t="s">
        <v>2045</v>
      </c>
      <c r="B1394" s="9" t="s">
        <v>584</v>
      </c>
      <c r="C1394" s="9" t="s">
        <v>138</v>
      </c>
      <c r="D1394" s="9" t="s">
        <v>11</v>
      </c>
      <c r="E1394" s="9">
        <v>75</v>
      </c>
      <c r="F1394" s="9">
        <v>5.6</v>
      </c>
      <c r="G1394" s="9">
        <v>33000000</v>
      </c>
      <c r="H1394" s="9">
        <v>57651794</v>
      </c>
      <c r="I1394" s="5">
        <f>IMDB_Movies!$H1394-IMDB_Movies!$G1394</f>
        <v>24651794</v>
      </c>
    </row>
    <row r="1395" spans="1:9" ht="23">
      <c r="A1395" s="3" t="s">
        <v>2046</v>
      </c>
      <c r="B1395" s="10" t="s">
        <v>2047</v>
      </c>
      <c r="C1395" s="10" t="s">
        <v>138</v>
      </c>
      <c r="D1395" s="10" t="s">
        <v>11</v>
      </c>
      <c r="E1395" s="10">
        <v>98</v>
      </c>
      <c r="F1395" s="10">
        <v>5.9</v>
      </c>
      <c r="G1395" s="10">
        <v>30000000</v>
      </c>
      <c r="H1395" s="10">
        <v>43894863</v>
      </c>
      <c r="I1395" s="5">
        <f>IMDB_Movies!$H1395-IMDB_Movies!$G1395</f>
        <v>13894863</v>
      </c>
    </row>
    <row r="1396" spans="1:9" ht="23">
      <c r="A1396" s="2" t="s">
        <v>2048</v>
      </c>
      <c r="B1396" s="9" t="s">
        <v>98</v>
      </c>
      <c r="C1396" s="9" t="s">
        <v>418</v>
      </c>
      <c r="D1396" s="9" t="s">
        <v>11</v>
      </c>
      <c r="E1396" s="9">
        <v>147</v>
      </c>
      <c r="F1396" s="9">
        <v>7.8</v>
      </c>
      <c r="G1396" s="9">
        <v>35000000</v>
      </c>
      <c r="H1396" s="9">
        <v>41954997</v>
      </c>
      <c r="I1396" s="5">
        <f>IMDB_Movies!$H1396-IMDB_Movies!$G1396</f>
        <v>6954997</v>
      </c>
    </row>
    <row r="1397" spans="1:9" ht="23">
      <c r="A1397" s="3" t="s">
        <v>2049</v>
      </c>
      <c r="B1397" s="10" t="s">
        <v>623</v>
      </c>
      <c r="C1397" s="10" t="s">
        <v>10</v>
      </c>
      <c r="D1397" s="10" t="s">
        <v>11</v>
      </c>
      <c r="E1397" s="10">
        <v>100</v>
      </c>
      <c r="F1397" s="10">
        <v>6.7</v>
      </c>
      <c r="G1397" s="10">
        <v>33000000</v>
      </c>
      <c r="H1397" s="10">
        <v>39532308</v>
      </c>
      <c r="I1397" s="5">
        <f>IMDB_Movies!$H1397-IMDB_Movies!$G1397</f>
        <v>6532308</v>
      </c>
    </row>
    <row r="1398" spans="1:9" ht="23">
      <c r="A1398" s="2" t="s">
        <v>2050</v>
      </c>
      <c r="B1398" s="9" t="s">
        <v>2051</v>
      </c>
      <c r="C1398" s="9" t="s">
        <v>713</v>
      </c>
      <c r="D1398" s="9" t="s">
        <v>11</v>
      </c>
      <c r="E1398" s="9">
        <v>120</v>
      </c>
      <c r="F1398" s="9">
        <v>7.4</v>
      </c>
      <c r="G1398" s="9">
        <v>10700000</v>
      </c>
      <c r="H1398" s="9">
        <v>76600000</v>
      </c>
      <c r="I1398" s="5">
        <f>IMDB_Movies!$H1398-IMDB_Movies!$G1398</f>
        <v>65900000</v>
      </c>
    </row>
    <row r="1399" spans="1:9" ht="23">
      <c r="A1399" s="3" t="s">
        <v>2052</v>
      </c>
      <c r="B1399" s="10" t="s">
        <v>1967</v>
      </c>
      <c r="C1399" s="10" t="s">
        <v>138</v>
      </c>
      <c r="D1399" s="10" t="s">
        <v>11</v>
      </c>
      <c r="E1399" s="10">
        <v>104</v>
      </c>
      <c r="F1399" s="10">
        <v>6.2</v>
      </c>
      <c r="G1399" s="10">
        <v>35000000</v>
      </c>
      <c r="H1399" s="10">
        <v>39692139</v>
      </c>
      <c r="I1399" s="5">
        <f>IMDB_Movies!$H1399-IMDB_Movies!$G1399</f>
        <v>4692139</v>
      </c>
    </row>
    <row r="1400" spans="1:9" ht="23">
      <c r="A1400" s="2" t="s">
        <v>2053</v>
      </c>
      <c r="B1400" s="9" t="s">
        <v>552</v>
      </c>
      <c r="C1400" s="9" t="s">
        <v>10</v>
      </c>
      <c r="D1400" s="9" t="s">
        <v>11</v>
      </c>
      <c r="E1400" s="9">
        <v>103</v>
      </c>
      <c r="F1400" s="9">
        <v>5.4</v>
      </c>
      <c r="G1400" s="9">
        <v>35000000</v>
      </c>
      <c r="H1400" s="9">
        <v>40687294</v>
      </c>
      <c r="I1400" s="5">
        <f>IMDB_Movies!$H1400-IMDB_Movies!$G1400</f>
        <v>5687294</v>
      </c>
    </row>
    <row r="1401" spans="1:9" ht="23">
      <c r="A1401" s="3" t="s">
        <v>2054</v>
      </c>
      <c r="B1401" s="10" t="s">
        <v>1465</v>
      </c>
      <c r="C1401" s="10" t="s">
        <v>10</v>
      </c>
      <c r="D1401" s="10" t="s">
        <v>11</v>
      </c>
      <c r="E1401" s="10">
        <v>109</v>
      </c>
      <c r="F1401" s="10">
        <v>6.7</v>
      </c>
      <c r="G1401" s="10">
        <v>40000000</v>
      </c>
      <c r="H1401" s="10">
        <v>37553932</v>
      </c>
      <c r="I1401" s="5">
        <f>IMDB_Movies!$H1401-IMDB_Movies!$G1401</f>
        <v>-2446068</v>
      </c>
    </row>
    <row r="1402" spans="1:9" ht="23">
      <c r="A1402" s="2" t="s">
        <v>2055</v>
      </c>
      <c r="B1402" s="9" t="s">
        <v>2056</v>
      </c>
      <c r="C1402" s="9" t="s">
        <v>138</v>
      </c>
      <c r="D1402" s="9" t="s">
        <v>11</v>
      </c>
      <c r="E1402" s="9">
        <v>104</v>
      </c>
      <c r="F1402" s="9">
        <v>5.3</v>
      </c>
      <c r="G1402" s="9">
        <v>35000000</v>
      </c>
      <c r="H1402" s="9">
        <v>37481242</v>
      </c>
      <c r="I1402" s="5">
        <f>IMDB_Movies!$H1402-IMDB_Movies!$G1402</f>
        <v>2481242</v>
      </c>
    </row>
    <row r="1403" spans="1:9" ht="23">
      <c r="A1403" s="3" t="s">
        <v>2057</v>
      </c>
      <c r="B1403" s="10" t="s">
        <v>2058</v>
      </c>
      <c r="C1403" s="10" t="s">
        <v>138</v>
      </c>
      <c r="D1403" s="10" t="s">
        <v>11</v>
      </c>
      <c r="E1403" s="10">
        <v>112</v>
      </c>
      <c r="F1403" s="10">
        <v>5.9</v>
      </c>
      <c r="G1403" s="10">
        <v>35000000</v>
      </c>
      <c r="H1403" s="10">
        <v>39026186</v>
      </c>
      <c r="I1403" s="5">
        <f>IMDB_Movies!$H1403-IMDB_Movies!$G1403</f>
        <v>4026186</v>
      </c>
    </row>
    <row r="1404" spans="1:9" ht="23">
      <c r="A1404" s="2" t="s">
        <v>2059</v>
      </c>
      <c r="B1404" s="9" t="s">
        <v>2060</v>
      </c>
      <c r="C1404" s="9" t="s">
        <v>24</v>
      </c>
      <c r="D1404" s="9" t="s">
        <v>11</v>
      </c>
      <c r="E1404" s="9">
        <v>95</v>
      </c>
      <c r="F1404" s="9">
        <v>4.8</v>
      </c>
      <c r="G1404" s="9">
        <v>50000000</v>
      </c>
      <c r="H1404" s="9">
        <v>33422806</v>
      </c>
      <c r="I1404" s="5">
        <f>IMDB_Movies!$H1404-IMDB_Movies!$G1404</f>
        <v>-16577194</v>
      </c>
    </row>
    <row r="1405" spans="1:9" ht="23">
      <c r="A1405" s="3" t="s">
        <v>2061</v>
      </c>
      <c r="B1405" s="10" t="s">
        <v>2062</v>
      </c>
      <c r="C1405" s="10" t="s">
        <v>138</v>
      </c>
      <c r="D1405" s="10" t="s">
        <v>11</v>
      </c>
      <c r="E1405" s="10">
        <v>102</v>
      </c>
      <c r="F1405" s="10">
        <v>7.3</v>
      </c>
      <c r="G1405" s="10">
        <v>20000000</v>
      </c>
      <c r="H1405" s="10">
        <v>25078937</v>
      </c>
      <c r="I1405" s="5">
        <f>IMDB_Movies!$H1405-IMDB_Movies!$G1405</f>
        <v>5078937</v>
      </c>
    </row>
    <row r="1406" spans="1:9" ht="23">
      <c r="A1406" s="2" t="s">
        <v>2063</v>
      </c>
      <c r="B1406" s="9" t="s">
        <v>2064</v>
      </c>
      <c r="C1406" s="9" t="s">
        <v>10</v>
      </c>
      <c r="D1406" s="9" t="s">
        <v>11</v>
      </c>
      <c r="E1406" s="9">
        <v>102</v>
      </c>
      <c r="F1406" s="9">
        <v>3.8</v>
      </c>
      <c r="G1406" s="9">
        <v>35000000</v>
      </c>
      <c r="H1406" s="9">
        <v>33423521</v>
      </c>
      <c r="I1406" s="5">
        <f>IMDB_Movies!$H1406-IMDB_Movies!$G1406</f>
        <v>-1576479</v>
      </c>
    </row>
    <row r="1407" spans="1:9" ht="23">
      <c r="A1407" s="3" t="s">
        <v>2065</v>
      </c>
      <c r="B1407" s="10" t="s">
        <v>1025</v>
      </c>
      <c r="C1407" s="10" t="s">
        <v>418</v>
      </c>
      <c r="D1407" s="10" t="s">
        <v>11</v>
      </c>
      <c r="E1407" s="10">
        <v>150</v>
      </c>
      <c r="F1407" s="10">
        <v>8.5</v>
      </c>
      <c r="G1407" s="10">
        <v>35000000</v>
      </c>
      <c r="H1407" s="10">
        <v>32519322</v>
      </c>
      <c r="I1407" s="5">
        <f>IMDB_Movies!$H1407-IMDB_Movies!$G1407</f>
        <v>-2480678</v>
      </c>
    </row>
    <row r="1408" spans="1:9" ht="23">
      <c r="A1408" s="2" t="s">
        <v>2066</v>
      </c>
      <c r="B1408" s="9" t="s">
        <v>1693</v>
      </c>
      <c r="C1408" s="9" t="s">
        <v>56</v>
      </c>
      <c r="D1408" s="9" t="s">
        <v>11</v>
      </c>
      <c r="E1408" s="9">
        <v>101</v>
      </c>
      <c r="F1408" s="9">
        <v>6.8</v>
      </c>
      <c r="G1408" s="9">
        <v>30000000</v>
      </c>
      <c r="H1408" s="9">
        <v>37617947</v>
      </c>
      <c r="I1408" s="5">
        <f>IMDB_Movies!$H1408-IMDB_Movies!$G1408</f>
        <v>7617947</v>
      </c>
    </row>
    <row r="1409" spans="1:9" ht="23">
      <c r="A1409" s="3" t="s">
        <v>2067</v>
      </c>
      <c r="B1409" s="10" t="s">
        <v>1399</v>
      </c>
      <c r="C1409" s="10" t="s">
        <v>810</v>
      </c>
      <c r="D1409" s="10" t="s">
        <v>11</v>
      </c>
      <c r="E1409" s="10">
        <v>108</v>
      </c>
      <c r="F1409" s="10">
        <v>5.3</v>
      </c>
      <c r="G1409" s="10">
        <v>30000000</v>
      </c>
      <c r="H1409" s="10">
        <v>32048809</v>
      </c>
      <c r="I1409" s="5">
        <f>IMDB_Movies!$H1409-IMDB_Movies!$G1409</f>
        <v>2048809</v>
      </c>
    </row>
    <row r="1410" spans="1:9" ht="23">
      <c r="A1410" s="2" t="s">
        <v>2068</v>
      </c>
      <c r="B1410" s="9" t="s">
        <v>819</v>
      </c>
      <c r="C1410" s="9" t="s">
        <v>56</v>
      </c>
      <c r="D1410" s="9" t="s">
        <v>11</v>
      </c>
      <c r="E1410" s="9">
        <v>98</v>
      </c>
      <c r="F1410" s="9">
        <v>7.3</v>
      </c>
      <c r="G1410" s="9">
        <v>27000000</v>
      </c>
      <c r="H1410" s="9">
        <v>33987757</v>
      </c>
      <c r="I1410" s="5">
        <f>IMDB_Movies!$H1410-IMDB_Movies!$G1410</f>
        <v>6987757</v>
      </c>
    </row>
    <row r="1411" spans="1:9" ht="23">
      <c r="A1411" s="3" t="s">
        <v>2069</v>
      </c>
      <c r="B1411" s="10" t="s">
        <v>992</v>
      </c>
      <c r="C1411" s="10" t="s">
        <v>418</v>
      </c>
      <c r="D1411" s="10" t="s">
        <v>11</v>
      </c>
      <c r="E1411" s="10">
        <v>137</v>
      </c>
      <c r="F1411" s="10">
        <v>6.6</v>
      </c>
      <c r="G1411" s="10">
        <v>35000000</v>
      </c>
      <c r="H1411" s="10">
        <v>37304950</v>
      </c>
      <c r="I1411" s="5">
        <f>IMDB_Movies!$H1411-IMDB_Movies!$G1411</f>
        <v>2304950</v>
      </c>
    </row>
    <row r="1412" spans="1:9" ht="23">
      <c r="A1412" s="2" t="s">
        <v>2070</v>
      </c>
      <c r="B1412" s="9" t="s">
        <v>2071</v>
      </c>
      <c r="C1412" s="9" t="s">
        <v>810</v>
      </c>
      <c r="D1412" s="9" t="s">
        <v>11</v>
      </c>
      <c r="E1412" s="9">
        <v>112</v>
      </c>
      <c r="F1412" s="9">
        <v>6.2</v>
      </c>
      <c r="G1412" s="9">
        <v>35000000</v>
      </c>
      <c r="H1412" s="9">
        <v>30691439</v>
      </c>
      <c r="I1412" s="5">
        <f>IMDB_Movies!$H1412-IMDB_Movies!$G1412</f>
        <v>-4308561</v>
      </c>
    </row>
    <row r="1413" spans="1:9" ht="23">
      <c r="A1413" s="3" t="s">
        <v>2072</v>
      </c>
      <c r="B1413" s="10" t="s">
        <v>2073</v>
      </c>
      <c r="C1413" s="10" t="s">
        <v>56</v>
      </c>
      <c r="D1413" s="10" t="s">
        <v>11</v>
      </c>
      <c r="E1413" s="10">
        <v>101</v>
      </c>
      <c r="F1413" s="10">
        <v>5.2</v>
      </c>
      <c r="G1413" s="10">
        <v>35000000</v>
      </c>
      <c r="H1413" s="10">
        <v>30307804</v>
      </c>
      <c r="I1413" s="5">
        <f>IMDB_Movies!$H1413-IMDB_Movies!$G1413</f>
        <v>-4692196</v>
      </c>
    </row>
    <row r="1414" spans="1:9" ht="23">
      <c r="A1414" s="2" t="s">
        <v>2074</v>
      </c>
      <c r="B1414" s="9" t="s">
        <v>729</v>
      </c>
      <c r="C1414" s="9" t="s">
        <v>10</v>
      </c>
      <c r="D1414" s="9" t="s">
        <v>11</v>
      </c>
      <c r="E1414" s="9">
        <v>103</v>
      </c>
      <c r="F1414" s="9">
        <v>6.2</v>
      </c>
      <c r="G1414" s="9">
        <v>35000000</v>
      </c>
      <c r="H1414" s="9">
        <v>30669413</v>
      </c>
      <c r="I1414" s="5">
        <f>IMDB_Movies!$H1414-IMDB_Movies!$G1414</f>
        <v>-4330587</v>
      </c>
    </row>
    <row r="1415" spans="1:9" ht="23">
      <c r="A1415" s="3" t="s">
        <v>2075</v>
      </c>
      <c r="B1415" s="10" t="s">
        <v>925</v>
      </c>
      <c r="C1415" s="10" t="s">
        <v>414</v>
      </c>
      <c r="D1415" s="10" t="s">
        <v>11</v>
      </c>
      <c r="E1415" s="10">
        <v>101</v>
      </c>
      <c r="F1415" s="10">
        <v>6.2</v>
      </c>
      <c r="G1415" s="10">
        <v>35000000</v>
      </c>
      <c r="H1415" s="10">
        <v>28687835</v>
      </c>
      <c r="I1415" s="5">
        <f>IMDB_Movies!$H1415-IMDB_Movies!$G1415</f>
        <v>-6312165</v>
      </c>
    </row>
    <row r="1416" spans="1:9" ht="23">
      <c r="A1416" s="2" t="s">
        <v>2076</v>
      </c>
      <c r="B1416" s="9" t="s">
        <v>2077</v>
      </c>
      <c r="C1416" s="9" t="s">
        <v>138</v>
      </c>
      <c r="D1416" s="9" t="s">
        <v>11</v>
      </c>
      <c r="E1416" s="9">
        <v>112</v>
      </c>
      <c r="F1416" s="9">
        <v>6.6</v>
      </c>
      <c r="G1416" s="9">
        <v>35000000</v>
      </c>
      <c r="H1416" s="9">
        <v>26494611</v>
      </c>
      <c r="I1416" s="5">
        <f>IMDB_Movies!$H1416-IMDB_Movies!$G1416</f>
        <v>-8505389</v>
      </c>
    </row>
    <row r="1417" spans="1:9" ht="23">
      <c r="A1417" s="3" t="s">
        <v>2078</v>
      </c>
      <c r="B1417" s="10" t="s">
        <v>2079</v>
      </c>
      <c r="C1417" s="10" t="s">
        <v>10</v>
      </c>
      <c r="D1417" s="10" t="s">
        <v>11</v>
      </c>
      <c r="E1417" s="10">
        <v>111</v>
      </c>
      <c r="F1417" s="10">
        <v>6.4</v>
      </c>
      <c r="G1417" s="10">
        <v>20000000</v>
      </c>
      <c r="H1417" s="10">
        <v>25078937</v>
      </c>
      <c r="I1417" s="5">
        <f>IMDB_Movies!$H1417-IMDB_Movies!$G1417</f>
        <v>5078937</v>
      </c>
    </row>
    <row r="1418" spans="1:9" ht="23">
      <c r="A1418" s="2" t="s">
        <v>2080</v>
      </c>
      <c r="B1418" s="9" t="s">
        <v>1973</v>
      </c>
      <c r="C1418" s="9" t="s">
        <v>138</v>
      </c>
      <c r="D1418" s="9" t="s">
        <v>11</v>
      </c>
      <c r="E1418" s="9">
        <v>102</v>
      </c>
      <c r="F1418" s="9">
        <v>6.2</v>
      </c>
      <c r="G1418" s="9">
        <v>35000000</v>
      </c>
      <c r="H1418" s="9">
        <v>25266129</v>
      </c>
      <c r="I1418" s="5">
        <f>IMDB_Movies!$H1418-IMDB_Movies!$G1418</f>
        <v>-9733871</v>
      </c>
    </row>
    <row r="1419" spans="1:9" ht="23">
      <c r="A1419" s="3" t="s">
        <v>2081</v>
      </c>
      <c r="B1419" s="10" t="s">
        <v>133</v>
      </c>
      <c r="C1419" s="10" t="s">
        <v>10</v>
      </c>
      <c r="D1419" s="10" t="s">
        <v>11</v>
      </c>
      <c r="E1419" s="10">
        <v>101</v>
      </c>
      <c r="F1419" s="10">
        <v>5.0999999999999996</v>
      </c>
      <c r="G1419" s="10">
        <v>35000000</v>
      </c>
      <c r="H1419" s="10">
        <v>25863915</v>
      </c>
      <c r="I1419" s="5">
        <f>IMDB_Movies!$H1419-IMDB_Movies!$G1419</f>
        <v>-9136085</v>
      </c>
    </row>
    <row r="1420" spans="1:9" ht="23">
      <c r="A1420" s="2" t="s">
        <v>2082</v>
      </c>
      <c r="B1420" s="9" t="s">
        <v>992</v>
      </c>
      <c r="C1420" s="9" t="s">
        <v>414</v>
      </c>
      <c r="D1420" s="9" t="s">
        <v>11</v>
      </c>
      <c r="E1420" s="9">
        <v>155</v>
      </c>
      <c r="F1420" s="9">
        <v>6.6</v>
      </c>
      <c r="G1420" s="9">
        <v>30000000</v>
      </c>
      <c r="H1420" s="9">
        <v>25078937</v>
      </c>
      <c r="I1420" s="5">
        <f>IMDB_Movies!$H1420-IMDB_Movies!$G1420</f>
        <v>-4921063</v>
      </c>
    </row>
    <row r="1421" spans="1:9" ht="23">
      <c r="A1421" s="3" t="s">
        <v>2083</v>
      </c>
      <c r="B1421" s="10" t="s">
        <v>2084</v>
      </c>
      <c r="C1421" s="10" t="s">
        <v>10</v>
      </c>
      <c r="D1421" s="10" t="s">
        <v>11</v>
      </c>
      <c r="E1421" s="10">
        <v>93</v>
      </c>
      <c r="F1421" s="10">
        <v>6.1</v>
      </c>
      <c r="G1421" s="10">
        <v>19000000</v>
      </c>
      <c r="H1421" s="10">
        <v>25078937</v>
      </c>
      <c r="I1421" s="5">
        <f>IMDB_Movies!$H1421-IMDB_Movies!$G1421</f>
        <v>6078937</v>
      </c>
    </row>
    <row r="1422" spans="1:9" ht="23">
      <c r="A1422" s="2" t="s">
        <v>2085</v>
      </c>
      <c r="B1422" s="9" t="s">
        <v>2086</v>
      </c>
      <c r="C1422" s="9" t="s">
        <v>138</v>
      </c>
      <c r="D1422" s="9" t="s">
        <v>11</v>
      </c>
      <c r="E1422" s="9">
        <v>109</v>
      </c>
      <c r="F1422" s="9">
        <v>6.1</v>
      </c>
      <c r="G1422" s="9">
        <v>35000000</v>
      </c>
      <c r="H1422" s="9">
        <v>28995450</v>
      </c>
      <c r="I1422" s="5">
        <f>IMDB_Movies!$H1422-IMDB_Movies!$G1422</f>
        <v>-6004550</v>
      </c>
    </row>
    <row r="1423" spans="1:9" ht="23">
      <c r="A1423" s="3" t="s">
        <v>2087</v>
      </c>
      <c r="B1423" s="10" t="s">
        <v>1499</v>
      </c>
      <c r="C1423" s="10" t="s">
        <v>418</v>
      </c>
      <c r="D1423" s="10" t="s">
        <v>11</v>
      </c>
      <c r="E1423" s="10">
        <v>140</v>
      </c>
      <c r="F1423" s="10">
        <v>6.6</v>
      </c>
      <c r="G1423" s="10">
        <v>35000000</v>
      </c>
      <c r="H1423" s="10">
        <v>24276500</v>
      </c>
      <c r="I1423" s="5">
        <f>IMDB_Movies!$H1423-IMDB_Movies!$G1423</f>
        <v>-10723500</v>
      </c>
    </row>
    <row r="1424" spans="1:9" ht="23">
      <c r="A1424" s="2" t="s">
        <v>2088</v>
      </c>
      <c r="B1424" s="9" t="s">
        <v>2089</v>
      </c>
      <c r="C1424" s="9" t="s">
        <v>56</v>
      </c>
      <c r="D1424" s="9" t="s">
        <v>11</v>
      </c>
      <c r="E1424" s="9">
        <v>108</v>
      </c>
      <c r="F1424" s="9">
        <v>5.9</v>
      </c>
      <c r="G1424" s="9">
        <v>30000000</v>
      </c>
      <c r="H1424" s="9">
        <v>20981633</v>
      </c>
      <c r="I1424" s="5">
        <f>IMDB_Movies!$H1424-IMDB_Movies!$G1424</f>
        <v>-9018367</v>
      </c>
    </row>
    <row r="1425" spans="1:9" ht="23">
      <c r="A1425" s="3" t="s">
        <v>2090</v>
      </c>
      <c r="B1425" s="10" t="s">
        <v>2091</v>
      </c>
      <c r="C1425" s="10" t="s">
        <v>138</v>
      </c>
      <c r="D1425" s="10" t="s">
        <v>11</v>
      </c>
      <c r="E1425" s="10">
        <v>96</v>
      </c>
      <c r="F1425" s="10">
        <v>6.3</v>
      </c>
      <c r="G1425" s="10">
        <v>35000000</v>
      </c>
      <c r="H1425" s="10">
        <v>22913677</v>
      </c>
      <c r="I1425" s="5">
        <f>IMDB_Movies!$H1425-IMDB_Movies!$G1425</f>
        <v>-12086323</v>
      </c>
    </row>
    <row r="1426" spans="1:9" ht="23">
      <c r="A1426" s="2" t="s">
        <v>2092</v>
      </c>
      <c r="B1426" s="9" t="s">
        <v>2093</v>
      </c>
      <c r="C1426" s="9" t="s">
        <v>418</v>
      </c>
      <c r="D1426" s="9" t="s">
        <v>11</v>
      </c>
      <c r="E1426" s="9">
        <v>123</v>
      </c>
      <c r="F1426" s="9">
        <v>7.1</v>
      </c>
      <c r="G1426" s="9">
        <v>35000000</v>
      </c>
      <c r="H1426" s="9">
        <v>34531832</v>
      </c>
      <c r="I1426" s="5">
        <f>IMDB_Movies!$H1426-IMDB_Movies!$G1426</f>
        <v>-468168</v>
      </c>
    </row>
    <row r="1427" spans="1:9" ht="23">
      <c r="A1427" s="3" t="s">
        <v>2094</v>
      </c>
      <c r="B1427" s="10" t="s">
        <v>786</v>
      </c>
      <c r="C1427" s="10" t="s">
        <v>10</v>
      </c>
      <c r="D1427" s="10" t="s">
        <v>11</v>
      </c>
      <c r="E1427" s="10">
        <v>106</v>
      </c>
      <c r="F1427" s="10">
        <v>5</v>
      </c>
      <c r="G1427" s="10">
        <v>35000000</v>
      </c>
      <c r="H1427" s="10">
        <v>28064226</v>
      </c>
      <c r="I1427" s="5">
        <f>IMDB_Movies!$H1427-IMDB_Movies!$G1427</f>
        <v>-6935774</v>
      </c>
    </row>
    <row r="1428" spans="1:9" ht="23">
      <c r="A1428" s="2" t="s">
        <v>2095</v>
      </c>
      <c r="B1428" s="9" t="s">
        <v>2096</v>
      </c>
      <c r="C1428" s="9" t="s">
        <v>24</v>
      </c>
      <c r="D1428" s="9" t="s">
        <v>11</v>
      </c>
      <c r="E1428" s="9">
        <v>76</v>
      </c>
      <c r="F1428" s="9">
        <v>5.6</v>
      </c>
      <c r="G1428" s="9">
        <v>35000000</v>
      </c>
      <c r="H1428" s="9">
        <v>19447478</v>
      </c>
      <c r="I1428" s="5">
        <f>IMDB_Movies!$H1428-IMDB_Movies!$G1428</f>
        <v>-15552522</v>
      </c>
    </row>
    <row r="1429" spans="1:9" ht="23">
      <c r="A1429" s="3" t="s">
        <v>2097</v>
      </c>
      <c r="B1429" s="10" t="s">
        <v>1330</v>
      </c>
      <c r="C1429" s="10" t="s">
        <v>138</v>
      </c>
      <c r="D1429" s="10" t="s">
        <v>11</v>
      </c>
      <c r="E1429" s="10">
        <v>107</v>
      </c>
      <c r="F1429" s="10">
        <v>7.4</v>
      </c>
      <c r="G1429" s="10">
        <v>55000000</v>
      </c>
      <c r="H1429" s="10">
        <v>19389454</v>
      </c>
      <c r="I1429" s="5">
        <f>IMDB_Movies!$H1429-IMDB_Movies!$G1429</f>
        <v>-35610546</v>
      </c>
    </row>
    <row r="1430" spans="1:9" ht="23">
      <c r="A1430" s="2" t="s">
        <v>2098</v>
      </c>
      <c r="B1430" s="9" t="s">
        <v>2099</v>
      </c>
      <c r="C1430" s="9" t="s">
        <v>10</v>
      </c>
      <c r="D1430" s="9" t="s">
        <v>11</v>
      </c>
      <c r="E1430" s="9">
        <v>82</v>
      </c>
      <c r="F1430" s="9">
        <v>4.5</v>
      </c>
      <c r="G1430" s="9">
        <v>35000000</v>
      </c>
      <c r="H1430" s="9">
        <v>25871834</v>
      </c>
      <c r="I1430" s="5">
        <f>IMDB_Movies!$H1430-IMDB_Movies!$G1430</f>
        <v>-9128166</v>
      </c>
    </row>
    <row r="1431" spans="1:9" ht="23">
      <c r="A1431" s="3" t="s">
        <v>2100</v>
      </c>
      <c r="B1431" s="10" t="s">
        <v>2101</v>
      </c>
      <c r="C1431" s="10" t="s">
        <v>414</v>
      </c>
      <c r="D1431" s="10" t="s">
        <v>11</v>
      </c>
      <c r="E1431" s="10">
        <v>109</v>
      </c>
      <c r="F1431" s="10">
        <v>6.2</v>
      </c>
      <c r="G1431" s="10">
        <v>35000000</v>
      </c>
      <c r="H1431" s="10">
        <v>19692608</v>
      </c>
      <c r="I1431" s="5">
        <f>IMDB_Movies!$H1431-IMDB_Movies!$G1431</f>
        <v>-15307392</v>
      </c>
    </row>
    <row r="1432" spans="1:9" ht="23">
      <c r="A1432" s="2" t="s">
        <v>2102</v>
      </c>
      <c r="B1432" s="9" t="s">
        <v>1739</v>
      </c>
      <c r="C1432" s="9" t="s">
        <v>138</v>
      </c>
      <c r="D1432" s="9" t="s">
        <v>11</v>
      </c>
      <c r="E1432" s="9">
        <v>99</v>
      </c>
      <c r="F1432" s="9">
        <v>5</v>
      </c>
      <c r="G1432" s="9">
        <v>35000000</v>
      </c>
      <c r="H1432" s="9">
        <v>19294901</v>
      </c>
      <c r="I1432" s="5">
        <f>IMDB_Movies!$H1432-IMDB_Movies!$G1432</f>
        <v>-15705099</v>
      </c>
    </row>
    <row r="1433" spans="1:9" ht="23">
      <c r="A1433" s="3" t="s">
        <v>2103</v>
      </c>
      <c r="B1433" s="10" t="s">
        <v>1193</v>
      </c>
      <c r="C1433" s="10" t="s">
        <v>10</v>
      </c>
      <c r="D1433" s="10" t="s">
        <v>11</v>
      </c>
      <c r="E1433" s="10">
        <v>91</v>
      </c>
      <c r="F1433" s="10">
        <v>6.5</v>
      </c>
      <c r="G1433" s="10">
        <v>35000000</v>
      </c>
      <c r="H1433" s="10">
        <v>20275446</v>
      </c>
      <c r="I1433" s="5">
        <f>IMDB_Movies!$H1433-IMDB_Movies!$G1433</f>
        <v>-14724554</v>
      </c>
    </row>
    <row r="1434" spans="1:9" ht="23">
      <c r="A1434" s="2" t="s">
        <v>2104</v>
      </c>
      <c r="B1434" s="9" t="s">
        <v>1721</v>
      </c>
      <c r="C1434" s="9" t="s">
        <v>10</v>
      </c>
      <c r="D1434" s="9" t="s">
        <v>11</v>
      </c>
      <c r="E1434" s="9">
        <v>87</v>
      </c>
      <c r="F1434" s="9">
        <v>5.0999999999999996</v>
      </c>
      <c r="G1434" s="9">
        <v>35000000</v>
      </c>
      <c r="H1434" s="9">
        <v>34507079</v>
      </c>
      <c r="I1434" s="5">
        <f>IMDB_Movies!$H1434-IMDB_Movies!$G1434</f>
        <v>-492921</v>
      </c>
    </row>
    <row r="1435" spans="1:9" ht="23">
      <c r="A1435" s="3" t="s">
        <v>2105</v>
      </c>
      <c r="B1435" s="10" t="s">
        <v>1290</v>
      </c>
      <c r="C1435" s="10" t="s">
        <v>24</v>
      </c>
      <c r="D1435" s="10" t="s">
        <v>11</v>
      </c>
      <c r="E1435" s="10">
        <v>125</v>
      </c>
      <c r="F1435" s="10">
        <v>6.5</v>
      </c>
      <c r="G1435" s="10">
        <v>35000000</v>
      </c>
      <c r="H1435" s="10">
        <v>18306166</v>
      </c>
      <c r="I1435" s="5">
        <f>IMDB_Movies!$H1435-IMDB_Movies!$G1435</f>
        <v>-16693834</v>
      </c>
    </row>
    <row r="1436" spans="1:9" ht="23">
      <c r="A1436" s="2" t="s">
        <v>2106</v>
      </c>
      <c r="B1436" s="9" t="s">
        <v>1015</v>
      </c>
      <c r="C1436" s="9" t="s">
        <v>10</v>
      </c>
      <c r="D1436" s="9" t="s">
        <v>11</v>
      </c>
      <c r="E1436" s="9">
        <v>118</v>
      </c>
      <c r="F1436" s="9">
        <v>6.2</v>
      </c>
      <c r="G1436" s="9">
        <v>35000000</v>
      </c>
      <c r="H1436" s="9">
        <v>17609982</v>
      </c>
      <c r="I1436" s="5">
        <f>IMDB_Movies!$H1436-IMDB_Movies!$G1436</f>
        <v>-17390018</v>
      </c>
    </row>
    <row r="1437" spans="1:9" ht="23">
      <c r="A1437" s="3" t="s">
        <v>2107</v>
      </c>
      <c r="B1437" s="10" t="s">
        <v>1422</v>
      </c>
      <c r="C1437" s="10" t="s">
        <v>138</v>
      </c>
      <c r="D1437" s="10" t="s">
        <v>11</v>
      </c>
      <c r="E1437" s="10">
        <v>98</v>
      </c>
      <c r="F1437" s="10">
        <v>6.3</v>
      </c>
      <c r="G1437" s="10">
        <v>31000000</v>
      </c>
      <c r="H1437" s="10">
        <v>16831505</v>
      </c>
      <c r="I1437" s="5">
        <f>IMDB_Movies!$H1437-IMDB_Movies!$G1437</f>
        <v>-14168495</v>
      </c>
    </row>
    <row r="1438" spans="1:9" ht="23">
      <c r="A1438" s="2" t="s">
        <v>2108</v>
      </c>
      <c r="B1438" s="9" t="s">
        <v>1668</v>
      </c>
      <c r="C1438" s="9" t="s">
        <v>138</v>
      </c>
      <c r="D1438" s="9" t="s">
        <v>11</v>
      </c>
      <c r="E1438" s="9">
        <v>92</v>
      </c>
      <c r="F1438" s="9">
        <v>3.8</v>
      </c>
      <c r="G1438" s="9">
        <v>35000000</v>
      </c>
      <c r="H1438" s="9">
        <v>17596256</v>
      </c>
      <c r="I1438" s="5">
        <f>IMDB_Movies!$H1438-IMDB_Movies!$G1438</f>
        <v>-17403744</v>
      </c>
    </row>
    <row r="1439" spans="1:9" ht="23">
      <c r="A1439" s="3" t="s">
        <v>2109</v>
      </c>
      <c r="B1439" s="10" t="s">
        <v>2110</v>
      </c>
      <c r="C1439" s="10" t="s">
        <v>10</v>
      </c>
      <c r="D1439" s="10" t="s">
        <v>11</v>
      </c>
      <c r="E1439" s="10">
        <v>93</v>
      </c>
      <c r="F1439" s="10">
        <v>5.2</v>
      </c>
      <c r="G1439" s="10">
        <v>30000000</v>
      </c>
      <c r="H1439" s="10">
        <v>25078937</v>
      </c>
      <c r="I1439" s="5">
        <f>IMDB_Movies!$H1439-IMDB_Movies!$G1439</f>
        <v>-4921063</v>
      </c>
    </row>
    <row r="1440" spans="1:9" ht="23">
      <c r="A1440" s="2" t="s">
        <v>2111</v>
      </c>
      <c r="B1440" s="9" t="s">
        <v>2112</v>
      </c>
      <c r="C1440" s="9" t="s">
        <v>10</v>
      </c>
      <c r="D1440" s="9" t="s">
        <v>11</v>
      </c>
      <c r="E1440" s="9">
        <v>116</v>
      </c>
      <c r="F1440" s="9">
        <v>6</v>
      </c>
      <c r="G1440" s="9">
        <v>27000000</v>
      </c>
      <c r="H1440" s="9">
        <v>25078937</v>
      </c>
      <c r="I1440" s="5">
        <f>IMDB_Movies!$H1440-IMDB_Movies!$G1440</f>
        <v>-1921063</v>
      </c>
    </row>
    <row r="1441" spans="1:9" ht="23">
      <c r="A1441" s="3" t="s">
        <v>2113</v>
      </c>
      <c r="B1441" s="10" t="s">
        <v>1087</v>
      </c>
      <c r="C1441" s="10" t="s">
        <v>56</v>
      </c>
      <c r="D1441" s="10" t="s">
        <v>11</v>
      </c>
      <c r="E1441" s="10">
        <v>92</v>
      </c>
      <c r="F1441" s="10">
        <v>6.2</v>
      </c>
      <c r="G1441" s="10">
        <v>35000000</v>
      </c>
      <c r="H1441" s="10">
        <v>14998070</v>
      </c>
      <c r="I1441" s="5">
        <f>IMDB_Movies!$H1441-IMDB_Movies!$G1441</f>
        <v>-20001930</v>
      </c>
    </row>
    <row r="1442" spans="1:9" ht="23">
      <c r="A1442" s="2" t="s">
        <v>2114</v>
      </c>
      <c r="B1442" s="9" t="s">
        <v>610</v>
      </c>
      <c r="C1442" s="9" t="s">
        <v>10</v>
      </c>
      <c r="D1442" s="9" t="s">
        <v>11</v>
      </c>
      <c r="E1442" s="9">
        <v>115</v>
      </c>
      <c r="F1442" s="9">
        <v>5.7</v>
      </c>
      <c r="G1442" s="9">
        <v>35000000</v>
      </c>
      <c r="H1442" s="9">
        <v>14587732</v>
      </c>
      <c r="I1442" s="5">
        <f>IMDB_Movies!$H1442-IMDB_Movies!$G1442</f>
        <v>-20412268</v>
      </c>
    </row>
    <row r="1443" spans="1:9" ht="23">
      <c r="A1443" s="3" t="s">
        <v>2115</v>
      </c>
      <c r="B1443" s="10" t="s">
        <v>1811</v>
      </c>
      <c r="C1443" s="10" t="s">
        <v>138</v>
      </c>
      <c r="D1443" s="10" t="s">
        <v>11</v>
      </c>
      <c r="E1443" s="10">
        <v>120</v>
      </c>
      <c r="F1443" s="10">
        <v>6.7</v>
      </c>
      <c r="G1443" s="10">
        <v>35000000</v>
      </c>
      <c r="H1443" s="10">
        <v>18317151</v>
      </c>
      <c r="I1443" s="5">
        <f>IMDB_Movies!$H1443-IMDB_Movies!$G1443</f>
        <v>-16682849</v>
      </c>
    </row>
    <row r="1444" spans="1:9" ht="23">
      <c r="A1444" s="2" t="s">
        <v>2116</v>
      </c>
      <c r="B1444" s="9" t="s">
        <v>2117</v>
      </c>
      <c r="C1444" s="9" t="s">
        <v>56</v>
      </c>
      <c r="D1444" s="9" t="s">
        <v>11</v>
      </c>
      <c r="E1444" s="9">
        <v>111</v>
      </c>
      <c r="F1444" s="9">
        <v>6.8</v>
      </c>
      <c r="G1444" s="9">
        <v>35000000</v>
      </c>
      <c r="H1444" s="9">
        <v>11405825</v>
      </c>
      <c r="I1444" s="5">
        <f>IMDB_Movies!$H1444-IMDB_Movies!$G1444</f>
        <v>-23594175</v>
      </c>
    </row>
    <row r="1445" spans="1:9" ht="23">
      <c r="A1445" s="3" t="s">
        <v>2118</v>
      </c>
      <c r="B1445" s="10" t="s">
        <v>711</v>
      </c>
      <c r="C1445" s="10" t="s">
        <v>10</v>
      </c>
      <c r="D1445" s="10" t="s">
        <v>11</v>
      </c>
      <c r="E1445" s="10">
        <v>94</v>
      </c>
      <c r="F1445" s="10">
        <v>6</v>
      </c>
      <c r="G1445" s="10">
        <v>35000000</v>
      </c>
      <c r="H1445" s="10">
        <v>13264986</v>
      </c>
      <c r="I1445" s="5">
        <f>IMDB_Movies!$H1445-IMDB_Movies!$G1445</f>
        <v>-21735014</v>
      </c>
    </row>
    <row r="1446" spans="1:9" ht="23">
      <c r="A1446" s="2" t="s">
        <v>2119</v>
      </c>
      <c r="B1446" s="9" t="s">
        <v>2120</v>
      </c>
      <c r="C1446" s="9" t="s">
        <v>418</v>
      </c>
      <c r="D1446" s="9" t="s">
        <v>11</v>
      </c>
      <c r="E1446" s="9">
        <v>100</v>
      </c>
      <c r="F1446" s="9">
        <v>7.3</v>
      </c>
      <c r="G1446" s="9">
        <v>35000000</v>
      </c>
      <c r="H1446" s="9">
        <v>10991381</v>
      </c>
      <c r="I1446" s="5">
        <f>IMDB_Movies!$H1446-IMDB_Movies!$G1446</f>
        <v>-24008619</v>
      </c>
    </row>
    <row r="1447" spans="1:9" ht="23">
      <c r="A1447" s="3" t="s">
        <v>2121</v>
      </c>
      <c r="B1447" s="10" t="s">
        <v>453</v>
      </c>
      <c r="C1447" s="10" t="s">
        <v>10</v>
      </c>
      <c r="D1447" s="10" t="s">
        <v>11</v>
      </c>
      <c r="E1447" s="10">
        <v>101</v>
      </c>
      <c r="F1447" s="10">
        <v>5.5</v>
      </c>
      <c r="G1447" s="10">
        <v>35000000</v>
      </c>
      <c r="H1447" s="10">
        <v>10268846</v>
      </c>
      <c r="I1447" s="5">
        <f>IMDB_Movies!$H1447-IMDB_Movies!$G1447</f>
        <v>-24731154</v>
      </c>
    </row>
    <row r="1448" spans="1:9" ht="23">
      <c r="A1448" s="2" t="s">
        <v>2122</v>
      </c>
      <c r="B1448" s="9" t="s">
        <v>1340</v>
      </c>
      <c r="C1448" s="9" t="s">
        <v>56</v>
      </c>
      <c r="D1448" s="9" t="s">
        <v>11</v>
      </c>
      <c r="E1448" s="9">
        <v>139</v>
      </c>
      <c r="F1448" s="9">
        <v>6.7</v>
      </c>
      <c r="G1448" s="9">
        <v>32000000</v>
      </c>
      <c r="H1448" s="9">
        <v>13303319</v>
      </c>
      <c r="I1448" s="5">
        <f>IMDB_Movies!$H1448-IMDB_Movies!$G1448</f>
        <v>-18696681</v>
      </c>
    </row>
    <row r="1449" spans="1:9" ht="23">
      <c r="A1449" s="3" t="s">
        <v>2123</v>
      </c>
      <c r="B1449" s="10" t="s">
        <v>2124</v>
      </c>
      <c r="C1449" s="10" t="s">
        <v>10</v>
      </c>
      <c r="D1449" s="10" t="s">
        <v>11</v>
      </c>
      <c r="E1449" s="10">
        <v>91</v>
      </c>
      <c r="F1449" s="10">
        <v>4.8</v>
      </c>
      <c r="G1449" s="10">
        <v>35000000</v>
      </c>
      <c r="H1449" s="10">
        <v>10076136</v>
      </c>
      <c r="I1449" s="5">
        <f>IMDB_Movies!$H1449-IMDB_Movies!$G1449</f>
        <v>-24923864</v>
      </c>
    </row>
    <row r="1450" spans="1:9" ht="23">
      <c r="A1450" s="2" t="s">
        <v>2125</v>
      </c>
      <c r="B1450" s="9" t="s">
        <v>135</v>
      </c>
      <c r="C1450" s="9" t="s">
        <v>10</v>
      </c>
      <c r="D1450" s="9" t="s">
        <v>11</v>
      </c>
      <c r="E1450" s="9">
        <v>109</v>
      </c>
      <c r="F1450" s="9">
        <v>5.7</v>
      </c>
      <c r="G1450" s="9">
        <v>35000000</v>
      </c>
      <c r="H1450" s="9">
        <v>10499968</v>
      </c>
      <c r="I1450" s="5">
        <f>IMDB_Movies!$H1450-IMDB_Movies!$G1450</f>
        <v>-24500032</v>
      </c>
    </row>
    <row r="1451" spans="1:9" ht="23">
      <c r="A1451" s="3" t="s">
        <v>2126</v>
      </c>
      <c r="B1451" s="10" t="s">
        <v>1382</v>
      </c>
      <c r="C1451" s="10" t="s">
        <v>10</v>
      </c>
      <c r="D1451" s="10" t="s">
        <v>11</v>
      </c>
      <c r="E1451" s="10">
        <v>102</v>
      </c>
      <c r="F1451" s="10">
        <v>5.0999999999999996</v>
      </c>
      <c r="G1451" s="10">
        <v>38000000</v>
      </c>
      <c r="H1451" s="10">
        <v>7659747</v>
      </c>
      <c r="I1451" s="5">
        <f>IMDB_Movies!$H1451-IMDB_Movies!$G1451</f>
        <v>-30340253</v>
      </c>
    </row>
    <row r="1452" spans="1:9" ht="23">
      <c r="A1452" s="2" t="s">
        <v>2127</v>
      </c>
      <c r="B1452" s="9" t="s">
        <v>2128</v>
      </c>
      <c r="C1452" s="9" t="s">
        <v>10</v>
      </c>
      <c r="D1452" s="9" t="s">
        <v>11</v>
      </c>
      <c r="E1452" s="9">
        <v>103</v>
      </c>
      <c r="F1452" s="9">
        <v>6</v>
      </c>
      <c r="G1452" s="9">
        <v>35000000</v>
      </c>
      <c r="H1452" s="9">
        <v>7948159</v>
      </c>
      <c r="I1452" s="5">
        <f>IMDB_Movies!$H1452-IMDB_Movies!$G1452</f>
        <v>-27051841</v>
      </c>
    </row>
    <row r="1453" spans="1:9" ht="23">
      <c r="A1453" s="3" t="s">
        <v>2129</v>
      </c>
      <c r="B1453" s="10" t="s">
        <v>1392</v>
      </c>
      <c r="C1453" s="10" t="s">
        <v>10</v>
      </c>
      <c r="D1453" s="10" t="s">
        <v>11</v>
      </c>
      <c r="E1453" s="10">
        <v>83</v>
      </c>
      <c r="F1453" s="10">
        <v>4.2</v>
      </c>
      <c r="G1453" s="10">
        <v>35000000</v>
      </c>
      <c r="H1453" s="10">
        <v>11631245</v>
      </c>
      <c r="I1453" s="5">
        <f>IMDB_Movies!$H1453-IMDB_Movies!$G1453</f>
        <v>-23368755</v>
      </c>
    </row>
    <row r="1454" spans="1:9" ht="23">
      <c r="A1454" s="2" t="s">
        <v>2130</v>
      </c>
      <c r="B1454" s="9" t="s">
        <v>115</v>
      </c>
      <c r="C1454" s="9" t="s">
        <v>24</v>
      </c>
      <c r="D1454" s="9" t="s">
        <v>11</v>
      </c>
      <c r="E1454" s="9">
        <v>123</v>
      </c>
      <c r="F1454" s="9">
        <v>7.4</v>
      </c>
      <c r="G1454" s="9">
        <v>35000000</v>
      </c>
      <c r="H1454" s="9">
        <v>10137502</v>
      </c>
      <c r="I1454" s="5">
        <f>IMDB_Movies!$H1454-IMDB_Movies!$G1454</f>
        <v>-24862498</v>
      </c>
    </row>
    <row r="1455" spans="1:9" ht="23">
      <c r="A1455" s="3" t="s">
        <v>2131</v>
      </c>
      <c r="B1455" s="10" t="s">
        <v>2132</v>
      </c>
      <c r="C1455" s="10" t="s">
        <v>10</v>
      </c>
      <c r="D1455" s="10" t="s">
        <v>11</v>
      </c>
      <c r="E1455" s="10">
        <v>101</v>
      </c>
      <c r="F1455" s="10">
        <v>4.5999999999999996</v>
      </c>
      <c r="G1455" s="10">
        <v>35000000</v>
      </c>
      <c r="H1455" s="10">
        <v>6448817</v>
      </c>
      <c r="I1455" s="5">
        <f>IMDB_Movies!$H1455-IMDB_Movies!$G1455</f>
        <v>-28551183</v>
      </c>
    </row>
    <row r="1456" spans="1:9" ht="23">
      <c r="A1456" s="2" t="s">
        <v>2133</v>
      </c>
      <c r="B1456" s="9" t="s">
        <v>50</v>
      </c>
      <c r="C1456" s="9" t="s">
        <v>138</v>
      </c>
      <c r="D1456" s="9" t="s">
        <v>11</v>
      </c>
      <c r="E1456" s="9">
        <v>117</v>
      </c>
      <c r="F1456" s="9">
        <v>6.9</v>
      </c>
      <c r="G1456" s="9">
        <v>35000000</v>
      </c>
      <c r="H1456" s="9">
        <v>7458269</v>
      </c>
      <c r="I1456" s="5">
        <f>IMDB_Movies!$H1456-IMDB_Movies!$G1456</f>
        <v>-27541731</v>
      </c>
    </row>
    <row r="1457" spans="1:9" ht="23">
      <c r="A1457" s="3" t="s">
        <v>2134</v>
      </c>
      <c r="B1457" s="10" t="s">
        <v>285</v>
      </c>
      <c r="C1457" s="10" t="s">
        <v>56</v>
      </c>
      <c r="D1457" s="10" t="s">
        <v>11</v>
      </c>
      <c r="E1457" s="10">
        <v>114</v>
      </c>
      <c r="F1457" s="10">
        <v>6.9</v>
      </c>
      <c r="G1457" s="10">
        <v>35000000</v>
      </c>
      <c r="H1457" s="10">
        <v>4651977</v>
      </c>
      <c r="I1457" s="5">
        <f>IMDB_Movies!$H1457-IMDB_Movies!$G1457</f>
        <v>-30348023</v>
      </c>
    </row>
    <row r="1458" spans="1:9" ht="23">
      <c r="A1458" s="2" t="s">
        <v>2135</v>
      </c>
      <c r="B1458" s="9" t="s">
        <v>1015</v>
      </c>
      <c r="C1458" s="9" t="s">
        <v>414</v>
      </c>
      <c r="D1458" s="9" t="s">
        <v>11</v>
      </c>
      <c r="E1458" s="9">
        <v>330</v>
      </c>
      <c r="F1458" s="9">
        <v>8</v>
      </c>
      <c r="G1458" s="9">
        <v>35000000</v>
      </c>
      <c r="H1458" s="9">
        <v>4496583</v>
      </c>
      <c r="I1458" s="5">
        <f>IMDB_Movies!$H1458-IMDB_Movies!$G1458</f>
        <v>-30503417</v>
      </c>
    </row>
    <row r="1459" spans="1:9" ht="23">
      <c r="A1459" s="3" t="s">
        <v>2136</v>
      </c>
      <c r="B1459" s="10" t="s">
        <v>2137</v>
      </c>
      <c r="C1459" s="10" t="s">
        <v>10</v>
      </c>
      <c r="D1459" s="10" t="s">
        <v>11</v>
      </c>
      <c r="E1459" s="10">
        <v>121</v>
      </c>
      <c r="F1459" s="10">
        <v>6.4</v>
      </c>
      <c r="G1459" s="10">
        <v>35000000</v>
      </c>
      <c r="H1459" s="10">
        <v>2221994</v>
      </c>
      <c r="I1459" s="5">
        <f>IMDB_Movies!$H1459-IMDB_Movies!$G1459</f>
        <v>-32778006</v>
      </c>
    </row>
    <row r="1460" spans="1:9" ht="23">
      <c r="A1460" s="2" t="s">
        <v>2138</v>
      </c>
      <c r="B1460" s="9" t="s">
        <v>600</v>
      </c>
      <c r="C1460" s="9" t="s">
        <v>414</v>
      </c>
      <c r="D1460" s="9" t="s">
        <v>11</v>
      </c>
      <c r="E1460" s="9">
        <v>114</v>
      </c>
      <c r="F1460" s="9">
        <v>6.3</v>
      </c>
      <c r="G1460" s="9">
        <v>35000000</v>
      </c>
      <c r="H1460" s="9">
        <v>6592103</v>
      </c>
      <c r="I1460" s="5">
        <f>IMDB_Movies!$H1460-IMDB_Movies!$G1460</f>
        <v>-28407897</v>
      </c>
    </row>
    <row r="1461" spans="1:9" ht="23">
      <c r="A1461" s="3" t="s">
        <v>2139</v>
      </c>
      <c r="B1461" s="10" t="s">
        <v>2140</v>
      </c>
      <c r="C1461" s="10" t="s">
        <v>418</v>
      </c>
      <c r="D1461" s="10" t="s">
        <v>11</v>
      </c>
      <c r="E1461" s="10">
        <v>156</v>
      </c>
      <c r="F1461" s="10">
        <v>8.4</v>
      </c>
      <c r="G1461" s="10">
        <v>35000000</v>
      </c>
      <c r="H1461" s="10">
        <v>25078937</v>
      </c>
      <c r="I1461" s="5">
        <f>IMDB_Movies!$H1461-IMDB_Movies!$G1461</f>
        <v>-9921063</v>
      </c>
    </row>
    <row r="1462" spans="1:9" ht="23">
      <c r="A1462" s="2" t="s">
        <v>2141</v>
      </c>
      <c r="B1462" s="9" t="s">
        <v>2142</v>
      </c>
      <c r="C1462" s="9" t="s">
        <v>24</v>
      </c>
      <c r="D1462" s="9" t="s">
        <v>394</v>
      </c>
      <c r="E1462" s="9">
        <v>135</v>
      </c>
      <c r="F1462" s="9">
        <v>7.1</v>
      </c>
      <c r="G1462" s="9">
        <v>20000000</v>
      </c>
      <c r="H1462" s="9">
        <v>1877179</v>
      </c>
      <c r="I1462" s="5">
        <f>IMDB_Movies!$H1462-IMDB_Movies!$G1462</f>
        <v>-18122821</v>
      </c>
    </row>
    <row r="1463" spans="1:9" ht="23">
      <c r="A1463" s="3" t="s">
        <v>2143</v>
      </c>
      <c r="B1463" s="10" t="s">
        <v>287</v>
      </c>
      <c r="C1463" s="10" t="s">
        <v>56</v>
      </c>
      <c r="D1463" s="10" t="s">
        <v>11</v>
      </c>
      <c r="E1463" s="10">
        <v>148</v>
      </c>
      <c r="F1463" s="10">
        <v>6.8</v>
      </c>
      <c r="G1463" s="10">
        <v>35000000</v>
      </c>
      <c r="H1463" s="10">
        <v>630779</v>
      </c>
      <c r="I1463" s="5">
        <f>IMDB_Movies!$H1463-IMDB_Movies!$G1463</f>
        <v>-34369221</v>
      </c>
    </row>
    <row r="1464" spans="1:9" ht="23">
      <c r="A1464" s="2" t="s">
        <v>2144</v>
      </c>
      <c r="B1464" s="9" t="s">
        <v>305</v>
      </c>
      <c r="C1464" s="9" t="s">
        <v>56</v>
      </c>
      <c r="D1464" s="9" t="s">
        <v>741</v>
      </c>
      <c r="E1464" s="9">
        <v>148</v>
      </c>
      <c r="F1464" s="9">
        <v>7.5</v>
      </c>
      <c r="G1464" s="9">
        <v>20000000</v>
      </c>
      <c r="H1464" s="9">
        <v>5100937</v>
      </c>
      <c r="I1464" s="5">
        <f>IMDB_Movies!$H1464-IMDB_Movies!$G1464</f>
        <v>-14899063</v>
      </c>
    </row>
    <row r="1465" spans="1:9" ht="23">
      <c r="A1465" s="3" t="s">
        <v>2145</v>
      </c>
      <c r="B1465" s="10" t="s">
        <v>2146</v>
      </c>
      <c r="C1465" s="10" t="s">
        <v>10</v>
      </c>
      <c r="D1465" s="10" t="s">
        <v>11</v>
      </c>
      <c r="E1465" s="10">
        <v>93</v>
      </c>
      <c r="F1465" s="10">
        <v>5.7</v>
      </c>
      <c r="G1465" s="10">
        <v>32000000</v>
      </c>
      <c r="H1465" s="10">
        <v>25078937</v>
      </c>
      <c r="I1465" s="5">
        <f>IMDB_Movies!$H1465-IMDB_Movies!$G1465</f>
        <v>-6921063</v>
      </c>
    </row>
    <row r="1466" spans="1:9" ht="23">
      <c r="A1466" s="2" t="s">
        <v>2147</v>
      </c>
      <c r="B1466" s="9" t="s">
        <v>1080</v>
      </c>
      <c r="C1466" s="9" t="s">
        <v>10</v>
      </c>
      <c r="D1466" s="9" t="s">
        <v>11</v>
      </c>
      <c r="E1466" s="9">
        <v>113</v>
      </c>
      <c r="F1466" s="9">
        <v>6.8</v>
      </c>
      <c r="G1466" s="9">
        <v>34000000</v>
      </c>
      <c r="H1466" s="9">
        <v>102413606</v>
      </c>
      <c r="I1466" s="5">
        <f>IMDB_Movies!$H1466-IMDB_Movies!$G1466</f>
        <v>68413606</v>
      </c>
    </row>
    <row r="1467" spans="1:9" ht="23">
      <c r="A1467" s="3" t="s">
        <v>2148</v>
      </c>
      <c r="B1467" s="10" t="s">
        <v>2149</v>
      </c>
      <c r="C1467" s="10" t="s">
        <v>138</v>
      </c>
      <c r="D1467" s="10" t="s">
        <v>11</v>
      </c>
      <c r="E1467" s="10">
        <v>91</v>
      </c>
      <c r="F1467" s="10">
        <v>5.4</v>
      </c>
      <c r="G1467" s="10">
        <v>35000000</v>
      </c>
      <c r="H1467" s="10">
        <v>10214013</v>
      </c>
      <c r="I1467" s="5">
        <f>IMDB_Movies!$H1467-IMDB_Movies!$G1467</f>
        <v>-24785987</v>
      </c>
    </row>
    <row r="1468" spans="1:9" ht="23">
      <c r="A1468" s="2" t="s">
        <v>2150</v>
      </c>
      <c r="B1468" s="9" t="s">
        <v>130</v>
      </c>
      <c r="C1468" s="9" t="s">
        <v>56</v>
      </c>
      <c r="D1468" s="9" t="s">
        <v>11</v>
      </c>
      <c r="E1468" s="9">
        <v>139</v>
      </c>
      <c r="F1468" s="9">
        <v>7.2</v>
      </c>
      <c r="G1468" s="9">
        <v>30000000</v>
      </c>
      <c r="H1468" s="9">
        <v>32000000</v>
      </c>
      <c r="I1468" s="5">
        <f>IMDB_Movies!$H1468-IMDB_Movies!$G1468</f>
        <v>2000000</v>
      </c>
    </row>
    <row r="1469" spans="1:9" ht="23">
      <c r="A1469" s="3" t="s">
        <v>2151</v>
      </c>
      <c r="B1469" s="10" t="s">
        <v>325</v>
      </c>
      <c r="C1469" s="10" t="s">
        <v>56</v>
      </c>
      <c r="D1469" s="10" t="s">
        <v>11</v>
      </c>
      <c r="E1469" s="10">
        <v>96</v>
      </c>
      <c r="F1469" s="10">
        <v>7.3</v>
      </c>
      <c r="G1469" s="10">
        <v>35000000</v>
      </c>
      <c r="H1469" s="10">
        <v>10139254</v>
      </c>
      <c r="I1469" s="5">
        <f>IMDB_Movies!$H1469-IMDB_Movies!$G1469</f>
        <v>-24860746</v>
      </c>
    </row>
    <row r="1470" spans="1:9" ht="23">
      <c r="A1470" s="2" t="s">
        <v>2152</v>
      </c>
      <c r="B1470" s="9" t="s">
        <v>2153</v>
      </c>
      <c r="C1470" s="9" t="s">
        <v>10</v>
      </c>
      <c r="D1470" s="9" t="s">
        <v>11</v>
      </c>
      <c r="E1470" s="9">
        <v>102</v>
      </c>
      <c r="F1470" s="9">
        <v>5.2</v>
      </c>
      <c r="G1470" s="9">
        <v>34000000</v>
      </c>
      <c r="H1470" s="9">
        <v>11227940</v>
      </c>
      <c r="I1470" s="5">
        <f>IMDB_Movies!$H1470-IMDB_Movies!$G1470</f>
        <v>-22772060</v>
      </c>
    </row>
    <row r="1471" spans="1:9" ht="23">
      <c r="A1471" s="3" t="s">
        <v>2154</v>
      </c>
      <c r="B1471" s="10" t="s">
        <v>478</v>
      </c>
      <c r="C1471" s="10" t="s">
        <v>10</v>
      </c>
      <c r="D1471" s="10" t="s">
        <v>11</v>
      </c>
      <c r="E1471" s="10">
        <v>96</v>
      </c>
      <c r="F1471" s="10">
        <v>5.5</v>
      </c>
      <c r="G1471" s="10">
        <v>35000000</v>
      </c>
      <c r="H1471" s="10">
        <v>183125</v>
      </c>
      <c r="I1471" s="5">
        <f>IMDB_Movies!$H1471-IMDB_Movies!$G1471</f>
        <v>-34816875</v>
      </c>
    </row>
    <row r="1472" spans="1:9" ht="23">
      <c r="A1472" s="2" t="s">
        <v>2155</v>
      </c>
      <c r="B1472" s="9" t="s">
        <v>2156</v>
      </c>
      <c r="C1472" s="9" t="s">
        <v>24</v>
      </c>
      <c r="D1472" s="9" t="s">
        <v>179</v>
      </c>
      <c r="E1472" s="9">
        <v>101</v>
      </c>
      <c r="F1472" s="9">
        <v>7.7</v>
      </c>
      <c r="G1472" s="9">
        <v>34000000</v>
      </c>
      <c r="H1472" s="9">
        <v>15081783</v>
      </c>
      <c r="I1472" s="5">
        <f>IMDB_Movies!$H1472-IMDB_Movies!$G1472</f>
        <v>-18918217</v>
      </c>
    </row>
    <row r="1473" spans="1:9" ht="23">
      <c r="A1473" s="3" t="s">
        <v>2157</v>
      </c>
      <c r="B1473" s="10" t="s">
        <v>2158</v>
      </c>
      <c r="C1473" s="10" t="s">
        <v>56</v>
      </c>
      <c r="D1473" s="10" t="s">
        <v>11</v>
      </c>
      <c r="E1473" s="10">
        <v>128</v>
      </c>
      <c r="F1473" s="10">
        <v>7.1</v>
      </c>
      <c r="G1473" s="10">
        <v>34000000</v>
      </c>
      <c r="H1473" s="10">
        <v>37432299</v>
      </c>
      <c r="I1473" s="5">
        <f>IMDB_Movies!$H1473-IMDB_Movies!$G1473</f>
        <v>3432299</v>
      </c>
    </row>
    <row r="1474" spans="1:9" ht="23">
      <c r="A1474" s="2" t="s">
        <v>2159</v>
      </c>
      <c r="B1474" s="9" t="s">
        <v>2160</v>
      </c>
      <c r="C1474" s="9" t="s">
        <v>56</v>
      </c>
      <c r="D1474" s="9" t="s">
        <v>11</v>
      </c>
      <c r="E1474" s="9">
        <v>109</v>
      </c>
      <c r="F1474" s="9">
        <v>5.3</v>
      </c>
      <c r="G1474" s="9">
        <v>34000000</v>
      </c>
      <c r="H1474" s="9">
        <v>10654581</v>
      </c>
      <c r="I1474" s="5">
        <f>IMDB_Movies!$H1474-IMDB_Movies!$G1474</f>
        <v>-23345419</v>
      </c>
    </row>
    <row r="1475" spans="1:9" ht="23">
      <c r="A1475" s="3" t="s">
        <v>2161</v>
      </c>
      <c r="B1475" s="10" t="s">
        <v>2162</v>
      </c>
      <c r="C1475" s="10" t="s">
        <v>24</v>
      </c>
      <c r="D1475" s="10" t="s">
        <v>11</v>
      </c>
      <c r="E1475" s="10">
        <v>114</v>
      </c>
      <c r="F1475" s="10">
        <v>5.6</v>
      </c>
      <c r="G1475" s="10">
        <v>34000000</v>
      </c>
      <c r="H1475" s="10">
        <v>6543194</v>
      </c>
      <c r="I1475" s="5">
        <f>IMDB_Movies!$H1475-IMDB_Movies!$G1475</f>
        <v>-27456806</v>
      </c>
    </row>
    <row r="1476" spans="1:9" ht="23">
      <c r="A1476" s="2" t="s">
        <v>2163</v>
      </c>
      <c r="B1476" s="9" t="s">
        <v>1251</v>
      </c>
      <c r="C1476" s="9" t="s">
        <v>138</v>
      </c>
      <c r="D1476" s="9" t="s">
        <v>11</v>
      </c>
      <c r="E1476" s="9">
        <v>105</v>
      </c>
      <c r="F1476" s="9">
        <v>5.7</v>
      </c>
      <c r="G1476" s="9">
        <v>35000000</v>
      </c>
      <c r="H1476" s="9">
        <v>13101142</v>
      </c>
      <c r="I1476" s="5">
        <f>IMDB_Movies!$H1476-IMDB_Movies!$G1476</f>
        <v>-21898858</v>
      </c>
    </row>
    <row r="1477" spans="1:9" ht="23">
      <c r="A1477" s="3" t="s">
        <v>2164</v>
      </c>
      <c r="B1477" s="10" t="s">
        <v>1834</v>
      </c>
      <c r="C1477" s="10" t="s">
        <v>418</v>
      </c>
      <c r="D1477" s="10" t="s">
        <v>11</v>
      </c>
      <c r="E1477" s="10">
        <v>141</v>
      </c>
      <c r="F1477" s="10">
        <v>7.1</v>
      </c>
      <c r="G1477" s="10">
        <v>35000000</v>
      </c>
      <c r="H1477" s="10">
        <v>8324748</v>
      </c>
      <c r="I1477" s="5">
        <f>IMDB_Movies!$H1477-IMDB_Movies!$G1477</f>
        <v>-26675252</v>
      </c>
    </row>
    <row r="1478" spans="1:9" ht="23">
      <c r="A1478" s="2" t="s">
        <v>2165</v>
      </c>
      <c r="B1478" s="9" t="s">
        <v>1536</v>
      </c>
      <c r="C1478" s="9" t="s">
        <v>418</v>
      </c>
      <c r="D1478" s="9" t="s">
        <v>11</v>
      </c>
      <c r="E1478" s="9">
        <v>195</v>
      </c>
      <c r="F1478" s="9">
        <v>7.5</v>
      </c>
      <c r="G1478" s="9">
        <v>35000000</v>
      </c>
      <c r="H1478" s="9">
        <v>25078937</v>
      </c>
      <c r="I1478" s="5">
        <f>IMDB_Movies!$H1478-IMDB_Movies!$G1478</f>
        <v>-9921063</v>
      </c>
    </row>
    <row r="1479" spans="1:9" ht="23">
      <c r="A1479" s="3" t="s">
        <v>2166</v>
      </c>
      <c r="B1479" s="10" t="s">
        <v>1044</v>
      </c>
      <c r="C1479" s="10" t="s">
        <v>56</v>
      </c>
      <c r="D1479" s="10" t="s">
        <v>11</v>
      </c>
      <c r="E1479" s="10">
        <v>138</v>
      </c>
      <c r="F1479" s="10">
        <v>7.6</v>
      </c>
      <c r="G1479" s="10">
        <v>40000000</v>
      </c>
      <c r="H1479" s="10">
        <v>141340178</v>
      </c>
      <c r="I1479" s="5">
        <f>IMDB_Movies!$H1479-IMDB_Movies!$G1479</f>
        <v>101340178</v>
      </c>
    </row>
    <row r="1480" spans="1:9" ht="23">
      <c r="A1480" s="2" t="s">
        <v>2167</v>
      </c>
      <c r="B1480" s="9" t="s">
        <v>919</v>
      </c>
      <c r="C1480" s="9" t="s">
        <v>10</v>
      </c>
      <c r="D1480" s="9" t="s">
        <v>11</v>
      </c>
      <c r="E1480" s="9">
        <v>101</v>
      </c>
      <c r="F1480" s="9">
        <v>5.5</v>
      </c>
      <c r="G1480" s="9">
        <v>33000000</v>
      </c>
      <c r="H1480" s="9">
        <v>51758599</v>
      </c>
      <c r="I1480" s="5">
        <f>IMDB_Movies!$H1480-IMDB_Movies!$G1480</f>
        <v>18758599</v>
      </c>
    </row>
    <row r="1481" spans="1:9" ht="23">
      <c r="A1481" s="3" t="s">
        <v>2168</v>
      </c>
      <c r="B1481" s="10" t="s">
        <v>425</v>
      </c>
      <c r="C1481" s="10" t="s">
        <v>10</v>
      </c>
      <c r="D1481" s="10" t="s">
        <v>11</v>
      </c>
      <c r="E1481" s="10">
        <v>99</v>
      </c>
      <c r="F1481" s="10">
        <v>5.0999999999999996</v>
      </c>
      <c r="G1481" s="10">
        <v>30000000</v>
      </c>
      <c r="H1481" s="10">
        <v>117559438</v>
      </c>
      <c r="I1481" s="5">
        <f>IMDB_Movies!$H1481-IMDB_Movies!$G1481</f>
        <v>87559438</v>
      </c>
    </row>
    <row r="1482" spans="1:9" ht="23">
      <c r="A1482" s="2" t="s">
        <v>2169</v>
      </c>
      <c r="B1482" s="9" t="s">
        <v>2170</v>
      </c>
      <c r="C1482" s="9" t="s">
        <v>24</v>
      </c>
      <c r="D1482" s="9" t="s">
        <v>11</v>
      </c>
      <c r="E1482" s="9">
        <v>85</v>
      </c>
      <c r="F1482" s="9">
        <v>6.3</v>
      </c>
      <c r="G1482" s="9">
        <v>34000000</v>
      </c>
      <c r="H1482" s="9">
        <v>4091</v>
      </c>
      <c r="I1482" s="5">
        <f>IMDB_Movies!$H1482-IMDB_Movies!$G1482</f>
        <v>-33995909</v>
      </c>
    </row>
    <row r="1483" spans="1:9" ht="23">
      <c r="A1483" s="3" t="s">
        <v>2171</v>
      </c>
      <c r="B1483" s="10" t="s">
        <v>2172</v>
      </c>
      <c r="C1483" s="10" t="s">
        <v>10</v>
      </c>
      <c r="D1483" s="10" t="s">
        <v>11</v>
      </c>
      <c r="E1483" s="10">
        <v>89</v>
      </c>
      <c r="F1483" s="10">
        <v>4.9000000000000004</v>
      </c>
      <c r="G1483" s="10">
        <v>30000000</v>
      </c>
      <c r="H1483" s="10">
        <v>21426805</v>
      </c>
      <c r="I1483" s="5">
        <f>IMDB_Movies!$H1483-IMDB_Movies!$G1483</f>
        <v>-8573195</v>
      </c>
    </row>
    <row r="1484" spans="1:9" ht="23">
      <c r="A1484" s="2" t="s">
        <v>2173</v>
      </c>
      <c r="B1484" s="9" t="s">
        <v>2174</v>
      </c>
      <c r="C1484" s="9" t="s">
        <v>56</v>
      </c>
      <c r="D1484" s="9" t="s">
        <v>11</v>
      </c>
      <c r="E1484" s="9">
        <v>99</v>
      </c>
      <c r="F1484" s="9">
        <v>6.5</v>
      </c>
      <c r="G1484" s="9">
        <v>33000000</v>
      </c>
      <c r="H1484" s="9">
        <v>35057332</v>
      </c>
      <c r="I1484" s="5">
        <f>IMDB_Movies!$H1484-IMDB_Movies!$G1484</f>
        <v>2057332</v>
      </c>
    </row>
    <row r="1485" spans="1:9" ht="23">
      <c r="A1485" s="3" t="s">
        <v>2175</v>
      </c>
      <c r="B1485" s="10" t="s">
        <v>1607</v>
      </c>
      <c r="C1485" s="10" t="s">
        <v>10</v>
      </c>
      <c r="D1485" s="10" t="s">
        <v>11</v>
      </c>
      <c r="E1485" s="10">
        <v>105</v>
      </c>
      <c r="F1485" s="10">
        <v>5.6</v>
      </c>
      <c r="G1485" s="10">
        <v>33000000</v>
      </c>
      <c r="H1485" s="10">
        <v>34014398</v>
      </c>
      <c r="I1485" s="5">
        <f>IMDB_Movies!$H1485-IMDB_Movies!$G1485</f>
        <v>1014398</v>
      </c>
    </row>
    <row r="1486" spans="1:9" ht="23">
      <c r="A1486" s="2" t="s">
        <v>2176</v>
      </c>
      <c r="B1486" s="9" t="s">
        <v>2177</v>
      </c>
      <c r="C1486" s="9" t="s">
        <v>414</v>
      </c>
      <c r="D1486" s="9" t="s">
        <v>11</v>
      </c>
      <c r="E1486" s="9">
        <v>97</v>
      </c>
      <c r="F1486" s="9">
        <v>5.3</v>
      </c>
      <c r="G1486" s="9">
        <v>33000000</v>
      </c>
      <c r="H1486" s="9">
        <v>28927720</v>
      </c>
      <c r="I1486" s="5">
        <f>IMDB_Movies!$H1486-IMDB_Movies!$G1486</f>
        <v>-4072280</v>
      </c>
    </row>
    <row r="1487" spans="1:9" ht="23">
      <c r="A1487" s="3" t="s">
        <v>2178</v>
      </c>
      <c r="B1487" s="10" t="s">
        <v>2179</v>
      </c>
      <c r="C1487" s="10" t="s">
        <v>10</v>
      </c>
      <c r="D1487" s="10" t="s">
        <v>11</v>
      </c>
      <c r="E1487" s="10">
        <v>140</v>
      </c>
      <c r="F1487" s="10">
        <v>6.5</v>
      </c>
      <c r="G1487" s="10">
        <v>33000000</v>
      </c>
      <c r="H1487" s="10">
        <v>33682273</v>
      </c>
      <c r="I1487" s="5">
        <f>IMDB_Movies!$H1487-IMDB_Movies!$G1487</f>
        <v>682273</v>
      </c>
    </row>
    <row r="1488" spans="1:9" ht="23">
      <c r="A1488" s="2" t="s">
        <v>2180</v>
      </c>
      <c r="B1488" s="9" t="s">
        <v>2181</v>
      </c>
      <c r="C1488" s="9" t="s">
        <v>56</v>
      </c>
      <c r="D1488" s="9" t="s">
        <v>11</v>
      </c>
      <c r="E1488" s="9">
        <v>118</v>
      </c>
      <c r="F1488" s="9">
        <v>6.8</v>
      </c>
      <c r="G1488" s="9">
        <v>10000000</v>
      </c>
      <c r="H1488" s="9">
        <v>4280577</v>
      </c>
      <c r="I1488" s="5">
        <f>IMDB_Movies!$H1488-IMDB_Movies!$G1488</f>
        <v>-5719423</v>
      </c>
    </row>
    <row r="1489" spans="1:9" ht="23">
      <c r="A1489" s="3" t="s">
        <v>2182</v>
      </c>
      <c r="B1489" s="10" t="s">
        <v>2183</v>
      </c>
      <c r="C1489" s="10" t="s">
        <v>10</v>
      </c>
      <c r="D1489" s="10" t="s">
        <v>11</v>
      </c>
      <c r="E1489" s="10">
        <v>94</v>
      </c>
      <c r="F1489" s="10">
        <v>6.5</v>
      </c>
      <c r="G1489" s="10">
        <v>30000000</v>
      </c>
      <c r="H1489" s="10">
        <v>17120019</v>
      </c>
      <c r="I1489" s="5">
        <f>IMDB_Movies!$H1489-IMDB_Movies!$G1489</f>
        <v>-12879981</v>
      </c>
    </row>
    <row r="1490" spans="1:9" ht="23">
      <c r="A1490" s="2" t="s">
        <v>2184</v>
      </c>
      <c r="B1490" s="9" t="s">
        <v>98</v>
      </c>
      <c r="C1490" s="9" t="s">
        <v>138</v>
      </c>
      <c r="D1490" s="9" t="s">
        <v>11</v>
      </c>
      <c r="E1490" s="9">
        <v>124</v>
      </c>
      <c r="F1490" s="9">
        <v>6</v>
      </c>
      <c r="G1490" s="9">
        <v>38000000</v>
      </c>
      <c r="H1490" s="9">
        <v>8406264</v>
      </c>
      <c r="I1490" s="5">
        <f>IMDB_Movies!$H1490-IMDB_Movies!$G1490</f>
        <v>-29593736</v>
      </c>
    </row>
    <row r="1491" spans="1:9" ht="23">
      <c r="A1491" s="3" t="s">
        <v>2185</v>
      </c>
      <c r="B1491" s="10" t="s">
        <v>2186</v>
      </c>
      <c r="C1491" s="10" t="s">
        <v>10</v>
      </c>
      <c r="D1491" s="10" t="s">
        <v>11</v>
      </c>
      <c r="E1491" s="10">
        <v>134</v>
      </c>
      <c r="F1491" s="10">
        <v>8.4</v>
      </c>
      <c r="G1491" s="10">
        <v>32500000</v>
      </c>
      <c r="H1491" s="10">
        <v>309125409</v>
      </c>
      <c r="I1491" s="5">
        <f>IMDB_Movies!$H1491-IMDB_Movies!$G1491</f>
        <v>276625409</v>
      </c>
    </row>
    <row r="1492" spans="1:9" ht="23">
      <c r="A1492" s="2" t="s">
        <v>2187</v>
      </c>
      <c r="B1492" s="9" t="s">
        <v>2188</v>
      </c>
      <c r="C1492" s="9" t="s">
        <v>10</v>
      </c>
      <c r="D1492" s="9" t="s">
        <v>11</v>
      </c>
      <c r="E1492" s="9">
        <v>113</v>
      </c>
      <c r="F1492" s="9">
        <v>6</v>
      </c>
      <c r="G1492" s="9">
        <v>30000000</v>
      </c>
      <c r="H1492" s="9">
        <v>10955425</v>
      </c>
      <c r="I1492" s="5">
        <f>IMDB_Movies!$H1492-IMDB_Movies!$G1492</f>
        <v>-19044575</v>
      </c>
    </row>
    <row r="1493" spans="1:9" ht="23">
      <c r="A1493" s="3" t="s">
        <v>2189</v>
      </c>
      <c r="B1493" s="10" t="s">
        <v>1823</v>
      </c>
      <c r="C1493" s="10" t="s">
        <v>56</v>
      </c>
      <c r="D1493" s="10" t="s">
        <v>11</v>
      </c>
      <c r="E1493" s="10">
        <v>124</v>
      </c>
      <c r="F1493" s="10">
        <v>7.6</v>
      </c>
      <c r="G1493" s="10">
        <v>32000000</v>
      </c>
      <c r="H1493" s="10">
        <v>34180954</v>
      </c>
      <c r="I1493" s="5">
        <f>IMDB_Movies!$H1493-IMDB_Movies!$G1493</f>
        <v>2180954</v>
      </c>
    </row>
    <row r="1494" spans="1:9" ht="23">
      <c r="A1494" s="2" t="s">
        <v>2190</v>
      </c>
      <c r="B1494" s="9" t="s">
        <v>2191</v>
      </c>
      <c r="C1494" s="9" t="s">
        <v>138</v>
      </c>
      <c r="D1494" s="9" t="s">
        <v>11</v>
      </c>
      <c r="E1494" s="9">
        <v>98</v>
      </c>
      <c r="F1494" s="9">
        <v>5.6</v>
      </c>
      <c r="G1494" s="9">
        <v>20000000</v>
      </c>
      <c r="H1494" s="9">
        <v>17225675</v>
      </c>
      <c r="I1494" s="5">
        <f>IMDB_Movies!$H1494-IMDB_Movies!$G1494</f>
        <v>-2774325</v>
      </c>
    </row>
    <row r="1495" spans="1:9" ht="23">
      <c r="A1495" s="3" t="s">
        <v>2192</v>
      </c>
      <c r="B1495" s="10" t="s">
        <v>128</v>
      </c>
      <c r="C1495" s="10" t="s">
        <v>138</v>
      </c>
      <c r="D1495" s="10" t="s">
        <v>11</v>
      </c>
      <c r="E1495" s="10">
        <v>97</v>
      </c>
      <c r="F1495" s="10">
        <v>6.9</v>
      </c>
      <c r="G1495" s="10">
        <v>33000000</v>
      </c>
      <c r="H1495" s="10">
        <v>173381405</v>
      </c>
      <c r="I1495" s="5">
        <f>IMDB_Movies!$H1495-IMDB_Movies!$G1495</f>
        <v>140381405</v>
      </c>
    </row>
    <row r="1496" spans="1:9" ht="23">
      <c r="A1496" s="2" t="s">
        <v>2193</v>
      </c>
      <c r="B1496" s="9" t="s">
        <v>189</v>
      </c>
      <c r="C1496" s="9" t="s">
        <v>56</v>
      </c>
      <c r="D1496" s="9" t="s">
        <v>11</v>
      </c>
      <c r="E1496" s="9">
        <v>123</v>
      </c>
      <c r="F1496" s="9">
        <v>6.4</v>
      </c>
      <c r="G1496" s="9">
        <v>32000000</v>
      </c>
      <c r="H1496" s="9">
        <v>104632573</v>
      </c>
      <c r="I1496" s="5">
        <f>IMDB_Movies!$H1496-IMDB_Movies!$G1496</f>
        <v>72632573</v>
      </c>
    </row>
    <row r="1497" spans="1:9" ht="23">
      <c r="A1497" s="3" t="s">
        <v>2194</v>
      </c>
      <c r="B1497" s="10" t="s">
        <v>1106</v>
      </c>
      <c r="C1497" s="10" t="s">
        <v>24</v>
      </c>
      <c r="D1497" s="10" t="s">
        <v>11</v>
      </c>
      <c r="E1497" s="10">
        <v>99</v>
      </c>
      <c r="F1497" s="10">
        <v>5.0999999999999996</v>
      </c>
      <c r="G1497" s="10">
        <v>35000000</v>
      </c>
      <c r="H1497" s="10">
        <v>81150692</v>
      </c>
      <c r="I1497" s="5">
        <f>IMDB_Movies!$H1497-IMDB_Movies!$G1497</f>
        <v>46150692</v>
      </c>
    </row>
    <row r="1498" spans="1:9" ht="23">
      <c r="A1498" s="2" t="s">
        <v>2195</v>
      </c>
      <c r="B1498" s="9" t="s">
        <v>285</v>
      </c>
      <c r="C1498" s="9" t="s">
        <v>138</v>
      </c>
      <c r="D1498" s="9" t="s">
        <v>11</v>
      </c>
      <c r="E1498" s="9">
        <v>101</v>
      </c>
      <c r="F1498" s="9">
        <v>7</v>
      </c>
      <c r="G1498" s="9">
        <v>32000000</v>
      </c>
      <c r="H1498" s="9">
        <v>60328558</v>
      </c>
      <c r="I1498" s="5">
        <f>IMDB_Movies!$H1498-IMDB_Movies!$G1498</f>
        <v>28328558</v>
      </c>
    </row>
    <row r="1499" spans="1:9" ht="23">
      <c r="A1499" s="3" t="s">
        <v>2196</v>
      </c>
      <c r="B1499" s="10" t="s">
        <v>2197</v>
      </c>
      <c r="C1499" s="10" t="s">
        <v>138</v>
      </c>
      <c r="D1499" s="10" t="s">
        <v>11</v>
      </c>
      <c r="E1499" s="10">
        <v>92</v>
      </c>
      <c r="F1499" s="10">
        <v>5.7</v>
      </c>
      <c r="G1499" s="10">
        <v>32000000</v>
      </c>
      <c r="H1499" s="10">
        <v>80197993</v>
      </c>
      <c r="I1499" s="5">
        <f>IMDB_Movies!$H1499-IMDB_Movies!$G1499</f>
        <v>48197993</v>
      </c>
    </row>
    <row r="1500" spans="1:9" ht="23">
      <c r="A1500" s="2" t="s">
        <v>2198</v>
      </c>
      <c r="B1500" s="9" t="s">
        <v>263</v>
      </c>
      <c r="C1500" s="9" t="s">
        <v>138</v>
      </c>
      <c r="D1500" s="9" t="s">
        <v>11</v>
      </c>
      <c r="E1500" s="9">
        <v>131</v>
      </c>
      <c r="F1500" s="9">
        <v>6.8</v>
      </c>
      <c r="G1500" s="9">
        <v>32500000</v>
      </c>
      <c r="H1500" s="9">
        <v>169076745</v>
      </c>
      <c r="I1500" s="5">
        <f>IMDB_Movies!$H1500-IMDB_Movies!$G1500</f>
        <v>136576745</v>
      </c>
    </row>
    <row r="1501" spans="1:9" ht="23">
      <c r="A1501" s="3" t="s">
        <v>2199</v>
      </c>
      <c r="B1501" s="10" t="s">
        <v>1703</v>
      </c>
      <c r="C1501" s="10" t="s">
        <v>138</v>
      </c>
      <c r="D1501" s="10" t="s">
        <v>11</v>
      </c>
      <c r="E1501" s="10">
        <v>107</v>
      </c>
      <c r="F1501" s="10">
        <v>6.7</v>
      </c>
      <c r="G1501" s="10">
        <v>32000000</v>
      </c>
      <c r="H1501" s="10">
        <v>101470202</v>
      </c>
      <c r="I1501" s="5">
        <f>IMDB_Movies!$H1501-IMDB_Movies!$G1501</f>
        <v>69470202</v>
      </c>
    </row>
    <row r="1502" spans="1:9" ht="23">
      <c r="A1502" s="2" t="s">
        <v>2200</v>
      </c>
      <c r="B1502" s="9" t="s">
        <v>2201</v>
      </c>
      <c r="C1502" s="9" t="s">
        <v>810</v>
      </c>
      <c r="D1502" s="9" t="s">
        <v>11</v>
      </c>
      <c r="E1502" s="9">
        <v>103</v>
      </c>
      <c r="F1502" s="9">
        <v>6.2</v>
      </c>
      <c r="G1502" s="9">
        <v>29000000</v>
      </c>
      <c r="H1502" s="9">
        <v>50041732</v>
      </c>
      <c r="I1502" s="5">
        <f>IMDB_Movies!$H1502-IMDB_Movies!$G1502</f>
        <v>21041732</v>
      </c>
    </row>
    <row r="1503" spans="1:9" ht="23">
      <c r="A1503" s="3" t="s">
        <v>2202</v>
      </c>
      <c r="B1503" s="10" t="s">
        <v>2158</v>
      </c>
      <c r="C1503" s="10" t="s">
        <v>418</v>
      </c>
      <c r="D1503" s="10" t="s">
        <v>11</v>
      </c>
      <c r="E1503" s="10">
        <v>129</v>
      </c>
      <c r="F1503" s="10">
        <v>7.2</v>
      </c>
      <c r="G1503" s="10">
        <v>32000000</v>
      </c>
      <c r="H1503" s="10">
        <v>48814909</v>
      </c>
      <c r="I1503" s="5">
        <f>IMDB_Movies!$H1503-IMDB_Movies!$G1503</f>
        <v>16814909</v>
      </c>
    </row>
    <row r="1504" spans="1:9" ht="23">
      <c r="A1504" s="2" t="s">
        <v>2203</v>
      </c>
      <c r="B1504" s="9" t="s">
        <v>2204</v>
      </c>
      <c r="C1504" s="9" t="s">
        <v>10</v>
      </c>
      <c r="D1504" s="9" t="s">
        <v>11</v>
      </c>
      <c r="E1504" s="9">
        <v>107</v>
      </c>
      <c r="F1504" s="9">
        <v>6.2</v>
      </c>
      <c r="G1504" s="9">
        <v>20000000</v>
      </c>
      <c r="H1504" s="9">
        <v>57744720</v>
      </c>
      <c r="I1504" s="5">
        <f>IMDB_Movies!$H1504-IMDB_Movies!$G1504</f>
        <v>37744720</v>
      </c>
    </row>
    <row r="1505" spans="1:9" ht="23">
      <c r="A1505" s="3" t="s">
        <v>2205</v>
      </c>
      <c r="B1505" s="10" t="s">
        <v>2206</v>
      </c>
      <c r="C1505" s="10" t="s">
        <v>138</v>
      </c>
      <c r="D1505" s="10" t="s">
        <v>11</v>
      </c>
      <c r="E1505" s="10">
        <v>89</v>
      </c>
      <c r="F1505" s="10">
        <v>5.6</v>
      </c>
      <c r="G1505" s="10">
        <v>35000000</v>
      </c>
      <c r="H1505" s="10">
        <v>21784432</v>
      </c>
      <c r="I1505" s="5">
        <f>IMDB_Movies!$H1505-IMDB_Movies!$G1505</f>
        <v>-13215568</v>
      </c>
    </row>
    <row r="1506" spans="1:9" ht="23">
      <c r="A1506" s="2" t="s">
        <v>2207</v>
      </c>
      <c r="B1506" s="9" t="s">
        <v>1354</v>
      </c>
      <c r="C1506" s="9" t="s">
        <v>10</v>
      </c>
      <c r="D1506" s="9" t="s">
        <v>11</v>
      </c>
      <c r="E1506" s="9">
        <v>113</v>
      </c>
      <c r="F1506" s="9">
        <v>4.4000000000000004</v>
      </c>
      <c r="G1506" s="9">
        <v>32000000</v>
      </c>
      <c r="H1506" s="9">
        <v>37911876</v>
      </c>
      <c r="I1506" s="5">
        <f>IMDB_Movies!$H1506-IMDB_Movies!$G1506</f>
        <v>5911876</v>
      </c>
    </row>
    <row r="1507" spans="1:9" ht="23">
      <c r="A1507" s="3" t="s">
        <v>2208</v>
      </c>
      <c r="B1507" s="10" t="s">
        <v>197</v>
      </c>
      <c r="C1507" s="10" t="s">
        <v>228</v>
      </c>
      <c r="D1507" s="10" t="s">
        <v>11</v>
      </c>
      <c r="E1507" s="10">
        <v>93</v>
      </c>
      <c r="F1507" s="10">
        <v>7.5</v>
      </c>
      <c r="G1507" s="10">
        <v>32000000</v>
      </c>
      <c r="H1507" s="10">
        <v>54696902</v>
      </c>
      <c r="I1507" s="5">
        <f>IMDB_Movies!$H1507-IMDB_Movies!$G1507</f>
        <v>22696902</v>
      </c>
    </row>
    <row r="1508" spans="1:9" ht="23">
      <c r="A1508" s="2" t="s">
        <v>2209</v>
      </c>
      <c r="B1508" s="9" t="s">
        <v>1384</v>
      </c>
      <c r="C1508" s="9" t="s">
        <v>24</v>
      </c>
      <c r="D1508" s="9" t="s">
        <v>11</v>
      </c>
      <c r="E1508" s="9">
        <v>120</v>
      </c>
      <c r="F1508" s="9">
        <v>7.1</v>
      </c>
      <c r="G1508" s="9">
        <v>32000000</v>
      </c>
      <c r="H1508" s="9">
        <v>36733909</v>
      </c>
      <c r="I1508" s="5">
        <f>IMDB_Movies!$H1508-IMDB_Movies!$G1508</f>
        <v>4733909</v>
      </c>
    </row>
    <row r="1509" spans="1:9" ht="23">
      <c r="A1509" s="3" t="s">
        <v>2210</v>
      </c>
      <c r="B1509" s="10" t="s">
        <v>357</v>
      </c>
      <c r="C1509" s="10" t="s">
        <v>228</v>
      </c>
      <c r="D1509" s="10" t="s">
        <v>11</v>
      </c>
      <c r="E1509" s="10">
        <v>98</v>
      </c>
      <c r="F1509" s="10">
        <v>6.4</v>
      </c>
      <c r="G1509" s="10">
        <v>32000000</v>
      </c>
      <c r="H1509" s="10">
        <v>35063732</v>
      </c>
      <c r="I1509" s="5">
        <f>IMDB_Movies!$H1509-IMDB_Movies!$G1509</f>
        <v>3063732</v>
      </c>
    </row>
    <row r="1510" spans="1:9" ht="23">
      <c r="A1510" s="2" t="s">
        <v>2211</v>
      </c>
      <c r="B1510" s="9" t="s">
        <v>1128</v>
      </c>
      <c r="C1510" s="9" t="s">
        <v>10</v>
      </c>
      <c r="D1510" s="9" t="s">
        <v>11</v>
      </c>
      <c r="E1510" s="9">
        <v>105</v>
      </c>
      <c r="F1510" s="9">
        <v>7.1</v>
      </c>
      <c r="G1510" s="9">
        <v>33000000</v>
      </c>
      <c r="H1510" s="9">
        <v>99462</v>
      </c>
      <c r="I1510" s="5">
        <f>IMDB_Movies!$H1510-IMDB_Movies!$G1510</f>
        <v>-32900538</v>
      </c>
    </row>
    <row r="1511" spans="1:9" ht="23">
      <c r="A1511" s="3" t="s">
        <v>2212</v>
      </c>
      <c r="B1511" s="10" t="s">
        <v>103</v>
      </c>
      <c r="C1511" s="10" t="s">
        <v>10</v>
      </c>
      <c r="D1511" s="10" t="s">
        <v>11</v>
      </c>
      <c r="E1511" s="10">
        <v>142</v>
      </c>
      <c r="F1511" s="10">
        <v>5.9</v>
      </c>
      <c r="G1511" s="10">
        <v>35000000</v>
      </c>
      <c r="H1511" s="10">
        <v>25078937</v>
      </c>
      <c r="I1511" s="5">
        <f>IMDB_Movies!$H1511-IMDB_Movies!$G1511</f>
        <v>-9921063</v>
      </c>
    </row>
    <row r="1512" spans="1:9" ht="23">
      <c r="A1512" s="2" t="s">
        <v>2213</v>
      </c>
      <c r="B1512" s="9" t="s">
        <v>2214</v>
      </c>
      <c r="C1512" s="9" t="s">
        <v>56</v>
      </c>
      <c r="D1512" s="9" t="s">
        <v>11</v>
      </c>
      <c r="E1512" s="9">
        <v>98</v>
      </c>
      <c r="F1512" s="9">
        <v>6.9</v>
      </c>
      <c r="G1512" s="9">
        <v>32000000</v>
      </c>
      <c r="H1512" s="9">
        <v>32701088</v>
      </c>
      <c r="I1512" s="5">
        <f>IMDB_Movies!$H1512-IMDB_Movies!$G1512</f>
        <v>701088</v>
      </c>
    </row>
    <row r="1513" spans="1:9" ht="23">
      <c r="A1513" s="3" t="s">
        <v>2215</v>
      </c>
      <c r="B1513" s="10" t="s">
        <v>1479</v>
      </c>
      <c r="C1513" s="10" t="s">
        <v>414</v>
      </c>
      <c r="D1513" s="10" t="s">
        <v>11</v>
      </c>
      <c r="E1513" s="10">
        <v>96</v>
      </c>
      <c r="F1513" s="10">
        <v>7.5</v>
      </c>
      <c r="G1513" s="10">
        <v>32000000</v>
      </c>
      <c r="H1513" s="10">
        <v>31493782</v>
      </c>
      <c r="I1513" s="5">
        <f>IMDB_Movies!$H1513-IMDB_Movies!$G1513</f>
        <v>-506218</v>
      </c>
    </row>
    <row r="1514" spans="1:9" ht="23">
      <c r="A1514" s="2" t="s">
        <v>2216</v>
      </c>
      <c r="B1514" s="9" t="s">
        <v>302</v>
      </c>
      <c r="C1514" s="9" t="s">
        <v>10</v>
      </c>
      <c r="D1514" s="9" t="s">
        <v>11</v>
      </c>
      <c r="E1514" s="9">
        <v>87</v>
      </c>
      <c r="F1514" s="9">
        <v>6.3</v>
      </c>
      <c r="G1514" s="9">
        <v>32000000</v>
      </c>
      <c r="H1514" s="9">
        <v>43095600</v>
      </c>
      <c r="I1514" s="5">
        <f>IMDB_Movies!$H1514-IMDB_Movies!$G1514</f>
        <v>11095600</v>
      </c>
    </row>
    <row r="1515" spans="1:9" ht="23">
      <c r="A1515" s="3" t="s">
        <v>2217</v>
      </c>
      <c r="B1515" s="10" t="s">
        <v>21</v>
      </c>
      <c r="C1515" s="10" t="s">
        <v>10</v>
      </c>
      <c r="D1515" s="10" t="s">
        <v>11</v>
      </c>
      <c r="E1515" s="10">
        <v>107</v>
      </c>
      <c r="F1515" s="10">
        <v>6.4</v>
      </c>
      <c r="G1515" s="10">
        <v>32000000</v>
      </c>
      <c r="H1515" s="10">
        <v>18636537</v>
      </c>
      <c r="I1515" s="5">
        <f>IMDB_Movies!$H1515-IMDB_Movies!$G1515</f>
        <v>-13363463</v>
      </c>
    </row>
    <row r="1516" spans="1:9" ht="23">
      <c r="A1516" s="2" t="s">
        <v>2218</v>
      </c>
      <c r="B1516" s="9" t="s">
        <v>1609</v>
      </c>
      <c r="C1516" s="9" t="s">
        <v>138</v>
      </c>
      <c r="D1516" s="9" t="s">
        <v>11</v>
      </c>
      <c r="E1516" s="9">
        <v>90</v>
      </c>
      <c r="F1516" s="9">
        <v>5.9</v>
      </c>
      <c r="G1516" s="9">
        <v>28000000</v>
      </c>
      <c r="H1516" s="9">
        <v>17848322</v>
      </c>
      <c r="I1516" s="5">
        <f>IMDB_Movies!$H1516-IMDB_Movies!$G1516</f>
        <v>-10151678</v>
      </c>
    </row>
    <row r="1517" spans="1:9" ht="23">
      <c r="A1517" s="3" t="s">
        <v>2219</v>
      </c>
      <c r="B1517" s="10" t="s">
        <v>130</v>
      </c>
      <c r="C1517" s="10" t="s">
        <v>56</v>
      </c>
      <c r="D1517" s="10" t="s">
        <v>11</v>
      </c>
      <c r="E1517" s="10">
        <v>121</v>
      </c>
      <c r="F1517" s="10">
        <v>6.8</v>
      </c>
      <c r="G1517" s="10">
        <v>55000000</v>
      </c>
      <c r="H1517" s="10">
        <v>16640210</v>
      </c>
      <c r="I1517" s="5">
        <f>IMDB_Movies!$H1517-IMDB_Movies!$G1517</f>
        <v>-38359790</v>
      </c>
    </row>
    <row r="1518" spans="1:9" ht="23">
      <c r="A1518" s="2" t="s">
        <v>2220</v>
      </c>
      <c r="B1518" s="9" t="s">
        <v>2221</v>
      </c>
      <c r="C1518" s="9" t="s">
        <v>10</v>
      </c>
      <c r="D1518" s="9" t="s">
        <v>11</v>
      </c>
      <c r="E1518" s="9">
        <v>119</v>
      </c>
      <c r="F1518" s="9">
        <v>6.3</v>
      </c>
      <c r="G1518" s="9">
        <v>32000000</v>
      </c>
      <c r="H1518" s="9">
        <v>13763130</v>
      </c>
      <c r="I1518" s="5">
        <f>IMDB_Movies!$H1518-IMDB_Movies!$G1518</f>
        <v>-18236870</v>
      </c>
    </row>
    <row r="1519" spans="1:9" ht="23">
      <c r="A1519" s="3" t="s">
        <v>2222</v>
      </c>
      <c r="B1519" s="10" t="s">
        <v>2223</v>
      </c>
      <c r="C1519" s="10" t="s">
        <v>10</v>
      </c>
      <c r="D1519" s="10" t="s">
        <v>11</v>
      </c>
      <c r="E1519" s="10">
        <v>107</v>
      </c>
      <c r="F1519" s="10">
        <v>3.6</v>
      </c>
      <c r="G1519" s="10">
        <v>35000000</v>
      </c>
      <c r="H1519" s="10">
        <v>10956379</v>
      </c>
      <c r="I1519" s="5">
        <f>IMDB_Movies!$H1519-IMDB_Movies!$G1519</f>
        <v>-24043621</v>
      </c>
    </row>
    <row r="1520" spans="1:9" ht="23">
      <c r="A1520" s="2" t="s">
        <v>2224</v>
      </c>
      <c r="B1520" s="9" t="s">
        <v>1933</v>
      </c>
      <c r="C1520" s="9" t="s">
        <v>138</v>
      </c>
      <c r="D1520" s="9" t="s">
        <v>11</v>
      </c>
      <c r="E1520" s="9">
        <v>110</v>
      </c>
      <c r="F1520" s="9">
        <v>5.3</v>
      </c>
      <c r="G1520" s="9">
        <v>30000000</v>
      </c>
      <c r="H1520" s="9">
        <v>4357000</v>
      </c>
      <c r="I1520" s="5">
        <f>IMDB_Movies!$H1520-IMDB_Movies!$G1520</f>
        <v>-25643000</v>
      </c>
    </row>
    <row r="1521" spans="1:9" ht="23">
      <c r="A1521" s="3" t="s">
        <v>2225</v>
      </c>
      <c r="B1521" s="10" t="s">
        <v>2226</v>
      </c>
      <c r="C1521" s="10" t="s">
        <v>138</v>
      </c>
      <c r="D1521" s="10" t="s">
        <v>11</v>
      </c>
      <c r="E1521" s="10">
        <v>100</v>
      </c>
      <c r="F1521" s="10">
        <v>5.9</v>
      </c>
      <c r="G1521" s="10">
        <v>30000000</v>
      </c>
      <c r="H1521" s="10">
        <v>22525921</v>
      </c>
      <c r="I1521" s="5">
        <f>IMDB_Movies!$H1521-IMDB_Movies!$G1521</f>
        <v>-7474079</v>
      </c>
    </row>
    <row r="1522" spans="1:9" ht="23">
      <c r="A1522" s="2" t="s">
        <v>2227</v>
      </c>
      <c r="B1522" s="9" t="s">
        <v>476</v>
      </c>
      <c r="C1522" s="9" t="s">
        <v>116</v>
      </c>
      <c r="D1522" s="9" t="s">
        <v>11</v>
      </c>
      <c r="E1522" s="9">
        <v>75</v>
      </c>
      <c r="F1522" s="9">
        <v>6.9</v>
      </c>
      <c r="G1522" s="9">
        <v>32000000</v>
      </c>
      <c r="H1522" s="9">
        <v>3562749</v>
      </c>
      <c r="I1522" s="5">
        <f>IMDB_Movies!$H1522-IMDB_Movies!$G1522</f>
        <v>-28437251</v>
      </c>
    </row>
    <row r="1523" spans="1:9" ht="23">
      <c r="A1523" s="3" t="s">
        <v>2228</v>
      </c>
      <c r="B1523" s="10" t="s">
        <v>2229</v>
      </c>
      <c r="C1523" s="10" t="s">
        <v>56</v>
      </c>
      <c r="D1523" s="10" t="s">
        <v>11</v>
      </c>
      <c r="E1523" s="10">
        <v>132</v>
      </c>
      <c r="F1523" s="10">
        <v>6.9</v>
      </c>
      <c r="G1523" s="10">
        <v>32000000</v>
      </c>
      <c r="H1523" s="10">
        <v>2899970</v>
      </c>
      <c r="I1523" s="5">
        <f>IMDB_Movies!$H1523-IMDB_Movies!$G1523</f>
        <v>-29100030</v>
      </c>
    </row>
    <row r="1524" spans="1:9" ht="23">
      <c r="A1524" s="2" t="s">
        <v>2230</v>
      </c>
      <c r="B1524" s="9" t="s">
        <v>413</v>
      </c>
      <c r="C1524" s="9" t="s">
        <v>56</v>
      </c>
      <c r="D1524" s="9" t="s">
        <v>11</v>
      </c>
      <c r="E1524" s="9">
        <v>105</v>
      </c>
      <c r="F1524" s="9">
        <v>6.1</v>
      </c>
      <c r="G1524" s="9">
        <v>32000000</v>
      </c>
      <c r="H1524" s="9">
        <v>1304837</v>
      </c>
      <c r="I1524" s="5">
        <f>IMDB_Movies!$H1524-IMDB_Movies!$G1524</f>
        <v>-30695163</v>
      </c>
    </row>
    <row r="1525" spans="1:9" ht="23">
      <c r="A1525" s="3" t="s">
        <v>2231</v>
      </c>
      <c r="B1525" s="10" t="s">
        <v>2232</v>
      </c>
      <c r="C1525" s="10" t="s">
        <v>10</v>
      </c>
      <c r="D1525" s="10" t="s">
        <v>11</v>
      </c>
      <c r="E1525" s="10">
        <v>93</v>
      </c>
      <c r="F1525" s="10">
        <v>5.7</v>
      </c>
      <c r="G1525" s="10">
        <v>32000000</v>
      </c>
      <c r="H1525" s="10">
        <v>25078937</v>
      </c>
      <c r="I1525" s="5">
        <f>IMDB_Movies!$H1525-IMDB_Movies!$G1525</f>
        <v>-6921063</v>
      </c>
    </row>
    <row r="1526" spans="1:9" ht="23">
      <c r="A1526" s="2" t="s">
        <v>2233</v>
      </c>
      <c r="B1526" s="9" t="s">
        <v>1311</v>
      </c>
      <c r="C1526" s="9" t="s">
        <v>56</v>
      </c>
      <c r="D1526" s="9" t="s">
        <v>11</v>
      </c>
      <c r="E1526" s="9">
        <v>289</v>
      </c>
      <c r="F1526" s="9">
        <v>8.5</v>
      </c>
      <c r="G1526" s="9">
        <v>31500000</v>
      </c>
      <c r="H1526" s="9">
        <v>78800000</v>
      </c>
      <c r="I1526" s="5">
        <f>IMDB_Movies!$H1526-IMDB_Movies!$G1526</f>
        <v>47300000</v>
      </c>
    </row>
    <row r="1527" spans="1:9" ht="23">
      <c r="A1527" s="3" t="s">
        <v>2234</v>
      </c>
      <c r="B1527" s="10" t="s">
        <v>2235</v>
      </c>
      <c r="C1527" s="10" t="s">
        <v>138</v>
      </c>
      <c r="D1527" s="10" t="s">
        <v>11</v>
      </c>
      <c r="E1527" s="10">
        <v>102</v>
      </c>
      <c r="F1527" s="10">
        <v>6.3</v>
      </c>
      <c r="G1527" s="10">
        <v>32000000</v>
      </c>
      <c r="H1527" s="10">
        <v>17797316</v>
      </c>
      <c r="I1527" s="5">
        <f>IMDB_Movies!$H1527-IMDB_Movies!$G1527</f>
        <v>-14202684</v>
      </c>
    </row>
    <row r="1528" spans="1:9" ht="23">
      <c r="A1528" s="2" t="s">
        <v>2236</v>
      </c>
      <c r="B1528" s="9" t="s">
        <v>1205</v>
      </c>
      <c r="C1528" s="9" t="s">
        <v>56</v>
      </c>
      <c r="D1528" s="9" t="s">
        <v>11</v>
      </c>
      <c r="E1528" s="9">
        <v>143</v>
      </c>
      <c r="F1528" s="9">
        <v>7.3</v>
      </c>
      <c r="G1528" s="9">
        <v>6500000</v>
      </c>
      <c r="H1528" s="9">
        <v>82528097</v>
      </c>
      <c r="I1528" s="5">
        <f>IMDB_Movies!$H1528-IMDB_Movies!$G1528</f>
        <v>76028097</v>
      </c>
    </row>
    <row r="1529" spans="1:9" ht="23">
      <c r="A1529" s="3" t="s">
        <v>2237</v>
      </c>
      <c r="B1529" s="10" t="s">
        <v>2238</v>
      </c>
      <c r="C1529" s="10" t="s">
        <v>10</v>
      </c>
      <c r="D1529" s="10" t="s">
        <v>11</v>
      </c>
      <c r="E1529" s="10">
        <v>113</v>
      </c>
      <c r="F1529" s="10">
        <v>6.3</v>
      </c>
      <c r="G1529" s="10">
        <v>31500000</v>
      </c>
      <c r="H1529" s="10">
        <v>14268533</v>
      </c>
      <c r="I1529" s="5">
        <f>IMDB_Movies!$H1529-IMDB_Movies!$G1529</f>
        <v>-17231467</v>
      </c>
    </row>
    <row r="1530" spans="1:9" ht="23">
      <c r="A1530" s="2" t="s">
        <v>2239</v>
      </c>
      <c r="B1530" s="9" t="s">
        <v>591</v>
      </c>
      <c r="C1530" s="9" t="s">
        <v>418</v>
      </c>
      <c r="D1530" s="9" t="s">
        <v>11</v>
      </c>
      <c r="E1530" s="9">
        <v>161</v>
      </c>
      <c r="F1530" s="9">
        <v>7.2</v>
      </c>
      <c r="G1530" s="9">
        <v>31000000</v>
      </c>
      <c r="H1530" s="9">
        <v>87100000</v>
      </c>
      <c r="I1530" s="5">
        <f>IMDB_Movies!$H1530-IMDB_Movies!$G1530</f>
        <v>56100000</v>
      </c>
    </row>
    <row r="1531" spans="1:9" ht="23">
      <c r="A1531" s="3" t="s">
        <v>2240</v>
      </c>
      <c r="B1531" s="10" t="s">
        <v>115</v>
      </c>
      <c r="C1531" s="10" t="s">
        <v>56</v>
      </c>
      <c r="D1531" s="10" t="s">
        <v>11</v>
      </c>
      <c r="E1531" s="10">
        <v>138</v>
      </c>
      <c r="F1531" s="10">
        <v>7.3</v>
      </c>
      <c r="G1531" s="10">
        <v>31000000</v>
      </c>
      <c r="H1531" s="10">
        <v>93749203</v>
      </c>
      <c r="I1531" s="5">
        <f>IMDB_Movies!$H1531-IMDB_Movies!$G1531</f>
        <v>62749203</v>
      </c>
    </row>
    <row r="1532" spans="1:9" ht="23">
      <c r="A1532" s="2" t="s">
        <v>2241</v>
      </c>
      <c r="B1532" s="9" t="s">
        <v>2242</v>
      </c>
      <c r="C1532" s="9" t="s">
        <v>10</v>
      </c>
      <c r="D1532" s="9" t="s">
        <v>11</v>
      </c>
      <c r="E1532" s="9">
        <v>126</v>
      </c>
      <c r="F1532" s="9">
        <v>6.3</v>
      </c>
      <c r="G1532" s="9">
        <v>34000000</v>
      </c>
      <c r="H1532" s="9">
        <v>62700000</v>
      </c>
      <c r="I1532" s="5">
        <f>IMDB_Movies!$H1532-IMDB_Movies!$G1532</f>
        <v>28700000</v>
      </c>
    </row>
    <row r="1533" spans="1:9" ht="23">
      <c r="A1533" s="3" t="s">
        <v>2243</v>
      </c>
      <c r="B1533" s="10" t="s">
        <v>1473</v>
      </c>
      <c r="C1533" s="10" t="s">
        <v>24</v>
      </c>
      <c r="D1533" s="10" t="s">
        <v>11</v>
      </c>
      <c r="E1533" s="10">
        <v>99</v>
      </c>
      <c r="F1533" s="10">
        <v>8.1</v>
      </c>
      <c r="G1533" s="10">
        <v>25000000</v>
      </c>
      <c r="H1533" s="10">
        <v>59073773</v>
      </c>
      <c r="I1533" s="5">
        <f>IMDB_Movies!$H1533-IMDB_Movies!$G1533</f>
        <v>34073773</v>
      </c>
    </row>
    <row r="1534" spans="1:9" ht="23">
      <c r="A1534" s="2" t="s">
        <v>2244</v>
      </c>
      <c r="B1534" s="9" t="s">
        <v>1995</v>
      </c>
      <c r="C1534" s="9" t="s">
        <v>56</v>
      </c>
      <c r="D1534" s="9" t="s">
        <v>11</v>
      </c>
      <c r="E1534" s="9">
        <v>101</v>
      </c>
      <c r="F1534" s="9">
        <v>6.9</v>
      </c>
      <c r="G1534" s="9">
        <v>31000000</v>
      </c>
      <c r="H1534" s="9">
        <v>24185781</v>
      </c>
      <c r="I1534" s="5">
        <f>IMDB_Movies!$H1534-IMDB_Movies!$G1534</f>
        <v>-6814219</v>
      </c>
    </row>
    <row r="1535" spans="1:9" ht="23">
      <c r="A1535" s="3" t="s">
        <v>2245</v>
      </c>
      <c r="B1535" s="10" t="s">
        <v>1384</v>
      </c>
      <c r="C1535" s="10" t="s">
        <v>138</v>
      </c>
      <c r="D1535" s="10" t="s">
        <v>11</v>
      </c>
      <c r="E1535" s="10">
        <v>103</v>
      </c>
      <c r="F1535" s="10">
        <v>6.3</v>
      </c>
      <c r="G1535" s="10">
        <v>31000000</v>
      </c>
      <c r="H1535" s="10">
        <v>53133888</v>
      </c>
      <c r="I1535" s="5">
        <f>IMDB_Movies!$H1535-IMDB_Movies!$G1535</f>
        <v>22133888</v>
      </c>
    </row>
    <row r="1536" spans="1:9" ht="23">
      <c r="A1536" s="2" t="s">
        <v>2246</v>
      </c>
      <c r="B1536" s="9" t="s">
        <v>925</v>
      </c>
      <c r="C1536" s="9" t="s">
        <v>414</v>
      </c>
      <c r="D1536" s="9" t="s">
        <v>11</v>
      </c>
      <c r="E1536" s="9">
        <v>118</v>
      </c>
      <c r="F1536" s="9">
        <v>7.3</v>
      </c>
      <c r="G1536" s="9">
        <v>31000000</v>
      </c>
      <c r="H1536" s="9">
        <v>44983704</v>
      </c>
      <c r="I1536" s="5">
        <f>IMDB_Movies!$H1536-IMDB_Movies!$G1536</f>
        <v>13983704</v>
      </c>
    </row>
    <row r="1537" spans="1:9" ht="23">
      <c r="A1537" s="3" t="s">
        <v>2247</v>
      </c>
      <c r="B1537" s="10" t="s">
        <v>2248</v>
      </c>
      <c r="C1537" s="10" t="s">
        <v>24</v>
      </c>
      <c r="D1537" s="10" t="s">
        <v>11</v>
      </c>
      <c r="E1537" s="10">
        <v>99</v>
      </c>
      <c r="F1537" s="10">
        <v>6.1</v>
      </c>
      <c r="G1537" s="10">
        <v>31000000</v>
      </c>
      <c r="H1537" s="10">
        <v>58879132</v>
      </c>
      <c r="I1537" s="5">
        <f>IMDB_Movies!$H1537-IMDB_Movies!$G1537</f>
        <v>27879132</v>
      </c>
    </row>
    <row r="1538" spans="1:9" ht="23">
      <c r="A1538" s="2" t="s">
        <v>2249</v>
      </c>
      <c r="B1538" s="9" t="s">
        <v>44</v>
      </c>
      <c r="C1538" s="9" t="s">
        <v>138</v>
      </c>
      <c r="D1538" s="9" t="s">
        <v>11</v>
      </c>
      <c r="E1538" s="9">
        <v>105</v>
      </c>
      <c r="F1538" s="9">
        <v>6.9</v>
      </c>
      <c r="G1538" s="9">
        <v>30250000</v>
      </c>
      <c r="H1538" s="9">
        <v>72077000</v>
      </c>
      <c r="I1538" s="5">
        <f>IMDB_Movies!$H1538-IMDB_Movies!$G1538</f>
        <v>41827000</v>
      </c>
    </row>
    <row r="1539" spans="1:9" ht="23">
      <c r="A1539" s="3" t="s">
        <v>2250</v>
      </c>
      <c r="B1539" s="10" t="s">
        <v>42</v>
      </c>
      <c r="C1539" s="10" t="s">
        <v>138</v>
      </c>
      <c r="D1539" s="10" t="s">
        <v>11</v>
      </c>
      <c r="E1539" s="10">
        <v>113</v>
      </c>
      <c r="F1539" s="10">
        <v>7.2</v>
      </c>
      <c r="G1539" s="10">
        <v>45000000</v>
      </c>
      <c r="H1539" s="10">
        <v>170684505</v>
      </c>
      <c r="I1539" s="5">
        <f>IMDB_Movies!$H1539-IMDB_Movies!$G1539</f>
        <v>125684505</v>
      </c>
    </row>
    <row r="1540" spans="1:9" ht="23">
      <c r="A1540" s="2" t="s">
        <v>2251</v>
      </c>
      <c r="B1540" s="9" t="s">
        <v>584</v>
      </c>
      <c r="C1540" s="9" t="s">
        <v>138</v>
      </c>
      <c r="D1540" s="9" t="s">
        <v>11</v>
      </c>
      <c r="E1540" s="9">
        <v>93</v>
      </c>
      <c r="F1540" s="9">
        <v>6.4</v>
      </c>
      <c r="G1540" s="9">
        <v>34200000</v>
      </c>
      <c r="H1540" s="9">
        <v>163479795</v>
      </c>
      <c r="I1540" s="5">
        <f>IMDB_Movies!$H1540-IMDB_Movies!$G1540</f>
        <v>129279795</v>
      </c>
    </row>
    <row r="1541" spans="1:9" ht="23">
      <c r="A1541" s="3" t="s">
        <v>2252</v>
      </c>
      <c r="B1541" s="10" t="s">
        <v>2253</v>
      </c>
      <c r="C1541" s="10" t="s">
        <v>138</v>
      </c>
      <c r="D1541" s="10" t="s">
        <v>11</v>
      </c>
      <c r="E1541" s="10">
        <v>108</v>
      </c>
      <c r="F1541" s="10">
        <v>6.4</v>
      </c>
      <c r="G1541" s="10">
        <v>30000000</v>
      </c>
      <c r="H1541" s="10">
        <v>145096820</v>
      </c>
      <c r="I1541" s="5">
        <f>IMDB_Movies!$H1541-IMDB_Movies!$G1541</f>
        <v>115096820</v>
      </c>
    </row>
    <row r="1542" spans="1:9" ht="23">
      <c r="A1542" s="2" t="s">
        <v>2254</v>
      </c>
      <c r="B1542" s="9" t="s">
        <v>81</v>
      </c>
      <c r="C1542" s="9" t="s">
        <v>24</v>
      </c>
      <c r="D1542" s="9" t="s">
        <v>11</v>
      </c>
      <c r="E1542" s="9">
        <v>74</v>
      </c>
      <c r="F1542" s="9">
        <v>8.3000000000000007</v>
      </c>
      <c r="G1542" s="9">
        <v>30000000</v>
      </c>
      <c r="H1542" s="9">
        <v>191796233</v>
      </c>
      <c r="I1542" s="5">
        <f>IMDB_Movies!$H1542-IMDB_Movies!$G1542</f>
        <v>161796233</v>
      </c>
    </row>
    <row r="1543" spans="1:9" ht="23">
      <c r="A1543" s="3" t="s">
        <v>2255</v>
      </c>
      <c r="B1543" s="10" t="s">
        <v>432</v>
      </c>
      <c r="C1543" s="10" t="s">
        <v>10</v>
      </c>
      <c r="D1543" s="10" t="s">
        <v>11</v>
      </c>
      <c r="E1543" s="10">
        <v>116</v>
      </c>
      <c r="F1543" s="10">
        <v>7.2</v>
      </c>
      <c r="G1543" s="10">
        <v>25000000</v>
      </c>
      <c r="H1543" s="10">
        <v>121248145</v>
      </c>
      <c r="I1543" s="5">
        <f>IMDB_Movies!$H1543-IMDB_Movies!$G1543</f>
        <v>96248145</v>
      </c>
    </row>
    <row r="1544" spans="1:9" ht="23">
      <c r="A1544" s="2" t="s">
        <v>2256</v>
      </c>
      <c r="B1544" s="9" t="s">
        <v>2257</v>
      </c>
      <c r="C1544" s="9" t="s">
        <v>56</v>
      </c>
      <c r="D1544" s="9" t="s">
        <v>11</v>
      </c>
      <c r="E1544" s="9">
        <v>104</v>
      </c>
      <c r="F1544" s="9">
        <v>6.8</v>
      </c>
      <c r="G1544" s="9">
        <v>30000000</v>
      </c>
      <c r="H1544" s="9">
        <v>125014030</v>
      </c>
      <c r="I1544" s="5">
        <f>IMDB_Movies!$H1544-IMDB_Movies!$G1544</f>
        <v>95014030</v>
      </c>
    </row>
    <row r="1545" spans="1:9" ht="23">
      <c r="A1545" s="3" t="s">
        <v>2258</v>
      </c>
      <c r="B1545" s="10" t="s">
        <v>2259</v>
      </c>
      <c r="C1545" s="10" t="s">
        <v>56</v>
      </c>
      <c r="D1545" s="10" t="s">
        <v>11</v>
      </c>
      <c r="E1545" s="10">
        <v>106</v>
      </c>
      <c r="F1545" s="10">
        <v>6.5</v>
      </c>
      <c r="G1545" s="10">
        <v>31000000</v>
      </c>
      <c r="H1545" s="10">
        <v>11854694</v>
      </c>
      <c r="I1545" s="5">
        <f>IMDB_Movies!$H1545-IMDB_Movies!$G1545</f>
        <v>-19145306</v>
      </c>
    </row>
    <row r="1546" spans="1:9" ht="23">
      <c r="A1546" s="2" t="s">
        <v>2260</v>
      </c>
      <c r="B1546" s="9" t="s">
        <v>2183</v>
      </c>
      <c r="C1546" s="9" t="s">
        <v>418</v>
      </c>
      <c r="D1546" s="9" t="s">
        <v>11</v>
      </c>
      <c r="E1546" s="9">
        <v>120</v>
      </c>
      <c r="F1546" s="9">
        <v>7.8</v>
      </c>
      <c r="G1546" s="9">
        <v>30000000</v>
      </c>
      <c r="H1546" s="9">
        <v>115648585</v>
      </c>
      <c r="I1546" s="5">
        <f>IMDB_Movies!$H1546-IMDB_Movies!$G1546</f>
        <v>85648585</v>
      </c>
    </row>
    <row r="1547" spans="1:9" ht="23">
      <c r="A1547" s="3" t="s">
        <v>2261</v>
      </c>
      <c r="B1547" s="10" t="s">
        <v>353</v>
      </c>
      <c r="C1547" s="10" t="s">
        <v>10</v>
      </c>
      <c r="D1547" s="10" t="s">
        <v>11</v>
      </c>
      <c r="E1547" s="10">
        <v>135</v>
      </c>
      <c r="F1547" s="10">
        <v>7.6</v>
      </c>
      <c r="G1547" s="10">
        <v>30000000</v>
      </c>
      <c r="H1547" s="10">
        <v>122012643</v>
      </c>
      <c r="I1547" s="5">
        <f>IMDB_Movies!$H1547-IMDB_Movies!$G1547</f>
        <v>92012643</v>
      </c>
    </row>
    <row r="1548" spans="1:9" ht="23">
      <c r="A1548" s="2" t="s">
        <v>2262</v>
      </c>
      <c r="B1548" s="9" t="s">
        <v>1945</v>
      </c>
      <c r="C1548" s="9" t="s">
        <v>418</v>
      </c>
      <c r="D1548" s="9" t="s">
        <v>11</v>
      </c>
      <c r="E1548" s="9">
        <v>132</v>
      </c>
      <c r="F1548" s="9">
        <v>7.2</v>
      </c>
      <c r="G1548" s="9">
        <v>30000000</v>
      </c>
      <c r="H1548" s="9">
        <v>116631310</v>
      </c>
      <c r="I1548" s="5">
        <f>IMDB_Movies!$H1548-IMDB_Movies!$G1548</f>
        <v>86631310</v>
      </c>
    </row>
    <row r="1549" spans="1:9" ht="23">
      <c r="A1549" s="3" t="s">
        <v>2263</v>
      </c>
      <c r="B1549" s="10" t="s">
        <v>1375</v>
      </c>
      <c r="C1549" s="10" t="s">
        <v>138</v>
      </c>
      <c r="D1549" s="10" t="s">
        <v>11</v>
      </c>
      <c r="E1549" s="10">
        <v>92</v>
      </c>
      <c r="F1549" s="10">
        <v>6.7</v>
      </c>
      <c r="G1549" s="10">
        <v>20000000</v>
      </c>
      <c r="H1549" s="10">
        <v>114324072</v>
      </c>
      <c r="I1549" s="5">
        <f>IMDB_Movies!$H1549-IMDB_Movies!$G1549</f>
        <v>94324072</v>
      </c>
    </row>
    <row r="1550" spans="1:9" ht="23">
      <c r="A1550" s="2" t="s">
        <v>2264</v>
      </c>
      <c r="B1550" s="9" t="s">
        <v>44</v>
      </c>
      <c r="C1550" s="9" t="s">
        <v>138</v>
      </c>
      <c r="D1550" s="9" t="s">
        <v>11</v>
      </c>
      <c r="E1550" s="9">
        <v>99</v>
      </c>
      <c r="F1550" s="9">
        <v>6.8</v>
      </c>
      <c r="G1550" s="9">
        <v>38000000</v>
      </c>
      <c r="H1550" s="9">
        <v>113502246</v>
      </c>
      <c r="I1550" s="5">
        <f>IMDB_Movies!$H1550-IMDB_Movies!$G1550</f>
        <v>75502246</v>
      </c>
    </row>
    <row r="1551" spans="1:9" ht="23">
      <c r="A1551" s="3" t="s">
        <v>2265</v>
      </c>
      <c r="B1551" s="10" t="s">
        <v>1352</v>
      </c>
      <c r="C1551" s="10" t="s">
        <v>24</v>
      </c>
      <c r="D1551" s="10" t="s">
        <v>11</v>
      </c>
      <c r="E1551" s="10">
        <v>90</v>
      </c>
      <c r="F1551" s="10">
        <v>6.3</v>
      </c>
      <c r="G1551" s="10">
        <v>30000000</v>
      </c>
      <c r="H1551" s="10">
        <v>108360000</v>
      </c>
      <c r="I1551" s="5">
        <f>IMDB_Movies!$H1551-IMDB_Movies!$G1551</f>
        <v>78360000</v>
      </c>
    </row>
    <row r="1552" spans="1:9" ht="23">
      <c r="A1552" s="2" t="s">
        <v>2266</v>
      </c>
      <c r="B1552" s="9" t="s">
        <v>883</v>
      </c>
      <c r="C1552" s="9" t="s">
        <v>138</v>
      </c>
      <c r="D1552" s="9" t="s">
        <v>11</v>
      </c>
      <c r="E1552" s="9">
        <v>111</v>
      </c>
      <c r="F1552" s="9">
        <v>6.2</v>
      </c>
      <c r="G1552" s="9">
        <v>37000000</v>
      </c>
      <c r="H1552" s="9">
        <v>108244774</v>
      </c>
      <c r="I1552" s="5">
        <f>IMDB_Movies!$H1552-IMDB_Movies!$G1552</f>
        <v>71244774</v>
      </c>
    </row>
    <row r="1553" spans="1:9" ht="23">
      <c r="A1553" s="3" t="s">
        <v>2267</v>
      </c>
      <c r="B1553" s="10" t="s">
        <v>2077</v>
      </c>
      <c r="C1553" s="10" t="s">
        <v>138</v>
      </c>
      <c r="D1553" s="10" t="s">
        <v>11</v>
      </c>
      <c r="E1553" s="10">
        <v>103</v>
      </c>
      <c r="F1553" s="10">
        <v>6.2</v>
      </c>
      <c r="G1553" s="10">
        <v>26000000</v>
      </c>
      <c r="H1553" s="10">
        <v>105444419</v>
      </c>
      <c r="I1553" s="5">
        <f>IMDB_Movies!$H1553-IMDB_Movies!$G1553</f>
        <v>79444419</v>
      </c>
    </row>
    <row r="1554" spans="1:9" ht="23">
      <c r="A1554" s="2" t="s">
        <v>2268</v>
      </c>
      <c r="B1554" s="9" t="s">
        <v>183</v>
      </c>
      <c r="C1554" s="9" t="s">
        <v>414</v>
      </c>
      <c r="D1554" s="9" t="s">
        <v>11</v>
      </c>
      <c r="E1554" s="9">
        <v>127</v>
      </c>
      <c r="F1554" s="9">
        <v>8.6</v>
      </c>
      <c r="G1554" s="9">
        <v>33000000</v>
      </c>
      <c r="H1554" s="9">
        <v>100125340</v>
      </c>
      <c r="I1554" s="5">
        <f>IMDB_Movies!$H1554-IMDB_Movies!$G1554</f>
        <v>67125340</v>
      </c>
    </row>
    <row r="1555" spans="1:9" ht="23">
      <c r="A1555" s="3" t="s">
        <v>2269</v>
      </c>
      <c r="B1555" s="10" t="s">
        <v>373</v>
      </c>
      <c r="C1555" s="10" t="s">
        <v>10</v>
      </c>
      <c r="D1555" s="10" t="s">
        <v>11</v>
      </c>
      <c r="E1555" s="10">
        <v>112</v>
      </c>
      <c r="F1555" s="10">
        <v>8</v>
      </c>
      <c r="G1555" s="10">
        <v>30000000</v>
      </c>
      <c r="H1555" s="10">
        <v>115646235</v>
      </c>
      <c r="I1555" s="5">
        <f>IMDB_Movies!$H1555-IMDB_Movies!$G1555</f>
        <v>85646235</v>
      </c>
    </row>
    <row r="1556" spans="1:9" ht="23">
      <c r="A1556" s="2" t="s">
        <v>2270</v>
      </c>
      <c r="B1556" s="9" t="s">
        <v>2271</v>
      </c>
      <c r="C1556" s="9" t="s">
        <v>24</v>
      </c>
      <c r="D1556" s="9" t="s">
        <v>11</v>
      </c>
      <c r="E1556" s="9">
        <v>87</v>
      </c>
      <c r="F1556" s="9">
        <v>7</v>
      </c>
      <c r="G1556" s="9">
        <v>30000000</v>
      </c>
      <c r="H1556" s="9">
        <v>85416609</v>
      </c>
      <c r="I1556" s="5">
        <f>IMDB_Movies!$H1556-IMDB_Movies!$G1556</f>
        <v>55416609</v>
      </c>
    </row>
    <row r="1557" spans="1:9" ht="23">
      <c r="A1557" s="3" t="s">
        <v>2272</v>
      </c>
      <c r="B1557" s="10" t="s">
        <v>992</v>
      </c>
      <c r="C1557" s="10" t="s">
        <v>414</v>
      </c>
      <c r="D1557" s="10" t="s">
        <v>11</v>
      </c>
      <c r="E1557" s="10">
        <v>138</v>
      </c>
      <c r="F1557" s="10">
        <v>8</v>
      </c>
      <c r="G1557" s="10">
        <v>25000000</v>
      </c>
      <c r="H1557" s="10">
        <v>90135191</v>
      </c>
      <c r="I1557" s="5">
        <f>IMDB_Movies!$H1557-IMDB_Movies!$G1557</f>
        <v>65135191</v>
      </c>
    </row>
    <row r="1558" spans="1:9" ht="23">
      <c r="A1558" s="2" t="s">
        <v>2273</v>
      </c>
      <c r="B1558" s="9" t="s">
        <v>992</v>
      </c>
      <c r="C1558" s="9" t="s">
        <v>56</v>
      </c>
      <c r="D1558" s="9" t="s">
        <v>11</v>
      </c>
      <c r="E1558" s="9">
        <v>132</v>
      </c>
      <c r="F1558" s="9">
        <v>8.1</v>
      </c>
      <c r="G1558" s="9">
        <v>30000000</v>
      </c>
      <c r="H1558" s="9">
        <v>100422786</v>
      </c>
      <c r="I1558" s="5">
        <f>IMDB_Movies!$H1558-IMDB_Movies!$G1558</f>
        <v>70422786</v>
      </c>
    </row>
    <row r="1559" spans="1:9" ht="23">
      <c r="A1559" s="3" t="s">
        <v>2274</v>
      </c>
      <c r="B1559" s="10" t="s">
        <v>1141</v>
      </c>
      <c r="C1559" s="10" t="s">
        <v>138</v>
      </c>
      <c r="D1559" s="10" t="s">
        <v>11</v>
      </c>
      <c r="E1559" s="10">
        <v>103</v>
      </c>
      <c r="F1559" s="10">
        <v>6.7</v>
      </c>
      <c r="G1559" s="10">
        <v>30000000</v>
      </c>
      <c r="H1559" s="10">
        <v>106694016</v>
      </c>
      <c r="I1559" s="5">
        <f>IMDB_Movies!$H1559-IMDB_Movies!$G1559</f>
        <v>76694016</v>
      </c>
    </row>
    <row r="1560" spans="1:9" ht="23">
      <c r="A1560" s="2" t="s">
        <v>2275</v>
      </c>
      <c r="B1560" s="9" t="s">
        <v>1762</v>
      </c>
      <c r="C1560" s="9" t="s">
        <v>56</v>
      </c>
      <c r="D1560" s="9" t="s">
        <v>11</v>
      </c>
      <c r="E1560" s="9">
        <v>123</v>
      </c>
      <c r="F1560" s="9">
        <v>7.9</v>
      </c>
      <c r="G1560" s="9">
        <v>29000000</v>
      </c>
      <c r="H1560" s="9">
        <v>64286</v>
      </c>
      <c r="I1560" s="5">
        <f>IMDB_Movies!$H1560-IMDB_Movies!$G1560</f>
        <v>-28935714</v>
      </c>
    </row>
    <row r="1561" spans="1:9" ht="23">
      <c r="A1561" s="3" t="s">
        <v>2276</v>
      </c>
      <c r="B1561" s="10" t="s">
        <v>1721</v>
      </c>
      <c r="C1561" s="10" t="s">
        <v>138</v>
      </c>
      <c r="D1561" s="10" t="s">
        <v>11</v>
      </c>
      <c r="E1561" s="10">
        <v>111</v>
      </c>
      <c r="F1561" s="10">
        <v>6.1</v>
      </c>
      <c r="G1561" s="10">
        <v>30000000</v>
      </c>
      <c r="H1561" s="10">
        <v>76806312</v>
      </c>
      <c r="I1561" s="5">
        <f>IMDB_Movies!$H1561-IMDB_Movies!$G1561</f>
        <v>46806312</v>
      </c>
    </row>
    <row r="1562" spans="1:9" ht="23">
      <c r="A1562" s="2" t="s">
        <v>2277</v>
      </c>
      <c r="B1562" s="9" t="s">
        <v>451</v>
      </c>
      <c r="C1562" s="9" t="s">
        <v>138</v>
      </c>
      <c r="D1562" s="9" t="s">
        <v>11</v>
      </c>
      <c r="E1562" s="9">
        <v>102</v>
      </c>
      <c r="F1562" s="9">
        <v>4.2</v>
      </c>
      <c r="G1562" s="9">
        <v>30000000</v>
      </c>
      <c r="H1562" s="9">
        <v>79566871</v>
      </c>
      <c r="I1562" s="5">
        <f>IMDB_Movies!$H1562-IMDB_Movies!$G1562</f>
        <v>49566871</v>
      </c>
    </row>
    <row r="1563" spans="1:9" ht="23">
      <c r="A1563" s="3" t="s">
        <v>2278</v>
      </c>
      <c r="B1563" s="10" t="s">
        <v>2279</v>
      </c>
      <c r="C1563" s="10" t="s">
        <v>24</v>
      </c>
      <c r="D1563" s="10" t="s">
        <v>11</v>
      </c>
      <c r="E1563" s="10">
        <v>78</v>
      </c>
      <c r="F1563" s="10">
        <v>6.1</v>
      </c>
      <c r="G1563" s="10">
        <v>30000000</v>
      </c>
      <c r="H1563" s="10">
        <v>76501438</v>
      </c>
      <c r="I1563" s="5">
        <f>IMDB_Movies!$H1563-IMDB_Movies!$G1563</f>
        <v>46501438</v>
      </c>
    </row>
    <row r="1564" spans="1:9" ht="23">
      <c r="A1564" s="2" t="s">
        <v>2280</v>
      </c>
      <c r="B1564" s="9" t="s">
        <v>1686</v>
      </c>
      <c r="C1564" s="9" t="s">
        <v>56</v>
      </c>
      <c r="D1564" s="9" t="s">
        <v>11</v>
      </c>
      <c r="E1564" s="9">
        <v>132</v>
      </c>
      <c r="F1564" s="9">
        <v>6.6</v>
      </c>
      <c r="G1564" s="9">
        <v>30000000</v>
      </c>
      <c r="H1564" s="9">
        <v>74787599</v>
      </c>
      <c r="I1564" s="5">
        <f>IMDB_Movies!$H1564-IMDB_Movies!$G1564</f>
        <v>44787599</v>
      </c>
    </row>
    <row r="1565" spans="1:9" ht="23">
      <c r="A1565" s="3" t="s">
        <v>2281</v>
      </c>
      <c r="B1565" s="10" t="s">
        <v>275</v>
      </c>
      <c r="C1565" s="10" t="s">
        <v>56</v>
      </c>
      <c r="D1565" s="10" t="s">
        <v>11</v>
      </c>
      <c r="E1565" s="10">
        <v>133</v>
      </c>
      <c r="F1565" s="10">
        <v>7.5</v>
      </c>
      <c r="G1565" s="10">
        <v>30000000</v>
      </c>
      <c r="H1565" s="10">
        <v>66528842</v>
      </c>
      <c r="I1565" s="5">
        <f>IMDB_Movies!$H1565-IMDB_Movies!$G1565</f>
        <v>36528842</v>
      </c>
    </row>
    <row r="1566" spans="1:9" ht="23">
      <c r="A1566" s="2" t="s">
        <v>2282</v>
      </c>
      <c r="B1566" s="9" t="s">
        <v>2283</v>
      </c>
      <c r="C1566" s="9" t="s">
        <v>56</v>
      </c>
      <c r="D1566" s="9" t="s">
        <v>11</v>
      </c>
      <c r="E1566" s="9">
        <v>108</v>
      </c>
      <c r="F1566" s="9">
        <v>7.4</v>
      </c>
      <c r="G1566" s="9">
        <v>25000000</v>
      </c>
      <c r="H1566" s="9">
        <v>83813460</v>
      </c>
      <c r="I1566" s="5">
        <f>IMDB_Movies!$H1566-IMDB_Movies!$G1566</f>
        <v>58813460</v>
      </c>
    </row>
    <row r="1567" spans="1:9" ht="23">
      <c r="A1567" s="3" t="s">
        <v>2284</v>
      </c>
      <c r="B1567" s="10" t="s">
        <v>2285</v>
      </c>
      <c r="C1567" s="10" t="s">
        <v>138</v>
      </c>
      <c r="D1567" s="10" t="s">
        <v>11</v>
      </c>
      <c r="E1567" s="10">
        <v>125</v>
      </c>
      <c r="F1567" s="10">
        <v>7.2</v>
      </c>
      <c r="G1567" s="10">
        <v>30000000</v>
      </c>
      <c r="H1567" s="10">
        <v>65010106</v>
      </c>
      <c r="I1567" s="5">
        <f>IMDB_Movies!$H1567-IMDB_Movies!$G1567</f>
        <v>35010106</v>
      </c>
    </row>
    <row r="1568" spans="1:9" ht="23">
      <c r="A1568" s="2" t="s">
        <v>2286</v>
      </c>
      <c r="B1568" s="9" t="s">
        <v>2287</v>
      </c>
      <c r="C1568" s="9" t="s">
        <v>138</v>
      </c>
      <c r="D1568" s="9" t="s">
        <v>11</v>
      </c>
      <c r="E1568" s="9">
        <v>98</v>
      </c>
      <c r="F1568" s="9">
        <v>6.9</v>
      </c>
      <c r="G1568" s="9">
        <v>35000000</v>
      </c>
      <c r="H1568" s="9">
        <v>66359959</v>
      </c>
      <c r="I1568" s="5">
        <f>IMDB_Movies!$H1568-IMDB_Movies!$G1568</f>
        <v>31359959</v>
      </c>
    </row>
    <row r="1569" spans="1:9" ht="23">
      <c r="A1569" s="3" t="s">
        <v>2288</v>
      </c>
      <c r="B1569" s="10" t="s">
        <v>2289</v>
      </c>
      <c r="C1569" s="10" t="s">
        <v>10</v>
      </c>
      <c r="D1569" s="10" t="s">
        <v>11</v>
      </c>
      <c r="E1569" s="10">
        <v>119</v>
      </c>
      <c r="F1569" s="10">
        <v>7.4</v>
      </c>
      <c r="G1569" s="10">
        <v>30000000</v>
      </c>
      <c r="H1569" s="10">
        <v>66468315</v>
      </c>
      <c r="I1569" s="5">
        <f>IMDB_Movies!$H1569-IMDB_Movies!$G1569</f>
        <v>36468315</v>
      </c>
    </row>
    <row r="1570" spans="1:9" ht="23">
      <c r="A1570" s="2" t="s">
        <v>2290</v>
      </c>
      <c r="B1570" s="9" t="s">
        <v>53</v>
      </c>
      <c r="C1570" s="9" t="s">
        <v>138</v>
      </c>
      <c r="D1570" s="9" t="s">
        <v>11</v>
      </c>
      <c r="E1570" s="9">
        <v>87</v>
      </c>
      <c r="F1570" s="9">
        <v>5.4</v>
      </c>
      <c r="G1570" s="9">
        <v>30000000</v>
      </c>
      <c r="H1570" s="9">
        <v>64172251</v>
      </c>
      <c r="I1570" s="5">
        <f>IMDB_Movies!$H1570-IMDB_Movies!$G1570</f>
        <v>34172251</v>
      </c>
    </row>
    <row r="1571" spans="1:9" ht="23">
      <c r="A1571" s="3" t="s">
        <v>2291</v>
      </c>
      <c r="B1571" s="10" t="s">
        <v>2292</v>
      </c>
      <c r="C1571" s="10" t="s">
        <v>138</v>
      </c>
      <c r="D1571" s="10" t="s">
        <v>11</v>
      </c>
      <c r="E1571" s="10">
        <v>91</v>
      </c>
      <c r="F1571" s="10">
        <v>6.8</v>
      </c>
      <c r="G1571" s="10">
        <v>30000000</v>
      </c>
      <c r="H1571" s="10">
        <v>66600000</v>
      </c>
      <c r="I1571" s="5">
        <f>IMDB_Movies!$H1571-IMDB_Movies!$G1571</f>
        <v>36600000</v>
      </c>
    </row>
    <row r="1572" spans="1:9" ht="23">
      <c r="A1572" s="2" t="s">
        <v>2293</v>
      </c>
      <c r="B1572" s="9" t="s">
        <v>1057</v>
      </c>
      <c r="C1572" s="9" t="s">
        <v>138</v>
      </c>
      <c r="D1572" s="9" t="s">
        <v>11</v>
      </c>
      <c r="E1572" s="9">
        <v>100</v>
      </c>
      <c r="F1572" s="9">
        <v>6.3</v>
      </c>
      <c r="G1572" s="9">
        <v>30000000</v>
      </c>
      <c r="H1572" s="9">
        <v>63536011</v>
      </c>
      <c r="I1572" s="5">
        <f>IMDB_Movies!$H1572-IMDB_Movies!$G1572</f>
        <v>33536011</v>
      </c>
    </row>
    <row r="1573" spans="1:9" ht="23">
      <c r="A1573" s="3" t="s">
        <v>2294</v>
      </c>
      <c r="B1573" s="10" t="s">
        <v>1767</v>
      </c>
      <c r="C1573" s="10" t="s">
        <v>138</v>
      </c>
      <c r="D1573" s="10" t="s">
        <v>11</v>
      </c>
      <c r="E1573" s="10">
        <v>118</v>
      </c>
      <c r="F1573" s="10">
        <v>7.2</v>
      </c>
      <c r="G1573" s="10">
        <v>30000000</v>
      </c>
      <c r="H1573" s="10">
        <v>62877175</v>
      </c>
      <c r="I1573" s="5">
        <f>IMDB_Movies!$H1573-IMDB_Movies!$G1573</f>
        <v>32877175</v>
      </c>
    </row>
    <row r="1574" spans="1:9" ht="23">
      <c r="A1574" s="2" t="s">
        <v>2295</v>
      </c>
      <c r="B1574" s="9" t="s">
        <v>786</v>
      </c>
      <c r="C1574" s="9" t="s">
        <v>10</v>
      </c>
      <c r="D1574" s="9" t="s">
        <v>11</v>
      </c>
      <c r="E1574" s="9">
        <v>109</v>
      </c>
      <c r="F1574" s="9">
        <v>6.9</v>
      </c>
      <c r="G1574" s="9">
        <v>45000000</v>
      </c>
      <c r="H1574" s="9">
        <v>74484168</v>
      </c>
      <c r="I1574" s="5">
        <f>IMDB_Movies!$H1574-IMDB_Movies!$G1574</f>
        <v>29484168</v>
      </c>
    </row>
    <row r="1575" spans="1:9" ht="23">
      <c r="A1575" s="3" t="s">
        <v>2296</v>
      </c>
      <c r="B1575" s="10" t="s">
        <v>2297</v>
      </c>
      <c r="C1575" s="10" t="s">
        <v>138</v>
      </c>
      <c r="D1575" s="10" t="s">
        <v>11</v>
      </c>
      <c r="E1575" s="10">
        <v>99</v>
      </c>
      <c r="F1575" s="10">
        <v>6</v>
      </c>
      <c r="G1575" s="10">
        <v>30000000</v>
      </c>
      <c r="H1575" s="10">
        <v>60269340</v>
      </c>
      <c r="I1575" s="5">
        <f>IMDB_Movies!$H1575-IMDB_Movies!$G1575</f>
        <v>30269340</v>
      </c>
    </row>
    <row r="1576" spans="1:9" ht="23">
      <c r="A1576" s="2" t="s">
        <v>2298</v>
      </c>
      <c r="B1576" s="9" t="s">
        <v>2299</v>
      </c>
      <c r="C1576" s="9" t="s">
        <v>56</v>
      </c>
      <c r="D1576" s="9" t="s">
        <v>11</v>
      </c>
      <c r="E1576" s="9">
        <v>114</v>
      </c>
      <c r="F1576" s="9">
        <v>5.9</v>
      </c>
      <c r="G1576" s="9">
        <v>30000000</v>
      </c>
      <c r="H1576" s="9">
        <v>60033780</v>
      </c>
      <c r="I1576" s="5">
        <f>IMDB_Movies!$H1576-IMDB_Movies!$G1576</f>
        <v>30033780</v>
      </c>
    </row>
    <row r="1577" spans="1:9" ht="23">
      <c r="A1577" s="3" t="s">
        <v>2300</v>
      </c>
      <c r="B1577" s="10" t="s">
        <v>685</v>
      </c>
      <c r="C1577" s="10" t="s">
        <v>138</v>
      </c>
      <c r="D1577" s="10" t="s">
        <v>11</v>
      </c>
      <c r="E1577" s="10">
        <v>89</v>
      </c>
      <c r="F1577" s="10">
        <v>5.4</v>
      </c>
      <c r="G1577" s="10">
        <v>30000000</v>
      </c>
      <c r="H1577" s="10">
        <v>58715510</v>
      </c>
      <c r="I1577" s="5">
        <f>IMDB_Movies!$H1577-IMDB_Movies!$G1577</f>
        <v>28715510</v>
      </c>
    </row>
    <row r="1578" spans="1:9" ht="23">
      <c r="A1578" s="2" t="s">
        <v>2301</v>
      </c>
      <c r="B1578" s="9" t="s">
        <v>745</v>
      </c>
      <c r="C1578" s="9" t="s">
        <v>24</v>
      </c>
      <c r="D1578" s="9" t="s">
        <v>11</v>
      </c>
      <c r="E1578" s="9">
        <v>95</v>
      </c>
      <c r="F1578" s="9">
        <v>5.9</v>
      </c>
      <c r="G1578" s="9">
        <v>19000000</v>
      </c>
      <c r="H1578" s="9">
        <v>58156435</v>
      </c>
      <c r="I1578" s="5">
        <f>IMDB_Movies!$H1578-IMDB_Movies!$G1578</f>
        <v>39156435</v>
      </c>
    </row>
    <row r="1579" spans="1:9" ht="23">
      <c r="A1579" s="3" t="s">
        <v>2302</v>
      </c>
      <c r="B1579" s="10" t="s">
        <v>685</v>
      </c>
      <c r="C1579" s="10" t="s">
        <v>138</v>
      </c>
      <c r="D1579" s="10" t="s">
        <v>11</v>
      </c>
      <c r="E1579" s="10">
        <v>98</v>
      </c>
      <c r="F1579" s="10">
        <v>6.1</v>
      </c>
      <c r="G1579" s="10">
        <v>37000000</v>
      </c>
      <c r="H1579" s="10">
        <v>56044241</v>
      </c>
      <c r="I1579" s="5">
        <f>IMDB_Movies!$H1579-IMDB_Movies!$G1579</f>
        <v>19044241</v>
      </c>
    </row>
    <row r="1580" spans="1:9" ht="23">
      <c r="A1580" s="2" t="s">
        <v>2303</v>
      </c>
      <c r="B1580" s="9" t="s">
        <v>2304</v>
      </c>
      <c r="C1580" s="9" t="s">
        <v>138</v>
      </c>
      <c r="D1580" s="9" t="s">
        <v>11</v>
      </c>
      <c r="E1580" s="9">
        <v>94</v>
      </c>
      <c r="F1580" s="9">
        <v>7.7</v>
      </c>
      <c r="G1580" s="9">
        <v>17000000</v>
      </c>
      <c r="H1580" s="9">
        <v>56816662</v>
      </c>
      <c r="I1580" s="5">
        <f>IMDB_Movies!$H1580-IMDB_Movies!$G1580</f>
        <v>39816662</v>
      </c>
    </row>
    <row r="1581" spans="1:9" ht="23">
      <c r="A1581" s="3" t="s">
        <v>2305</v>
      </c>
      <c r="B1581" s="10" t="s">
        <v>2306</v>
      </c>
      <c r="C1581" s="10" t="s">
        <v>24</v>
      </c>
      <c r="D1581" s="10" t="s">
        <v>11</v>
      </c>
      <c r="E1581" s="10">
        <v>85</v>
      </c>
      <c r="F1581" s="10">
        <v>5.8</v>
      </c>
      <c r="G1581" s="10">
        <v>42000000</v>
      </c>
      <c r="H1581" s="10">
        <v>64238770</v>
      </c>
      <c r="I1581" s="5">
        <f>IMDB_Movies!$H1581-IMDB_Movies!$G1581</f>
        <v>22238770</v>
      </c>
    </row>
    <row r="1582" spans="1:9" ht="23">
      <c r="A1582" s="2" t="s">
        <v>2307</v>
      </c>
      <c r="B1582" s="9" t="s">
        <v>2308</v>
      </c>
      <c r="C1582" s="9" t="s">
        <v>418</v>
      </c>
      <c r="D1582" s="9" t="s">
        <v>11</v>
      </c>
      <c r="E1582" s="9">
        <v>124</v>
      </c>
      <c r="F1582" s="9">
        <v>7.6</v>
      </c>
      <c r="G1582" s="9">
        <v>30000000</v>
      </c>
      <c r="H1582" s="9">
        <v>52937130</v>
      </c>
      <c r="I1582" s="5">
        <f>IMDB_Movies!$H1582-IMDB_Movies!$G1582</f>
        <v>22937130</v>
      </c>
    </row>
    <row r="1583" spans="1:9" ht="23">
      <c r="A1583" s="3" t="s">
        <v>2309</v>
      </c>
      <c r="B1583" s="10" t="s">
        <v>1939</v>
      </c>
      <c r="C1583" s="10" t="s">
        <v>56</v>
      </c>
      <c r="D1583" s="10" t="s">
        <v>11</v>
      </c>
      <c r="E1583" s="10">
        <v>131</v>
      </c>
      <c r="F1583" s="10">
        <v>6.1</v>
      </c>
      <c r="G1583" s="10">
        <v>55000000</v>
      </c>
      <c r="H1583" s="10">
        <v>52799004</v>
      </c>
      <c r="I1583" s="5">
        <f>IMDB_Movies!$H1583-IMDB_Movies!$G1583</f>
        <v>-2200996</v>
      </c>
    </row>
    <row r="1584" spans="1:9" ht="23">
      <c r="A1584" s="2" t="s">
        <v>2310</v>
      </c>
      <c r="B1584" s="9" t="s">
        <v>2311</v>
      </c>
      <c r="C1584" s="9" t="s">
        <v>10</v>
      </c>
      <c r="D1584" s="9" t="s">
        <v>11</v>
      </c>
      <c r="E1584" s="9">
        <v>107</v>
      </c>
      <c r="F1584" s="9">
        <v>5.4</v>
      </c>
      <c r="G1584" s="9">
        <v>27800000</v>
      </c>
      <c r="H1584" s="9">
        <v>55210049</v>
      </c>
      <c r="I1584" s="5">
        <f>IMDB_Movies!$H1584-IMDB_Movies!$G1584</f>
        <v>27410049</v>
      </c>
    </row>
    <row r="1585" spans="1:9" ht="23">
      <c r="A1585" s="3" t="s">
        <v>2312</v>
      </c>
      <c r="B1585" s="10" t="s">
        <v>1624</v>
      </c>
      <c r="C1585" s="10" t="s">
        <v>138</v>
      </c>
      <c r="D1585" s="10" t="s">
        <v>11</v>
      </c>
      <c r="E1585" s="10">
        <v>99</v>
      </c>
      <c r="F1585" s="10">
        <v>5.0999999999999996</v>
      </c>
      <c r="G1585" s="10">
        <v>30000000</v>
      </c>
      <c r="H1585" s="10">
        <v>51432423</v>
      </c>
      <c r="I1585" s="5">
        <f>IMDB_Movies!$H1585-IMDB_Movies!$G1585</f>
        <v>21432423</v>
      </c>
    </row>
    <row r="1586" spans="1:9" ht="23">
      <c r="A1586" s="2" t="s">
        <v>2313</v>
      </c>
      <c r="B1586" s="9" t="s">
        <v>662</v>
      </c>
      <c r="C1586" s="9" t="s">
        <v>138</v>
      </c>
      <c r="D1586" s="9" t="s">
        <v>11</v>
      </c>
      <c r="E1586" s="9">
        <v>83</v>
      </c>
      <c r="F1586" s="9">
        <v>6.4</v>
      </c>
      <c r="G1586" s="9">
        <v>30000000</v>
      </c>
      <c r="H1586" s="9">
        <v>51109400</v>
      </c>
      <c r="I1586" s="5">
        <f>IMDB_Movies!$H1586-IMDB_Movies!$G1586</f>
        <v>21109400</v>
      </c>
    </row>
    <row r="1587" spans="1:9" ht="23">
      <c r="A1587" s="3" t="s">
        <v>2314</v>
      </c>
      <c r="B1587" s="10" t="s">
        <v>1691</v>
      </c>
      <c r="C1587" s="10" t="s">
        <v>10</v>
      </c>
      <c r="D1587" s="10" t="s">
        <v>11</v>
      </c>
      <c r="E1587" s="10">
        <v>131</v>
      </c>
      <c r="F1587" s="10">
        <v>6.3</v>
      </c>
      <c r="G1587" s="10">
        <v>30000000</v>
      </c>
      <c r="H1587" s="10">
        <v>50300000</v>
      </c>
      <c r="I1587" s="5">
        <f>IMDB_Movies!$H1587-IMDB_Movies!$G1587</f>
        <v>20300000</v>
      </c>
    </row>
    <row r="1588" spans="1:9" ht="23">
      <c r="A1588" s="2" t="s">
        <v>2315</v>
      </c>
      <c r="B1588" s="9" t="s">
        <v>2316</v>
      </c>
      <c r="C1588" s="9" t="s">
        <v>116</v>
      </c>
      <c r="D1588" s="9" t="s">
        <v>11</v>
      </c>
      <c r="E1588" s="9">
        <v>85</v>
      </c>
      <c r="F1588" s="9">
        <v>7.5</v>
      </c>
      <c r="G1588" s="9">
        <v>30000000</v>
      </c>
      <c r="H1588" s="9">
        <v>56068547</v>
      </c>
      <c r="I1588" s="5">
        <f>IMDB_Movies!$H1588-IMDB_Movies!$G1588</f>
        <v>26068547</v>
      </c>
    </row>
    <row r="1589" spans="1:9" ht="23">
      <c r="A1589" s="3" t="s">
        <v>2317</v>
      </c>
      <c r="B1589" s="10" t="s">
        <v>1497</v>
      </c>
      <c r="C1589" s="10" t="s">
        <v>56</v>
      </c>
      <c r="D1589" s="10" t="s">
        <v>11</v>
      </c>
      <c r="E1589" s="10">
        <v>126</v>
      </c>
      <c r="F1589" s="10">
        <v>7.1</v>
      </c>
      <c r="G1589" s="10">
        <v>30000000</v>
      </c>
      <c r="H1589" s="10">
        <v>53680848</v>
      </c>
      <c r="I1589" s="5">
        <f>IMDB_Movies!$H1589-IMDB_Movies!$G1589</f>
        <v>23680848</v>
      </c>
    </row>
    <row r="1590" spans="1:9" ht="23">
      <c r="A1590" s="2" t="s">
        <v>2318</v>
      </c>
      <c r="B1590" s="9" t="s">
        <v>1842</v>
      </c>
      <c r="C1590" s="9" t="s">
        <v>24</v>
      </c>
      <c r="D1590" s="9" t="s">
        <v>11</v>
      </c>
      <c r="E1590" s="9">
        <v>102</v>
      </c>
      <c r="F1590" s="9">
        <v>5.2</v>
      </c>
      <c r="G1590" s="9">
        <v>20000000</v>
      </c>
      <c r="H1590" s="9">
        <v>49186871</v>
      </c>
      <c r="I1590" s="5">
        <f>IMDB_Movies!$H1590-IMDB_Movies!$G1590</f>
        <v>29186871</v>
      </c>
    </row>
    <row r="1591" spans="1:9" ht="23">
      <c r="A1591" s="3" t="s">
        <v>2319</v>
      </c>
      <c r="B1591" s="10" t="s">
        <v>255</v>
      </c>
      <c r="C1591" s="10" t="s">
        <v>56</v>
      </c>
      <c r="D1591" s="10" t="s">
        <v>11</v>
      </c>
      <c r="E1591" s="10">
        <v>123</v>
      </c>
      <c r="F1591" s="10">
        <v>7.8</v>
      </c>
      <c r="G1591" s="10">
        <v>30000000</v>
      </c>
      <c r="H1591" s="10">
        <v>50921738</v>
      </c>
      <c r="I1591" s="5">
        <f>IMDB_Movies!$H1591-IMDB_Movies!$G1591</f>
        <v>20921738</v>
      </c>
    </row>
    <row r="1592" spans="1:9" ht="23">
      <c r="A1592" s="2" t="s">
        <v>2320</v>
      </c>
      <c r="B1592" s="9" t="s">
        <v>685</v>
      </c>
      <c r="C1592" s="9" t="s">
        <v>138</v>
      </c>
      <c r="D1592" s="9" t="s">
        <v>11</v>
      </c>
      <c r="E1592" s="9">
        <v>105</v>
      </c>
      <c r="F1592" s="9">
        <v>6.5</v>
      </c>
      <c r="G1592" s="9">
        <v>30000000</v>
      </c>
      <c r="H1592" s="9">
        <v>53021560</v>
      </c>
      <c r="I1592" s="5">
        <f>IMDB_Movies!$H1592-IMDB_Movies!$G1592</f>
        <v>23021560</v>
      </c>
    </row>
    <row r="1593" spans="1:9" ht="23">
      <c r="A1593" s="3" t="s">
        <v>2321</v>
      </c>
      <c r="B1593" s="10" t="s">
        <v>50</v>
      </c>
      <c r="C1593" s="10" t="s">
        <v>10</v>
      </c>
      <c r="D1593" s="10" t="s">
        <v>11</v>
      </c>
      <c r="E1593" s="10">
        <v>125</v>
      </c>
      <c r="F1593" s="10">
        <v>6.6</v>
      </c>
      <c r="G1593" s="10">
        <v>30000000</v>
      </c>
      <c r="H1593" s="10">
        <v>45645204</v>
      </c>
      <c r="I1593" s="5">
        <f>IMDB_Movies!$H1593-IMDB_Movies!$G1593</f>
        <v>15645204</v>
      </c>
    </row>
    <row r="1594" spans="1:9" ht="23">
      <c r="A1594" s="2" t="s">
        <v>2322</v>
      </c>
      <c r="B1594" s="9" t="s">
        <v>934</v>
      </c>
      <c r="C1594" s="9" t="s">
        <v>138</v>
      </c>
      <c r="D1594" s="9" t="s">
        <v>11</v>
      </c>
      <c r="E1594" s="9">
        <v>92</v>
      </c>
      <c r="F1594" s="9">
        <v>5.0999999999999996</v>
      </c>
      <c r="G1594" s="9">
        <v>20000000</v>
      </c>
      <c r="H1594" s="9">
        <v>44328238</v>
      </c>
      <c r="I1594" s="5">
        <f>IMDB_Movies!$H1594-IMDB_Movies!$G1594</f>
        <v>24328238</v>
      </c>
    </row>
    <row r="1595" spans="1:9" ht="23">
      <c r="A1595" s="3" t="s">
        <v>2323</v>
      </c>
      <c r="B1595" s="10" t="s">
        <v>68</v>
      </c>
      <c r="C1595" s="10" t="s">
        <v>116</v>
      </c>
      <c r="D1595" s="10" t="s">
        <v>11</v>
      </c>
      <c r="E1595" s="10">
        <v>77</v>
      </c>
      <c r="F1595" s="10">
        <v>7.4</v>
      </c>
      <c r="G1595" s="10">
        <v>40000000</v>
      </c>
      <c r="H1595" s="10">
        <v>53337608</v>
      </c>
      <c r="I1595" s="5">
        <f>IMDB_Movies!$H1595-IMDB_Movies!$G1595</f>
        <v>13337608</v>
      </c>
    </row>
    <row r="1596" spans="1:9" ht="23">
      <c r="A1596" s="2" t="s">
        <v>2324</v>
      </c>
      <c r="B1596" s="9" t="s">
        <v>2325</v>
      </c>
      <c r="C1596" s="9" t="s">
        <v>418</v>
      </c>
      <c r="D1596" s="9" t="s">
        <v>11</v>
      </c>
      <c r="E1596" s="9">
        <v>118</v>
      </c>
      <c r="F1596" s="9">
        <v>7.2</v>
      </c>
      <c r="G1596" s="9">
        <v>20000000</v>
      </c>
      <c r="H1596" s="9">
        <v>42643187</v>
      </c>
      <c r="I1596" s="5">
        <f>IMDB_Movies!$H1596-IMDB_Movies!$G1596</f>
        <v>22643187</v>
      </c>
    </row>
    <row r="1597" spans="1:9" ht="23">
      <c r="A1597" s="3" t="s">
        <v>2326</v>
      </c>
      <c r="B1597" s="10" t="s">
        <v>1574</v>
      </c>
      <c r="C1597" s="10" t="s">
        <v>10</v>
      </c>
      <c r="D1597" s="10" t="s">
        <v>11</v>
      </c>
      <c r="E1597" s="10">
        <v>121</v>
      </c>
      <c r="F1597" s="10">
        <v>7.6</v>
      </c>
      <c r="G1597" s="10">
        <v>30000000</v>
      </c>
      <c r="H1597" s="10">
        <v>46875468</v>
      </c>
      <c r="I1597" s="5">
        <f>IMDB_Movies!$H1597-IMDB_Movies!$G1597</f>
        <v>16875468</v>
      </c>
    </row>
    <row r="1598" spans="1:9" ht="23">
      <c r="A1598" s="2" t="s">
        <v>2327</v>
      </c>
      <c r="B1598" s="9" t="s">
        <v>826</v>
      </c>
      <c r="C1598" s="9" t="s">
        <v>56</v>
      </c>
      <c r="D1598" s="9" t="s">
        <v>11</v>
      </c>
      <c r="E1598" s="9">
        <v>124</v>
      </c>
      <c r="F1598" s="9">
        <v>7.5</v>
      </c>
      <c r="G1598" s="9">
        <v>30000000</v>
      </c>
      <c r="H1598" s="9">
        <v>52418902</v>
      </c>
      <c r="I1598" s="5">
        <f>IMDB_Movies!$H1598-IMDB_Movies!$G1598</f>
        <v>22418902</v>
      </c>
    </row>
    <row r="1599" spans="1:9" ht="23">
      <c r="A1599" s="3" t="s">
        <v>2328</v>
      </c>
      <c r="B1599" s="10" t="s">
        <v>21</v>
      </c>
      <c r="C1599" s="10" t="s">
        <v>810</v>
      </c>
      <c r="D1599" s="10" t="s">
        <v>11</v>
      </c>
      <c r="E1599" s="10">
        <v>99</v>
      </c>
      <c r="F1599" s="10">
        <v>6.6</v>
      </c>
      <c r="G1599" s="10">
        <v>30000000</v>
      </c>
      <c r="H1599" s="10">
        <v>42057340</v>
      </c>
      <c r="I1599" s="5">
        <f>IMDB_Movies!$H1599-IMDB_Movies!$G1599</f>
        <v>12057340</v>
      </c>
    </row>
    <row r="1600" spans="1:9" ht="23">
      <c r="A1600" s="2" t="s">
        <v>2329</v>
      </c>
      <c r="B1600" s="9" t="s">
        <v>2330</v>
      </c>
      <c r="C1600" s="9" t="s">
        <v>56</v>
      </c>
      <c r="D1600" s="9" t="s">
        <v>11</v>
      </c>
      <c r="E1600" s="9">
        <v>112</v>
      </c>
      <c r="F1600" s="9">
        <v>7.2</v>
      </c>
      <c r="G1600" s="9">
        <v>25000000</v>
      </c>
      <c r="H1600" s="9">
        <v>42478175</v>
      </c>
      <c r="I1600" s="5">
        <f>IMDB_Movies!$H1600-IMDB_Movies!$G1600</f>
        <v>17478175</v>
      </c>
    </row>
    <row r="1601" spans="1:9" ht="23">
      <c r="A1601" s="3" t="s">
        <v>2331</v>
      </c>
      <c r="B1601" s="10" t="s">
        <v>2332</v>
      </c>
      <c r="C1601" s="10" t="s">
        <v>138</v>
      </c>
      <c r="D1601" s="10" t="s">
        <v>11</v>
      </c>
      <c r="E1601" s="10">
        <v>111</v>
      </c>
      <c r="F1601" s="10">
        <v>7.6</v>
      </c>
      <c r="G1601" s="10">
        <v>30000000</v>
      </c>
      <c r="H1601" s="10">
        <v>41407470</v>
      </c>
      <c r="I1601" s="5">
        <f>IMDB_Movies!$H1601-IMDB_Movies!$G1601</f>
        <v>11407470</v>
      </c>
    </row>
    <row r="1602" spans="1:9" ht="23">
      <c r="A1602" s="2" t="s">
        <v>2333</v>
      </c>
      <c r="B1602" s="9" t="s">
        <v>289</v>
      </c>
      <c r="C1602" s="9" t="s">
        <v>56</v>
      </c>
      <c r="D1602" s="9" t="s">
        <v>11</v>
      </c>
      <c r="E1602" s="9">
        <v>107</v>
      </c>
      <c r="F1602" s="9">
        <v>6.2</v>
      </c>
      <c r="G1602" s="9">
        <v>30000000</v>
      </c>
      <c r="H1602" s="9">
        <v>42385520</v>
      </c>
      <c r="I1602" s="5">
        <f>IMDB_Movies!$H1602-IMDB_Movies!$G1602</f>
        <v>12385520</v>
      </c>
    </row>
    <row r="1603" spans="1:9" ht="23">
      <c r="A1603" s="3" t="s">
        <v>2334</v>
      </c>
      <c r="B1603" s="10" t="s">
        <v>1481</v>
      </c>
      <c r="C1603" s="10" t="s">
        <v>56</v>
      </c>
      <c r="D1603" s="10" t="s">
        <v>11</v>
      </c>
      <c r="E1603" s="10">
        <v>104</v>
      </c>
      <c r="F1603" s="10">
        <v>5.6</v>
      </c>
      <c r="G1603" s="10">
        <v>30000000</v>
      </c>
      <c r="H1603" s="10">
        <v>40118420</v>
      </c>
      <c r="I1603" s="5">
        <f>IMDB_Movies!$H1603-IMDB_Movies!$G1603</f>
        <v>10118420</v>
      </c>
    </row>
    <row r="1604" spans="1:9" ht="23">
      <c r="A1604" s="2" t="s">
        <v>2335</v>
      </c>
      <c r="B1604" s="9" t="s">
        <v>34</v>
      </c>
      <c r="C1604" s="9" t="s">
        <v>138</v>
      </c>
      <c r="D1604" s="9" t="s">
        <v>11</v>
      </c>
      <c r="E1604" s="9">
        <v>113</v>
      </c>
      <c r="F1604" s="9">
        <v>7.6</v>
      </c>
      <c r="G1604" s="9">
        <v>38000000</v>
      </c>
      <c r="H1604" s="9">
        <v>40137776</v>
      </c>
      <c r="I1604" s="5">
        <f>IMDB_Movies!$H1604-IMDB_Movies!$G1604</f>
        <v>2137776</v>
      </c>
    </row>
    <row r="1605" spans="1:9" ht="23">
      <c r="A1605" s="3" t="s">
        <v>2336</v>
      </c>
      <c r="B1605" s="10" t="s">
        <v>947</v>
      </c>
      <c r="C1605" s="10" t="s">
        <v>810</v>
      </c>
      <c r="D1605" s="10" t="s">
        <v>11</v>
      </c>
      <c r="E1605" s="10">
        <v>113</v>
      </c>
      <c r="F1605" s="10">
        <v>6.6</v>
      </c>
      <c r="G1605" s="10">
        <v>32000000</v>
      </c>
      <c r="H1605" s="10">
        <v>39568996</v>
      </c>
      <c r="I1605" s="5">
        <f>IMDB_Movies!$H1605-IMDB_Movies!$G1605</f>
        <v>7568996</v>
      </c>
    </row>
    <row r="1606" spans="1:9" ht="23">
      <c r="A1606" s="2" t="s">
        <v>2337</v>
      </c>
      <c r="B1606" s="9" t="s">
        <v>2338</v>
      </c>
      <c r="C1606" s="9" t="s">
        <v>713</v>
      </c>
      <c r="D1606" s="9" t="s">
        <v>11</v>
      </c>
      <c r="E1606" s="9">
        <v>95</v>
      </c>
      <c r="F1606" s="9">
        <v>7</v>
      </c>
      <c r="G1606" s="9">
        <v>30000000</v>
      </c>
      <c r="H1606" s="9">
        <v>42043633</v>
      </c>
      <c r="I1606" s="5">
        <f>IMDB_Movies!$H1606-IMDB_Movies!$G1606</f>
        <v>12043633</v>
      </c>
    </row>
    <row r="1607" spans="1:9" ht="23">
      <c r="A1607" s="3" t="s">
        <v>2339</v>
      </c>
      <c r="B1607" s="10" t="s">
        <v>2340</v>
      </c>
      <c r="C1607" s="10" t="s">
        <v>138</v>
      </c>
      <c r="D1607" s="10" t="s">
        <v>11</v>
      </c>
      <c r="E1607" s="10">
        <v>86</v>
      </c>
      <c r="F1607" s="10">
        <v>2.7</v>
      </c>
      <c r="G1607" s="10">
        <v>30000000</v>
      </c>
      <c r="H1607" s="10">
        <v>38232624</v>
      </c>
      <c r="I1607" s="5">
        <f>IMDB_Movies!$H1607-IMDB_Movies!$G1607</f>
        <v>8232624</v>
      </c>
    </row>
    <row r="1608" spans="1:9" ht="23">
      <c r="A1608" s="2" t="s">
        <v>2341</v>
      </c>
      <c r="B1608" s="9" t="s">
        <v>650</v>
      </c>
      <c r="C1608" s="9" t="s">
        <v>10</v>
      </c>
      <c r="D1608" s="9" t="s">
        <v>11</v>
      </c>
      <c r="E1608" s="9">
        <v>126</v>
      </c>
      <c r="F1608" s="9">
        <v>7.6</v>
      </c>
      <c r="G1608" s="9">
        <v>30000000</v>
      </c>
      <c r="H1608" s="9">
        <v>38413606</v>
      </c>
      <c r="I1608" s="5">
        <f>IMDB_Movies!$H1608-IMDB_Movies!$G1608</f>
        <v>8413606</v>
      </c>
    </row>
    <row r="1609" spans="1:9" ht="23">
      <c r="A1609" s="3" t="s">
        <v>2342</v>
      </c>
      <c r="B1609" s="10" t="s">
        <v>2343</v>
      </c>
      <c r="C1609" s="10" t="s">
        <v>10</v>
      </c>
      <c r="D1609" s="10" t="s">
        <v>11</v>
      </c>
      <c r="E1609" s="10">
        <v>101</v>
      </c>
      <c r="F1609" s="10">
        <v>6.6</v>
      </c>
      <c r="G1609" s="10">
        <v>27000000</v>
      </c>
      <c r="H1609" s="10">
        <v>38122105</v>
      </c>
      <c r="I1609" s="5">
        <f>IMDB_Movies!$H1609-IMDB_Movies!$G1609</f>
        <v>11122105</v>
      </c>
    </row>
    <row r="1610" spans="1:9" ht="23">
      <c r="A1610" s="2" t="s">
        <v>2344</v>
      </c>
      <c r="B1610" s="9" t="s">
        <v>525</v>
      </c>
      <c r="C1610" s="9" t="s">
        <v>138</v>
      </c>
      <c r="D1610" s="9" t="s">
        <v>11</v>
      </c>
      <c r="E1610" s="9">
        <v>102</v>
      </c>
      <c r="F1610" s="9">
        <v>6.9</v>
      </c>
      <c r="G1610" s="9">
        <v>25000000</v>
      </c>
      <c r="H1610" s="9">
        <v>38747385</v>
      </c>
      <c r="I1610" s="5">
        <f>IMDB_Movies!$H1610-IMDB_Movies!$G1610</f>
        <v>13747385</v>
      </c>
    </row>
    <row r="1611" spans="1:9" ht="23">
      <c r="A1611" s="3" t="s">
        <v>2345</v>
      </c>
      <c r="B1611" s="10" t="s">
        <v>255</v>
      </c>
      <c r="C1611" s="10" t="s">
        <v>10</v>
      </c>
      <c r="D1611" s="10" t="s">
        <v>11</v>
      </c>
      <c r="E1611" s="10">
        <v>111</v>
      </c>
      <c r="F1611" s="10">
        <v>6.8</v>
      </c>
      <c r="G1611" s="10">
        <v>30000000</v>
      </c>
      <c r="H1611" s="10">
        <v>40247512</v>
      </c>
      <c r="I1611" s="5">
        <f>IMDB_Movies!$H1611-IMDB_Movies!$G1611</f>
        <v>10247512</v>
      </c>
    </row>
    <row r="1612" spans="1:9" ht="23">
      <c r="A1612" s="2" t="s">
        <v>2346</v>
      </c>
      <c r="B1612" s="9" t="s">
        <v>2347</v>
      </c>
      <c r="C1612" s="9" t="s">
        <v>10</v>
      </c>
      <c r="D1612" s="9" t="s">
        <v>11</v>
      </c>
      <c r="E1612" s="9">
        <v>95</v>
      </c>
      <c r="F1612" s="9">
        <v>3.7</v>
      </c>
      <c r="G1612" s="9">
        <v>30000000</v>
      </c>
      <c r="H1612" s="9">
        <v>35927406</v>
      </c>
      <c r="I1612" s="5">
        <f>IMDB_Movies!$H1612-IMDB_Movies!$G1612</f>
        <v>5927406</v>
      </c>
    </row>
    <row r="1613" spans="1:9" ht="23">
      <c r="A1613" s="3" t="s">
        <v>2348</v>
      </c>
      <c r="B1613" s="10" t="s">
        <v>2349</v>
      </c>
      <c r="C1613" s="10" t="s">
        <v>138</v>
      </c>
      <c r="D1613" s="10" t="s">
        <v>11</v>
      </c>
      <c r="E1613" s="10">
        <v>98</v>
      </c>
      <c r="F1613" s="10">
        <v>6.1</v>
      </c>
      <c r="G1613" s="10">
        <v>30000000</v>
      </c>
      <c r="H1613" s="10">
        <v>35565975</v>
      </c>
      <c r="I1613" s="5">
        <f>IMDB_Movies!$H1613-IMDB_Movies!$G1613</f>
        <v>5565975</v>
      </c>
    </row>
    <row r="1614" spans="1:9" ht="23">
      <c r="A1614" s="2" t="s">
        <v>2350</v>
      </c>
      <c r="B1614" s="9" t="s">
        <v>2351</v>
      </c>
      <c r="C1614" s="9" t="s">
        <v>56</v>
      </c>
      <c r="D1614" s="9" t="s">
        <v>11</v>
      </c>
      <c r="E1614" s="9">
        <v>100</v>
      </c>
      <c r="F1614" s="9">
        <v>5.9</v>
      </c>
      <c r="G1614" s="9">
        <v>30000000</v>
      </c>
      <c r="H1614" s="9">
        <v>35266619</v>
      </c>
      <c r="I1614" s="5">
        <f>IMDB_Movies!$H1614-IMDB_Movies!$G1614</f>
        <v>5266619</v>
      </c>
    </row>
    <row r="1615" spans="1:9" ht="23">
      <c r="A1615" s="3" t="s">
        <v>2352</v>
      </c>
      <c r="B1615" s="10" t="s">
        <v>2353</v>
      </c>
      <c r="C1615" s="10" t="s">
        <v>56</v>
      </c>
      <c r="D1615" s="10" t="s">
        <v>11</v>
      </c>
      <c r="E1615" s="10">
        <v>118</v>
      </c>
      <c r="F1615" s="10">
        <v>6.7</v>
      </c>
      <c r="G1615" s="10">
        <v>30000000</v>
      </c>
      <c r="H1615" s="10">
        <v>34703228</v>
      </c>
      <c r="I1615" s="5">
        <f>IMDB_Movies!$H1615-IMDB_Movies!$G1615</f>
        <v>4703228</v>
      </c>
    </row>
    <row r="1616" spans="1:9" ht="23">
      <c r="A1616" s="2" t="s">
        <v>2354</v>
      </c>
      <c r="B1616" s="9" t="s">
        <v>2355</v>
      </c>
      <c r="C1616" s="9" t="s">
        <v>414</v>
      </c>
      <c r="D1616" s="9" t="s">
        <v>11</v>
      </c>
      <c r="E1616" s="9">
        <v>125</v>
      </c>
      <c r="F1616" s="9">
        <v>6.9</v>
      </c>
      <c r="G1616" s="9">
        <v>30000000</v>
      </c>
      <c r="H1616" s="9">
        <v>38432823</v>
      </c>
      <c r="I1616" s="5">
        <f>IMDB_Movies!$H1616-IMDB_Movies!$G1616</f>
        <v>8432823</v>
      </c>
    </row>
    <row r="1617" spans="1:9" ht="23">
      <c r="A1617" s="3" t="s">
        <v>2356</v>
      </c>
      <c r="B1617" s="10" t="s">
        <v>1240</v>
      </c>
      <c r="C1617" s="10" t="s">
        <v>138</v>
      </c>
      <c r="D1617" s="10" t="s">
        <v>11</v>
      </c>
      <c r="E1617" s="10">
        <v>94</v>
      </c>
      <c r="F1617" s="10">
        <v>5.5</v>
      </c>
      <c r="G1617" s="10">
        <v>45000000</v>
      </c>
      <c r="H1617" s="10">
        <v>32095318</v>
      </c>
      <c r="I1617" s="5">
        <f>IMDB_Movies!$H1617-IMDB_Movies!$G1617</f>
        <v>-12904682</v>
      </c>
    </row>
    <row r="1618" spans="1:9" ht="23">
      <c r="A1618" s="2" t="s">
        <v>2357</v>
      </c>
      <c r="B1618" s="9" t="s">
        <v>2358</v>
      </c>
      <c r="C1618" s="9" t="s">
        <v>10</v>
      </c>
      <c r="D1618" s="9" t="s">
        <v>11</v>
      </c>
      <c r="E1618" s="9">
        <v>79</v>
      </c>
      <c r="F1618" s="9">
        <v>7.1</v>
      </c>
      <c r="G1618" s="9">
        <v>30000000</v>
      </c>
      <c r="H1618" s="9">
        <v>31743332</v>
      </c>
      <c r="I1618" s="5">
        <f>IMDB_Movies!$H1618-IMDB_Movies!$G1618</f>
        <v>1743332</v>
      </c>
    </row>
    <row r="1619" spans="1:9" ht="23">
      <c r="A1619" s="3" t="s">
        <v>2359</v>
      </c>
      <c r="B1619" s="10" t="s">
        <v>413</v>
      </c>
      <c r="C1619" s="10" t="s">
        <v>414</v>
      </c>
      <c r="D1619" s="10" t="s">
        <v>11</v>
      </c>
      <c r="E1619" s="10">
        <v>106</v>
      </c>
      <c r="F1619" s="10">
        <v>7.1</v>
      </c>
      <c r="G1619" s="10">
        <v>30000000</v>
      </c>
      <c r="H1619" s="10">
        <v>32154410</v>
      </c>
      <c r="I1619" s="5">
        <f>IMDB_Movies!$H1619-IMDB_Movies!$G1619</f>
        <v>2154410</v>
      </c>
    </row>
    <row r="1620" spans="1:9" ht="23">
      <c r="A1620" s="2" t="s">
        <v>2360</v>
      </c>
      <c r="B1620" s="9" t="s">
        <v>2361</v>
      </c>
      <c r="C1620" s="9" t="s">
        <v>138</v>
      </c>
      <c r="D1620" s="9" t="s">
        <v>11</v>
      </c>
      <c r="E1620" s="9">
        <v>111</v>
      </c>
      <c r="F1620" s="9">
        <v>5.9</v>
      </c>
      <c r="G1620" s="9">
        <v>20000000</v>
      </c>
      <c r="H1620" s="9">
        <v>28165882</v>
      </c>
      <c r="I1620" s="5">
        <f>IMDB_Movies!$H1620-IMDB_Movies!$G1620</f>
        <v>8165882</v>
      </c>
    </row>
    <row r="1621" spans="1:9" ht="23">
      <c r="A1621" s="3" t="s">
        <v>2362</v>
      </c>
      <c r="B1621" s="10" t="s">
        <v>2363</v>
      </c>
      <c r="C1621" s="10" t="s">
        <v>24</v>
      </c>
      <c r="D1621" s="10" t="s">
        <v>11</v>
      </c>
      <c r="E1621" s="10">
        <v>63</v>
      </c>
      <c r="F1621" s="10">
        <v>7.3</v>
      </c>
      <c r="G1621" s="10">
        <v>30000000</v>
      </c>
      <c r="H1621" s="10">
        <v>26687172</v>
      </c>
      <c r="I1621" s="5">
        <f>IMDB_Movies!$H1621-IMDB_Movies!$G1621</f>
        <v>-3312828</v>
      </c>
    </row>
    <row r="1622" spans="1:9" ht="23">
      <c r="A1622" s="2" t="s">
        <v>2364</v>
      </c>
      <c r="B1622" s="9" t="s">
        <v>2365</v>
      </c>
      <c r="C1622" s="9" t="s">
        <v>138</v>
      </c>
      <c r="D1622" s="9" t="s">
        <v>11</v>
      </c>
      <c r="E1622" s="9">
        <v>85</v>
      </c>
      <c r="F1622" s="9">
        <v>3.4</v>
      </c>
      <c r="G1622" s="9">
        <v>19000000</v>
      </c>
      <c r="H1622" s="9">
        <v>26096584</v>
      </c>
      <c r="I1622" s="5">
        <f>IMDB_Movies!$H1622-IMDB_Movies!$G1622</f>
        <v>7096584</v>
      </c>
    </row>
    <row r="1623" spans="1:9" ht="23">
      <c r="A1623" s="3" t="s">
        <v>2366</v>
      </c>
      <c r="B1623" s="10" t="s">
        <v>1536</v>
      </c>
      <c r="C1623" s="10" t="s">
        <v>138</v>
      </c>
      <c r="D1623" s="10" t="s">
        <v>11</v>
      </c>
      <c r="E1623" s="10">
        <v>108</v>
      </c>
      <c r="F1623" s="10">
        <v>6.8</v>
      </c>
      <c r="G1623" s="10">
        <v>30000000</v>
      </c>
      <c r="H1623" s="10">
        <v>26525834</v>
      </c>
      <c r="I1623" s="5">
        <f>IMDB_Movies!$H1623-IMDB_Movies!$G1623</f>
        <v>-3474166</v>
      </c>
    </row>
    <row r="1624" spans="1:9" ht="23">
      <c r="A1624" s="2" t="s">
        <v>2367</v>
      </c>
      <c r="B1624" s="9" t="s">
        <v>2368</v>
      </c>
      <c r="C1624" s="9" t="s">
        <v>418</v>
      </c>
      <c r="D1624" s="9" t="s">
        <v>11</v>
      </c>
      <c r="E1624" s="9">
        <v>139</v>
      </c>
      <c r="F1624" s="9">
        <v>6.9</v>
      </c>
      <c r="G1624" s="9">
        <v>30000000</v>
      </c>
      <c r="H1624" s="9">
        <v>30513940</v>
      </c>
      <c r="I1624" s="5">
        <f>IMDB_Movies!$H1624-IMDB_Movies!$G1624</f>
        <v>513940</v>
      </c>
    </row>
    <row r="1625" spans="1:9" ht="23">
      <c r="A1625" s="3" t="s">
        <v>2369</v>
      </c>
      <c r="B1625" s="10" t="s">
        <v>1445</v>
      </c>
      <c r="C1625" s="10" t="s">
        <v>56</v>
      </c>
      <c r="D1625" s="10" t="s">
        <v>11</v>
      </c>
      <c r="E1625" s="10">
        <v>127</v>
      </c>
      <c r="F1625" s="10">
        <v>7</v>
      </c>
      <c r="G1625" s="10">
        <v>30000000</v>
      </c>
      <c r="H1625" s="10">
        <v>23209440</v>
      </c>
      <c r="I1625" s="5">
        <f>IMDB_Movies!$H1625-IMDB_Movies!$G1625</f>
        <v>-6790560</v>
      </c>
    </row>
    <row r="1626" spans="1:9" ht="23">
      <c r="A1626" s="2" t="s">
        <v>2370</v>
      </c>
      <c r="B1626" s="9" t="s">
        <v>2371</v>
      </c>
      <c r="C1626" s="9" t="s">
        <v>10</v>
      </c>
      <c r="D1626" s="9" t="s">
        <v>11</v>
      </c>
      <c r="E1626" s="9">
        <v>106</v>
      </c>
      <c r="F1626" s="9">
        <v>5.5</v>
      </c>
      <c r="G1626" s="9">
        <v>30000000</v>
      </c>
      <c r="H1626" s="9">
        <v>24048000</v>
      </c>
      <c r="I1626" s="5">
        <f>IMDB_Movies!$H1626-IMDB_Movies!$G1626</f>
        <v>-5952000</v>
      </c>
    </row>
    <row r="1627" spans="1:9" ht="23">
      <c r="A1627" s="3" t="s">
        <v>2372</v>
      </c>
      <c r="B1627" s="10" t="s">
        <v>722</v>
      </c>
      <c r="C1627" s="10" t="s">
        <v>138</v>
      </c>
      <c r="D1627" s="10" t="s">
        <v>11</v>
      </c>
      <c r="E1627" s="10">
        <v>95</v>
      </c>
      <c r="F1627" s="10">
        <v>5.0999999999999996</v>
      </c>
      <c r="G1627" s="10">
        <v>30000000</v>
      </c>
      <c r="H1627" s="10">
        <v>22526144</v>
      </c>
      <c r="I1627" s="5">
        <f>IMDB_Movies!$H1627-IMDB_Movies!$G1627</f>
        <v>-7473856</v>
      </c>
    </row>
    <row r="1628" spans="1:9" ht="23">
      <c r="A1628" s="2" t="s">
        <v>2373</v>
      </c>
      <c r="B1628" s="9" t="s">
        <v>718</v>
      </c>
      <c r="C1628" s="9" t="s">
        <v>810</v>
      </c>
      <c r="D1628" s="9" t="s">
        <v>11</v>
      </c>
      <c r="E1628" s="9">
        <v>118</v>
      </c>
      <c r="F1628" s="9">
        <v>6.2</v>
      </c>
      <c r="G1628" s="9">
        <v>30000000</v>
      </c>
      <c r="H1628" s="9">
        <v>30523568</v>
      </c>
      <c r="I1628" s="5">
        <f>IMDB_Movies!$H1628-IMDB_Movies!$G1628</f>
        <v>523568</v>
      </c>
    </row>
    <row r="1629" spans="1:9" ht="23">
      <c r="A1629" s="3" t="s">
        <v>2374</v>
      </c>
      <c r="B1629" s="10" t="s">
        <v>2375</v>
      </c>
      <c r="C1629" s="10" t="s">
        <v>24</v>
      </c>
      <c r="D1629" s="10" t="s">
        <v>11</v>
      </c>
      <c r="E1629" s="10">
        <v>108</v>
      </c>
      <c r="F1629" s="10">
        <v>5.9</v>
      </c>
      <c r="G1629" s="10">
        <v>30000000</v>
      </c>
      <c r="H1629" s="10">
        <v>23070045</v>
      </c>
      <c r="I1629" s="5">
        <f>IMDB_Movies!$H1629-IMDB_Movies!$G1629</f>
        <v>-6929955</v>
      </c>
    </row>
    <row r="1630" spans="1:9" ht="23">
      <c r="A1630" s="2" t="s">
        <v>2376</v>
      </c>
      <c r="B1630" s="9" t="s">
        <v>2377</v>
      </c>
      <c r="C1630" s="9" t="s">
        <v>138</v>
      </c>
      <c r="D1630" s="9" t="s">
        <v>11</v>
      </c>
      <c r="E1630" s="9">
        <v>105</v>
      </c>
      <c r="F1630" s="9">
        <v>5.2</v>
      </c>
      <c r="G1630" s="9">
        <v>35000000</v>
      </c>
      <c r="H1630" s="9">
        <v>20422207</v>
      </c>
      <c r="I1630" s="5">
        <f>IMDB_Movies!$H1630-IMDB_Movies!$G1630</f>
        <v>-14577793</v>
      </c>
    </row>
    <row r="1631" spans="1:9" ht="23">
      <c r="A1631" s="3" t="s">
        <v>2378</v>
      </c>
      <c r="B1631" s="10" t="s">
        <v>1767</v>
      </c>
      <c r="C1631" s="10" t="s">
        <v>138</v>
      </c>
      <c r="D1631" s="10" t="s">
        <v>11</v>
      </c>
      <c r="E1631" s="10">
        <v>131</v>
      </c>
      <c r="F1631" s="10">
        <v>6.2</v>
      </c>
      <c r="G1631" s="10">
        <v>30000000</v>
      </c>
      <c r="H1631" s="10">
        <v>28644770</v>
      </c>
      <c r="I1631" s="5">
        <f>IMDB_Movies!$H1631-IMDB_Movies!$G1631</f>
        <v>-1355230</v>
      </c>
    </row>
    <row r="1632" spans="1:9" ht="23">
      <c r="A1632" s="2" t="s">
        <v>2379</v>
      </c>
      <c r="B1632" s="9" t="s">
        <v>2380</v>
      </c>
      <c r="C1632" s="9" t="s">
        <v>138</v>
      </c>
      <c r="D1632" s="9" t="s">
        <v>11</v>
      </c>
      <c r="E1632" s="9">
        <v>104</v>
      </c>
      <c r="F1632" s="9">
        <v>5.5</v>
      </c>
      <c r="G1632" s="9">
        <v>30000000</v>
      </c>
      <c r="H1632" s="9">
        <v>21800302</v>
      </c>
      <c r="I1632" s="5">
        <f>IMDB_Movies!$H1632-IMDB_Movies!$G1632</f>
        <v>-8199698</v>
      </c>
    </row>
    <row r="1633" spans="1:9" ht="23">
      <c r="A1633" s="3" t="s">
        <v>2381</v>
      </c>
      <c r="B1633" s="10" t="s">
        <v>2382</v>
      </c>
      <c r="C1633" s="10" t="s">
        <v>414</v>
      </c>
      <c r="D1633" s="10" t="s">
        <v>11</v>
      </c>
      <c r="E1633" s="10">
        <v>133</v>
      </c>
      <c r="F1633" s="10">
        <v>7.4</v>
      </c>
      <c r="G1633" s="10">
        <v>35000000</v>
      </c>
      <c r="H1633" s="10">
        <v>21129348</v>
      </c>
      <c r="I1633" s="5">
        <f>IMDB_Movies!$H1633-IMDB_Movies!$G1633</f>
        <v>-13870652</v>
      </c>
    </row>
    <row r="1634" spans="1:9" ht="23">
      <c r="A1634" s="2" t="s">
        <v>2383</v>
      </c>
      <c r="B1634" s="9" t="s">
        <v>2384</v>
      </c>
      <c r="C1634" s="9" t="s">
        <v>10</v>
      </c>
      <c r="D1634" s="9" t="s">
        <v>11</v>
      </c>
      <c r="E1634" s="9">
        <v>94</v>
      </c>
      <c r="F1634" s="9">
        <v>4.4000000000000004</v>
      </c>
      <c r="G1634" s="9">
        <v>30000000</v>
      </c>
      <c r="H1634" s="9">
        <v>18500966</v>
      </c>
      <c r="I1634" s="5">
        <f>IMDB_Movies!$H1634-IMDB_Movies!$G1634</f>
        <v>-11499034</v>
      </c>
    </row>
    <row r="1635" spans="1:9" ht="23">
      <c r="A1635" s="3" t="s">
        <v>2385</v>
      </c>
      <c r="B1635" s="10" t="s">
        <v>2386</v>
      </c>
      <c r="C1635" s="10" t="s">
        <v>10</v>
      </c>
      <c r="D1635" s="10" t="s">
        <v>11</v>
      </c>
      <c r="E1635" s="10">
        <v>109</v>
      </c>
      <c r="F1635" s="10">
        <v>6.3</v>
      </c>
      <c r="G1635" s="10">
        <v>20000000</v>
      </c>
      <c r="H1635" s="10">
        <v>19976073</v>
      </c>
      <c r="I1635" s="5">
        <f>IMDB_Movies!$H1635-IMDB_Movies!$G1635</f>
        <v>-23927</v>
      </c>
    </row>
    <row r="1636" spans="1:9" ht="23">
      <c r="A1636" s="2" t="s">
        <v>2387</v>
      </c>
      <c r="B1636" s="9" t="s">
        <v>826</v>
      </c>
      <c r="C1636" s="9" t="s">
        <v>10</v>
      </c>
      <c r="D1636" s="9" t="s">
        <v>11</v>
      </c>
      <c r="E1636" s="9">
        <v>96</v>
      </c>
      <c r="F1636" s="9">
        <v>6.1</v>
      </c>
      <c r="G1636" s="9">
        <v>30000000</v>
      </c>
      <c r="H1636" s="9">
        <v>18967571</v>
      </c>
      <c r="I1636" s="5">
        <f>IMDB_Movies!$H1636-IMDB_Movies!$G1636</f>
        <v>-11032429</v>
      </c>
    </row>
    <row r="1637" spans="1:9" ht="23">
      <c r="A1637" s="3" t="s">
        <v>2388</v>
      </c>
      <c r="B1637" s="10" t="s">
        <v>2389</v>
      </c>
      <c r="C1637" s="10" t="s">
        <v>10</v>
      </c>
      <c r="D1637" s="10" t="s">
        <v>11</v>
      </c>
      <c r="E1637" s="10">
        <v>105</v>
      </c>
      <c r="F1637" s="10">
        <v>5.3</v>
      </c>
      <c r="G1637" s="10">
        <v>25000000</v>
      </c>
      <c r="H1637" s="10">
        <v>17100000</v>
      </c>
      <c r="I1637" s="5">
        <f>IMDB_Movies!$H1637-IMDB_Movies!$G1637</f>
        <v>-7900000</v>
      </c>
    </row>
    <row r="1638" spans="1:9" ht="23">
      <c r="A1638" s="2" t="s">
        <v>2390</v>
      </c>
      <c r="B1638" s="9" t="s">
        <v>2391</v>
      </c>
      <c r="C1638" s="9" t="s">
        <v>10</v>
      </c>
      <c r="D1638" s="9" t="s">
        <v>11</v>
      </c>
      <c r="E1638" s="9">
        <v>99</v>
      </c>
      <c r="F1638" s="9">
        <v>5.4</v>
      </c>
      <c r="G1638" s="9">
        <v>30000000</v>
      </c>
      <c r="H1638" s="9">
        <v>17266505</v>
      </c>
      <c r="I1638" s="5">
        <f>IMDB_Movies!$H1638-IMDB_Movies!$G1638</f>
        <v>-12733495</v>
      </c>
    </row>
    <row r="1639" spans="1:9" ht="23">
      <c r="A1639" s="3" t="s">
        <v>2392</v>
      </c>
      <c r="B1639" s="10" t="s">
        <v>275</v>
      </c>
      <c r="C1639" s="10" t="s">
        <v>138</v>
      </c>
      <c r="D1639" s="10" t="s">
        <v>11</v>
      </c>
      <c r="E1639" s="10">
        <v>112</v>
      </c>
      <c r="F1639" s="10">
        <v>6.7</v>
      </c>
      <c r="G1639" s="10">
        <v>30000000</v>
      </c>
      <c r="H1639" s="10">
        <v>32357532</v>
      </c>
      <c r="I1639" s="5">
        <f>IMDB_Movies!$H1639-IMDB_Movies!$G1639</f>
        <v>2357532</v>
      </c>
    </row>
    <row r="1640" spans="1:9" ht="23">
      <c r="A1640" s="2" t="s">
        <v>2393</v>
      </c>
      <c r="B1640" s="9" t="s">
        <v>1115</v>
      </c>
      <c r="C1640" s="9" t="s">
        <v>414</v>
      </c>
      <c r="D1640" s="9" t="s">
        <v>11</v>
      </c>
      <c r="E1640" s="9">
        <v>108</v>
      </c>
      <c r="F1640" s="9">
        <v>5.9</v>
      </c>
      <c r="G1640" s="9">
        <v>30000000</v>
      </c>
      <c r="H1640" s="9">
        <v>16930884</v>
      </c>
      <c r="I1640" s="5">
        <f>IMDB_Movies!$H1640-IMDB_Movies!$G1640</f>
        <v>-13069116</v>
      </c>
    </row>
    <row r="1641" spans="1:9" ht="23">
      <c r="A1641" s="3" t="s">
        <v>2394</v>
      </c>
      <c r="B1641" s="10" t="s">
        <v>2395</v>
      </c>
      <c r="C1641" s="10" t="s">
        <v>56</v>
      </c>
      <c r="D1641" s="10" t="s">
        <v>11</v>
      </c>
      <c r="E1641" s="10">
        <v>126</v>
      </c>
      <c r="F1641" s="10">
        <v>7.3</v>
      </c>
      <c r="G1641" s="10">
        <v>35000000</v>
      </c>
      <c r="H1641" s="10">
        <v>18324242</v>
      </c>
      <c r="I1641" s="5">
        <f>IMDB_Movies!$H1641-IMDB_Movies!$G1641</f>
        <v>-16675758</v>
      </c>
    </row>
    <row r="1642" spans="1:9" ht="23">
      <c r="A1642" s="2" t="s">
        <v>2396</v>
      </c>
      <c r="B1642" s="9" t="s">
        <v>1429</v>
      </c>
      <c r="C1642" s="9" t="s">
        <v>138</v>
      </c>
      <c r="D1642" s="9" t="s">
        <v>11</v>
      </c>
      <c r="E1642" s="9">
        <v>98</v>
      </c>
      <c r="F1642" s="9">
        <v>5.5</v>
      </c>
      <c r="G1642" s="9">
        <v>40000000</v>
      </c>
      <c r="H1642" s="9">
        <v>16323969</v>
      </c>
      <c r="I1642" s="5">
        <f>IMDB_Movies!$H1642-IMDB_Movies!$G1642</f>
        <v>-23676031</v>
      </c>
    </row>
    <row r="1643" spans="1:9" ht="23">
      <c r="A1643" s="3" t="s">
        <v>2397</v>
      </c>
      <c r="B1643" s="10" t="s">
        <v>2398</v>
      </c>
      <c r="C1643" s="10" t="s">
        <v>56</v>
      </c>
      <c r="D1643" s="10" t="s">
        <v>11</v>
      </c>
      <c r="E1643" s="10">
        <v>104</v>
      </c>
      <c r="F1643" s="10">
        <v>5.8</v>
      </c>
      <c r="G1643" s="10">
        <v>26000000</v>
      </c>
      <c r="H1643" s="10">
        <v>16999046</v>
      </c>
      <c r="I1643" s="5">
        <f>IMDB_Movies!$H1643-IMDB_Movies!$G1643</f>
        <v>-9000954</v>
      </c>
    </row>
    <row r="1644" spans="1:9" ht="23">
      <c r="A1644" s="2" t="s">
        <v>2399</v>
      </c>
      <c r="B1644" s="9" t="s">
        <v>2400</v>
      </c>
      <c r="C1644" s="9" t="s">
        <v>10</v>
      </c>
      <c r="D1644" s="9" t="s">
        <v>11</v>
      </c>
      <c r="E1644" s="9">
        <v>110</v>
      </c>
      <c r="F1644" s="9">
        <v>4.5999999999999996</v>
      </c>
      <c r="G1644" s="9">
        <v>35000000</v>
      </c>
      <c r="H1644" s="9">
        <v>16295774</v>
      </c>
      <c r="I1644" s="5">
        <f>IMDB_Movies!$H1644-IMDB_Movies!$G1644</f>
        <v>-18704226</v>
      </c>
    </row>
    <row r="1645" spans="1:9" ht="23">
      <c r="A1645" s="3" t="s">
        <v>2401</v>
      </c>
      <c r="B1645" s="10" t="s">
        <v>2402</v>
      </c>
      <c r="C1645" s="10" t="s">
        <v>414</v>
      </c>
      <c r="D1645" s="10" t="s">
        <v>11</v>
      </c>
      <c r="E1645" s="10">
        <v>130</v>
      </c>
      <c r="F1645" s="10">
        <v>6.7</v>
      </c>
      <c r="G1645" s="10">
        <v>30000000</v>
      </c>
      <c r="H1645" s="10">
        <v>15709385</v>
      </c>
      <c r="I1645" s="5">
        <f>IMDB_Movies!$H1645-IMDB_Movies!$G1645</f>
        <v>-14290615</v>
      </c>
    </row>
    <row r="1646" spans="1:9" ht="23">
      <c r="A1646" s="2" t="s">
        <v>2403</v>
      </c>
      <c r="B1646" s="9" t="s">
        <v>2404</v>
      </c>
      <c r="C1646" s="9" t="s">
        <v>24</v>
      </c>
      <c r="D1646" s="9" t="s">
        <v>11</v>
      </c>
      <c r="E1646" s="9">
        <v>93</v>
      </c>
      <c r="F1646" s="9">
        <v>5.0999999999999996</v>
      </c>
      <c r="G1646" s="9">
        <v>30000000</v>
      </c>
      <c r="H1646" s="9">
        <v>14888028</v>
      </c>
      <c r="I1646" s="5">
        <f>IMDB_Movies!$H1646-IMDB_Movies!$G1646</f>
        <v>-15111972</v>
      </c>
    </row>
    <row r="1647" spans="1:9" ht="23">
      <c r="A1647" s="3" t="s">
        <v>2405</v>
      </c>
      <c r="B1647" s="10" t="s">
        <v>1044</v>
      </c>
      <c r="C1647" s="10" t="s">
        <v>138</v>
      </c>
      <c r="D1647" s="10" t="s">
        <v>11</v>
      </c>
      <c r="E1647" s="10">
        <v>96</v>
      </c>
      <c r="F1647" s="10">
        <v>5.6</v>
      </c>
      <c r="G1647" s="10">
        <v>30000000</v>
      </c>
      <c r="H1647" s="10">
        <v>14208384</v>
      </c>
      <c r="I1647" s="5">
        <f>IMDB_Movies!$H1647-IMDB_Movies!$G1647</f>
        <v>-15791616</v>
      </c>
    </row>
    <row r="1648" spans="1:9" ht="23">
      <c r="A1648" s="2" t="s">
        <v>2406</v>
      </c>
      <c r="B1648" s="9" t="s">
        <v>1662</v>
      </c>
      <c r="C1648" s="9" t="s">
        <v>56</v>
      </c>
      <c r="D1648" s="9" t="s">
        <v>11</v>
      </c>
      <c r="E1648" s="9">
        <v>114</v>
      </c>
      <c r="F1648" s="9">
        <v>7</v>
      </c>
      <c r="G1648" s="9">
        <v>30000000</v>
      </c>
      <c r="H1648" s="9">
        <v>12831121</v>
      </c>
      <c r="I1648" s="5">
        <f>IMDB_Movies!$H1648-IMDB_Movies!$G1648</f>
        <v>-17168879</v>
      </c>
    </row>
    <row r="1649" spans="1:9" ht="23">
      <c r="A1649" s="3" t="s">
        <v>2407</v>
      </c>
      <c r="B1649" s="10" t="s">
        <v>961</v>
      </c>
      <c r="C1649" s="10" t="s">
        <v>138</v>
      </c>
      <c r="D1649" s="10" t="s">
        <v>11</v>
      </c>
      <c r="E1649" s="10">
        <v>106</v>
      </c>
      <c r="F1649" s="10">
        <v>6.4</v>
      </c>
      <c r="G1649" s="10">
        <v>30000000</v>
      </c>
      <c r="H1649" s="10">
        <v>18298649</v>
      </c>
      <c r="I1649" s="5">
        <f>IMDB_Movies!$H1649-IMDB_Movies!$G1649</f>
        <v>-11701351</v>
      </c>
    </row>
    <row r="1650" spans="1:9" ht="23">
      <c r="A1650" s="2" t="s">
        <v>2408</v>
      </c>
      <c r="B1650" s="9" t="s">
        <v>1340</v>
      </c>
      <c r="C1650" s="9" t="s">
        <v>418</v>
      </c>
      <c r="D1650" s="9" t="s">
        <v>11</v>
      </c>
      <c r="E1650" s="9">
        <v>150</v>
      </c>
      <c r="F1650" s="9">
        <v>6.7</v>
      </c>
      <c r="G1650" s="9">
        <v>30000000</v>
      </c>
      <c r="H1650" s="9">
        <v>12712093</v>
      </c>
      <c r="I1650" s="5">
        <f>IMDB_Movies!$H1650-IMDB_Movies!$G1650</f>
        <v>-17287907</v>
      </c>
    </row>
    <row r="1651" spans="1:9" ht="23">
      <c r="A1651" s="3" t="s">
        <v>2409</v>
      </c>
      <c r="B1651" s="10" t="s">
        <v>2410</v>
      </c>
      <c r="C1651" s="10" t="s">
        <v>10</v>
      </c>
      <c r="D1651" s="10" t="s">
        <v>11</v>
      </c>
      <c r="E1651" s="10">
        <v>100</v>
      </c>
      <c r="F1651" s="10">
        <v>4.0999999999999996</v>
      </c>
      <c r="G1651" s="10">
        <v>30000000</v>
      </c>
      <c r="H1651" s="10">
        <v>11576087</v>
      </c>
      <c r="I1651" s="5">
        <f>IMDB_Movies!$H1651-IMDB_Movies!$G1651</f>
        <v>-18423913</v>
      </c>
    </row>
    <row r="1652" spans="1:9" ht="23">
      <c r="A1652" s="2" t="s">
        <v>2411</v>
      </c>
      <c r="B1652" s="9" t="s">
        <v>1372</v>
      </c>
      <c r="C1652" s="9" t="s">
        <v>56</v>
      </c>
      <c r="D1652" s="9" t="s">
        <v>11</v>
      </c>
      <c r="E1652" s="9">
        <v>100</v>
      </c>
      <c r="F1652" s="9">
        <v>5.5</v>
      </c>
      <c r="G1652" s="9">
        <v>30000000</v>
      </c>
      <c r="H1652" s="9">
        <v>11900000</v>
      </c>
      <c r="I1652" s="5">
        <f>IMDB_Movies!$H1652-IMDB_Movies!$G1652</f>
        <v>-18100000</v>
      </c>
    </row>
    <row r="1653" spans="1:9" ht="23">
      <c r="A1653" s="3" t="s">
        <v>2412</v>
      </c>
      <c r="B1653" s="10" t="s">
        <v>1508</v>
      </c>
      <c r="C1653" s="10" t="s">
        <v>10</v>
      </c>
      <c r="D1653" s="10" t="s">
        <v>11</v>
      </c>
      <c r="E1653" s="10">
        <v>100</v>
      </c>
      <c r="F1653" s="10">
        <v>2.7</v>
      </c>
      <c r="G1653" s="10">
        <v>45000000</v>
      </c>
      <c r="H1653" s="10">
        <v>9353573</v>
      </c>
      <c r="I1653" s="5">
        <f>IMDB_Movies!$H1653-IMDB_Movies!$G1653</f>
        <v>-35646427</v>
      </c>
    </row>
    <row r="1654" spans="1:9" ht="23">
      <c r="A1654" s="2" t="s">
        <v>2413</v>
      </c>
      <c r="B1654" s="9" t="s">
        <v>2414</v>
      </c>
      <c r="C1654" s="9" t="s">
        <v>10</v>
      </c>
      <c r="D1654" s="9" t="s">
        <v>11</v>
      </c>
      <c r="E1654" s="9">
        <v>107</v>
      </c>
      <c r="F1654" s="9">
        <v>6.4</v>
      </c>
      <c r="G1654" s="9">
        <v>45000000</v>
      </c>
      <c r="H1654" s="9">
        <v>12026670</v>
      </c>
      <c r="I1654" s="5">
        <f>IMDB_Movies!$H1654-IMDB_Movies!$G1654</f>
        <v>-32973330</v>
      </c>
    </row>
    <row r="1655" spans="1:9" ht="23">
      <c r="A1655" s="3" t="s">
        <v>2415</v>
      </c>
      <c r="B1655" s="10" t="s">
        <v>2416</v>
      </c>
      <c r="C1655" s="10" t="s">
        <v>56</v>
      </c>
      <c r="D1655" s="10" t="s">
        <v>11</v>
      </c>
      <c r="E1655" s="10">
        <v>102</v>
      </c>
      <c r="F1655" s="10">
        <v>4.8</v>
      </c>
      <c r="G1655" s="10">
        <v>25000000</v>
      </c>
      <c r="H1655" s="10">
        <v>14334645</v>
      </c>
      <c r="I1655" s="5">
        <f>IMDB_Movies!$H1655-IMDB_Movies!$G1655</f>
        <v>-10665355</v>
      </c>
    </row>
    <row r="1656" spans="1:9" ht="23">
      <c r="A1656" s="2" t="s">
        <v>2417</v>
      </c>
      <c r="B1656" s="9" t="s">
        <v>2418</v>
      </c>
      <c r="C1656" s="9" t="s">
        <v>138</v>
      </c>
      <c r="D1656" s="9" t="s">
        <v>11</v>
      </c>
      <c r="E1656" s="9">
        <v>101</v>
      </c>
      <c r="F1656" s="9">
        <v>6.1</v>
      </c>
      <c r="G1656" s="9">
        <v>23000000</v>
      </c>
      <c r="H1656" s="9">
        <v>12189514</v>
      </c>
      <c r="I1656" s="5">
        <f>IMDB_Movies!$H1656-IMDB_Movies!$G1656</f>
        <v>-10810486</v>
      </c>
    </row>
    <row r="1657" spans="1:9" ht="23">
      <c r="A1657" s="3" t="s">
        <v>2419</v>
      </c>
      <c r="B1657" s="10" t="s">
        <v>2420</v>
      </c>
      <c r="C1657" s="10" t="s">
        <v>116</v>
      </c>
      <c r="D1657" s="10" t="s">
        <v>11</v>
      </c>
      <c r="E1657" s="10">
        <v>86</v>
      </c>
      <c r="F1657" s="10">
        <v>4.8</v>
      </c>
      <c r="G1657" s="10">
        <v>30000000</v>
      </c>
      <c r="H1657" s="10">
        <v>10134754</v>
      </c>
      <c r="I1657" s="5">
        <f>IMDB_Movies!$H1657-IMDB_Movies!$G1657</f>
        <v>-19865246</v>
      </c>
    </row>
    <row r="1658" spans="1:9" ht="23">
      <c r="A1658" s="2" t="s">
        <v>2421</v>
      </c>
      <c r="B1658" s="9" t="s">
        <v>2117</v>
      </c>
      <c r="C1658" s="9" t="s">
        <v>56</v>
      </c>
      <c r="D1658" s="9" t="s">
        <v>11</v>
      </c>
      <c r="E1658" s="9">
        <v>108</v>
      </c>
      <c r="F1658" s="9">
        <v>7</v>
      </c>
      <c r="G1658" s="9">
        <v>30000000</v>
      </c>
      <c r="H1658" s="9">
        <v>8535575</v>
      </c>
      <c r="I1658" s="5">
        <f>IMDB_Movies!$H1658-IMDB_Movies!$G1658</f>
        <v>-21464425</v>
      </c>
    </row>
    <row r="1659" spans="1:9" ht="23">
      <c r="A1659" s="3" t="s">
        <v>2422</v>
      </c>
      <c r="B1659" s="10" t="s">
        <v>747</v>
      </c>
      <c r="C1659" s="10" t="s">
        <v>24</v>
      </c>
      <c r="D1659" s="10" t="s">
        <v>11</v>
      </c>
      <c r="E1659" s="10">
        <v>123</v>
      </c>
      <c r="F1659" s="10">
        <v>6.8</v>
      </c>
      <c r="G1659" s="10">
        <v>40000000</v>
      </c>
      <c r="H1659" s="10">
        <v>7689458</v>
      </c>
      <c r="I1659" s="5">
        <f>IMDB_Movies!$H1659-IMDB_Movies!$G1659</f>
        <v>-32310542</v>
      </c>
    </row>
    <row r="1660" spans="1:9" ht="23">
      <c r="A1660" s="2" t="s">
        <v>2423</v>
      </c>
      <c r="B1660" s="9" t="s">
        <v>2424</v>
      </c>
      <c r="C1660" s="9" t="s">
        <v>138</v>
      </c>
      <c r="D1660" s="9" t="s">
        <v>11</v>
      </c>
      <c r="E1660" s="9">
        <v>134</v>
      </c>
      <c r="F1660" s="9">
        <v>7.3</v>
      </c>
      <c r="G1660" s="9">
        <v>20000000</v>
      </c>
      <c r="H1660" s="9">
        <v>7501404</v>
      </c>
      <c r="I1660" s="5">
        <f>IMDB_Movies!$H1660-IMDB_Movies!$G1660</f>
        <v>-12498596</v>
      </c>
    </row>
    <row r="1661" spans="1:9" ht="23">
      <c r="A1661" s="3" t="s">
        <v>2425</v>
      </c>
      <c r="B1661" s="10" t="s">
        <v>1558</v>
      </c>
      <c r="C1661" s="10" t="s">
        <v>414</v>
      </c>
      <c r="D1661" s="10" t="s">
        <v>11</v>
      </c>
      <c r="E1661" s="10">
        <v>88</v>
      </c>
      <c r="F1661" s="10">
        <v>5.6</v>
      </c>
      <c r="G1661" s="10">
        <v>30000000</v>
      </c>
      <c r="H1661" s="10">
        <v>19316646</v>
      </c>
      <c r="I1661" s="5">
        <f>IMDB_Movies!$H1661-IMDB_Movies!$G1661</f>
        <v>-10683354</v>
      </c>
    </row>
    <row r="1662" spans="1:9" ht="23">
      <c r="A1662" s="2" t="s">
        <v>2426</v>
      </c>
      <c r="B1662" s="9" t="s">
        <v>1609</v>
      </c>
      <c r="C1662" s="9" t="s">
        <v>10</v>
      </c>
      <c r="D1662" s="9" t="s">
        <v>11</v>
      </c>
      <c r="E1662" s="9">
        <v>109</v>
      </c>
      <c r="F1662" s="9">
        <v>6.1</v>
      </c>
      <c r="G1662" s="9">
        <v>30000000</v>
      </c>
      <c r="H1662" s="9">
        <v>10965209</v>
      </c>
      <c r="I1662" s="5">
        <f>IMDB_Movies!$H1662-IMDB_Movies!$G1662</f>
        <v>-19034791</v>
      </c>
    </row>
    <row r="1663" spans="1:9" ht="23">
      <c r="A1663" s="3" t="s">
        <v>2427</v>
      </c>
      <c r="B1663" s="10" t="s">
        <v>275</v>
      </c>
      <c r="C1663" s="10" t="s">
        <v>56</v>
      </c>
      <c r="D1663" s="10" t="s">
        <v>11</v>
      </c>
      <c r="E1663" s="10">
        <v>122</v>
      </c>
      <c r="F1663" s="10">
        <v>7.9</v>
      </c>
      <c r="G1663" s="10">
        <v>18000000</v>
      </c>
      <c r="H1663" s="10">
        <v>26830000</v>
      </c>
      <c r="I1663" s="5">
        <f>IMDB_Movies!$H1663-IMDB_Movies!$G1663</f>
        <v>8830000</v>
      </c>
    </row>
    <row r="1664" spans="1:9" ht="23">
      <c r="A1664" s="2" t="s">
        <v>2428</v>
      </c>
      <c r="B1664" s="9" t="s">
        <v>2429</v>
      </c>
      <c r="C1664" s="9" t="s">
        <v>414</v>
      </c>
      <c r="D1664" s="9" t="s">
        <v>11</v>
      </c>
      <c r="E1664" s="9">
        <v>251</v>
      </c>
      <c r="F1664" s="9">
        <v>8.4</v>
      </c>
      <c r="G1664" s="9">
        <v>30000000</v>
      </c>
      <c r="H1664" s="9">
        <v>5300000</v>
      </c>
      <c r="I1664" s="5">
        <f>IMDB_Movies!$H1664-IMDB_Movies!$G1664</f>
        <v>-24700000</v>
      </c>
    </row>
    <row r="1665" spans="1:9" ht="23">
      <c r="A1665" s="3" t="s">
        <v>2430</v>
      </c>
      <c r="B1665" s="10" t="s">
        <v>2431</v>
      </c>
      <c r="C1665" s="10" t="s">
        <v>10</v>
      </c>
      <c r="D1665" s="10" t="s">
        <v>11</v>
      </c>
      <c r="E1665" s="10">
        <v>118</v>
      </c>
      <c r="F1665" s="10">
        <v>6.5</v>
      </c>
      <c r="G1665" s="10">
        <v>30000000</v>
      </c>
      <c r="H1665" s="10">
        <v>10880926</v>
      </c>
      <c r="I1665" s="5">
        <f>IMDB_Movies!$H1665-IMDB_Movies!$G1665</f>
        <v>-19119074</v>
      </c>
    </row>
    <row r="1666" spans="1:9" ht="23">
      <c r="A1666" s="2" t="s">
        <v>2432</v>
      </c>
      <c r="B1666" s="9" t="s">
        <v>2433</v>
      </c>
      <c r="C1666" s="9" t="s">
        <v>56</v>
      </c>
      <c r="D1666" s="9" t="s">
        <v>11</v>
      </c>
      <c r="E1666" s="9">
        <v>131</v>
      </c>
      <c r="F1666" s="9">
        <v>7.1</v>
      </c>
      <c r="G1666" s="9">
        <v>18000000</v>
      </c>
      <c r="H1666" s="9">
        <v>3752725</v>
      </c>
      <c r="I1666" s="5">
        <f>IMDB_Movies!$H1666-IMDB_Movies!$G1666</f>
        <v>-14247275</v>
      </c>
    </row>
    <row r="1667" spans="1:9" ht="23">
      <c r="A1667" s="3" t="s">
        <v>2434</v>
      </c>
      <c r="B1667" s="10" t="s">
        <v>1372</v>
      </c>
      <c r="C1667" s="10" t="s">
        <v>10</v>
      </c>
      <c r="D1667" s="10" t="s">
        <v>11</v>
      </c>
      <c r="E1667" s="10">
        <v>109</v>
      </c>
      <c r="F1667" s="10">
        <v>6.6</v>
      </c>
      <c r="G1667" s="10">
        <v>25000000</v>
      </c>
      <c r="H1667" s="10">
        <v>3517797</v>
      </c>
      <c r="I1667" s="5">
        <f>IMDB_Movies!$H1667-IMDB_Movies!$G1667</f>
        <v>-21482203</v>
      </c>
    </row>
    <row r="1668" spans="1:9" ht="23">
      <c r="A1668" s="2" t="s">
        <v>2435</v>
      </c>
      <c r="B1668" s="9" t="s">
        <v>2436</v>
      </c>
      <c r="C1668" s="9" t="s">
        <v>10</v>
      </c>
      <c r="D1668" s="9" t="s">
        <v>11</v>
      </c>
      <c r="E1668" s="9">
        <v>80</v>
      </c>
      <c r="F1668" s="9">
        <v>4</v>
      </c>
      <c r="G1668" s="9">
        <v>20000000</v>
      </c>
      <c r="H1668" s="9">
        <v>3101301</v>
      </c>
      <c r="I1668" s="5">
        <f>IMDB_Movies!$H1668-IMDB_Movies!$G1668</f>
        <v>-16898699</v>
      </c>
    </row>
    <row r="1669" spans="1:9" ht="23">
      <c r="A1669" s="3" t="s">
        <v>2437</v>
      </c>
      <c r="B1669" s="10" t="s">
        <v>2292</v>
      </c>
      <c r="C1669" s="10" t="s">
        <v>418</v>
      </c>
      <c r="D1669" s="10" t="s">
        <v>11</v>
      </c>
      <c r="E1669" s="10">
        <v>88</v>
      </c>
      <c r="F1669" s="10">
        <v>7</v>
      </c>
      <c r="G1669" s="10">
        <v>30000000</v>
      </c>
      <c r="H1669" s="10">
        <v>2975649</v>
      </c>
      <c r="I1669" s="5">
        <f>IMDB_Movies!$H1669-IMDB_Movies!$G1669</f>
        <v>-27024351</v>
      </c>
    </row>
    <row r="1670" spans="1:9" ht="23">
      <c r="A1670" s="2" t="s">
        <v>2438</v>
      </c>
      <c r="B1670" s="9" t="s">
        <v>2439</v>
      </c>
      <c r="C1670" s="9" t="s">
        <v>10</v>
      </c>
      <c r="D1670" s="9" t="s">
        <v>521</v>
      </c>
      <c r="E1670" s="9">
        <v>103</v>
      </c>
      <c r="F1670" s="9">
        <v>5.6</v>
      </c>
      <c r="G1670" s="9">
        <v>60000000</v>
      </c>
      <c r="H1670" s="9">
        <v>668171</v>
      </c>
      <c r="I1670" s="5">
        <f>IMDB_Movies!$H1670-IMDB_Movies!$G1670</f>
        <v>-59331829</v>
      </c>
    </row>
    <row r="1671" spans="1:9" ht="23">
      <c r="A1671" s="3" t="s">
        <v>2440</v>
      </c>
      <c r="B1671" s="10" t="s">
        <v>2441</v>
      </c>
      <c r="C1671" s="10" t="s">
        <v>10</v>
      </c>
      <c r="D1671" s="10" t="s">
        <v>11</v>
      </c>
      <c r="E1671" s="10">
        <v>87</v>
      </c>
      <c r="F1671" s="10">
        <v>4.8</v>
      </c>
      <c r="G1671" s="10">
        <v>21000000</v>
      </c>
      <c r="H1671" s="10">
        <v>480314</v>
      </c>
      <c r="I1671" s="5">
        <f>IMDB_Movies!$H1671-IMDB_Movies!$G1671</f>
        <v>-20519686</v>
      </c>
    </row>
    <row r="1672" spans="1:9" ht="23">
      <c r="A1672" s="2" t="s">
        <v>2442</v>
      </c>
      <c r="B1672" s="9" t="s">
        <v>2443</v>
      </c>
      <c r="C1672" s="9" t="s">
        <v>418</v>
      </c>
      <c r="D1672" s="9" t="s">
        <v>11</v>
      </c>
      <c r="E1672" s="9">
        <v>160</v>
      </c>
      <c r="F1672" s="9">
        <v>7.5</v>
      </c>
      <c r="G1672" s="9">
        <v>30000000</v>
      </c>
      <c r="H1672" s="9">
        <v>3904982</v>
      </c>
      <c r="I1672" s="5">
        <f>IMDB_Movies!$H1672-IMDB_Movies!$G1672</f>
        <v>-26095018</v>
      </c>
    </row>
    <row r="1673" spans="1:9" ht="23">
      <c r="A1673" s="3" t="s">
        <v>2444</v>
      </c>
      <c r="B1673" s="10" t="s">
        <v>2445</v>
      </c>
      <c r="C1673" s="10" t="s">
        <v>10</v>
      </c>
      <c r="D1673" s="10" t="s">
        <v>521</v>
      </c>
      <c r="E1673" s="10">
        <v>121</v>
      </c>
      <c r="F1673" s="10">
        <v>6</v>
      </c>
      <c r="G1673" s="10">
        <v>18000000</v>
      </c>
      <c r="H1673" s="10">
        <v>127437</v>
      </c>
      <c r="I1673" s="5">
        <f>IMDB_Movies!$H1673-IMDB_Movies!$G1673</f>
        <v>-17872563</v>
      </c>
    </row>
    <row r="1674" spans="1:9" ht="23">
      <c r="A1674" s="2" t="s">
        <v>2446</v>
      </c>
      <c r="B1674" s="9" t="s">
        <v>2447</v>
      </c>
      <c r="C1674" s="9" t="s">
        <v>138</v>
      </c>
      <c r="D1674" s="9" t="s">
        <v>394</v>
      </c>
      <c r="E1674" s="9">
        <v>91</v>
      </c>
      <c r="F1674" s="9">
        <v>7.2</v>
      </c>
      <c r="G1674" s="9">
        <v>20000000</v>
      </c>
      <c r="H1674" s="9">
        <v>25078937</v>
      </c>
      <c r="I1674" s="5">
        <f>IMDB_Movies!$H1674-IMDB_Movies!$G1674</f>
        <v>5078937</v>
      </c>
    </row>
    <row r="1675" spans="1:9" ht="23">
      <c r="A1675" s="3" t="s">
        <v>2448</v>
      </c>
      <c r="B1675" s="10" t="s">
        <v>478</v>
      </c>
      <c r="C1675" s="10" t="s">
        <v>10</v>
      </c>
      <c r="D1675" s="10" t="s">
        <v>11</v>
      </c>
      <c r="E1675" s="10">
        <v>92</v>
      </c>
      <c r="F1675" s="10">
        <v>5.6</v>
      </c>
      <c r="G1675" s="10">
        <v>30000000</v>
      </c>
      <c r="H1675" s="10">
        <v>25078937</v>
      </c>
      <c r="I1675" s="5">
        <f>IMDB_Movies!$H1675-IMDB_Movies!$G1675</f>
        <v>-4921063</v>
      </c>
    </row>
    <row r="1676" spans="1:9" ht="23">
      <c r="A1676" s="2" t="s">
        <v>2449</v>
      </c>
      <c r="B1676" s="9" t="s">
        <v>34</v>
      </c>
      <c r="C1676" s="9" t="s">
        <v>10</v>
      </c>
      <c r="D1676" s="9" t="s">
        <v>11</v>
      </c>
      <c r="E1676" s="9">
        <v>129</v>
      </c>
      <c r="F1676" s="9">
        <v>6.8</v>
      </c>
      <c r="G1676" s="9">
        <v>30000000</v>
      </c>
      <c r="H1676" s="9">
        <v>537580</v>
      </c>
      <c r="I1676" s="5">
        <f>IMDB_Movies!$H1676-IMDB_Movies!$G1676</f>
        <v>-29462420</v>
      </c>
    </row>
    <row r="1677" spans="1:9" ht="23">
      <c r="A1677" s="3" t="s">
        <v>2450</v>
      </c>
      <c r="B1677" s="10" t="s">
        <v>2451</v>
      </c>
      <c r="C1677" s="10" t="s">
        <v>116</v>
      </c>
      <c r="D1677" s="10" t="s">
        <v>2452</v>
      </c>
      <c r="E1677" s="10">
        <v>93</v>
      </c>
      <c r="F1677" s="10">
        <v>4.9000000000000004</v>
      </c>
      <c r="G1677" s="10">
        <v>20000000</v>
      </c>
      <c r="H1677" s="10">
        <v>25078937</v>
      </c>
      <c r="I1677" s="5">
        <f>IMDB_Movies!$H1677-IMDB_Movies!$G1677</f>
        <v>5078937</v>
      </c>
    </row>
    <row r="1678" spans="1:9" ht="23">
      <c r="A1678" s="2" t="s">
        <v>2453</v>
      </c>
      <c r="B1678" s="9" t="s">
        <v>2137</v>
      </c>
      <c r="C1678" s="9" t="s">
        <v>418</v>
      </c>
      <c r="D1678" s="9" t="s">
        <v>11</v>
      </c>
      <c r="E1678" s="9">
        <v>118</v>
      </c>
      <c r="F1678" s="9">
        <v>7.1</v>
      </c>
      <c r="G1678" s="9">
        <v>30000000</v>
      </c>
      <c r="H1678" s="9">
        <v>25078937</v>
      </c>
      <c r="I1678" s="5">
        <f>IMDB_Movies!$H1678-IMDB_Movies!$G1678</f>
        <v>-4921063</v>
      </c>
    </row>
    <row r="1679" spans="1:9" ht="23">
      <c r="A1679" s="3" t="s">
        <v>2454</v>
      </c>
      <c r="B1679" s="10" t="s">
        <v>2455</v>
      </c>
      <c r="C1679" s="10" t="s">
        <v>56</v>
      </c>
      <c r="D1679" s="10" t="s">
        <v>11</v>
      </c>
      <c r="E1679" s="10">
        <v>110</v>
      </c>
      <c r="F1679" s="10">
        <v>2</v>
      </c>
      <c r="G1679" s="10">
        <v>24000000</v>
      </c>
      <c r="H1679" s="10">
        <v>25078937</v>
      </c>
      <c r="I1679" s="5">
        <f>IMDB_Movies!$H1679-IMDB_Movies!$G1679</f>
        <v>1078937</v>
      </c>
    </row>
    <row r="1680" spans="1:9" ht="23">
      <c r="A1680" s="2" t="s">
        <v>2456</v>
      </c>
      <c r="B1680" s="9" t="s">
        <v>2457</v>
      </c>
      <c r="C1680" s="9" t="s">
        <v>418</v>
      </c>
      <c r="D1680" s="9" t="s">
        <v>11</v>
      </c>
      <c r="E1680" s="9">
        <v>103</v>
      </c>
      <c r="F1680" s="9">
        <v>5.7</v>
      </c>
      <c r="G1680" s="9">
        <v>30000000</v>
      </c>
      <c r="H1680" s="9">
        <v>25078937</v>
      </c>
      <c r="I1680" s="5">
        <f>IMDB_Movies!$H1680-IMDB_Movies!$G1680</f>
        <v>-4921063</v>
      </c>
    </row>
    <row r="1681" spans="1:9" ht="23">
      <c r="A1681" s="3" t="s">
        <v>2458</v>
      </c>
      <c r="B1681" s="10" t="s">
        <v>2459</v>
      </c>
      <c r="C1681" s="10" t="s">
        <v>24</v>
      </c>
      <c r="D1681" s="10" t="s">
        <v>1544</v>
      </c>
      <c r="E1681" s="10">
        <v>85</v>
      </c>
      <c r="F1681" s="10">
        <v>4.0999999999999996</v>
      </c>
      <c r="G1681" s="10">
        <v>30000000</v>
      </c>
      <c r="H1681" s="10">
        <v>25078937</v>
      </c>
      <c r="I1681" s="5">
        <f>IMDB_Movies!$H1681-IMDB_Movies!$G1681</f>
        <v>-4921063</v>
      </c>
    </row>
    <row r="1682" spans="1:9" ht="23">
      <c r="A1682" s="2" t="s">
        <v>2460</v>
      </c>
      <c r="B1682" s="9" t="s">
        <v>2461</v>
      </c>
      <c r="C1682" s="9" t="s">
        <v>414</v>
      </c>
      <c r="D1682" s="9" t="s">
        <v>11</v>
      </c>
      <c r="E1682" s="9">
        <v>110</v>
      </c>
      <c r="F1682" s="9">
        <v>6.7</v>
      </c>
      <c r="G1682" s="9">
        <v>30000000</v>
      </c>
      <c r="H1682" s="9">
        <v>25078937</v>
      </c>
      <c r="I1682" s="5">
        <f>IMDB_Movies!$H1682-IMDB_Movies!$G1682</f>
        <v>-4921063</v>
      </c>
    </row>
    <row r="1683" spans="1:9" ht="23">
      <c r="A1683" s="3" t="s">
        <v>2462</v>
      </c>
      <c r="B1683" s="10" t="s">
        <v>2463</v>
      </c>
      <c r="C1683" s="10" t="s">
        <v>24</v>
      </c>
      <c r="D1683" s="10" t="s">
        <v>11</v>
      </c>
      <c r="E1683" s="10">
        <v>89</v>
      </c>
      <c r="F1683" s="10">
        <v>7.5</v>
      </c>
      <c r="G1683" s="10">
        <v>19000000</v>
      </c>
      <c r="H1683" s="10">
        <v>25078937</v>
      </c>
      <c r="I1683" s="5">
        <f>IMDB_Movies!$H1683-IMDB_Movies!$G1683</f>
        <v>6078937</v>
      </c>
    </row>
    <row r="1684" spans="1:9" ht="23">
      <c r="A1684" s="2" t="s">
        <v>2464</v>
      </c>
      <c r="B1684" s="9" t="s">
        <v>2465</v>
      </c>
      <c r="C1684" s="9" t="s">
        <v>138</v>
      </c>
      <c r="D1684" s="9" t="s">
        <v>11</v>
      </c>
      <c r="E1684" s="9">
        <v>115</v>
      </c>
      <c r="F1684" s="9">
        <v>6.5</v>
      </c>
      <c r="G1684" s="9">
        <v>29000000</v>
      </c>
      <c r="H1684" s="9">
        <v>183436380</v>
      </c>
      <c r="I1684" s="5">
        <f>IMDB_Movies!$H1684-IMDB_Movies!$G1684</f>
        <v>154436380</v>
      </c>
    </row>
    <row r="1685" spans="1:9" ht="23">
      <c r="A1685" s="3" t="s">
        <v>2466</v>
      </c>
      <c r="B1685" s="10" t="s">
        <v>382</v>
      </c>
      <c r="C1685" s="10" t="s">
        <v>418</v>
      </c>
      <c r="D1685" s="10" t="s">
        <v>11</v>
      </c>
      <c r="E1685" s="10">
        <v>153</v>
      </c>
      <c r="F1685" s="10">
        <v>7.9</v>
      </c>
      <c r="G1685" s="10">
        <v>28000000</v>
      </c>
      <c r="H1685" s="10">
        <v>119518352</v>
      </c>
      <c r="I1685" s="5">
        <f>IMDB_Movies!$H1685-IMDB_Movies!$G1685</f>
        <v>91518352</v>
      </c>
    </row>
    <row r="1686" spans="1:9" ht="23">
      <c r="A1686" s="2" t="s">
        <v>2467</v>
      </c>
      <c r="B1686" s="9" t="s">
        <v>2468</v>
      </c>
      <c r="C1686" s="9" t="s">
        <v>138</v>
      </c>
      <c r="D1686" s="9" t="s">
        <v>11</v>
      </c>
      <c r="E1686" s="9">
        <v>128</v>
      </c>
      <c r="F1686" s="9">
        <v>6.4</v>
      </c>
      <c r="G1686" s="9">
        <v>30000000</v>
      </c>
      <c r="H1686" s="9">
        <v>37036404</v>
      </c>
      <c r="I1686" s="5">
        <f>IMDB_Movies!$H1686-IMDB_Movies!$G1686</f>
        <v>7036404</v>
      </c>
    </row>
    <row r="1687" spans="1:9" ht="23">
      <c r="A1687" s="3" t="s">
        <v>2469</v>
      </c>
      <c r="B1687" s="10" t="s">
        <v>1392</v>
      </c>
      <c r="C1687" s="10" t="s">
        <v>24</v>
      </c>
      <c r="D1687" s="10" t="s">
        <v>11</v>
      </c>
      <c r="E1687" s="10">
        <v>89</v>
      </c>
      <c r="F1687" s="10">
        <v>5.8</v>
      </c>
      <c r="G1687" s="10">
        <v>29000000</v>
      </c>
      <c r="H1687" s="10">
        <v>22359293</v>
      </c>
      <c r="I1687" s="5">
        <f>IMDB_Movies!$H1687-IMDB_Movies!$G1687</f>
        <v>-6640707</v>
      </c>
    </row>
    <row r="1688" spans="1:9" ht="23">
      <c r="A1688" s="2" t="s">
        <v>2470</v>
      </c>
      <c r="B1688" s="9" t="s">
        <v>227</v>
      </c>
      <c r="C1688" s="9" t="s">
        <v>56</v>
      </c>
      <c r="D1688" s="9" t="s">
        <v>11</v>
      </c>
      <c r="E1688" s="9">
        <v>122</v>
      </c>
      <c r="F1688" s="9">
        <v>7.7</v>
      </c>
      <c r="G1688" s="9">
        <v>35000000</v>
      </c>
      <c r="H1688" s="9">
        <v>18593156</v>
      </c>
      <c r="I1688" s="5">
        <f>IMDB_Movies!$H1688-IMDB_Movies!$G1688</f>
        <v>-16406844</v>
      </c>
    </row>
    <row r="1689" spans="1:9" ht="23">
      <c r="A1689" s="3" t="s">
        <v>2471</v>
      </c>
      <c r="B1689" s="10" t="s">
        <v>908</v>
      </c>
      <c r="C1689" s="10" t="s">
        <v>418</v>
      </c>
      <c r="D1689" s="10" t="s">
        <v>11</v>
      </c>
      <c r="E1689" s="10">
        <v>113</v>
      </c>
      <c r="F1689" s="10">
        <v>7.1</v>
      </c>
      <c r="G1689" s="10">
        <v>29000000</v>
      </c>
      <c r="H1689" s="10">
        <v>25078937</v>
      </c>
      <c r="I1689" s="5">
        <f>IMDB_Movies!$H1689-IMDB_Movies!$G1689</f>
        <v>-3921063</v>
      </c>
    </row>
    <row r="1690" spans="1:9" ht="23">
      <c r="A1690" s="2" t="s">
        <v>2472</v>
      </c>
      <c r="B1690" s="9" t="s">
        <v>1679</v>
      </c>
      <c r="C1690" s="9" t="s">
        <v>138</v>
      </c>
      <c r="D1690" s="9" t="s">
        <v>11</v>
      </c>
      <c r="E1690" s="9">
        <v>99</v>
      </c>
      <c r="F1690" s="9">
        <v>5.3</v>
      </c>
      <c r="G1690" s="9">
        <v>29000000</v>
      </c>
      <c r="H1690" s="9">
        <v>16930185</v>
      </c>
      <c r="I1690" s="5">
        <f>IMDB_Movies!$H1690-IMDB_Movies!$G1690</f>
        <v>-12069815</v>
      </c>
    </row>
    <row r="1691" spans="1:9" ht="23">
      <c r="A1691" s="3" t="s">
        <v>2473</v>
      </c>
      <c r="B1691" s="10" t="s">
        <v>2474</v>
      </c>
      <c r="C1691" s="10" t="s">
        <v>138</v>
      </c>
      <c r="D1691" s="10" t="s">
        <v>11</v>
      </c>
      <c r="E1691" s="10">
        <v>99</v>
      </c>
      <c r="F1691" s="10">
        <v>5.3</v>
      </c>
      <c r="G1691" s="10">
        <v>29000000</v>
      </c>
      <c r="H1691" s="10">
        <v>63034755</v>
      </c>
      <c r="I1691" s="5">
        <f>IMDB_Movies!$H1691-IMDB_Movies!$G1691</f>
        <v>34034755</v>
      </c>
    </row>
    <row r="1692" spans="1:9" ht="23">
      <c r="A1692" s="2" t="s">
        <v>2475</v>
      </c>
      <c r="B1692" s="9" t="s">
        <v>2476</v>
      </c>
      <c r="C1692" s="9" t="s">
        <v>418</v>
      </c>
      <c r="D1692" s="9" t="s">
        <v>11</v>
      </c>
      <c r="E1692" s="9">
        <v>147</v>
      </c>
      <c r="F1692" s="9">
        <v>7.5</v>
      </c>
      <c r="G1692" s="9">
        <v>29000000</v>
      </c>
      <c r="H1692" s="9">
        <v>5899797</v>
      </c>
      <c r="I1692" s="5">
        <f>IMDB_Movies!$H1692-IMDB_Movies!$G1692</f>
        <v>-23100203</v>
      </c>
    </row>
    <row r="1693" spans="1:9" ht="23">
      <c r="A1693" s="3" t="s">
        <v>2477</v>
      </c>
      <c r="B1693" s="10" t="s">
        <v>976</v>
      </c>
      <c r="C1693" s="10" t="s">
        <v>138</v>
      </c>
      <c r="D1693" s="10" t="s">
        <v>11</v>
      </c>
      <c r="E1693" s="10">
        <v>112</v>
      </c>
      <c r="F1693" s="10">
        <v>6.9</v>
      </c>
      <c r="G1693" s="10">
        <v>28000000</v>
      </c>
      <c r="H1693" s="10">
        <v>4554569</v>
      </c>
      <c r="I1693" s="5">
        <f>IMDB_Movies!$H1693-IMDB_Movies!$G1693</f>
        <v>-23445431</v>
      </c>
    </row>
    <row r="1694" spans="1:9" ht="23">
      <c r="A1694" s="2" t="s">
        <v>2478</v>
      </c>
      <c r="B1694" s="9" t="s">
        <v>2479</v>
      </c>
      <c r="C1694" s="9" t="s">
        <v>138</v>
      </c>
      <c r="D1694" s="9" t="s">
        <v>11</v>
      </c>
      <c r="E1694" s="9">
        <v>88</v>
      </c>
      <c r="F1694" s="9">
        <v>4.9000000000000004</v>
      </c>
      <c r="G1694" s="9">
        <v>12000000</v>
      </c>
      <c r="H1694" s="9">
        <v>17016190</v>
      </c>
      <c r="I1694" s="5">
        <f>IMDB_Movies!$H1694-IMDB_Movies!$G1694</f>
        <v>5016190</v>
      </c>
    </row>
    <row r="1695" spans="1:9" ht="23">
      <c r="A1695" s="3" t="s">
        <v>2480</v>
      </c>
      <c r="B1695" s="10" t="s">
        <v>2481</v>
      </c>
      <c r="C1695" s="10" t="s">
        <v>56</v>
      </c>
      <c r="D1695" s="10" t="s">
        <v>11</v>
      </c>
      <c r="E1695" s="10">
        <v>94</v>
      </c>
      <c r="F1695" s="10">
        <v>7.1</v>
      </c>
      <c r="G1695" s="10">
        <v>29000000</v>
      </c>
      <c r="H1695" s="10">
        <v>6301131</v>
      </c>
      <c r="I1695" s="5">
        <f>IMDB_Movies!$H1695-IMDB_Movies!$G1695</f>
        <v>-22698869</v>
      </c>
    </row>
    <row r="1696" spans="1:9" ht="23">
      <c r="A1696" s="2" t="s">
        <v>2482</v>
      </c>
      <c r="B1696" s="9" t="s">
        <v>447</v>
      </c>
      <c r="C1696" s="9" t="s">
        <v>24</v>
      </c>
      <c r="D1696" s="9" t="s">
        <v>11</v>
      </c>
      <c r="E1696" s="9">
        <v>90</v>
      </c>
      <c r="F1696" s="9">
        <v>8</v>
      </c>
      <c r="G1696" s="9">
        <v>28000000</v>
      </c>
      <c r="H1696" s="9">
        <v>217350219</v>
      </c>
      <c r="I1696" s="5">
        <f>IMDB_Movies!$H1696-IMDB_Movies!$G1696</f>
        <v>189350219</v>
      </c>
    </row>
    <row r="1697" spans="1:9" ht="23">
      <c r="A1697" s="3" t="s">
        <v>2483</v>
      </c>
      <c r="B1697" s="10" t="s">
        <v>823</v>
      </c>
      <c r="C1697" s="10" t="s">
        <v>418</v>
      </c>
      <c r="D1697" s="10" t="s">
        <v>11</v>
      </c>
      <c r="E1697" s="10">
        <v>167</v>
      </c>
      <c r="F1697" s="10">
        <v>7.9</v>
      </c>
      <c r="G1697" s="10">
        <v>28000000</v>
      </c>
      <c r="H1697" s="10">
        <v>161029270</v>
      </c>
      <c r="I1697" s="5">
        <f>IMDB_Movies!$H1697-IMDB_Movies!$G1697</f>
        <v>133029270</v>
      </c>
    </row>
    <row r="1698" spans="1:9" ht="23">
      <c r="A1698" s="2" t="s">
        <v>2484</v>
      </c>
      <c r="B1698" s="9" t="s">
        <v>103</v>
      </c>
      <c r="C1698" s="9" t="s">
        <v>10</v>
      </c>
      <c r="D1698" s="9" t="s">
        <v>11</v>
      </c>
      <c r="E1698" s="9">
        <v>118</v>
      </c>
      <c r="F1698" s="9">
        <v>7.6</v>
      </c>
      <c r="G1698" s="9">
        <v>28000000</v>
      </c>
      <c r="H1698" s="9">
        <v>179870271</v>
      </c>
      <c r="I1698" s="5">
        <f>IMDB_Movies!$H1698-IMDB_Movies!$G1698</f>
        <v>151870271</v>
      </c>
    </row>
    <row r="1699" spans="1:9" ht="23">
      <c r="A1699" s="3" t="s">
        <v>2485</v>
      </c>
      <c r="B1699" s="10" t="s">
        <v>2486</v>
      </c>
      <c r="C1699" s="10" t="s">
        <v>24</v>
      </c>
      <c r="D1699" s="10" t="s">
        <v>11</v>
      </c>
      <c r="E1699" s="10">
        <v>83</v>
      </c>
      <c r="F1699" s="10">
        <v>5.9</v>
      </c>
      <c r="G1699" s="10">
        <v>24000000</v>
      </c>
      <c r="H1699" s="10">
        <v>100491683</v>
      </c>
      <c r="I1699" s="5">
        <f>IMDB_Movies!$H1699-IMDB_Movies!$G1699</f>
        <v>76491683</v>
      </c>
    </row>
    <row r="1700" spans="1:9" ht="23">
      <c r="A1700" s="2" t="s">
        <v>2487</v>
      </c>
      <c r="B1700" s="9" t="s">
        <v>261</v>
      </c>
      <c r="C1700" s="9" t="s">
        <v>414</v>
      </c>
      <c r="D1700" s="9" t="s">
        <v>11</v>
      </c>
      <c r="E1700" s="9">
        <v>104</v>
      </c>
      <c r="F1700" s="9">
        <v>6.3</v>
      </c>
      <c r="G1700" s="9">
        <v>60000000</v>
      </c>
      <c r="H1700" s="9">
        <v>74058698</v>
      </c>
      <c r="I1700" s="5">
        <f>IMDB_Movies!$H1700-IMDB_Movies!$G1700</f>
        <v>14058698</v>
      </c>
    </row>
    <row r="1701" spans="1:9" ht="23">
      <c r="A1701" s="3" t="s">
        <v>2488</v>
      </c>
      <c r="B1701" s="10" t="s">
        <v>1548</v>
      </c>
      <c r="C1701" s="10" t="s">
        <v>418</v>
      </c>
      <c r="D1701" s="10" t="s">
        <v>11</v>
      </c>
      <c r="E1701" s="10">
        <v>110</v>
      </c>
      <c r="F1701" s="10">
        <v>7.1</v>
      </c>
      <c r="G1701" s="10">
        <v>29000000</v>
      </c>
      <c r="H1701" s="10">
        <v>25078937</v>
      </c>
      <c r="I1701" s="5">
        <f>IMDB_Movies!$H1701-IMDB_Movies!$G1701</f>
        <v>-3921063</v>
      </c>
    </row>
    <row r="1702" spans="1:9" ht="23">
      <c r="A1702" s="2" t="s">
        <v>2489</v>
      </c>
      <c r="B1702" s="9" t="s">
        <v>1327</v>
      </c>
      <c r="C1702" s="9" t="s">
        <v>10</v>
      </c>
      <c r="D1702" s="9" t="s">
        <v>11</v>
      </c>
      <c r="E1702" s="9">
        <v>102</v>
      </c>
      <c r="F1702" s="9">
        <v>6.4</v>
      </c>
      <c r="G1702" s="9">
        <v>29000000</v>
      </c>
      <c r="H1702" s="9">
        <v>55845943</v>
      </c>
      <c r="I1702" s="5">
        <f>IMDB_Movies!$H1702-IMDB_Movies!$G1702</f>
        <v>26845943</v>
      </c>
    </row>
    <row r="1703" spans="1:9" ht="23">
      <c r="A1703" s="3" t="s">
        <v>2490</v>
      </c>
      <c r="B1703" s="10" t="s">
        <v>353</v>
      </c>
      <c r="C1703" s="10" t="s">
        <v>10</v>
      </c>
      <c r="D1703" s="10" t="s">
        <v>11</v>
      </c>
      <c r="E1703" s="10">
        <v>131</v>
      </c>
      <c r="F1703" s="10">
        <v>8.1999999999999993</v>
      </c>
      <c r="G1703" s="10">
        <v>28000000</v>
      </c>
      <c r="H1703" s="10">
        <v>81350242</v>
      </c>
      <c r="I1703" s="5">
        <f>IMDB_Movies!$H1703-IMDB_Movies!$G1703</f>
        <v>53350242</v>
      </c>
    </row>
    <row r="1704" spans="1:9" ht="23">
      <c r="A1704" s="2" t="s">
        <v>2491</v>
      </c>
      <c r="B1704" s="9" t="s">
        <v>2191</v>
      </c>
      <c r="C1704" s="9" t="s">
        <v>138</v>
      </c>
      <c r="D1704" s="9" t="s">
        <v>11</v>
      </c>
      <c r="E1704" s="9">
        <v>101</v>
      </c>
      <c r="F1704" s="9">
        <v>6.9</v>
      </c>
      <c r="G1704" s="9">
        <v>28000000</v>
      </c>
      <c r="H1704" s="9">
        <v>67266300</v>
      </c>
      <c r="I1704" s="5">
        <f>IMDB_Movies!$H1704-IMDB_Movies!$G1704</f>
        <v>39266300</v>
      </c>
    </row>
    <row r="1705" spans="1:9" ht="23">
      <c r="A1705" s="3" t="s">
        <v>2492</v>
      </c>
      <c r="B1705" s="10" t="s">
        <v>468</v>
      </c>
      <c r="C1705" s="10" t="s">
        <v>418</v>
      </c>
      <c r="D1705" s="10" t="s">
        <v>11</v>
      </c>
      <c r="E1705" s="10">
        <v>130</v>
      </c>
      <c r="F1705" s="10">
        <v>7.8</v>
      </c>
      <c r="G1705" s="10">
        <v>28000000</v>
      </c>
      <c r="H1705" s="10">
        <v>70235322</v>
      </c>
      <c r="I1705" s="5">
        <f>IMDB_Movies!$H1705-IMDB_Movies!$G1705</f>
        <v>42235322</v>
      </c>
    </row>
    <row r="1706" spans="1:9" ht="23">
      <c r="A1706" s="2" t="s">
        <v>2493</v>
      </c>
      <c r="B1706" s="9" t="s">
        <v>287</v>
      </c>
      <c r="C1706" s="9" t="s">
        <v>138</v>
      </c>
      <c r="D1706" s="9" t="s">
        <v>11</v>
      </c>
      <c r="E1706" s="9">
        <v>120</v>
      </c>
      <c r="F1706" s="9">
        <v>6.7</v>
      </c>
      <c r="G1706" s="9">
        <v>30000000</v>
      </c>
      <c r="H1706" s="9">
        <v>7443007</v>
      </c>
      <c r="I1706" s="5">
        <f>IMDB_Movies!$H1706-IMDB_Movies!$G1706</f>
        <v>-22556993</v>
      </c>
    </row>
    <row r="1707" spans="1:9" ht="23">
      <c r="A1707" s="3" t="s">
        <v>2494</v>
      </c>
      <c r="B1707" s="10" t="s">
        <v>2402</v>
      </c>
      <c r="C1707" s="10" t="s">
        <v>418</v>
      </c>
      <c r="D1707" s="10" t="s">
        <v>11</v>
      </c>
      <c r="E1707" s="10">
        <v>135</v>
      </c>
      <c r="F1707" s="10">
        <v>7.5</v>
      </c>
      <c r="G1707" s="10">
        <v>28000000</v>
      </c>
      <c r="H1707" s="10">
        <v>64371181</v>
      </c>
      <c r="I1707" s="5">
        <f>IMDB_Movies!$H1707-IMDB_Movies!$G1707</f>
        <v>36371181</v>
      </c>
    </row>
    <row r="1708" spans="1:9" ht="23">
      <c r="A1708" s="2" t="s">
        <v>2495</v>
      </c>
      <c r="B1708" s="9" t="s">
        <v>30</v>
      </c>
      <c r="C1708" s="9" t="s">
        <v>10</v>
      </c>
      <c r="D1708" s="9" t="s">
        <v>11</v>
      </c>
      <c r="E1708" s="9">
        <v>110</v>
      </c>
      <c r="F1708" s="9">
        <v>7.4</v>
      </c>
      <c r="G1708" s="9">
        <v>26000000</v>
      </c>
      <c r="H1708" s="9">
        <v>58885635</v>
      </c>
      <c r="I1708" s="5">
        <f>IMDB_Movies!$H1708-IMDB_Movies!$G1708</f>
        <v>32885635</v>
      </c>
    </row>
    <row r="1709" spans="1:9" ht="23">
      <c r="A1709" s="3" t="s">
        <v>2496</v>
      </c>
      <c r="B1709" s="10" t="s">
        <v>700</v>
      </c>
      <c r="C1709" s="10" t="s">
        <v>138</v>
      </c>
      <c r="D1709" s="10" t="s">
        <v>11</v>
      </c>
      <c r="E1709" s="10">
        <v>103</v>
      </c>
      <c r="F1709" s="10">
        <v>5.2</v>
      </c>
      <c r="G1709" s="10">
        <v>35000000</v>
      </c>
      <c r="H1709" s="10">
        <v>60400856</v>
      </c>
      <c r="I1709" s="5">
        <f>IMDB_Movies!$H1709-IMDB_Movies!$G1709</f>
        <v>25400856</v>
      </c>
    </row>
    <row r="1710" spans="1:9" ht="23">
      <c r="A1710" s="2" t="s">
        <v>2497</v>
      </c>
      <c r="B1710" s="9" t="s">
        <v>2498</v>
      </c>
      <c r="C1710" s="9" t="s">
        <v>24</v>
      </c>
      <c r="D1710" s="9" t="s">
        <v>179</v>
      </c>
      <c r="E1710" s="9">
        <v>115</v>
      </c>
      <c r="F1710" s="9">
        <v>6.5</v>
      </c>
      <c r="G1710" s="9">
        <v>30000000</v>
      </c>
      <c r="H1710" s="9">
        <v>25078937</v>
      </c>
      <c r="I1710" s="5">
        <f>IMDB_Movies!$H1710-IMDB_Movies!$G1710</f>
        <v>-4921063</v>
      </c>
    </row>
    <row r="1711" spans="1:9" ht="23">
      <c r="A1711" s="3" t="s">
        <v>2499</v>
      </c>
      <c r="B1711" s="10" t="s">
        <v>1473</v>
      </c>
      <c r="C1711" s="10" t="s">
        <v>138</v>
      </c>
      <c r="D1711" s="10" t="s">
        <v>11</v>
      </c>
      <c r="E1711" s="10">
        <v>110</v>
      </c>
      <c r="F1711" s="10">
        <v>7.6</v>
      </c>
      <c r="G1711" s="10">
        <v>21000000</v>
      </c>
      <c r="H1711" s="10">
        <v>52353636</v>
      </c>
      <c r="I1711" s="5">
        <f>IMDB_Movies!$H1711-IMDB_Movies!$G1711</f>
        <v>31353636</v>
      </c>
    </row>
    <row r="1712" spans="1:9" ht="23">
      <c r="A1712" s="2" t="s">
        <v>2500</v>
      </c>
      <c r="B1712" s="9" t="s">
        <v>382</v>
      </c>
      <c r="C1712" s="9" t="s">
        <v>228</v>
      </c>
      <c r="D1712" s="9" t="s">
        <v>11</v>
      </c>
      <c r="E1712" s="9">
        <v>91</v>
      </c>
      <c r="F1712" s="9">
        <v>7.3</v>
      </c>
      <c r="G1712" s="9">
        <v>30000000</v>
      </c>
      <c r="H1712" s="9">
        <v>51475962</v>
      </c>
      <c r="I1712" s="5">
        <f>IMDB_Movies!$H1712-IMDB_Movies!$G1712</f>
        <v>21475962</v>
      </c>
    </row>
    <row r="1713" spans="1:9" ht="23">
      <c r="A1713" s="3" t="s">
        <v>2501</v>
      </c>
      <c r="B1713" s="10" t="s">
        <v>189</v>
      </c>
      <c r="C1713" s="10" t="s">
        <v>138</v>
      </c>
      <c r="D1713" s="10" t="s">
        <v>11</v>
      </c>
      <c r="E1713" s="10">
        <v>105</v>
      </c>
      <c r="F1713" s="10">
        <v>6.6</v>
      </c>
      <c r="G1713" s="10">
        <v>28000000</v>
      </c>
      <c r="H1713" s="10">
        <v>63910583</v>
      </c>
      <c r="I1713" s="5">
        <f>IMDB_Movies!$H1713-IMDB_Movies!$G1713</f>
        <v>35910583</v>
      </c>
    </row>
    <row r="1714" spans="1:9" ht="23">
      <c r="A1714" s="2" t="s">
        <v>2502</v>
      </c>
      <c r="B1714" s="9" t="s">
        <v>1691</v>
      </c>
      <c r="C1714" s="9" t="s">
        <v>10</v>
      </c>
      <c r="D1714" s="9" t="s">
        <v>11</v>
      </c>
      <c r="E1714" s="9">
        <v>127</v>
      </c>
      <c r="F1714" s="9">
        <v>6.8</v>
      </c>
      <c r="G1714" s="9">
        <v>28000000</v>
      </c>
      <c r="H1714" s="9">
        <v>62300000</v>
      </c>
      <c r="I1714" s="5">
        <f>IMDB_Movies!$H1714-IMDB_Movies!$G1714</f>
        <v>34300000</v>
      </c>
    </row>
    <row r="1715" spans="1:9" ht="23">
      <c r="A1715" s="3" t="s">
        <v>2503</v>
      </c>
      <c r="B1715" s="10" t="s">
        <v>451</v>
      </c>
      <c r="C1715" s="10" t="s">
        <v>138</v>
      </c>
      <c r="D1715" s="10" t="s">
        <v>11</v>
      </c>
      <c r="E1715" s="10">
        <v>82</v>
      </c>
      <c r="F1715" s="10">
        <v>6.9</v>
      </c>
      <c r="G1715" s="10">
        <v>28000000</v>
      </c>
      <c r="H1715" s="10">
        <v>49968653</v>
      </c>
      <c r="I1715" s="5">
        <f>IMDB_Movies!$H1715-IMDB_Movies!$G1715</f>
        <v>21968653</v>
      </c>
    </row>
    <row r="1716" spans="1:9" ht="23">
      <c r="A1716" s="2" t="s">
        <v>2504</v>
      </c>
      <c r="B1716" s="9" t="s">
        <v>489</v>
      </c>
      <c r="C1716" s="9" t="s">
        <v>10</v>
      </c>
      <c r="D1716" s="9" t="s">
        <v>11</v>
      </c>
      <c r="E1716" s="9">
        <v>99</v>
      </c>
      <c r="F1716" s="9">
        <v>5.8</v>
      </c>
      <c r="G1716" s="9">
        <v>27000000</v>
      </c>
      <c r="H1716" s="9">
        <v>44450000</v>
      </c>
      <c r="I1716" s="5">
        <f>IMDB_Movies!$H1716-IMDB_Movies!$G1716</f>
        <v>17450000</v>
      </c>
    </row>
    <row r="1717" spans="1:9" ht="23">
      <c r="A1717" s="3" t="s">
        <v>2505</v>
      </c>
      <c r="B1717" s="10" t="s">
        <v>568</v>
      </c>
      <c r="C1717" s="10" t="s">
        <v>138</v>
      </c>
      <c r="D1717" s="10" t="s">
        <v>11</v>
      </c>
      <c r="E1717" s="10">
        <v>90</v>
      </c>
      <c r="F1717" s="10">
        <v>6.6</v>
      </c>
      <c r="G1717" s="10">
        <v>28000000</v>
      </c>
      <c r="H1717" s="10">
        <v>45162741</v>
      </c>
      <c r="I1717" s="5">
        <f>IMDB_Movies!$H1717-IMDB_Movies!$G1717</f>
        <v>17162741</v>
      </c>
    </row>
    <row r="1718" spans="1:9" ht="23">
      <c r="A1718" s="2" t="s">
        <v>2506</v>
      </c>
      <c r="B1718" s="9" t="s">
        <v>2117</v>
      </c>
      <c r="C1718" s="9" t="s">
        <v>56</v>
      </c>
      <c r="D1718" s="9" t="s">
        <v>11</v>
      </c>
      <c r="E1718" s="9">
        <v>115</v>
      </c>
      <c r="F1718" s="9">
        <v>6.7</v>
      </c>
      <c r="G1718" s="9">
        <v>28000000</v>
      </c>
      <c r="H1718" s="9">
        <v>71346930</v>
      </c>
      <c r="I1718" s="5">
        <f>IMDB_Movies!$H1718-IMDB_Movies!$G1718</f>
        <v>43346930</v>
      </c>
    </row>
    <row r="1719" spans="1:9" ht="23">
      <c r="A1719" s="3" t="s">
        <v>2507</v>
      </c>
      <c r="B1719" s="10" t="s">
        <v>1095</v>
      </c>
      <c r="C1719" s="10" t="s">
        <v>138</v>
      </c>
      <c r="D1719" s="10" t="s">
        <v>11</v>
      </c>
      <c r="E1719" s="10">
        <v>96</v>
      </c>
      <c r="F1719" s="10">
        <v>6.7</v>
      </c>
      <c r="G1719" s="10">
        <v>28000000</v>
      </c>
      <c r="H1719" s="10">
        <v>39514713</v>
      </c>
      <c r="I1719" s="5">
        <f>IMDB_Movies!$H1719-IMDB_Movies!$G1719</f>
        <v>11514713</v>
      </c>
    </row>
    <row r="1720" spans="1:9" ht="23">
      <c r="A1720" s="2" t="s">
        <v>2508</v>
      </c>
      <c r="B1720" s="9" t="s">
        <v>1995</v>
      </c>
      <c r="C1720" s="9" t="s">
        <v>138</v>
      </c>
      <c r="D1720" s="9" t="s">
        <v>11</v>
      </c>
      <c r="E1720" s="9">
        <v>104</v>
      </c>
      <c r="F1720" s="9">
        <v>6.3</v>
      </c>
      <c r="G1720" s="9">
        <v>28000000</v>
      </c>
      <c r="H1720" s="9">
        <v>43097652</v>
      </c>
      <c r="I1720" s="5">
        <f>IMDB_Movies!$H1720-IMDB_Movies!$G1720</f>
        <v>15097652</v>
      </c>
    </row>
    <row r="1721" spans="1:9" ht="23">
      <c r="A1721" s="3" t="s">
        <v>2509</v>
      </c>
      <c r="B1721" s="10" t="s">
        <v>185</v>
      </c>
      <c r="C1721" s="10" t="s">
        <v>10</v>
      </c>
      <c r="D1721" s="10" t="s">
        <v>11</v>
      </c>
      <c r="E1721" s="10">
        <v>117</v>
      </c>
      <c r="F1721" s="10">
        <v>7.7</v>
      </c>
      <c r="G1721" s="10">
        <v>30000000</v>
      </c>
      <c r="H1721" s="10">
        <v>48043505</v>
      </c>
      <c r="I1721" s="5">
        <f>IMDB_Movies!$H1721-IMDB_Movies!$G1721</f>
        <v>18043505</v>
      </c>
    </row>
    <row r="1722" spans="1:9" ht="23">
      <c r="A1722" s="2" t="s">
        <v>2510</v>
      </c>
      <c r="B1722" s="9" t="s">
        <v>1139</v>
      </c>
      <c r="C1722" s="9" t="s">
        <v>10</v>
      </c>
      <c r="D1722" s="9" t="s">
        <v>11</v>
      </c>
      <c r="E1722" s="9">
        <v>83</v>
      </c>
      <c r="F1722" s="9">
        <v>6.1</v>
      </c>
      <c r="G1722" s="9">
        <v>28000000</v>
      </c>
      <c r="H1722" s="9">
        <v>37053924</v>
      </c>
      <c r="I1722" s="5">
        <f>IMDB_Movies!$H1722-IMDB_Movies!$G1722</f>
        <v>9053924</v>
      </c>
    </row>
    <row r="1723" spans="1:9" ht="23">
      <c r="A1723" s="3" t="s">
        <v>2511</v>
      </c>
      <c r="B1723" s="10" t="s">
        <v>1505</v>
      </c>
      <c r="C1723" s="10" t="s">
        <v>10</v>
      </c>
      <c r="D1723" s="10" t="s">
        <v>11</v>
      </c>
      <c r="E1723" s="10">
        <v>99</v>
      </c>
      <c r="F1723" s="10">
        <v>4.9000000000000004</v>
      </c>
      <c r="G1723" s="10">
        <v>28000000</v>
      </c>
      <c r="H1723" s="10">
        <v>33000377</v>
      </c>
      <c r="I1723" s="5">
        <f>IMDB_Movies!$H1723-IMDB_Movies!$G1723</f>
        <v>5000377</v>
      </c>
    </row>
    <row r="1724" spans="1:9" ht="23">
      <c r="A1724" s="2" t="s">
        <v>2512</v>
      </c>
      <c r="B1724" s="9" t="s">
        <v>2513</v>
      </c>
      <c r="C1724" s="9" t="s">
        <v>138</v>
      </c>
      <c r="D1724" s="9" t="s">
        <v>11</v>
      </c>
      <c r="E1724" s="9">
        <v>81</v>
      </c>
      <c r="F1724" s="9">
        <v>6.2</v>
      </c>
      <c r="G1724" s="9">
        <v>28000000</v>
      </c>
      <c r="H1724" s="9">
        <v>66950483</v>
      </c>
      <c r="I1724" s="5">
        <f>IMDB_Movies!$H1724-IMDB_Movies!$G1724</f>
        <v>38950483</v>
      </c>
    </row>
    <row r="1725" spans="1:9" ht="23">
      <c r="A1725" s="3" t="s">
        <v>2514</v>
      </c>
      <c r="B1725" s="10" t="s">
        <v>255</v>
      </c>
      <c r="C1725" s="10" t="s">
        <v>56</v>
      </c>
      <c r="D1725" s="10" t="s">
        <v>11</v>
      </c>
      <c r="E1725" s="10">
        <v>135</v>
      </c>
      <c r="F1725" s="10">
        <v>7.8</v>
      </c>
      <c r="G1725" s="10">
        <v>28000000</v>
      </c>
      <c r="H1725" s="10">
        <v>38372662</v>
      </c>
      <c r="I1725" s="5">
        <f>IMDB_Movies!$H1725-IMDB_Movies!$G1725</f>
        <v>10372662</v>
      </c>
    </row>
    <row r="1726" spans="1:9" ht="23">
      <c r="A1726" s="2" t="s">
        <v>2515</v>
      </c>
      <c r="B1726" s="9" t="s">
        <v>50</v>
      </c>
      <c r="C1726" s="9" t="s">
        <v>790</v>
      </c>
      <c r="D1726" s="9" t="s">
        <v>11</v>
      </c>
      <c r="E1726" s="9">
        <v>117</v>
      </c>
      <c r="F1726" s="9">
        <v>8.1999999999999993</v>
      </c>
      <c r="G1726" s="9">
        <v>28000000</v>
      </c>
      <c r="H1726" s="9">
        <v>27000000</v>
      </c>
      <c r="I1726" s="5">
        <f>IMDB_Movies!$H1726-IMDB_Movies!$G1726</f>
        <v>-1000000</v>
      </c>
    </row>
    <row r="1727" spans="1:9" ht="23">
      <c r="A1727" s="3" t="s">
        <v>2516</v>
      </c>
      <c r="B1727" s="10" t="s">
        <v>940</v>
      </c>
      <c r="C1727" s="10" t="s">
        <v>24</v>
      </c>
      <c r="D1727" s="10" t="s">
        <v>11</v>
      </c>
      <c r="E1727" s="10">
        <v>139</v>
      </c>
      <c r="F1727" s="10">
        <v>6.9</v>
      </c>
      <c r="G1727" s="10">
        <v>28000000</v>
      </c>
      <c r="H1727" s="10">
        <v>31600000</v>
      </c>
      <c r="I1727" s="5">
        <f>IMDB_Movies!$H1727-IMDB_Movies!$G1727</f>
        <v>3600000</v>
      </c>
    </row>
    <row r="1728" spans="1:9" ht="23">
      <c r="A1728" s="2" t="s">
        <v>2517</v>
      </c>
      <c r="B1728" s="9" t="s">
        <v>87</v>
      </c>
      <c r="C1728" s="9" t="s">
        <v>10</v>
      </c>
      <c r="D1728" s="9" t="s">
        <v>11</v>
      </c>
      <c r="E1728" s="9">
        <v>123</v>
      </c>
      <c r="F1728" s="9">
        <v>6.2</v>
      </c>
      <c r="G1728" s="9">
        <v>28000000</v>
      </c>
      <c r="H1728" s="9">
        <v>30688364</v>
      </c>
      <c r="I1728" s="5">
        <f>IMDB_Movies!$H1728-IMDB_Movies!$G1728</f>
        <v>2688364</v>
      </c>
    </row>
    <row r="1729" spans="1:9" ht="23">
      <c r="A1729" s="3" t="s">
        <v>2518</v>
      </c>
      <c r="B1729" s="10" t="s">
        <v>2519</v>
      </c>
      <c r="C1729" s="10" t="s">
        <v>414</v>
      </c>
      <c r="D1729" s="10" t="s">
        <v>11</v>
      </c>
      <c r="E1729" s="10">
        <v>117</v>
      </c>
      <c r="F1729" s="10">
        <v>6.9</v>
      </c>
      <c r="G1729" s="10">
        <v>21000000</v>
      </c>
      <c r="H1729" s="10">
        <v>28563179</v>
      </c>
      <c r="I1729" s="5">
        <f>IMDB_Movies!$H1729-IMDB_Movies!$G1729</f>
        <v>7563179</v>
      </c>
    </row>
    <row r="1730" spans="1:9" ht="23">
      <c r="A1730" s="2" t="s">
        <v>2520</v>
      </c>
      <c r="B1730" s="9" t="s">
        <v>2521</v>
      </c>
      <c r="C1730" s="9" t="s">
        <v>56</v>
      </c>
      <c r="D1730" s="9" t="s">
        <v>11</v>
      </c>
      <c r="E1730" s="9">
        <v>97</v>
      </c>
      <c r="F1730" s="9">
        <v>4.8</v>
      </c>
      <c r="G1730" s="9">
        <v>28000000</v>
      </c>
      <c r="H1730" s="9">
        <v>16779636</v>
      </c>
      <c r="I1730" s="5">
        <f>IMDB_Movies!$H1730-IMDB_Movies!$G1730</f>
        <v>-11220364</v>
      </c>
    </row>
    <row r="1731" spans="1:9" ht="23">
      <c r="A1731" s="3" t="s">
        <v>2522</v>
      </c>
      <c r="B1731" s="10" t="s">
        <v>771</v>
      </c>
      <c r="C1731" s="10" t="s">
        <v>772</v>
      </c>
      <c r="D1731" s="10" t="s">
        <v>11</v>
      </c>
      <c r="E1731" s="10">
        <v>81</v>
      </c>
      <c r="F1731" s="10">
        <v>8</v>
      </c>
      <c r="G1731" s="10">
        <v>160000000</v>
      </c>
      <c r="H1731" s="10">
        <v>10762178</v>
      </c>
      <c r="I1731" s="5">
        <f>IMDB_Movies!$H1731-IMDB_Movies!$G1731</f>
        <v>-149237822</v>
      </c>
    </row>
    <row r="1732" spans="1:9" ht="23">
      <c r="A1732" s="2" t="s">
        <v>2523</v>
      </c>
      <c r="B1732" s="9" t="s">
        <v>1147</v>
      </c>
      <c r="C1732" s="9" t="s">
        <v>138</v>
      </c>
      <c r="D1732" s="9" t="s">
        <v>11</v>
      </c>
      <c r="E1732" s="9">
        <v>103</v>
      </c>
      <c r="F1732" s="9">
        <v>5.3</v>
      </c>
      <c r="G1732" s="9">
        <v>28000000</v>
      </c>
      <c r="H1732" s="9">
        <v>17324744</v>
      </c>
      <c r="I1732" s="5">
        <f>IMDB_Movies!$H1732-IMDB_Movies!$G1732</f>
        <v>-10675256</v>
      </c>
    </row>
    <row r="1733" spans="1:9" ht="23">
      <c r="A1733" s="3" t="s">
        <v>2524</v>
      </c>
      <c r="B1733" s="10" t="s">
        <v>528</v>
      </c>
      <c r="C1733" s="10" t="s">
        <v>138</v>
      </c>
      <c r="D1733" s="10" t="s">
        <v>11</v>
      </c>
      <c r="E1733" s="10">
        <v>119</v>
      </c>
      <c r="F1733" s="10">
        <v>6.7</v>
      </c>
      <c r="G1733" s="10">
        <v>28000000</v>
      </c>
      <c r="H1733" s="10">
        <v>8888143</v>
      </c>
      <c r="I1733" s="5">
        <f>IMDB_Movies!$H1733-IMDB_Movies!$G1733</f>
        <v>-19111857</v>
      </c>
    </row>
    <row r="1734" spans="1:9" ht="23">
      <c r="A1734" s="2" t="s">
        <v>2525</v>
      </c>
      <c r="B1734" s="9" t="s">
        <v>1106</v>
      </c>
      <c r="C1734" s="9" t="s">
        <v>10</v>
      </c>
      <c r="D1734" s="9" t="s">
        <v>11</v>
      </c>
      <c r="E1734" s="9">
        <v>94</v>
      </c>
      <c r="F1734" s="9">
        <v>5.4</v>
      </c>
      <c r="G1734" s="9">
        <v>28000000</v>
      </c>
      <c r="H1734" s="9">
        <v>24268828</v>
      </c>
      <c r="I1734" s="5">
        <f>IMDB_Movies!$H1734-IMDB_Movies!$G1734</f>
        <v>-3731172</v>
      </c>
    </row>
    <row r="1735" spans="1:9" ht="23">
      <c r="A1735" s="3" t="s">
        <v>2526</v>
      </c>
      <c r="B1735" s="10" t="s">
        <v>2062</v>
      </c>
      <c r="C1735" s="10" t="s">
        <v>138</v>
      </c>
      <c r="D1735" s="10" t="s">
        <v>11</v>
      </c>
      <c r="E1735" s="10">
        <v>89</v>
      </c>
      <c r="F1735" s="10">
        <v>5.4</v>
      </c>
      <c r="G1735" s="10">
        <v>28000000</v>
      </c>
      <c r="H1735" s="10">
        <v>8119205</v>
      </c>
      <c r="I1735" s="5">
        <f>IMDB_Movies!$H1735-IMDB_Movies!$G1735</f>
        <v>-19880795</v>
      </c>
    </row>
    <row r="1736" spans="1:9" ht="23">
      <c r="A1736" s="2" t="s">
        <v>2527</v>
      </c>
      <c r="B1736" s="9" t="s">
        <v>1470</v>
      </c>
      <c r="C1736" s="9" t="s">
        <v>10</v>
      </c>
      <c r="D1736" s="9" t="s">
        <v>11</v>
      </c>
      <c r="E1736" s="9">
        <v>98</v>
      </c>
      <c r="F1736" s="9">
        <v>4.9000000000000004</v>
      </c>
      <c r="G1736" s="9">
        <v>28000000</v>
      </c>
      <c r="H1736" s="9">
        <v>8434601</v>
      </c>
      <c r="I1736" s="5">
        <f>IMDB_Movies!$H1736-IMDB_Movies!$G1736</f>
        <v>-19565399</v>
      </c>
    </row>
    <row r="1737" spans="1:9" ht="23">
      <c r="A1737" s="3" t="s">
        <v>2528</v>
      </c>
      <c r="B1737" s="10" t="s">
        <v>1484</v>
      </c>
      <c r="C1737" s="10" t="s">
        <v>138</v>
      </c>
      <c r="D1737" s="10" t="s">
        <v>11</v>
      </c>
      <c r="E1737" s="10">
        <v>107</v>
      </c>
      <c r="F1737" s="10">
        <v>6.1</v>
      </c>
      <c r="G1737" s="10">
        <v>28000000</v>
      </c>
      <c r="H1737" s="10">
        <v>6998324</v>
      </c>
      <c r="I1737" s="5">
        <f>IMDB_Movies!$H1737-IMDB_Movies!$G1737</f>
        <v>-21001676</v>
      </c>
    </row>
    <row r="1738" spans="1:9" ht="23">
      <c r="A1738" s="2" t="s">
        <v>2529</v>
      </c>
      <c r="B1738" s="9" t="s">
        <v>1671</v>
      </c>
      <c r="C1738" s="9" t="s">
        <v>10</v>
      </c>
      <c r="D1738" s="9" t="s">
        <v>11</v>
      </c>
      <c r="E1738" s="9">
        <v>108</v>
      </c>
      <c r="F1738" s="9">
        <v>5.8</v>
      </c>
      <c r="G1738" s="9">
        <v>28000000</v>
      </c>
      <c r="H1738" s="9">
        <v>10907291</v>
      </c>
      <c r="I1738" s="5">
        <f>IMDB_Movies!$H1738-IMDB_Movies!$G1738</f>
        <v>-17092709</v>
      </c>
    </row>
    <row r="1739" spans="1:9" ht="23">
      <c r="A1739" s="3" t="s">
        <v>2530</v>
      </c>
      <c r="B1739" s="10" t="s">
        <v>130</v>
      </c>
      <c r="C1739" s="10" t="s">
        <v>418</v>
      </c>
      <c r="D1739" s="10" t="s">
        <v>11</v>
      </c>
      <c r="E1739" s="10">
        <v>134</v>
      </c>
      <c r="F1739" s="10">
        <v>7</v>
      </c>
      <c r="G1739" s="10">
        <v>28000000</v>
      </c>
      <c r="H1739" s="10">
        <v>5532301</v>
      </c>
      <c r="I1739" s="5">
        <f>IMDB_Movies!$H1739-IMDB_Movies!$G1739</f>
        <v>-22467699</v>
      </c>
    </row>
    <row r="1740" spans="1:9" ht="23">
      <c r="A1740" s="2" t="s">
        <v>2531</v>
      </c>
      <c r="B1740" s="9" t="s">
        <v>2532</v>
      </c>
      <c r="C1740" s="9" t="s">
        <v>138</v>
      </c>
      <c r="D1740" s="9" t="s">
        <v>11</v>
      </c>
      <c r="E1740" s="9">
        <v>110</v>
      </c>
      <c r="F1740" s="9">
        <v>6.5</v>
      </c>
      <c r="G1740" s="9">
        <v>27000000</v>
      </c>
      <c r="H1740" s="9">
        <v>2775593</v>
      </c>
      <c r="I1740" s="5">
        <f>IMDB_Movies!$H1740-IMDB_Movies!$G1740</f>
        <v>-24224407</v>
      </c>
    </row>
    <row r="1741" spans="1:9" ht="23">
      <c r="A1741" s="3" t="s">
        <v>2533</v>
      </c>
      <c r="B1741" s="10" t="s">
        <v>2534</v>
      </c>
      <c r="C1741" s="10" t="s">
        <v>10</v>
      </c>
      <c r="D1741" s="10" t="s">
        <v>11</v>
      </c>
      <c r="E1741" s="10">
        <v>103</v>
      </c>
      <c r="F1741" s="10">
        <v>6.6</v>
      </c>
      <c r="G1741" s="10">
        <v>28000000</v>
      </c>
      <c r="H1741" s="10">
        <v>28751715</v>
      </c>
      <c r="I1741" s="5">
        <f>IMDB_Movies!$H1741-IMDB_Movies!$G1741</f>
        <v>751715</v>
      </c>
    </row>
    <row r="1742" spans="1:9" ht="23">
      <c r="A1742" s="2" t="s">
        <v>2535</v>
      </c>
      <c r="B1742" s="9" t="s">
        <v>2536</v>
      </c>
      <c r="C1742" s="9" t="s">
        <v>24</v>
      </c>
      <c r="D1742" s="9" t="s">
        <v>741</v>
      </c>
      <c r="E1742" s="9">
        <v>145</v>
      </c>
      <c r="F1742" s="9">
        <v>6.1</v>
      </c>
      <c r="G1742" s="9">
        <v>24000000</v>
      </c>
      <c r="H1742" s="9">
        <v>25078937</v>
      </c>
      <c r="I1742" s="5">
        <f>IMDB_Movies!$H1742-IMDB_Movies!$G1742</f>
        <v>1078937</v>
      </c>
    </row>
    <row r="1743" spans="1:9" ht="23">
      <c r="A1743" s="3" t="s">
        <v>2537</v>
      </c>
      <c r="B1743" s="10" t="s">
        <v>2538</v>
      </c>
      <c r="C1743" s="10" t="s">
        <v>10</v>
      </c>
      <c r="D1743" s="10" t="s">
        <v>11</v>
      </c>
      <c r="E1743" s="10">
        <v>100</v>
      </c>
      <c r="F1743" s="10">
        <v>5.7</v>
      </c>
      <c r="G1743" s="10">
        <v>28000000</v>
      </c>
      <c r="H1743" s="10">
        <v>20285518</v>
      </c>
      <c r="I1743" s="5">
        <f>IMDB_Movies!$H1743-IMDB_Movies!$G1743</f>
        <v>-7714482</v>
      </c>
    </row>
    <row r="1744" spans="1:9" ht="23">
      <c r="A1744" s="2" t="s">
        <v>2539</v>
      </c>
      <c r="B1744" s="9" t="s">
        <v>1691</v>
      </c>
      <c r="C1744" s="9" t="s">
        <v>10</v>
      </c>
      <c r="D1744" s="9" t="s">
        <v>11</v>
      </c>
      <c r="E1744" s="9">
        <v>131</v>
      </c>
      <c r="F1744" s="9">
        <v>6.6</v>
      </c>
      <c r="G1744" s="9">
        <v>27500000</v>
      </c>
      <c r="H1744" s="9">
        <v>67900000</v>
      </c>
      <c r="I1744" s="5">
        <f>IMDB_Movies!$H1744-IMDB_Movies!$G1744</f>
        <v>40400000</v>
      </c>
    </row>
    <row r="1745" spans="1:9" ht="23">
      <c r="A1745" s="3" t="s">
        <v>2540</v>
      </c>
      <c r="B1745" s="10" t="s">
        <v>862</v>
      </c>
      <c r="C1745" s="10" t="s">
        <v>138</v>
      </c>
      <c r="D1745" s="10" t="s">
        <v>11</v>
      </c>
      <c r="E1745" s="10">
        <v>133</v>
      </c>
      <c r="F1745" s="10">
        <v>7</v>
      </c>
      <c r="G1745" s="10">
        <v>30000000</v>
      </c>
      <c r="H1745" s="10">
        <v>148734225</v>
      </c>
      <c r="I1745" s="5">
        <f>IMDB_Movies!$H1745-IMDB_Movies!$G1745</f>
        <v>118734225</v>
      </c>
    </row>
    <row r="1746" spans="1:9" ht="23">
      <c r="A1746" s="2" t="s">
        <v>2541</v>
      </c>
      <c r="B1746" s="9" t="s">
        <v>1762</v>
      </c>
      <c r="C1746" s="9" t="s">
        <v>56</v>
      </c>
      <c r="D1746" s="9" t="s">
        <v>11</v>
      </c>
      <c r="E1746" s="9">
        <v>109</v>
      </c>
      <c r="F1746" s="9">
        <v>7.4</v>
      </c>
      <c r="G1746" s="9">
        <v>30000000</v>
      </c>
      <c r="H1746" s="9">
        <v>49185998</v>
      </c>
      <c r="I1746" s="5">
        <f>IMDB_Movies!$H1746-IMDB_Movies!$G1746</f>
        <v>19185998</v>
      </c>
    </row>
    <row r="1747" spans="1:9" ht="23">
      <c r="A1747" s="3" t="s">
        <v>2542</v>
      </c>
      <c r="B1747" s="10" t="s">
        <v>1875</v>
      </c>
      <c r="C1747" s="10" t="s">
        <v>138</v>
      </c>
      <c r="D1747" s="10" t="s">
        <v>11</v>
      </c>
      <c r="E1747" s="10">
        <v>114</v>
      </c>
      <c r="F1747" s="10">
        <v>5.3</v>
      </c>
      <c r="G1747" s="10">
        <v>35000000</v>
      </c>
      <c r="H1747" s="10">
        <v>42168445</v>
      </c>
      <c r="I1747" s="5">
        <f>IMDB_Movies!$H1747-IMDB_Movies!$G1747</f>
        <v>7168445</v>
      </c>
    </row>
    <row r="1748" spans="1:9" ht="23">
      <c r="A1748" s="2" t="s">
        <v>2543</v>
      </c>
      <c r="B1748" s="9" t="s">
        <v>2544</v>
      </c>
      <c r="C1748" s="9" t="s">
        <v>24</v>
      </c>
      <c r="D1748" s="9" t="s">
        <v>11</v>
      </c>
      <c r="E1748" s="9">
        <v>164</v>
      </c>
      <c r="F1748" s="9">
        <v>7.4</v>
      </c>
      <c r="G1748" s="9">
        <v>16000000</v>
      </c>
      <c r="H1748" s="9">
        <v>26400000</v>
      </c>
      <c r="I1748" s="5">
        <f>IMDB_Movies!$H1748-IMDB_Movies!$G1748</f>
        <v>10400000</v>
      </c>
    </row>
    <row r="1749" spans="1:9" ht="23">
      <c r="A1749" s="3" t="s">
        <v>2545</v>
      </c>
      <c r="B1749" s="10" t="s">
        <v>2546</v>
      </c>
      <c r="C1749" s="10" t="s">
        <v>414</v>
      </c>
      <c r="D1749" s="10" t="s">
        <v>11</v>
      </c>
      <c r="E1749" s="10">
        <v>92</v>
      </c>
      <c r="F1749" s="10">
        <v>7.4</v>
      </c>
      <c r="G1749" s="10">
        <v>15000000</v>
      </c>
      <c r="H1749" s="10">
        <v>17508670</v>
      </c>
      <c r="I1749" s="5">
        <f>IMDB_Movies!$H1749-IMDB_Movies!$G1749</f>
        <v>2508670</v>
      </c>
    </row>
    <row r="1750" spans="1:9" ht="23">
      <c r="A1750" s="2" t="s">
        <v>2547</v>
      </c>
      <c r="B1750" s="9" t="s">
        <v>218</v>
      </c>
      <c r="C1750" s="9" t="s">
        <v>56</v>
      </c>
      <c r="D1750" s="9" t="s">
        <v>11</v>
      </c>
      <c r="E1750" s="9">
        <v>122</v>
      </c>
      <c r="F1750" s="9">
        <v>6.8</v>
      </c>
      <c r="G1750" s="9">
        <v>27500000</v>
      </c>
      <c r="H1750" s="9">
        <v>9664316</v>
      </c>
      <c r="I1750" s="5">
        <f>IMDB_Movies!$H1750-IMDB_Movies!$G1750</f>
        <v>-17835684</v>
      </c>
    </row>
    <row r="1751" spans="1:9" ht="23">
      <c r="A1751" s="3" t="s">
        <v>2548</v>
      </c>
      <c r="B1751" s="10" t="s">
        <v>2549</v>
      </c>
      <c r="C1751" s="10" t="s">
        <v>10</v>
      </c>
      <c r="D1751" s="10" t="s">
        <v>11</v>
      </c>
      <c r="E1751" s="10">
        <v>110</v>
      </c>
      <c r="F1751" s="10">
        <v>7.2</v>
      </c>
      <c r="G1751" s="10">
        <v>30000000</v>
      </c>
      <c r="H1751" s="10">
        <v>74888996</v>
      </c>
      <c r="I1751" s="5">
        <f>IMDB_Movies!$H1751-IMDB_Movies!$G1751</f>
        <v>44888996</v>
      </c>
    </row>
    <row r="1752" spans="1:9" ht="23">
      <c r="A1752" s="2" t="s">
        <v>2550</v>
      </c>
      <c r="B1752" s="9" t="s">
        <v>2551</v>
      </c>
      <c r="C1752" s="9" t="s">
        <v>56</v>
      </c>
      <c r="D1752" s="9" t="s">
        <v>11</v>
      </c>
      <c r="E1752" s="9">
        <v>116</v>
      </c>
      <c r="F1752" s="9">
        <v>6</v>
      </c>
      <c r="G1752" s="9">
        <v>27000000</v>
      </c>
      <c r="H1752" s="9">
        <v>69586544</v>
      </c>
      <c r="I1752" s="5">
        <f>IMDB_Movies!$H1752-IMDB_Movies!$G1752</f>
        <v>42586544</v>
      </c>
    </row>
    <row r="1753" spans="1:9" ht="23">
      <c r="A1753" s="3" t="s">
        <v>2552</v>
      </c>
      <c r="B1753" s="10" t="s">
        <v>1410</v>
      </c>
      <c r="C1753" s="10" t="s">
        <v>414</v>
      </c>
      <c r="D1753" s="10" t="s">
        <v>11</v>
      </c>
      <c r="E1753" s="10">
        <v>115</v>
      </c>
      <c r="F1753" s="10">
        <v>6.6</v>
      </c>
      <c r="G1753" s="10">
        <v>27000000</v>
      </c>
      <c r="H1753" s="10">
        <v>60491560</v>
      </c>
      <c r="I1753" s="5">
        <f>IMDB_Movies!$H1753-IMDB_Movies!$G1753</f>
        <v>33491560</v>
      </c>
    </row>
    <row r="1754" spans="1:9" ht="23">
      <c r="A1754" s="2" t="s">
        <v>2553</v>
      </c>
      <c r="B1754" s="9" t="s">
        <v>1436</v>
      </c>
      <c r="C1754" s="9" t="s">
        <v>10</v>
      </c>
      <c r="D1754" s="9" t="s">
        <v>11</v>
      </c>
      <c r="E1754" s="9">
        <v>148</v>
      </c>
      <c r="F1754" s="9">
        <v>7.9</v>
      </c>
      <c r="G1754" s="9">
        <v>27000000</v>
      </c>
      <c r="H1754" s="9">
        <v>54200000</v>
      </c>
      <c r="I1754" s="5">
        <f>IMDB_Movies!$H1754-IMDB_Movies!$G1754</f>
        <v>27200000</v>
      </c>
    </row>
    <row r="1755" spans="1:9" ht="23">
      <c r="A1755" s="3" t="s">
        <v>2554</v>
      </c>
      <c r="B1755" s="10" t="s">
        <v>2555</v>
      </c>
      <c r="C1755" s="10" t="s">
        <v>138</v>
      </c>
      <c r="D1755" s="10" t="s">
        <v>11</v>
      </c>
      <c r="E1755" s="10">
        <v>119</v>
      </c>
      <c r="F1755" s="10">
        <v>6.2</v>
      </c>
      <c r="G1755" s="10">
        <v>20000000</v>
      </c>
      <c r="H1755" s="10">
        <v>44087387</v>
      </c>
      <c r="I1755" s="5">
        <f>IMDB_Movies!$H1755-IMDB_Movies!$G1755</f>
        <v>24087387</v>
      </c>
    </row>
    <row r="1756" spans="1:9" ht="23">
      <c r="A1756" s="2" t="s">
        <v>2556</v>
      </c>
      <c r="B1756" s="9" t="s">
        <v>2557</v>
      </c>
      <c r="C1756" s="9" t="s">
        <v>138</v>
      </c>
      <c r="D1756" s="9" t="s">
        <v>11</v>
      </c>
      <c r="E1756" s="9">
        <v>118</v>
      </c>
      <c r="F1756" s="9">
        <v>5.7</v>
      </c>
      <c r="G1756" s="9">
        <v>25000000</v>
      </c>
      <c r="H1756" s="9">
        <v>30920167</v>
      </c>
      <c r="I1756" s="5">
        <f>IMDB_Movies!$H1756-IMDB_Movies!$G1756</f>
        <v>5920167</v>
      </c>
    </row>
    <row r="1757" spans="1:9" ht="23">
      <c r="A1757" s="3" t="s">
        <v>2558</v>
      </c>
      <c r="B1757" s="10" t="s">
        <v>53</v>
      </c>
      <c r="C1757" s="10" t="s">
        <v>138</v>
      </c>
      <c r="D1757" s="10" t="s">
        <v>11</v>
      </c>
      <c r="E1757" s="10">
        <v>101</v>
      </c>
      <c r="F1757" s="10">
        <v>7.1</v>
      </c>
      <c r="G1757" s="10">
        <v>30000000</v>
      </c>
      <c r="H1757" s="10">
        <v>40566655</v>
      </c>
      <c r="I1757" s="5">
        <f>IMDB_Movies!$H1757-IMDB_Movies!$G1757</f>
        <v>10566655</v>
      </c>
    </row>
    <row r="1758" spans="1:9" ht="23">
      <c r="A1758" s="2" t="s">
        <v>2559</v>
      </c>
      <c r="B1758" s="9" t="s">
        <v>1952</v>
      </c>
      <c r="C1758" s="9" t="s">
        <v>10</v>
      </c>
      <c r="D1758" s="9" t="s">
        <v>11</v>
      </c>
      <c r="E1758" s="9">
        <v>82</v>
      </c>
      <c r="F1758" s="9">
        <v>5.6</v>
      </c>
      <c r="G1758" s="9">
        <v>27000000</v>
      </c>
      <c r="H1758" s="9">
        <v>31768374</v>
      </c>
      <c r="I1758" s="5">
        <f>IMDB_Movies!$H1758-IMDB_Movies!$G1758</f>
        <v>4768374</v>
      </c>
    </row>
    <row r="1759" spans="1:9" ht="23">
      <c r="A1759" s="3" t="s">
        <v>2560</v>
      </c>
      <c r="B1759" s="10" t="s">
        <v>1662</v>
      </c>
      <c r="C1759" s="10" t="s">
        <v>414</v>
      </c>
      <c r="D1759" s="10" t="s">
        <v>11</v>
      </c>
      <c r="E1759" s="10">
        <v>110</v>
      </c>
      <c r="F1759" s="10">
        <v>7.8</v>
      </c>
      <c r="G1759" s="10">
        <v>27000000</v>
      </c>
      <c r="H1759" s="10">
        <v>22494487</v>
      </c>
      <c r="I1759" s="5">
        <f>IMDB_Movies!$H1759-IMDB_Movies!$G1759</f>
        <v>-4505513</v>
      </c>
    </row>
    <row r="1760" spans="1:9" ht="23">
      <c r="A1760" s="2" t="s">
        <v>2561</v>
      </c>
      <c r="B1760" s="9" t="s">
        <v>2562</v>
      </c>
      <c r="C1760" s="9" t="s">
        <v>24</v>
      </c>
      <c r="D1760" s="9" t="s">
        <v>11</v>
      </c>
      <c r="E1760" s="9">
        <v>193</v>
      </c>
      <c r="F1760" s="9">
        <v>7.9</v>
      </c>
      <c r="G1760" s="9">
        <v>27000000</v>
      </c>
      <c r="H1760" s="9">
        <v>21500000</v>
      </c>
      <c r="I1760" s="5">
        <f>IMDB_Movies!$H1760-IMDB_Movies!$G1760</f>
        <v>-5500000</v>
      </c>
    </row>
    <row r="1761" spans="1:9" ht="23">
      <c r="A1761" s="3" t="s">
        <v>2563</v>
      </c>
      <c r="B1761" s="10" t="s">
        <v>113</v>
      </c>
      <c r="C1761" s="10" t="s">
        <v>56</v>
      </c>
      <c r="D1761" s="10" t="s">
        <v>11</v>
      </c>
      <c r="E1761" s="10">
        <v>130</v>
      </c>
      <c r="F1761" s="10">
        <v>6.9</v>
      </c>
      <c r="G1761" s="10">
        <v>30000000</v>
      </c>
      <c r="H1761" s="10">
        <v>4463292</v>
      </c>
      <c r="I1761" s="5">
        <f>IMDB_Movies!$H1761-IMDB_Movies!$G1761</f>
        <v>-25536708</v>
      </c>
    </row>
    <row r="1762" spans="1:9" ht="23">
      <c r="A1762" s="2" t="s">
        <v>2564</v>
      </c>
      <c r="B1762" s="9" t="s">
        <v>191</v>
      </c>
      <c r="C1762" s="9" t="s">
        <v>24</v>
      </c>
      <c r="D1762" s="9" t="s">
        <v>11</v>
      </c>
      <c r="E1762" s="9">
        <v>94</v>
      </c>
      <c r="F1762" s="9">
        <v>7.4</v>
      </c>
      <c r="G1762" s="9">
        <v>27000000</v>
      </c>
      <c r="H1762" s="9">
        <v>25078937</v>
      </c>
      <c r="I1762" s="5">
        <f>IMDB_Movies!$H1762-IMDB_Movies!$G1762</f>
        <v>-1921063</v>
      </c>
    </row>
    <row r="1763" spans="1:9" ht="23">
      <c r="A1763" s="3" t="s">
        <v>2565</v>
      </c>
      <c r="B1763" s="10" t="s">
        <v>281</v>
      </c>
      <c r="C1763" s="10" t="s">
        <v>10</v>
      </c>
      <c r="D1763" s="10" t="s">
        <v>11</v>
      </c>
      <c r="E1763" s="10">
        <v>111</v>
      </c>
      <c r="F1763" s="10">
        <v>7.7</v>
      </c>
      <c r="G1763" s="10">
        <v>27000000</v>
      </c>
      <c r="H1763" s="10">
        <v>14337579</v>
      </c>
      <c r="I1763" s="5">
        <f>IMDB_Movies!$H1763-IMDB_Movies!$G1763</f>
        <v>-12662421</v>
      </c>
    </row>
    <row r="1764" spans="1:9" ht="23">
      <c r="A1764" s="2" t="s">
        <v>2566</v>
      </c>
      <c r="B1764" s="9" t="s">
        <v>2567</v>
      </c>
      <c r="C1764" s="9" t="s">
        <v>418</v>
      </c>
      <c r="D1764" s="9" t="s">
        <v>11</v>
      </c>
      <c r="E1764" s="9">
        <v>110</v>
      </c>
      <c r="F1764" s="9">
        <v>6.9</v>
      </c>
      <c r="G1764" s="9">
        <v>13500000</v>
      </c>
      <c r="H1764" s="9">
        <v>13823741</v>
      </c>
      <c r="I1764" s="5">
        <f>IMDB_Movies!$H1764-IMDB_Movies!$G1764</f>
        <v>323741</v>
      </c>
    </row>
    <row r="1765" spans="1:9" ht="23">
      <c r="A1765" s="3" t="s">
        <v>2568</v>
      </c>
      <c r="B1765" s="10" t="s">
        <v>2569</v>
      </c>
      <c r="C1765" s="10" t="s">
        <v>24</v>
      </c>
      <c r="D1765" s="10" t="s">
        <v>11</v>
      </c>
      <c r="E1765" s="10">
        <v>109</v>
      </c>
      <c r="F1765" s="10">
        <v>6.7</v>
      </c>
      <c r="G1765" s="10">
        <v>25000000</v>
      </c>
      <c r="H1765" s="10">
        <v>25078937</v>
      </c>
      <c r="I1765" s="5">
        <f>IMDB_Movies!$H1765-IMDB_Movies!$G1765</f>
        <v>78937</v>
      </c>
    </row>
    <row r="1766" spans="1:9" ht="23">
      <c r="A1766" s="2" t="s">
        <v>2570</v>
      </c>
      <c r="B1766" s="9" t="s">
        <v>2571</v>
      </c>
      <c r="C1766" s="9" t="s">
        <v>10</v>
      </c>
      <c r="D1766" s="9" t="s">
        <v>11</v>
      </c>
      <c r="E1766" s="9">
        <v>123</v>
      </c>
      <c r="F1766" s="9">
        <v>6</v>
      </c>
      <c r="G1766" s="9">
        <v>27000000</v>
      </c>
      <c r="H1766" s="9">
        <v>10297897</v>
      </c>
      <c r="I1766" s="5">
        <f>IMDB_Movies!$H1766-IMDB_Movies!$G1766</f>
        <v>-16702103</v>
      </c>
    </row>
    <row r="1767" spans="1:9" ht="23">
      <c r="A1767" s="3" t="s">
        <v>2572</v>
      </c>
      <c r="B1767" s="10" t="s">
        <v>1881</v>
      </c>
      <c r="C1767" s="10" t="s">
        <v>810</v>
      </c>
      <c r="D1767" s="10" t="s">
        <v>11</v>
      </c>
      <c r="E1767" s="10">
        <v>109</v>
      </c>
      <c r="F1767" s="10">
        <v>6.2</v>
      </c>
      <c r="G1767" s="10">
        <v>27000000</v>
      </c>
      <c r="H1767" s="10">
        <v>13248477</v>
      </c>
      <c r="I1767" s="5">
        <f>IMDB_Movies!$H1767-IMDB_Movies!$G1767</f>
        <v>-13751523</v>
      </c>
    </row>
    <row r="1768" spans="1:9" ht="23">
      <c r="A1768" s="2" t="s">
        <v>2573</v>
      </c>
      <c r="B1768" s="9" t="s">
        <v>2574</v>
      </c>
      <c r="C1768" s="9" t="s">
        <v>414</v>
      </c>
      <c r="D1768" s="9" t="s">
        <v>11</v>
      </c>
      <c r="E1768" s="9">
        <v>99</v>
      </c>
      <c r="F1768" s="9">
        <v>5.9</v>
      </c>
      <c r="G1768" s="9">
        <v>27000000</v>
      </c>
      <c r="H1768" s="9">
        <v>8712564</v>
      </c>
      <c r="I1768" s="5">
        <f>IMDB_Movies!$H1768-IMDB_Movies!$G1768</f>
        <v>-18287436</v>
      </c>
    </row>
    <row r="1769" spans="1:9" ht="23">
      <c r="A1769" s="3" t="s">
        <v>2575</v>
      </c>
      <c r="B1769" s="10" t="s">
        <v>2576</v>
      </c>
      <c r="C1769" s="10" t="s">
        <v>138</v>
      </c>
      <c r="D1769" s="10" t="s">
        <v>11</v>
      </c>
      <c r="E1769" s="10">
        <v>106</v>
      </c>
      <c r="F1769" s="10">
        <v>6.8</v>
      </c>
      <c r="G1769" s="10">
        <v>27000000</v>
      </c>
      <c r="H1769" s="10">
        <v>7486906</v>
      </c>
      <c r="I1769" s="5">
        <f>IMDB_Movies!$H1769-IMDB_Movies!$G1769</f>
        <v>-19513094</v>
      </c>
    </row>
    <row r="1770" spans="1:9" ht="23">
      <c r="A1770" s="2" t="s">
        <v>2577</v>
      </c>
      <c r="B1770" s="9" t="s">
        <v>1327</v>
      </c>
      <c r="C1770" s="9" t="s">
        <v>10</v>
      </c>
      <c r="D1770" s="9" t="s">
        <v>11</v>
      </c>
      <c r="E1770" s="9">
        <v>89</v>
      </c>
      <c r="F1770" s="9">
        <v>3.6</v>
      </c>
      <c r="G1770" s="9">
        <v>27000000</v>
      </c>
      <c r="H1770" s="9">
        <v>38536376</v>
      </c>
      <c r="I1770" s="5">
        <f>IMDB_Movies!$H1770-IMDB_Movies!$G1770</f>
        <v>11536376</v>
      </c>
    </row>
    <row r="1771" spans="1:9" ht="23">
      <c r="A1771" s="3" t="s">
        <v>2578</v>
      </c>
      <c r="B1771" s="10" t="s">
        <v>2579</v>
      </c>
      <c r="C1771" s="10" t="s">
        <v>414</v>
      </c>
      <c r="D1771" s="10" t="s">
        <v>11</v>
      </c>
      <c r="E1771" s="10">
        <v>98</v>
      </c>
      <c r="F1771" s="10">
        <v>6.7</v>
      </c>
      <c r="G1771" s="10">
        <v>27000000</v>
      </c>
      <c r="H1771" s="10">
        <v>41008532</v>
      </c>
      <c r="I1771" s="5">
        <f>IMDB_Movies!$H1771-IMDB_Movies!$G1771</f>
        <v>14008532</v>
      </c>
    </row>
    <row r="1772" spans="1:9" ht="23">
      <c r="A1772" s="2" t="s">
        <v>2580</v>
      </c>
      <c r="B1772" s="9" t="s">
        <v>2132</v>
      </c>
      <c r="C1772" s="9" t="s">
        <v>10</v>
      </c>
      <c r="D1772" s="9" t="s">
        <v>11</v>
      </c>
      <c r="E1772" s="9">
        <v>93</v>
      </c>
      <c r="F1772" s="9">
        <v>6.3</v>
      </c>
      <c r="G1772" s="9">
        <v>28000000</v>
      </c>
      <c r="H1772" s="9">
        <v>5204007</v>
      </c>
      <c r="I1772" s="5">
        <f>IMDB_Movies!$H1772-IMDB_Movies!$G1772</f>
        <v>-22795993</v>
      </c>
    </row>
    <row r="1773" spans="1:9" ht="23">
      <c r="A1773" s="3" t="s">
        <v>2581</v>
      </c>
      <c r="B1773" s="10" t="s">
        <v>357</v>
      </c>
      <c r="C1773" s="10" t="s">
        <v>138</v>
      </c>
      <c r="D1773" s="10" t="s">
        <v>11</v>
      </c>
      <c r="E1773" s="10">
        <v>112</v>
      </c>
      <c r="F1773" s="10">
        <v>6.4</v>
      </c>
      <c r="G1773" s="10">
        <v>15000000</v>
      </c>
      <c r="H1773" s="10">
        <v>4485485</v>
      </c>
      <c r="I1773" s="5">
        <f>IMDB_Movies!$H1773-IMDB_Movies!$G1773</f>
        <v>-10514515</v>
      </c>
    </row>
    <row r="1774" spans="1:9" ht="23">
      <c r="A1774" s="2" t="s">
        <v>2582</v>
      </c>
      <c r="B1774" s="9" t="s">
        <v>557</v>
      </c>
      <c r="C1774" s="9" t="s">
        <v>414</v>
      </c>
      <c r="D1774" s="9" t="s">
        <v>11</v>
      </c>
      <c r="E1774" s="9">
        <v>101</v>
      </c>
      <c r="F1774" s="9">
        <v>6.4</v>
      </c>
      <c r="G1774" s="9">
        <v>27000000</v>
      </c>
      <c r="H1774" s="9">
        <v>4476235</v>
      </c>
      <c r="I1774" s="5">
        <f>IMDB_Movies!$H1774-IMDB_Movies!$G1774</f>
        <v>-22523765</v>
      </c>
    </row>
    <row r="1775" spans="1:9" ht="23">
      <c r="A1775" s="3" t="s">
        <v>2583</v>
      </c>
      <c r="B1775" s="10" t="s">
        <v>834</v>
      </c>
      <c r="C1775" s="10" t="s">
        <v>138</v>
      </c>
      <c r="D1775" s="10" t="s">
        <v>11</v>
      </c>
      <c r="E1775" s="10">
        <v>104</v>
      </c>
      <c r="F1775" s="10">
        <v>5.7</v>
      </c>
      <c r="G1775" s="10">
        <v>25000000</v>
      </c>
      <c r="H1775" s="10">
        <v>1089365</v>
      </c>
      <c r="I1775" s="5">
        <f>IMDB_Movies!$H1775-IMDB_Movies!$G1775</f>
        <v>-23910635</v>
      </c>
    </row>
    <row r="1776" spans="1:9" ht="23">
      <c r="A1776" s="2" t="s">
        <v>2584</v>
      </c>
      <c r="B1776" s="9" t="s">
        <v>1933</v>
      </c>
      <c r="C1776" s="9" t="s">
        <v>56</v>
      </c>
      <c r="D1776" s="9" t="s">
        <v>11</v>
      </c>
      <c r="E1776" s="9">
        <v>120</v>
      </c>
      <c r="F1776" s="9">
        <v>6.2</v>
      </c>
      <c r="G1776" s="9">
        <v>23000000</v>
      </c>
      <c r="H1776" s="9">
        <v>763044</v>
      </c>
      <c r="I1776" s="5">
        <f>IMDB_Movies!$H1776-IMDB_Movies!$G1776</f>
        <v>-22236956</v>
      </c>
    </row>
    <row r="1777" spans="1:9" ht="23">
      <c r="A1777" s="3" t="s">
        <v>2585</v>
      </c>
      <c r="B1777" s="10" t="s">
        <v>230</v>
      </c>
      <c r="C1777" s="10" t="s">
        <v>56</v>
      </c>
      <c r="D1777" s="10" t="s">
        <v>11</v>
      </c>
      <c r="E1777" s="10">
        <v>135</v>
      </c>
      <c r="F1777" s="10">
        <v>6.6</v>
      </c>
      <c r="G1777" s="10">
        <v>27000000</v>
      </c>
      <c r="H1777" s="10">
        <v>25078937</v>
      </c>
      <c r="I1777" s="5">
        <f>IMDB_Movies!$H1777-IMDB_Movies!$G1777</f>
        <v>-1921063</v>
      </c>
    </row>
    <row r="1778" spans="1:9" ht="23">
      <c r="A1778" s="2" t="s">
        <v>2586</v>
      </c>
      <c r="B1778" s="9" t="s">
        <v>866</v>
      </c>
      <c r="C1778" s="9" t="s">
        <v>10</v>
      </c>
      <c r="D1778" s="9" t="s">
        <v>11</v>
      </c>
      <c r="E1778" s="9">
        <v>91</v>
      </c>
      <c r="F1778" s="9">
        <v>5.2</v>
      </c>
      <c r="G1778" s="9">
        <v>26000000</v>
      </c>
      <c r="H1778" s="9">
        <v>20819129</v>
      </c>
      <c r="I1778" s="5">
        <f>IMDB_Movies!$H1778-IMDB_Movies!$G1778</f>
        <v>-5180871</v>
      </c>
    </row>
    <row r="1779" spans="1:9" ht="23">
      <c r="A1779" s="3" t="s">
        <v>2587</v>
      </c>
      <c r="B1779" s="10" t="s">
        <v>550</v>
      </c>
      <c r="C1779" s="10" t="s">
        <v>138</v>
      </c>
      <c r="D1779" s="10" t="s">
        <v>11</v>
      </c>
      <c r="E1779" s="10">
        <v>97</v>
      </c>
      <c r="F1779" s="10">
        <v>6.1</v>
      </c>
      <c r="G1779" s="10">
        <v>26000000</v>
      </c>
      <c r="H1779" s="10">
        <v>110222438</v>
      </c>
      <c r="I1779" s="5">
        <f>IMDB_Movies!$H1779-IMDB_Movies!$G1779</f>
        <v>84222438</v>
      </c>
    </row>
    <row r="1780" spans="1:9" ht="23">
      <c r="A1780" s="2" t="s">
        <v>2588</v>
      </c>
      <c r="B1780" s="9" t="s">
        <v>862</v>
      </c>
      <c r="C1780" s="9" t="s">
        <v>138</v>
      </c>
      <c r="D1780" s="9" t="s">
        <v>11</v>
      </c>
      <c r="E1780" s="9">
        <v>133</v>
      </c>
      <c r="F1780" s="9">
        <v>7.1</v>
      </c>
      <c r="G1780" s="9">
        <v>26000000</v>
      </c>
      <c r="H1780" s="9">
        <v>109243478</v>
      </c>
      <c r="I1780" s="5">
        <f>IMDB_Movies!$H1780-IMDB_Movies!$G1780</f>
        <v>83243478</v>
      </c>
    </row>
    <row r="1781" spans="1:9" ht="23">
      <c r="A1781" s="3" t="s">
        <v>2589</v>
      </c>
      <c r="B1781" s="10" t="s">
        <v>1227</v>
      </c>
      <c r="C1781" s="10" t="s">
        <v>138</v>
      </c>
      <c r="D1781" s="10" t="s">
        <v>11</v>
      </c>
      <c r="E1781" s="10">
        <v>123</v>
      </c>
      <c r="F1781" s="10">
        <v>7.2</v>
      </c>
      <c r="G1781" s="10">
        <v>25000000</v>
      </c>
      <c r="H1781" s="10">
        <v>100241322</v>
      </c>
      <c r="I1781" s="5">
        <f>IMDB_Movies!$H1781-IMDB_Movies!$G1781</f>
        <v>75241322</v>
      </c>
    </row>
    <row r="1782" spans="1:9" ht="23">
      <c r="A1782" s="2" t="s">
        <v>2590</v>
      </c>
      <c r="B1782" s="9" t="s">
        <v>2591</v>
      </c>
      <c r="C1782" s="9" t="s">
        <v>414</v>
      </c>
      <c r="D1782" s="9" t="s">
        <v>11</v>
      </c>
      <c r="E1782" s="9">
        <v>114</v>
      </c>
      <c r="F1782" s="9">
        <v>6.5</v>
      </c>
      <c r="G1782" s="9">
        <v>28000000</v>
      </c>
      <c r="H1782" s="9">
        <v>25977365</v>
      </c>
      <c r="I1782" s="5">
        <f>IMDB_Movies!$H1782-IMDB_Movies!$G1782</f>
        <v>-2022635</v>
      </c>
    </row>
    <row r="1783" spans="1:9" ht="23">
      <c r="A1783" s="3" t="s">
        <v>2592</v>
      </c>
      <c r="B1783" s="10" t="s">
        <v>722</v>
      </c>
      <c r="C1783" s="10" t="s">
        <v>10</v>
      </c>
      <c r="D1783" s="10" t="s">
        <v>11</v>
      </c>
      <c r="E1783" s="10">
        <v>111</v>
      </c>
      <c r="F1783" s="10">
        <v>6</v>
      </c>
      <c r="G1783" s="10">
        <v>26000000</v>
      </c>
      <c r="H1783" s="10">
        <v>91457688</v>
      </c>
      <c r="I1783" s="5">
        <f>IMDB_Movies!$H1783-IMDB_Movies!$G1783</f>
        <v>65457688</v>
      </c>
    </row>
    <row r="1784" spans="1:9" ht="23">
      <c r="A1784" s="2" t="s">
        <v>2593</v>
      </c>
      <c r="B1784" s="9" t="s">
        <v>1484</v>
      </c>
      <c r="C1784" s="9" t="s">
        <v>10</v>
      </c>
      <c r="D1784" s="9" t="s">
        <v>11</v>
      </c>
      <c r="E1784" s="9">
        <v>117</v>
      </c>
      <c r="F1784" s="9">
        <v>7</v>
      </c>
      <c r="G1784" s="9">
        <v>27000000</v>
      </c>
      <c r="H1784" s="9">
        <v>87341380</v>
      </c>
      <c r="I1784" s="5">
        <f>IMDB_Movies!$H1784-IMDB_Movies!$G1784</f>
        <v>60341380</v>
      </c>
    </row>
    <row r="1785" spans="1:9" ht="23">
      <c r="A1785" s="3" t="s">
        <v>2594</v>
      </c>
      <c r="B1785" s="10" t="s">
        <v>838</v>
      </c>
      <c r="C1785" s="10" t="s">
        <v>138</v>
      </c>
      <c r="D1785" s="10" t="s">
        <v>11</v>
      </c>
      <c r="E1785" s="10">
        <v>121</v>
      </c>
      <c r="F1785" s="10">
        <v>7</v>
      </c>
      <c r="G1785" s="10">
        <v>26000000</v>
      </c>
      <c r="H1785" s="10">
        <v>65703412</v>
      </c>
      <c r="I1785" s="5">
        <f>IMDB_Movies!$H1785-IMDB_Movies!$G1785</f>
        <v>39703412</v>
      </c>
    </row>
    <row r="1786" spans="1:9" ht="23">
      <c r="A1786" s="2" t="s">
        <v>2595</v>
      </c>
      <c r="B1786" s="9" t="s">
        <v>764</v>
      </c>
      <c r="C1786" s="9" t="s">
        <v>56</v>
      </c>
      <c r="D1786" s="9" t="s">
        <v>11</v>
      </c>
      <c r="E1786" s="9">
        <v>139</v>
      </c>
      <c r="F1786" s="9">
        <v>7.5</v>
      </c>
      <c r="G1786" s="9">
        <v>22000000</v>
      </c>
      <c r="H1786" s="9">
        <v>58328680</v>
      </c>
      <c r="I1786" s="5">
        <f>IMDB_Movies!$H1786-IMDB_Movies!$G1786</f>
        <v>36328680</v>
      </c>
    </row>
    <row r="1787" spans="1:9" ht="23">
      <c r="A1787" s="3" t="s">
        <v>2596</v>
      </c>
      <c r="B1787" s="10" t="s">
        <v>357</v>
      </c>
      <c r="C1787" s="10" t="s">
        <v>56</v>
      </c>
      <c r="D1787" s="10" t="s">
        <v>11</v>
      </c>
      <c r="E1787" s="10">
        <v>115</v>
      </c>
      <c r="F1787" s="10">
        <v>6.6</v>
      </c>
      <c r="G1787" s="10">
        <v>26000000</v>
      </c>
      <c r="H1787" s="10">
        <v>61490000</v>
      </c>
      <c r="I1787" s="5">
        <f>IMDB_Movies!$H1787-IMDB_Movies!$G1787</f>
        <v>35490000</v>
      </c>
    </row>
    <row r="1788" spans="1:9" ht="23">
      <c r="A1788" s="2" t="s">
        <v>2597</v>
      </c>
      <c r="B1788" s="9" t="s">
        <v>2476</v>
      </c>
      <c r="C1788" s="9" t="s">
        <v>56</v>
      </c>
      <c r="D1788" s="9" t="s">
        <v>11</v>
      </c>
      <c r="E1788" s="9">
        <v>175</v>
      </c>
      <c r="F1788" s="9">
        <v>7.4</v>
      </c>
      <c r="G1788" s="9">
        <v>26000000</v>
      </c>
      <c r="H1788" s="9">
        <v>50800000</v>
      </c>
      <c r="I1788" s="5">
        <f>IMDB_Movies!$H1788-IMDB_Movies!$G1788</f>
        <v>24800000</v>
      </c>
    </row>
    <row r="1789" spans="1:9" ht="23">
      <c r="A1789" s="3" t="s">
        <v>2598</v>
      </c>
      <c r="B1789" s="10" t="s">
        <v>1739</v>
      </c>
      <c r="C1789" s="10" t="s">
        <v>228</v>
      </c>
      <c r="D1789" s="10" t="s">
        <v>11</v>
      </c>
      <c r="E1789" s="10">
        <v>85</v>
      </c>
      <c r="F1789" s="10">
        <v>6.5</v>
      </c>
      <c r="G1789" s="10">
        <v>26000000</v>
      </c>
      <c r="H1789" s="10">
        <v>57859105</v>
      </c>
      <c r="I1789" s="5">
        <f>IMDB_Movies!$H1789-IMDB_Movies!$G1789</f>
        <v>31859105</v>
      </c>
    </row>
    <row r="1790" spans="1:9" ht="23">
      <c r="A1790" s="2" t="s">
        <v>2599</v>
      </c>
      <c r="B1790" s="9" t="s">
        <v>1607</v>
      </c>
      <c r="C1790" s="9" t="s">
        <v>810</v>
      </c>
      <c r="D1790" s="9" t="s">
        <v>11</v>
      </c>
      <c r="E1790" s="9">
        <v>90</v>
      </c>
      <c r="F1790" s="9">
        <v>6.2</v>
      </c>
      <c r="G1790" s="9">
        <v>26000000</v>
      </c>
      <c r="H1790" s="9">
        <v>46455802</v>
      </c>
      <c r="I1790" s="5">
        <f>IMDB_Movies!$H1790-IMDB_Movies!$G1790</f>
        <v>20455802</v>
      </c>
    </row>
    <row r="1791" spans="1:9" ht="23">
      <c r="A1791" s="3" t="s">
        <v>2600</v>
      </c>
      <c r="B1791" s="10" t="s">
        <v>1154</v>
      </c>
      <c r="C1791" s="10" t="s">
        <v>24</v>
      </c>
      <c r="D1791" s="10" t="s">
        <v>11</v>
      </c>
      <c r="E1791" s="10">
        <v>107</v>
      </c>
      <c r="F1791" s="10">
        <v>7.8</v>
      </c>
      <c r="G1791" s="10">
        <v>26000000</v>
      </c>
      <c r="H1791" s="10">
        <v>45506619</v>
      </c>
      <c r="I1791" s="5">
        <f>IMDB_Movies!$H1791-IMDB_Movies!$G1791</f>
        <v>19506619</v>
      </c>
    </row>
    <row r="1792" spans="1:9" ht="23">
      <c r="A1792" s="2" t="s">
        <v>2601</v>
      </c>
      <c r="B1792" s="9" t="s">
        <v>1169</v>
      </c>
      <c r="C1792" s="9" t="s">
        <v>10</v>
      </c>
      <c r="D1792" s="9" t="s">
        <v>11</v>
      </c>
      <c r="E1792" s="9">
        <v>100</v>
      </c>
      <c r="F1792" s="9">
        <v>5.2</v>
      </c>
      <c r="G1792" s="9">
        <v>26000000</v>
      </c>
      <c r="H1792" s="9">
        <v>40168080</v>
      </c>
      <c r="I1792" s="5">
        <f>IMDB_Movies!$H1792-IMDB_Movies!$G1792</f>
        <v>14168080</v>
      </c>
    </row>
    <row r="1793" spans="1:9" ht="23">
      <c r="A1793" s="3" t="s">
        <v>2602</v>
      </c>
      <c r="B1793" s="10" t="s">
        <v>74</v>
      </c>
      <c r="C1793" s="10" t="s">
        <v>138</v>
      </c>
      <c r="D1793" s="10" t="s">
        <v>11</v>
      </c>
      <c r="E1793" s="10">
        <v>129</v>
      </c>
      <c r="F1793" s="10">
        <v>6.5</v>
      </c>
      <c r="G1793" s="10">
        <v>26000000</v>
      </c>
      <c r="H1793" s="10">
        <v>49874933</v>
      </c>
      <c r="I1793" s="5">
        <f>IMDB_Movies!$H1793-IMDB_Movies!$G1793</f>
        <v>23874933</v>
      </c>
    </row>
    <row r="1794" spans="1:9" ht="23">
      <c r="A1794" s="2" t="s">
        <v>2603</v>
      </c>
      <c r="B1794" s="9" t="s">
        <v>466</v>
      </c>
      <c r="C1794" s="9" t="s">
        <v>138</v>
      </c>
      <c r="D1794" s="9" t="s">
        <v>11</v>
      </c>
      <c r="E1794" s="9">
        <v>109</v>
      </c>
      <c r="F1794" s="9">
        <v>6.5</v>
      </c>
      <c r="G1794" s="9">
        <v>26000000</v>
      </c>
      <c r="H1794" s="9">
        <v>45489752</v>
      </c>
      <c r="I1794" s="5">
        <f>IMDB_Movies!$H1794-IMDB_Movies!$G1794</f>
        <v>19489752</v>
      </c>
    </row>
    <row r="1795" spans="1:9" ht="23">
      <c r="A1795" s="3" t="s">
        <v>2604</v>
      </c>
      <c r="B1795" s="10" t="s">
        <v>902</v>
      </c>
      <c r="C1795" s="10" t="s">
        <v>10</v>
      </c>
      <c r="D1795" s="10" t="s">
        <v>11</v>
      </c>
      <c r="E1795" s="10">
        <v>94</v>
      </c>
      <c r="F1795" s="10">
        <v>5.2</v>
      </c>
      <c r="G1795" s="10">
        <v>26000000</v>
      </c>
      <c r="H1795" s="10">
        <v>36985501</v>
      </c>
      <c r="I1795" s="5">
        <f>IMDB_Movies!$H1795-IMDB_Movies!$G1795</f>
        <v>10985501</v>
      </c>
    </row>
    <row r="1796" spans="1:9" ht="23">
      <c r="A1796" s="2" t="s">
        <v>2605</v>
      </c>
      <c r="B1796" s="9" t="s">
        <v>976</v>
      </c>
      <c r="C1796" s="9" t="s">
        <v>10</v>
      </c>
      <c r="D1796" s="9" t="s">
        <v>11</v>
      </c>
      <c r="E1796" s="9">
        <v>133</v>
      </c>
      <c r="F1796" s="9">
        <v>7.2</v>
      </c>
      <c r="G1796" s="9">
        <v>26000000</v>
      </c>
      <c r="H1796" s="9">
        <v>33200000</v>
      </c>
      <c r="I1796" s="5">
        <f>IMDB_Movies!$H1796-IMDB_Movies!$G1796</f>
        <v>7200000</v>
      </c>
    </row>
    <row r="1797" spans="1:9" ht="23">
      <c r="A1797" s="3" t="s">
        <v>2606</v>
      </c>
      <c r="B1797" s="10" t="s">
        <v>1486</v>
      </c>
      <c r="C1797" s="10" t="s">
        <v>56</v>
      </c>
      <c r="D1797" s="10" t="s">
        <v>11</v>
      </c>
      <c r="E1797" s="10">
        <v>105</v>
      </c>
      <c r="F1797" s="10">
        <v>7.1</v>
      </c>
      <c r="G1797" s="10">
        <v>26000000</v>
      </c>
      <c r="H1797" s="10">
        <v>28501651</v>
      </c>
      <c r="I1797" s="5">
        <f>IMDB_Movies!$H1797-IMDB_Movies!$G1797</f>
        <v>2501651</v>
      </c>
    </row>
    <row r="1798" spans="1:9" ht="23">
      <c r="A1798" s="2" t="s">
        <v>2607</v>
      </c>
      <c r="B1798" s="9" t="s">
        <v>2608</v>
      </c>
      <c r="C1798" s="9" t="s">
        <v>10</v>
      </c>
      <c r="D1798" s="9" t="s">
        <v>11</v>
      </c>
      <c r="E1798" s="9">
        <v>100</v>
      </c>
      <c r="F1798" s="9">
        <v>4.5</v>
      </c>
      <c r="G1798" s="9">
        <v>26000000</v>
      </c>
      <c r="H1798" s="9">
        <v>23222861</v>
      </c>
      <c r="I1798" s="5">
        <f>IMDB_Movies!$H1798-IMDB_Movies!$G1798</f>
        <v>-2777139</v>
      </c>
    </row>
    <row r="1799" spans="1:9" ht="23">
      <c r="A1799" s="3" t="s">
        <v>2609</v>
      </c>
      <c r="B1799" s="10" t="s">
        <v>883</v>
      </c>
      <c r="C1799" s="10" t="s">
        <v>138</v>
      </c>
      <c r="D1799" s="10" t="s">
        <v>11</v>
      </c>
      <c r="E1799" s="10">
        <v>113</v>
      </c>
      <c r="F1799" s="10">
        <v>5.7</v>
      </c>
      <c r="G1799" s="10">
        <v>56000000</v>
      </c>
      <c r="H1799" s="10">
        <v>54540525</v>
      </c>
      <c r="I1799" s="5">
        <f>IMDB_Movies!$H1799-IMDB_Movies!$G1799</f>
        <v>-1459475</v>
      </c>
    </row>
    <row r="1800" spans="1:9" ht="23">
      <c r="A1800" s="2" t="s">
        <v>2610</v>
      </c>
      <c r="B1800" s="9" t="s">
        <v>2611</v>
      </c>
      <c r="C1800" s="9" t="s">
        <v>56</v>
      </c>
      <c r="D1800" s="9" t="s">
        <v>11</v>
      </c>
      <c r="E1800" s="9">
        <v>118</v>
      </c>
      <c r="F1800" s="9">
        <v>6</v>
      </c>
      <c r="G1800" s="9">
        <v>42000000</v>
      </c>
      <c r="H1800" s="9">
        <v>16252765</v>
      </c>
      <c r="I1800" s="5">
        <f>IMDB_Movies!$H1800-IMDB_Movies!$G1800</f>
        <v>-25747235</v>
      </c>
    </row>
    <row r="1801" spans="1:9" ht="23">
      <c r="A1801" s="3" t="s">
        <v>2612</v>
      </c>
      <c r="B1801" s="10" t="s">
        <v>1403</v>
      </c>
      <c r="C1801" s="10" t="s">
        <v>414</v>
      </c>
      <c r="D1801" s="10" t="s">
        <v>11</v>
      </c>
      <c r="E1801" s="10">
        <v>110</v>
      </c>
      <c r="F1801" s="10">
        <v>6.4</v>
      </c>
      <c r="G1801" s="10">
        <v>26000000</v>
      </c>
      <c r="H1801" s="10">
        <v>16005978</v>
      </c>
      <c r="I1801" s="5">
        <f>IMDB_Movies!$H1801-IMDB_Movies!$G1801</f>
        <v>-9994022</v>
      </c>
    </row>
    <row r="1802" spans="1:9" ht="23">
      <c r="A1802" s="2" t="s">
        <v>2613</v>
      </c>
      <c r="B1802" s="9" t="s">
        <v>1147</v>
      </c>
      <c r="C1802" s="9" t="s">
        <v>138</v>
      </c>
      <c r="D1802" s="9" t="s">
        <v>11</v>
      </c>
      <c r="E1802" s="9">
        <v>110</v>
      </c>
      <c r="F1802" s="9">
        <v>5.2</v>
      </c>
      <c r="G1802" s="9">
        <v>26000000</v>
      </c>
      <c r="H1802" s="9">
        <v>14469428</v>
      </c>
      <c r="I1802" s="5">
        <f>IMDB_Movies!$H1802-IMDB_Movies!$G1802</f>
        <v>-11530572</v>
      </c>
    </row>
    <row r="1803" spans="1:9" ht="23">
      <c r="A1803" s="3" t="s">
        <v>2614</v>
      </c>
      <c r="B1803" s="10" t="s">
        <v>2615</v>
      </c>
      <c r="C1803" s="10" t="s">
        <v>10</v>
      </c>
      <c r="D1803" s="10" t="s">
        <v>11</v>
      </c>
      <c r="E1803" s="10">
        <v>99</v>
      </c>
      <c r="F1803" s="10">
        <v>4.3</v>
      </c>
      <c r="G1803" s="10">
        <v>26000000</v>
      </c>
      <c r="H1803" s="10">
        <v>13829734</v>
      </c>
      <c r="I1803" s="5">
        <f>IMDB_Movies!$H1803-IMDB_Movies!$G1803</f>
        <v>-12170266</v>
      </c>
    </row>
    <row r="1804" spans="1:9" ht="23">
      <c r="A1804" s="2" t="s">
        <v>2616</v>
      </c>
      <c r="B1804" s="9" t="s">
        <v>2617</v>
      </c>
      <c r="C1804" s="9" t="s">
        <v>414</v>
      </c>
      <c r="D1804" s="9" t="s">
        <v>11</v>
      </c>
      <c r="E1804" s="9">
        <v>101</v>
      </c>
      <c r="F1804" s="9">
        <v>6.1</v>
      </c>
      <c r="G1804" s="9">
        <v>22000000</v>
      </c>
      <c r="H1804" s="9">
        <v>1075288</v>
      </c>
      <c r="I1804" s="5">
        <f>IMDB_Movies!$H1804-IMDB_Movies!$G1804</f>
        <v>-20924712</v>
      </c>
    </row>
    <row r="1805" spans="1:9" ht="23">
      <c r="A1805" s="3" t="s">
        <v>2618</v>
      </c>
      <c r="B1805" s="10" t="s">
        <v>2619</v>
      </c>
      <c r="C1805" s="10" t="s">
        <v>713</v>
      </c>
      <c r="D1805" s="10" t="s">
        <v>11</v>
      </c>
      <c r="E1805" s="10">
        <v>100</v>
      </c>
      <c r="F1805" s="10">
        <v>6.3</v>
      </c>
      <c r="G1805" s="10">
        <v>26000000</v>
      </c>
      <c r="H1805" s="10">
        <v>25078937</v>
      </c>
      <c r="I1805" s="5">
        <f>IMDB_Movies!$H1805-IMDB_Movies!$G1805</f>
        <v>-921063</v>
      </c>
    </row>
    <row r="1806" spans="1:9" ht="23">
      <c r="A1806" s="2" t="s">
        <v>2620</v>
      </c>
      <c r="B1806" s="9" t="s">
        <v>2304</v>
      </c>
      <c r="C1806" s="9" t="s">
        <v>138</v>
      </c>
      <c r="D1806" s="9" t="s">
        <v>11</v>
      </c>
      <c r="E1806" s="9">
        <v>103</v>
      </c>
      <c r="F1806" s="9">
        <v>6.8</v>
      </c>
      <c r="G1806" s="9">
        <v>26000000</v>
      </c>
      <c r="H1806" s="9">
        <v>7496522</v>
      </c>
      <c r="I1806" s="5">
        <f>IMDB_Movies!$H1806-IMDB_Movies!$G1806</f>
        <v>-18503478</v>
      </c>
    </row>
    <row r="1807" spans="1:9" ht="23">
      <c r="A1807" s="3" t="s">
        <v>2621</v>
      </c>
      <c r="B1807" s="10" t="s">
        <v>1124</v>
      </c>
      <c r="C1807" s="10" t="s">
        <v>138</v>
      </c>
      <c r="D1807" s="10" t="s">
        <v>11</v>
      </c>
      <c r="E1807" s="10">
        <v>100</v>
      </c>
      <c r="F1807" s="10">
        <v>4</v>
      </c>
      <c r="G1807" s="10">
        <v>26000000</v>
      </c>
      <c r="H1807" s="10">
        <v>25078937</v>
      </c>
      <c r="I1807" s="5">
        <f>IMDB_Movies!$H1807-IMDB_Movies!$G1807</f>
        <v>-921063</v>
      </c>
    </row>
    <row r="1808" spans="1:9" ht="23">
      <c r="A1808" s="2" t="s">
        <v>2622</v>
      </c>
      <c r="B1808" s="9" t="s">
        <v>2623</v>
      </c>
      <c r="C1808" s="9" t="s">
        <v>24</v>
      </c>
      <c r="D1808" s="9" t="s">
        <v>11</v>
      </c>
      <c r="E1808" s="9">
        <v>95</v>
      </c>
      <c r="F1808" s="9">
        <v>5.2</v>
      </c>
      <c r="G1808" s="9">
        <v>25530000</v>
      </c>
      <c r="H1808" s="9">
        <v>20047715</v>
      </c>
      <c r="I1808" s="5">
        <f>IMDB_Movies!$H1808-IMDB_Movies!$G1808</f>
        <v>-5482285</v>
      </c>
    </row>
    <row r="1809" spans="1:9" ht="23">
      <c r="A1809" s="3" t="s">
        <v>2624</v>
      </c>
      <c r="B1809" s="10" t="s">
        <v>656</v>
      </c>
      <c r="C1809" s="10" t="s">
        <v>10</v>
      </c>
      <c r="D1809" s="10" t="s">
        <v>11</v>
      </c>
      <c r="E1809" s="10">
        <v>117</v>
      </c>
      <c r="F1809" s="10">
        <v>6.5</v>
      </c>
      <c r="G1809" s="10">
        <v>26000000</v>
      </c>
      <c r="H1809" s="10">
        <v>12276810</v>
      </c>
      <c r="I1809" s="5">
        <f>IMDB_Movies!$H1809-IMDB_Movies!$G1809</f>
        <v>-13723190</v>
      </c>
    </row>
    <row r="1810" spans="1:9" ht="23">
      <c r="A1810" s="2" t="s">
        <v>2625</v>
      </c>
      <c r="B1810" s="9" t="s">
        <v>2626</v>
      </c>
      <c r="C1810" s="9" t="s">
        <v>56</v>
      </c>
      <c r="D1810" s="9" t="s">
        <v>11</v>
      </c>
      <c r="E1810" s="9">
        <v>129</v>
      </c>
      <c r="F1810" s="9">
        <v>7.5</v>
      </c>
      <c r="G1810" s="9">
        <v>15000000</v>
      </c>
      <c r="H1810" s="9">
        <v>33565375</v>
      </c>
      <c r="I1810" s="5">
        <f>IMDB_Movies!$H1810-IMDB_Movies!$G1810</f>
        <v>18565375</v>
      </c>
    </row>
    <row r="1811" spans="1:9" ht="23">
      <c r="A1811" s="3" t="s">
        <v>2627</v>
      </c>
      <c r="B1811" s="10" t="s">
        <v>868</v>
      </c>
      <c r="C1811" s="10" t="s">
        <v>56</v>
      </c>
      <c r="D1811" s="10" t="s">
        <v>2628</v>
      </c>
      <c r="E1811" s="10">
        <v>120</v>
      </c>
      <c r="F1811" s="10">
        <v>7.1</v>
      </c>
      <c r="G1811" s="10">
        <v>30000000</v>
      </c>
      <c r="H1811" s="10">
        <v>499263</v>
      </c>
      <c r="I1811" s="5">
        <f>IMDB_Movies!$H1811-IMDB_Movies!$G1811</f>
        <v>-29500737</v>
      </c>
    </row>
    <row r="1812" spans="1:9" ht="23">
      <c r="A1812" s="2" t="s">
        <v>2629</v>
      </c>
      <c r="B1812" s="9" t="s">
        <v>337</v>
      </c>
      <c r="C1812" s="9" t="s">
        <v>138</v>
      </c>
      <c r="D1812" s="9" t="s">
        <v>11</v>
      </c>
      <c r="E1812" s="9">
        <v>125</v>
      </c>
      <c r="F1812" s="9">
        <v>6.9</v>
      </c>
      <c r="G1812" s="9">
        <v>25000000</v>
      </c>
      <c r="H1812" s="9">
        <v>219200000</v>
      </c>
      <c r="I1812" s="5">
        <f>IMDB_Movies!$H1812-IMDB_Movies!$G1812</f>
        <v>194200000</v>
      </c>
    </row>
    <row r="1813" spans="1:9" ht="23">
      <c r="A1813" s="3" t="s">
        <v>2630</v>
      </c>
      <c r="B1813" s="10" t="s">
        <v>834</v>
      </c>
      <c r="C1813" s="10" t="s">
        <v>56</v>
      </c>
      <c r="D1813" s="10" t="s">
        <v>11</v>
      </c>
      <c r="E1813" s="10">
        <v>133</v>
      </c>
      <c r="F1813" s="10">
        <v>8</v>
      </c>
      <c r="G1813" s="10">
        <v>25000000</v>
      </c>
      <c r="H1813" s="10">
        <v>172825435</v>
      </c>
      <c r="I1813" s="5">
        <f>IMDB_Movies!$H1813-IMDB_Movies!$G1813</f>
        <v>147825435</v>
      </c>
    </row>
    <row r="1814" spans="1:9" ht="23">
      <c r="A1814" s="2" t="s">
        <v>2631</v>
      </c>
      <c r="B1814" s="9" t="s">
        <v>992</v>
      </c>
      <c r="C1814" s="9" t="s">
        <v>56</v>
      </c>
      <c r="D1814" s="9" t="s">
        <v>11</v>
      </c>
      <c r="E1814" s="9">
        <v>116</v>
      </c>
      <c r="F1814" s="9">
        <v>8.1999999999999993</v>
      </c>
      <c r="G1814" s="9">
        <v>33000000</v>
      </c>
      <c r="H1814" s="9">
        <v>148085755</v>
      </c>
      <c r="I1814" s="5">
        <f>IMDB_Movies!$H1814-IMDB_Movies!$G1814</f>
        <v>115085755</v>
      </c>
    </row>
    <row r="1815" spans="1:9" ht="23">
      <c r="A1815" s="3" t="s">
        <v>2632</v>
      </c>
      <c r="B1815" s="10" t="s">
        <v>205</v>
      </c>
      <c r="C1815" s="10" t="s">
        <v>418</v>
      </c>
      <c r="D1815" s="10" t="s">
        <v>11</v>
      </c>
      <c r="E1815" s="10">
        <v>129</v>
      </c>
      <c r="F1815" s="10">
        <v>6.4</v>
      </c>
      <c r="G1815" s="10">
        <v>25100000</v>
      </c>
      <c r="H1815" s="10">
        <v>25517500</v>
      </c>
      <c r="I1815" s="5">
        <f>IMDB_Movies!$H1815-IMDB_Movies!$G1815</f>
        <v>417500</v>
      </c>
    </row>
    <row r="1816" spans="1:9" ht="23">
      <c r="A1816" s="2" t="s">
        <v>2633</v>
      </c>
      <c r="B1816" s="9" t="s">
        <v>1347</v>
      </c>
      <c r="C1816" s="9" t="s">
        <v>10</v>
      </c>
      <c r="D1816" s="9" t="s">
        <v>11</v>
      </c>
      <c r="E1816" s="9">
        <v>93</v>
      </c>
      <c r="F1816" s="9">
        <v>7.9</v>
      </c>
      <c r="G1816" s="9">
        <v>25000000</v>
      </c>
      <c r="H1816" s="9">
        <v>145000989</v>
      </c>
      <c r="I1816" s="5">
        <f>IMDB_Movies!$H1816-IMDB_Movies!$G1816</f>
        <v>120000989</v>
      </c>
    </row>
    <row r="1817" spans="1:9" ht="23">
      <c r="A1817" s="3" t="s">
        <v>2634</v>
      </c>
      <c r="B1817" s="10" t="s">
        <v>2635</v>
      </c>
      <c r="C1817" s="10" t="s">
        <v>56</v>
      </c>
      <c r="D1817" s="10" t="s">
        <v>11</v>
      </c>
      <c r="E1817" s="10">
        <v>118</v>
      </c>
      <c r="F1817" s="10">
        <v>6.7</v>
      </c>
      <c r="G1817" s="10">
        <v>26000000</v>
      </c>
      <c r="H1817" s="10">
        <v>26761283</v>
      </c>
      <c r="I1817" s="5">
        <f>IMDB_Movies!$H1817-IMDB_Movies!$G1817</f>
        <v>761283</v>
      </c>
    </row>
    <row r="1818" spans="1:9" ht="23">
      <c r="A1818" s="2" t="s">
        <v>2636</v>
      </c>
      <c r="B1818" s="9" t="s">
        <v>604</v>
      </c>
      <c r="C1818" s="9" t="s">
        <v>10</v>
      </c>
      <c r="D1818" s="9" t="s">
        <v>11</v>
      </c>
      <c r="E1818" s="9">
        <v>129</v>
      </c>
      <c r="F1818" s="9">
        <v>6.1</v>
      </c>
      <c r="G1818" s="9">
        <v>25000000</v>
      </c>
      <c r="H1818" s="9">
        <v>121945720</v>
      </c>
      <c r="I1818" s="5">
        <f>IMDB_Movies!$H1818-IMDB_Movies!$G1818</f>
        <v>96945720</v>
      </c>
    </row>
    <row r="1819" spans="1:9" ht="23">
      <c r="A1819" s="3" t="s">
        <v>2637</v>
      </c>
      <c r="B1819" s="10" t="s">
        <v>103</v>
      </c>
      <c r="C1819" s="10" t="s">
        <v>418</v>
      </c>
      <c r="D1819" s="10" t="s">
        <v>11</v>
      </c>
      <c r="E1819" s="10">
        <v>185</v>
      </c>
      <c r="F1819" s="10">
        <v>8.9</v>
      </c>
      <c r="G1819" s="10">
        <v>22000000</v>
      </c>
      <c r="H1819" s="10">
        <v>96067179</v>
      </c>
      <c r="I1819" s="5">
        <f>IMDB_Movies!$H1819-IMDB_Movies!$G1819</f>
        <v>74067179</v>
      </c>
    </row>
    <row r="1820" spans="1:9" ht="23">
      <c r="A1820" s="2" t="s">
        <v>2638</v>
      </c>
      <c r="B1820" s="9" t="s">
        <v>2368</v>
      </c>
      <c r="C1820" s="9" t="s">
        <v>56</v>
      </c>
      <c r="D1820" s="9" t="s">
        <v>11</v>
      </c>
      <c r="E1820" s="9">
        <v>146</v>
      </c>
      <c r="F1820" s="9">
        <v>8.1</v>
      </c>
      <c r="G1820" s="9">
        <v>25000000</v>
      </c>
      <c r="H1820" s="9">
        <v>169705587</v>
      </c>
      <c r="I1820" s="5">
        <f>IMDB_Movies!$H1820-IMDB_Movies!$G1820</f>
        <v>144705587</v>
      </c>
    </row>
    <row r="1821" spans="1:9" ht="23">
      <c r="A1821" s="3" t="s">
        <v>2639</v>
      </c>
      <c r="B1821" s="10" t="s">
        <v>299</v>
      </c>
      <c r="C1821" s="10" t="s">
        <v>418</v>
      </c>
      <c r="D1821" s="10" t="s">
        <v>11</v>
      </c>
      <c r="E1821" s="10">
        <v>128</v>
      </c>
      <c r="F1821" s="10">
        <v>6.2</v>
      </c>
      <c r="G1821" s="10">
        <v>28000000</v>
      </c>
      <c r="H1821" s="10">
        <v>3254172</v>
      </c>
      <c r="I1821" s="5">
        <f>IMDB_Movies!$H1821-IMDB_Movies!$G1821</f>
        <v>-24745828</v>
      </c>
    </row>
    <row r="1822" spans="1:9" ht="23">
      <c r="A1822" s="2" t="s">
        <v>2640</v>
      </c>
      <c r="B1822" s="9" t="s">
        <v>425</v>
      </c>
      <c r="C1822" s="9" t="s">
        <v>24</v>
      </c>
      <c r="D1822" s="9" t="s">
        <v>11</v>
      </c>
      <c r="E1822" s="9">
        <v>93</v>
      </c>
      <c r="F1822" s="9">
        <v>4.9000000000000004</v>
      </c>
      <c r="G1822" s="9">
        <v>80000000</v>
      </c>
      <c r="H1822" s="9">
        <v>84185387</v>
      </c>
      <c r="I1822" s="5">
        <f>IMDB_Movies!$H1822-IMDB_Movies!$G1822</f>
        <v>4185387</v>
      </c>
    </row>
    <row r="1823" spans="1:9" ht="23">
      <c r="A1823" s="3" t="s">
        <v>2641</v>
      </c>
      <c r="B1823" s="10" t="s">
        <v>2642</v>
      </c>
      <c r="C1823" s="10" t="s">
        <v>24</v>
      </c>
      <c r="D1823" s="10" t="s">
        <v>1544</v>
      </c>
      <c r="E1823" s="10">
        <v>107</v>
      </c>
      <c r="F1823" s="10">
        <v>5.4</v>
      </c>
      <c r="G1823" s="10">
        <v>26000000</v>
      </c>
      <c r="H1823" s="10">
        <v>25078937</v>
      </c>
      <c r="I1823" s="5">
        <f>IMDB_Movies!$H1823-IMDB_Movies!$G1823</f>
        <v>-921063</v>
      </c>
    </row>
    <row r="1824" spans="1:9" ht="23">
      <c r="A1824" s="2" t="s">
        <v>2643</v>
      </c>
      <c r="B1824" s="9" t="s">
        <v>2132</v>
      </c>
      <c r="C1824" s="9" t="s">
        <v>10</v>
      </c>
      <c r="D1824" s="9" t="s">
        <v>11</v>
      </c>
      <c r="E1824" s="9">
        <v>97</v>
      </c>
      <c r="F1824" s="9">
        <v>5.8</v>
      </c>
      <c r="G1824" s="9">
        <v>30000000</v>
      </c>
      <c r="H1824" s="9">
        <v>82163317</v>
      </c>
      <c r="I1824" s="5">
        <f>IMDB_Movies!$H1824-IMDB_Movies!$G1824</f>
        <v>52163317</v>
      </c>
    </row>
    <row r="1825" spans="1:9" ht="23">
      <c r="A1825" s="3" t="s">
        <v>2644</v>
      </c>
      <c r="B1825" s="10" t="s">
        <v>2645</v>
      </c>
      <c r="C1825" s="10" t="s">
        <v>56</v>
      </c>
      <c r="D1825" s="10" t="s">
        <v>11</v>
      </c>
      <c r="E1825" s="10">
        <v>101</v>
      </c>
      <c r="F1825" s="10">
        <v>4.7</v>
      </c>
      <c r="G1825" s="10">
        <v>20000000</v>
      </c>
      <c r="H1825" s="10">
        <v>25078937</v>
      </c>
      <c r="I1825" s="5">
        <f>IMDB_Movies!$H1825-IMDB_Movies!$G1825</f>
        <v>5078937</v>
      </c>
    </row>
    <row r="1826" spans="1:9" ht="23">
      <c r="A1826" s="2" t="s">
        <v>2646</v>
      </c>
      <c r="B1826" s="9" t="s">
        <v>1611</v>
      </c>
      <c r="C1826" s="9" t="s">
        <v>10</v>
      </c>
      <c r="D1826" s="9" t="s">
        <v>11</v>
      </c>
      <c r="E1826" s="9">
        <v>82</v>
      </c>
      <c r="F1826" s="9">
        <v>6</v>
      </c>
      <c r="G1826" s="9">
        <v>30000000</v>
      </c>
      <c r="H1826" s="9">
        <v>80920948</v>
      </c>
      <c r="I1826" s="5">
        <f>IMDB_Movies!$H1826-IMDB_Movies!$G1826</f>
        <v>50920948</v>
      </c>
    </row>
    <row r="1827" spans="1:9" ht="23">
      <c r="A1827" s="3" t="s">
        <v>2647</v>
      </c>
      <c r="B1827" s="10" t="s">
        <v>153</v>
      </c>
      <c r="C1827" s="10" t="s">
        <v>10</v>
      </c>
      <c r="D1827" s="10" t="s">
        <v>11</v>
      </c>
      <c r="E1827" s="10">
        <v>85</v>
      </c>
      <c r="F1827" s="10">
        <v>7</v>
      </c>
      <c r="G1827" s="10">
        <v>25000000</v>
      </c>
      <c r="H1827" s="10">
        <v>80034302</v>
      </c>
      <c r="I1827" s="5">
        <f>IMDB_Movies!$H1827-IMDB_Movies!$G1827</f>
        <v>55034302</v>
      </c>
    </row>
    <row r="1828" spans="1:9" ht="23">
      <c r="A1828" s="2" t="s">
        <v>2648</v>
      </c>
      <c r="B1828" s="9" t="s">
        <v>2649</v>
      </c>
      <c r="C1828" s="9" t="s">
        <v>10</v>
      </c>
      <c r="D1828" s="9" t="s">
        <v>11</v>
      </c>
      <c r="E1828" s="9">
        <v>88</v>
      </c>
      <c r="F1828" s="9">
        <v>6</v>
      </c>
      <c r="G1828" s="9">
        <v>25000000</v>
      </c>
      <c r="H1828" s="9">
        <v>78656813</v>
      </c>
      <c r="I1828" s="5">
        <f>IMDB_Movies!$H1828-IMDB_Movies!$G1828</f>
        <v>53656813</v>
      </c>
    </row>
    <row r="1829" spans="1:9" ht="23">
      <c r="A1829" s="3" t="s">
        <v>2650</v>
      </c>
      <c r="B1829" s="10" t="s">
        <v>600</v>
      </c>
      <c r="C1829" s="10" t="s">
        <v>414</v>
      </c>
      <c r="D1829" s="10" t="s">
        <v>11</v>
      </c>
      <c r="E1829" s="10">
        <v>119</v>
      </c>
      <c r="F1829" s="10">
        <v>7.9</v>
      </c>
      <c r="G1829" s="10">
        <v>25000000</v>
      </c>
      <c r="H1829" s="10">
        <v>76270454</v>
      </c>
      <c r="I1829" s="5">
        <f>IMDB_Movies!$H1829-IMDB_Movies!$G1829</f>
        <v>51270454</v>
      </c>
    </row>
    <row r="1830" spans="1:9" ht="23">
      <c r="A1830" s="2" t="s">
        <v>2651</v>
      </c>
      <c r="B1830" s="9" t="s">
        <v>1967</v>
      </c>
      <c r="C1830" s="9" t="s">
        <v>414</v>
      </c>
      <c r="D1830" s="9" t="s">
        <v>11</v>
      </c>
      <c r="E1830" s="9">
        <v>122</v>
      </c>
      <c r="F1830" s="9">
        <v>8.1</v>
      </c>
      <c r="G1830" s="9">
        <v>25000000</v>
      </c>
      <c r="H1830" s="9">
        <v>74273505</v>
      </c>
      <c r="I1830" s="5">
        <f>IMDB_Movies!$H1830-IMDB_Movies!$G1830</f>
        <v>49273505</v>
      </c>
    </row>
    <row r="1831" spans="1:9" ht="23">
      <c r="A1831" s="3" t="s">
        <v>2652</v>
      </c>
      <c r="B1831" s="10" t="s">
        <v>364</v>
      </c>
      <c r="C1831" s="10" t="s">
        <v>10</v>
      </c>
      <c r="D1831" s="10" t="s">
        <v>11</v>
      </c>
      <c r="E1831" s="10">
        <v>99</v>
      </c>
      <c r="F1831" s="10">
        <v>6.2</v>
      </c>
      <c r="G1831" s="10">
        <v>25000000</v>
      </c>
      <c r="H1831" s="10">
        <v>134141530</v>
      </c>
      <c r="I1831" s="5">
        <f>IMDB_Movies!$H1831-IMDB_Movies!$G1831</f>
        <v>109141530</v>
      </c>
    </row>
    <row r="1832" spans="1:9" ht="23">
      <c r="A1832" s="2" t="s">
        <v>2653</v>
      </c>
      <c r="B1832" s="9" t="s">
        <v>2654</v>
      </c>
      <c r="C1832" s="9" t="s">
        <v>138</v>
      </c>
      <c r="D1832" s="9" t="s">
        <v>11</v>
      </c>
      <c r="E1832" s="9">
        <v>97</v>
      </c>
      <c r="F1832" s="9">
        <v>6.7</v>
      </c>
      <c r="G1832" s="9">
        <v>26000000</v>
      </c>
      <c r="H1832" s="9">
        <v>71500556</v>
      </c>
      <c r="I1832" s="5">
        <f>IMDB_Movies!$H1832-IMDB_Movies!$G1832</f>
        <v>45500556</v>
      </c>
    </row>
    <row r="1833" spans="1:9" ht="23">
      <c r="A1833" s="3" t="s">
        <v>2655</v>
      </c>
      <c r="B1833" s="10" t="s">
        <v>2117</v>
      </c>
      <c r="C1833" s="10" t="s">
        <v>56</v>
      </c>
      <c r="D1833" s="10" t="s">
        <v>11</v>
      </c>
      <c r="E1833" s="10">
        <v>121</v>
      </c>
      <c r="F1833" s="10">
        <v>7.3</v>
      </c>
      <c r="G1833" s="10">
        <v>25000000</v>
      </c>
      <c r="H1833" s="10">
        <v>71309760</v>
      </c>
      <c r="I1833" s="5">
        <f>IMDB_Movies!$H1833-IMDB_Movies!$G1833</f>
        <v>46309760</v>
      </c>
    </row>
    <row r="1834" spans="1:9" ht="23">
      <c r="A1834" s="2" t="s">
        <v>2656</v>
      </c>
      <c r="B1834" s="9" t="s">
        <v>2657</v>
      </c>
      <c r="C1834" s="9" t="s">
        <v>138</v>
      </c>
      <c r="D1834" s="9" t="s">
        <v>11</v>
      </c>
      <c r="E1834" s="9">
        <v>95</v>
      </c>
      <c r="F1834" s="9">
        <v>4.5999999999999996</v>
      </c>
      <c r="G1834" s="9">
        <v>45000000</v>
      </c>
      <c r="H1834" s="9">
        <v>89808372</v>
      </c>
      <c r="I1834" s="5">
        <f>IMDB_Movies!$H1834-IMDB_Movies!$G1834</f>
        <v>44808372</v>
      </c>
    </row>
    <row r="1835" spans="1:9" ht="23">
      <c r="A1835" s="3" t="s">
        <v>2658</v>
      </c>
      <c r="B1835" s="10" t="s">
        <v>1401</v>
      </c>
      <c r="C1835" s="10" t="s">
        <v>138</v>
      </c>
      <c r="D1835" s="10" t="s">
        <v>11</v>
      </c>
      <c r="E1835" s="10">
        <v>105</v>
      </c>
      <c r="F1835" s="10">
        <v>6.1</v>
      </c>
      <c r="G1835" s="10">
        <v>25000000</v>
      </c>
      <c r="H1835" s="10">
        <v>77264926</v>
      </c>
      <c r="I1835" s="5">
        <f>IMDB_Movies!$H1835-IMDB_Movies!$G1835</f>
        <v>52264926</v>
      </c>
    </row>
    <row r="1836" spans="1:9" ht="23">
      <c r="A1836" s="2" t="s">
        <v>2659</v>
      </c>
      <c r="B1836" s="9" t="s">
        <v>722</v>
      </c>
      <c r="C1836" s="9" t="s">
        <v>138</v>
      </c>
      <c r="D1836" s="9" t="s">
        <v>11</v>
      </c>
      <c r="E1836" s="9">
        <v>108</v>
      </c>
      <c r="F1836" s="9">
        <v>6.2</v>
      </c>
      <c r="G1836" s="9">
        <v>25000000</v>
      </c>
      <c r="H1836" s="9">
        <v>70625986</v>
      </c>
      <c r="I1836" s="5">
        <f>IMDB_Movies!$H1836-IMDB_Movies!$G1836</f>
        <v>45625986</v>
      </c>
    </row>
    <row r="1837" spans="1:9" ht="23">
      <c r="A1837" s="3" t="s">
        <v>2660</v>
      </c>
      <c r="B1837" s="10" t="s">
        <v>1643</v>
      </c>
      <c r="C1837" s="10" t="s">
        <v>10</v>
      </c>
      <c r="D1837" s="10" t="s">
        <v>11</v>
      </c>
      <c r="E1837" s="10">
        <v>134</v>
      </c>
      <c r="F1837" s="10">
        <v>7.8</v>
      </c>
      <c r="G1837" s="10">
        <v>25000000</v>
      </c>
      <c r="H1837" s="10">
        <v>56505065</v>
      </c>
      <c r="I1837" s="5">
        <f>IMDB_Movies!$H1837-IMDB_Movies!$G1837</f>
        <v>31505065</v>
      </c>
    </row>
    <row r="1838" spans="1:9" ht="23">
      <c r="A1838" s="2" t="s">
        <v>2661</v>
      </c>
      <c r="B1838" s="9" t="s">
        <v>919</v>
      </c>
      <c r="C1838" s="9" t="s">
        <v>10</v>
      </c>
      <c r="D1838" s="9" t="s">
        <v>11</v>
      </c>
      <c r="E1838" s="9">
        <v>115</v>
      </c>
      <c r="F1838" s="9">
        <v>6.1</v>
      </c>
      <c r="G1838" s="9">
        <v>25000000</v>
      </c>
      <c r="H1838" s="9">
        <v>55973336</v>
      </c>
      <c r="I1838" s="5">
        <f>IMDB_Movies!$H1838-IMDB_Movies!$G1838</f>
        <v>30973336</v>
      </c>
    </row>
    <row r="1839" spans="1:9" ht="23">
      <c r="A1839" s="3" t="s">
        <v>2662</v>
      </c>
      <c r="B1839" s="10" t="s">
        <v>285</v>
      </c>
      <c r="C1839" s="10" t="s">
        <v>713</v>
      </c>
      <c r="D1839" s="10" t="s">
        <v>11</v>
      </c>
      <c r="E1839" s="10">
        <v>107</v>
      </c>
      <c r="F1839" s="10">
        <v>7.6</v>
      </c>
      <c r="G1839" s="10">
        <v>2800000</v>
      </c>
      <c r="H1839" s="10">
        <v>25078937</v>
      </c>
      <c r="I1839" s="5">
        <f>IMDB_Movies!$H1839-IMDB_Movies!$G1839</f>
        <v>22278937</v>
      </c>
    </row>
    <row r="1840" spans="1:9" ht="23">
      <c r="A1840" s="2" t="s">
        <v>2663</v>
      </c>
      <c r="B1840" s="9" t="s">
        <v>1508</v>
      </c>
      <c r="C1840" s="9" t="s">
        <v>810</v>
      </c>
      <c r="D1840" s="9" t="s">
        <v>11</v>
      </c>
      <c r="E1840" s="9">
        <v>86</v>
      </c>
      <c r="F1840" s="9">
        <v>5.8</v>
      </c>
      <c r="G1840" s="9">
        <v>25000000</v>
      </c>
      <c r="H1840" s="9">
        <v>54098051</v>
      </c>
      <c r="I1840" s="5">
        <f>IMDB_Movies!$H1840-IMDB_Movies!$G1840</f>
        <v>29098051</v>
      </c>
    </row>
    <row r="1841" spans="1:9" ht="23">
      <c r="A1841" s="3" t="s">
        <v>2664</v>
      </c>
      <c r="B1841" s="10" t="s">
        <v>1995</v>
      </c>
      <c r="C1841" s="10" t="s">
        <v>56</v>
      </c>
      <c r="D1841" s="10" t="s">
        <v>11</v>
      </c>
      <c r="E1841" s="10">
        <v>101</v>
      </c>
      <c r="F1841" s="10">
        <v>6.5</v>
      </c>
      <c r="G1841" s="10">
        <v>25000000</v>
      </c>
      <c r="H1841" s="10">
        <v>60443237</v>
      </c>
      <c r="I1841" s="5">
        <f>IMDB_Movies!$H1841-IMDB_Movies!$G1841</f>
        <v>35443237</v>
      </c>
    </row>
    <row r="1842" spans="1:9" ht="23">
      <c r="A1842" s="2" t="s">
        <v>2665</v>
      </c>
      <c r="B1842" s="9" t="s">
        <v>2666</v>
      </c>
      <c r="C1842" s="9" t="s">
        <v>24</v>
      </c>
      <c r="D1842" s="9" t="s">
        <v>11</v>
      </c>
      <c r="E1842" s="9">
        <v>96</v>
      </c>
      <c r="F1842" s="9">
        <v>7.2</v>
      </c>
      <c r="G1842" s="9">
        <v>17000000</v>
      </c>
      <c r="H1842" s="9">
        <v>82234139</v>
      </c>
      <c r="I1842" s="5">
        <f>IMDB_Movies!$H1842-IMDB_Movies!$G1842</f>
        <v>65234139</v>
      </c>
    </row>
    <row r="1843" spans="1:9" ht="23">
      <c r="A1843" s="3" t="s">
        <v>2667</v>
      </c>
      <c r="B1843" s="10" t="s">
        <v>34</v>
      </c>
      <c r="C1843" s="10" t="s">
        <v>418</v>
      </c>
      <c r="D1843" s="10" t="s">
        <v>11</v>
      </c>
      <c r="E1843" s="10">
        <v>101</v>
      </c>
      <c r="F1843" s="10">
        <v>7.8</v>
      </c>
      <c r="G1843" s="10">
        <v>25000000</v>
      </c>
      <c r="H1843" s="10">
        <v>51676606</v>
      </c>
      <c r="I1843" s="5">
        <f>IMDB_Movies!$H1843-IMDB_Movies!$G1843</f>
        <v>26676606</v>
      </c>
    </row>
    <row r="1844" spans="1:9" ht="23">
      <c r="A1844" s="2" t="s">
        <v>2668</v>
      </c>
      <c r="B1844" s="9" t="s">
        <v>2669</v>
      </c>
      <c r="C1844" s="9" t="s">
        <v>138</v>
      </c>
      <c r="D1844" s="9" t="s">
        <v>11</v>
      </c>
      <c r="E1844" s="9">
        <v>100</v>
      </c>
      <c r="F1844" s="9">
        <v>4.7</v>
      </c>
      <c r="G1844" s="9">
        <v>25000000</v>
      </c>
      <c r="H1844" s="9">
        <v>52528330</v>
      </c>
      <c r="I1844" s="5">
        <f>IMDB_Movies!$H1844-IMDB_Movies!$G1844</f>
        <v>27528330</v>
      </c>
    </row>
    <row r="1845" spans="1:9" ht="23">
      <c r="A1845" s="3" t="s">
        <v>2670</v>
      </c>
      <c r="B1845" s="10" t="s">
        <v>2671</v>
      </c>
      <c r="C1845" s="10" t="s">
        <v>10</v>
      </c>
      <c r="D1845" s="10" t="s">
        <v>11</v>
      </c>
      <c r="E1845" s="10">
        <v>117</v>
      </c>
      <c r="F1845" s="10">
        <v>6.8</v>
      </c>
      <c r="G1845" s="10">
        <v>25000000</v>
      </c>
      <c r="H1845" s="10">
        <v>51533608</v>
      </c>
      <c r="I1845" s="5">
        <f>IMDB_Movies!$H1845-IMDB_Movies!$G1845</f>
        <v>26533608</v>
      </c>
    </row>
    <row r="1846" spans="1:9" ht="23">
      <c r="A1846" s="2" t="s">
        <v>2672</v>
      </c>
      <c r="B1846" s="9" t="s">
        <v>2673</v>
      </c>
      <c r="C1846" s="9" t="s">
        <v>56</v>
      </c>
      <c r="D1846" s="9" t="s">
        <v>11</v>
      </c>
      <c r="E1846" s="9">
        <v>101</v>
      </c>
      <c r="F1846" s="9">
        <v>5.9</v>
      </c>
      <c r="G1846" s="9">
        <v>30000000</v>
      </c>
      <c r="H1846" s="9">
        <v>51097664</v>
      </c>
      <c r="I1846" s="5">
        <f>IMDB_Movies!$H1846-IMDB_Movies!$G1846</f>
        <v>21097664</v>
      </c>
    </row>
    <row r="1847" spans="1:9" ht="23">
      <c r="A1847" s="3" t="s">
        <v>2674</v>
      </c>
      <c r="B1847" s="10" t="s">
        <v>468</v>
      </c>
      <c r="C1847" s="10" t="s">
        <v>138</v>
      </c>
      <c r="D1847" s="10" t="s">
        <v>11</v>
      </c>
      <c r="E1847" s="10">
        <v>98</v>
      </c>
      <c r="F1847" s="10">
        <v>7.2</v>
      </c>
      <c r="G1847" s="10">
        <v>26000000</v>
      </c>
      <c r="H1847" s="10">
        <v>84136909</v>
      </c>
      <c r="I1847" s="5">
        <f>IMDB_Movies!$H1847-IMDB_Movies!$G1847</f>
        <v>58136909</v>
      </c>
    </row>
    <row r="1848" spans="1:9" ht="23">
      <c r="A1848" s="2" t="s">
        <v>2675</v>
      </c>
      <c r="B1848" s="9" t="s">
        <v>130</v>
      </c>
      <c r="C1848" s="9" t="s">
        <v>418</v>
      </c>
      <c r="D1848" s="9" t="s">
        <v>11</v>
      </c>
      <c r="E1848" s="9">
        <v>146</v>
      </c>
      <c r="F1848" s="9">
        <v>8.6999999999999993</v>
      </c>
      <c r="G1848" s="9">
        <v>25000000</v>
      </c>
      <c r="H1848" s="9">
        <v>46836394</v>
      </c>
      <c r="I1848" s="5">
        <f>IMDB_Movies!$H1848-IMDB_Movies!$G1848</f>
        <v>21836394</v>
      </c>
    </row>
    <row r="1849" spans="1:9" ht="23">
      <c r="A1849" s="3" t="s">
        <v>2676</v>
      </c>
      <c r="B1849" s="10" t="s">
        <v>1184</v>
      </c>
      <c r="C1849" s="10" t="s">
        <v>10</v>
      </c>
      <c r="D1849" s="10" t="s">
        <v>11</v>
      </c>
      <c r="E1849" s="10">
        <v>102</v>
      </c>
      <c r="F1849" s="10">
        <v>5</v>
      </c>
      <c r="G1849" s="10">
        <v>26000000</v>
      </c>
      <c r="H1849" s="10">
        <v>47285499</v>
      </c>
      <c r="I1849" s="5">
        <f>IMDB_Movies!$H1849-IMDB_Movies!$G1849</f>
        <v>21285499</v>
      </c>
    </row>
    <row r="1850" spans="1:9" ht="23">
      <c r="A1850" s="2" t="s">
        <v>2677</v>
      </c>
      <c r="B1850" s="9" t="s">
        <v>1965</v>
      </c>
      <c r="C1850" s="9" t="s">
        <v>138</v>
      </c>
      <c r="D1850" s="9" t="s">
        <v>11</v>
      </c>
      <c r="E1850" s="9">
        <v>97</v>
      </c>
      <c r="F1850" s="9">
        <v>6.6</v>
      </c>
      <c r="G1850" s="9">
        <v>25000000</v>
      </c>
      <c r="H1850" s="9">
        <v>47124400</v>
      </c>
      <c r="I1850" s="5">
        <f>IMDB_Movies!$H1850-IMDB_Movies!$G1850</f>
        <v>22124400</v>
      </c>
    </row>
    <row r="1851" spans="1:9" ht="23">
      <c r="A1851" s="3" t="s">
        <v>2678</v>
      </c>
      <c r="B1851" s="10" t="s">
        <v>600</v>
      </c>
      <c r="C1851" s="10" t="s">
        <v>414</v>
      </c>
      <c r="D1851" s="10" t="s">
        <v>11</v>
      </c>
      <c r="E1851" s="10">
        <v>142</v>
      </c>
      <c r="F1851" s="10">
        <v>8.3000000000000007</v>
      </c>
      <c r="G1851" s="10">
        <v>25000000</v>
      </c>
      <c r="H1851" s="10">
        <v>44700000</v>
      </c>
      <c r="I1851" s="5">
        <f>IMDB_Movies!$H1851-IMDB_Movies!$G1851</f>
        <v>19700000</v>
      </c>
    </row>
    <row r="1852" spans="1:9" ht="23">
      <c r="A1852" s="2" t="s">
        <v>2679</v>
      </c>
      <c r="B1852" s="9" t="s">
        <v>1352</v>
      </c>
      <c r="C1852" s="9" t="s">
        <v>10</v>
      </c>
      <c r="D1852" s="9" t="s">
        <v>11</v>
      </c>
      <c r="E1852" s="9">
        <v>98</v>
      </c>
      <c r="F1852" s="9">
        <v>6.7</v>
      </c>
      <c r="G1852" s="9">
        <v>25000000</v>
      </c>
      <c r="H1852" s="9">
        <v>44455658</v>
      </c>
      <c r="I1852" s="5">
        <f>IMDB_Movies!$H1852-IMDB_Movies!$G1852</f>
        <v>19455658</v>
      </c>
    </row>
    <row r="1853" spans="1:9" ht="23">
      <c r="A1853" s="3" t="s">
        <v>2680</v>
      </c>
      <c r="B1853" s="10" t="s">
        <v>2681</v>
      </c>
      <c r="C1853" s="10" t="s">
        <v>418</v>
      </c>
      <c r="D1853" s="10" t="s">
        <v>11</v>
      </c>
      <c r="E1853" s="10">
        <v>219</v>
      </c>
      <c r="F1853" s="10">
        <v>7.8</v>
      </c>
      <c r="G1853" s="10">
        <v>23000000</v>
      </c>
      <c r="H1853" s="10">
        <v>43984230</v>
      </c>
      <c r="I1853" s="5">
        <f>IMDB_Movies!$H1853-IMDB_Movies!$G1853</f>
        <v>20984230</v>
      </c>
    </row>
    <row r="1854" spans="1:9" ht="23">
      <c r="A1854" s="2" t="s">
        <v>2682</v>
      </c>
      <c r="B1854" s="9" t="s">
        <v>1031</v>
      </c>
      <c r="C1854" s="9" t="s">
        <v>10</v>
      </c>
      <c r="D1854" s="9" t="s">
        <v>11</v>
      </c>
      <c r="E1854" s="9">
        <v>109</v>
      </c>
      <c r="F1854" s="9">
        <v>6.5</v>
      </c>
      <c r="G1854" s="9">
        <v>25000000</v>
      </c>
      <c r="H1854" s="9">
        <v>66489425</v>
      </c>
      <c r="I1854" s="5">
        <f>IMDB_Movies!$H1854-IMDB_Movies!$G1854</f>
        <v>41489425</v>
      </c>
    </row>
    <row r="1855" spans="1:9" ht="23">
      <c r="A1855" s="3" t="s">
        <v>2683</v>
      </c>
      <c r="B1855" s="10" t="s">
        <v>70</v>
      </c>
      <c r="C1855" s="10" t="s">
        <v>10</v>
      </c>
      <c r="D1855" s="10" t="s">
        <v>11</v>
      </c>
      <c r="E1855" s="10">
        <v>97</v>
      </c>
      <c r="F1855" s="10">
        <v>6.1</v>
      </c>
      <c r="G1855" s="10">
        <v>25000000</v>
      </c>
      <c r="H1855" s="10">
        <v>41067398</v>
      </c>
      <c r="I1855" s="5">
        <f>IMDB_Movies!$H1855-IMDB_Movies!$G1855</f>
        <v>16067398</v>
      </c>
    </row>
    <row r="1856" spans="1:9" ht="23">
      <c r="A1856" s="2" t="s">
        <v>2684</v>
      </c>
      <c r="B1856" s="9" t="s">
        <v>1955</v>
      </c>
      <c r="C1856" s="9" t="s">
        <v>56</v>
      </c>
      <c r="D1856" s="9" t="s">
        <v>11</v>
      </c>
      <c r="E1856" s="9">
        <v>158</v>
      </c>
      <c r="F1856" s="9">
        <v>8.1</v>
      </c>
      <c r="G1856" s="9">
        <v>25000000</v>
      </c>
      <c r="H1856" s="9">
        <v>40218903</v>
      </c>
      <c r="I1856" s="5">
        <f>IMDB_Movies!$H1856-IMDB_Movies!$G1856</f>
        <v>15218903</v>
      </c>
    </row>
    <row r="1857" spans="1:9" ht="23">
      <c r="A1857" s="3" t="s">
        <v>2685</v>
      </c>
      <c r="B1857" s="10" t="s">
        <v>2686</v>
      </c>
      <c r="C1857" s="10" t="s">
        <v>24</v>
      </c>
      <c r="D1857" s="10" t="s">
        <v>11</v>
      </c>
      <c r="E1857" s="10">
        <v>85</v>
      </c>
      <c r="F1857" s="10">
        <v>5.2</v>
      </c>
      <c r="G1857" s="10">
        <v>25000000</v>
      </c>
      <c r="H1857" s="10">
        <v>39880476</v>
      </c>
      <c r="I1857" s="5">
        <f>IMDB_Movies!$H1857-IMDB_Movies!$G1857</f>
        <v>14880476</v>
      </c>
    </row>
    <row r="1858" spans="1:9" ht="23">
      <c r="A1858" s="2" t="s">
        <v>2687</v>
      </c>
      <c r="B1858" s="9" t="s">
        <v>2688</v>
      </c>
      <c r="C1858" s="9" t="s">
        <v>24</v>
      </c>
      <c r="D1858" s="9" t="s">
        <v>11</v>
      </c>
      <c r="E1858" s="9">
        <v>80</v>
      </c>
      <c r="F1858" s="9">
        <v>5.6</v>
      </c>
      <c r="G1858" s="9">
        <v>25000000</v>
      </c>
      <c r="H1858" s="9">
        <v>39399750</v>
      </c>
      <c r="I1858" s="5">
        <f>IMDB_Movies!$H1858-IMDB_Movies!$G1858</f>
        <v>14399750</v>
      </c>
    </row>
    <row r="1859" spans="1:9" ht="23">
      <c r="A1859" s="3" t="s">
        <v>2689</v>
      </c>
      <c r="B1859" s="10" t="s">
        <v>1875</v>
      </c>
      <c r="C1859" s="10" t="s">
        <v>10</v>
      </c>
      <c r="D1859" s="10" t="s">
        <v>11</v>
      </c>
      <c r="E1859" s="10">
        <v>86</v>
      </c>
      <c r="F1859" s="10">
        <v>5.8</v>
      </c>
      <c r="G1859" s="10">
        <v>25000000</v>
      </c>
      <c r="H1859" s="10">
        <v>38230435</v>
      </c>
      <c r="I1859" s="5">
        <f>IMDB_Movies!$H1859-IMDB_Movies!$G1859</f>
        <v>13230435</v>
      </c>
    </row>
    <row r="1860" spans="1:9" ht="23">
      <c r="A1860" s="2" t="s">
        <v>2690</v>
      </c>
      <c r="B1860" s="9" t="s">
        <v>1736</v>
      </c>
      <c r="C1860" s="9" t="s">
        <v>138</v>
      </c>
      <c r="D1860" s="9" t="s">
        <v>11</v>
      </c>
      <c r="E1860" s="9">
        <v>119</v>
      </c>
      <c r="F1860" s="9">
        <v>6.6</v>
      </c>
      <c r="G1860" s="9">
        <v>25000000</v>
      </c>
      <c r="H1860" s="9">
        <v>39008741</v>
      </c>
      <c r="I1860" s="5">
        <f>IMDB_Movies!$H1860-IMDB_Movies!$G1860</f>
        <v>14008741</v>
      </c>
    </row>
    <row r="1861" spans="1:9" ht="23">
      <c r="A1861" s="3" t="s">
        <v>2691</v>
      </c>
      <c r="B1861" s="10" t="s">
        <v>2692</v>
      </c>
      <c r="C1861" s="10" t="s">
        <v>10</v>
      </c>
      <c r="D1861" s="10" t="s">
        <v>11</v>
      </c>
      <c r="E1861" s="10">
        <v>98</v>
      </c>
      <c r="F1861" s="10">
        <v>6.6</v>
      </c>
      <c r="G1861" s="10">
        <v>25000000</v>
      </c>
      <c r="H1861" s="10">
        <v>36833473</v>
      </c>
      <c r="I1861" s="5">
        <f>IMDB_Movies!$H1861-IMDB_Movies!$G1861</f>
        <v>11833473</v>
      </c>
    </row>
    <row r="1862" spans="1:9" ht="23">
      <c r="A1862" s="2" t="s">
        <v>2693</v>
      </c>
      <c r="B1862" s="9" t="s">
        <v>2694</v>
      </c>
      <c r="C1862" s="9" t="s">
        <v>138</v>
      </c>
      <c r="D1862" s="9" t="s">
        <v>11</v>
      </c>
      <c r="E1862" s="9">
        <v>97</v>
      </c>
      <c r="F1862" s="9">
        <v>5.5</v>
      </c>
      <c r="G1862" s="9">
        <v>25000000</v>
      </c>
      <c r="H1862" s="9">
        <v>48237389</v>
      </c>
      <c r="I1862" s="5">
        <f>IMDB_Movies!$H1862-IMDB_Movies!$G1862</f>
        <v>23237389</v>
      </c>
    </row>
    <row r="1863" spans="1:9" ht="23">
      <c r="A1863" s="3" t="s">
        <v>2695</v>
      </c>
      <c r="B1863" s="10" t="s">
        <v>2696</v>
      </c>
      <c r="C1863" s="10" t="s">
        <v>138</v>
      </c>
      <c r="D1863" s="10" t="s">
        <v>11</v>
      </c>
      <c r="E1863" s="10">
        <v>105</v>
      </c>
      <c r="F1863" s="10">
        <v>5.5</v>
      </c>
      <c r="G1863" s="10">
        <v>20000000</v>
      </c>
      <c r="H1863" s="10">
        <v>36310118</v>
      </c>
      <c r="I1863" s="5">
        <f>IMDB_Movies!$H1863-IMDB_Movies!$G1863</f>
        <v>16310118</v>
      </c>
    </row>
    <row r="1864" spans="1:9" ht="23">
      <c r="A1864" s="2" t="s">
        <v>2697</v>
      </c>
      <c r="B1864" s="9" t="s">
        <v>961</v>
      </c>
      <c r="C1864" s="9" t="s">
        <v>418</v>
      </c>
      <c r="D1864" s="9" t="s">
        <v>11</v>
      </c>
      <c r="E1864" s="9">
        <v>124</v>
      </c>
      <c r="F1864" s="9">
        <v>7</v>
      </c>
      <c r="G1864" s="9">
        <v>25000000</v>
      </c>
      <c r="H1864" s="9">
        <v>36447959</v>
      </c>
      <c r="I1864" s="5">
        <f>IMDB_Movies!$H1864-IMDB_Movies!$G1864</f>
        <v>11447959</v>
      </c>
    </row>
    <row r="1865" spans="1:9" ht="23">
      <c r="A1865" s="3" t="s">
        <v>2698</v>
      </c>
      <c r="B1865" s="10" t="s">
        <v>323</v>
      </c>
      <c r="C1865" s="10" t="s">
        <v>56</v>
      </c>
      <c r="D1865" s="10" t="s">
        <v>11</v>
      </c>
      <c r="E1865" s="10">
        <v>97</v>
      </c>
      <c r="F1865" s="10">
        <v>6.5</v>
      </c>
      <c r="G1865" s="10">
        <v>25000000</v>
      </c>
      <c r="H1865" s="10">
        <v>45089048</v>
      </c>
      <c r="I1865" s="5">
        <f>IMDB_Movies!$H1865-IMDB_Movies!$G1865</f>
        <v>20089048</v>
      </c>
    </row>
    <row r="1866" spans="1:9" ht="23">
      <c r="A1866" s="2" t="s">
        <v>2699</v>
      </c>
      <c r="B1866" s="9" t="s">
        <v>1864</v>
      </c>
      <c r="C1866" s="9" t="s">
        <v>138</v>
      </c>
      <c r="D1866" s="9" t="s">
        <v>11</v>
      </c>
      <c r="E1866" s="9">
        <v>105</v>
      </c>
      <c r="F1866" s="9">
        <v>5.8</v>
      </c>
      <c r="G1866" s="9">
        <v>20000000</v>
      </c>
      <c r="H1866" s="9">
        <v>35990505</v>
      </c>
      <c r="I1866" s="5">
        <f>IMDB_Movies!$H1866-IMDB_Movies!$G1866</f>
        <v>15990505</v>
      </c>
    </row>
    <row r="1867" spans="1:9" ht="23">
      <c r="A1867" s="3" t="s">
        <v>2700</v>
      </c>
      <c r="B1867" s="10" t="s">
        <v>2701</v>
      </c>
      <c r="C1867" s="10" t="s">
        <v>810</v>
      </c>
      <c r="D1867" s="10" t="s">
        <v>11</v>
      </c>
      <c r="E1867" s="10">
        <v>104</v>
      </c>
      <c r="F1867" s="10">
        <v>5.6</v>
      </c>
      <c r="G1867" s="10">
        <v>17000000</v>
      </c>
      <c r="H1867" s="10">
        <v>35143332</v>
      </c>
      <c r="I1867" s="5">
        <f>IMDB_Movies!$H1867-IMDB_Movies!$G1867</f>
        <v>18143332</v>
      </c>
    </row>
    <row r="1868" spans="1:9" ht="23">
      <c r="A1868" s="2" t="s">
        <v>2702</v>
      </c>
      <c r="B1868" s="9" t="s">
        <v>2703</v>
      </c>
      <c r="C1868" s="9" t="s">
        <v>138</v>
      </c>
      <c r="D1868" s="9" t="s">
        <v>11</v>
      </c>
      <c r="E1868" s="9">
        <v>101</v>
      </c>
      <c r="F1868" s="9">
        <v>5.6</v>
      </c>
      <c r="G1868" s="9">
        <v>25000000</v>
      </c>
      <c r="H1868" s="9">
        <v>35000629</v>
      </c>
      <c r="I1868" s="5">
        <f>IMDB_Movies!$H1868-IMDB_Movies!$G1868</f>
        <v>10000629</v>
      </c>
    </row>
    <row r="1869" spans="1:9" ht="23">
      <c r="A1869" s="3" t="s">
        <v>2704</v>
      </c>
      <c r="B1869" s="10" t="s">
        <v>919</v>
      </c>
      <c r="C1869" s="10" t="s">
        <v>10</v>
      </c>
      <c r="D1869" s="10" t="s">
        <v>11</v>
      </c>
      <c r="E1869" s="10">
        <v>101</v>
      </c>
      <c r="F1869" s="10">
        <v>5.8</v>
      </c>
      <c r="G1869" s="10">
        <v>30000000</v>
      </c>
      <c r="H1869" s="10">
        <v>34604054</v>
      </c>
      <c r="I1869" s="5">
        <f>IMDB_Movies!$H1869-IMDB_Movies!$G1869</f>
        <v>4604054</v>
      </c>
    </row>
    <row r="1870" spans="1:9" ht="23">
      <c r="A1870" s="2" t="s">
        <v>2705</v>
      </c>
      <c r="B1870" s="9" t="s">
        <v>1823</v>
      </c>
      <c r="C1870" s="9" t="s">
        <v>56</v>
      </c>
      <c r="D1870" s="9" t="s">
        <v>11</v>
      </c>
      <c r="E1870" s="9">
        <v>114</v>
      </c>
      <c r="F1870" s="9">
        <v>7.6</v>
      </c>
      <c r="G1870" s="9">
        <v>25000000</v>
      </c>
      <c r="H1870" s="9">
        <v>41597830</v>
      </c>
      <c r="I1870" s="5">
        <f>IMDB_Movies!$H1870-IMDB_Movies!$G1870</f>
        <v>16597830</v>
      </c>
    </row>
    <row r="1871" spans="1:9" ht="23">
      <c r="A1871" s="3" t="s">
        <v>2706</v>
      </c>
      <c r="B1871" s="10" t="s">
        <v>1401</v>
      </c>
      <c r="C1871" s="10" t="s">
        <v>138</v>
      </c>
      <c r="D1871" s="10" t="s">
        <v>11</v>
      </c>
      <c r="E1871" s="10">
        <v>105</v>
      </c>
      <c r="F1871" s="10">
        <v>6.4</v>
      </c>
      <c r="G1871" s="10">
        <v>20000000</v>
      </c>
      <c r="H1871" s="10">
        <v>33687630</v>
      </c>
      <c r="I1871" s="5">
        <f>IMDB_Movies!$H1871-IMDB_Movies!$G1871</f>
        <v>13687630</v>
      </c>
    </row>
    <row r="1872" spans="1:9" ht="23">
      <c r="A1872" s="2" t="s">
        <v>2707</v>
      </c>
      <c r="B1872" s="9" t="s">
        <v>2708</v>
      </c>
      <c r="C1872" s="9" t="s">
        <v>138</v>
      </c>
      <c r="D1872" s="9" t="s">
        <v>11</v>
      </c>
      <c r="E1872" s="9">
        <v>90</v>
      </c>
      <c r="F1872" s="9">
        <v>6.3</v>
      </c>
      <c r="G1872" s="9">
        <v>25000000</v>
      </c>
      <c r="H1872" s="9">
        <v>32553210</v>
      </c>
      <c r="I1872" s="5">
        <f>IMDB_Movies!$H1872-IMDB_Movies!$G1872</f>
        <v>7553210</v>
      </c>
    </row>
    <row r="1873" spans="1:9" ht="23">
      <c r="A1873" s="3" t="s">
        <v>2709</v>
      </c>
      <c r="B1873" s="10" t="s">
        <v>2710</v>
      </c>
      <c r="C1873" s="10" t="s">
        <v>10</v>
      </c>
      <c r="D1873" s="10" t="s">
        <v>11</v>
      </c>
      <c r="E1873" s="10">
        <v>97</v>
      </c>
      <c r="F1873" s="10">
        <v>4.5999999999999996</v>
      </c>
      <c r="G1873" s="10">
        <v>25000000</v>
      </c>
      <c r="H1873" s="10">
        <v>31526393</v>
      </c>
      <c r="I1873" s="5">
        <f>IMDB_Movies!$H1873-IMDB_Movies!$G1873</f>
        <v>6526393</v>
      </c>
    </row>
    <row r="1874" spans="1:9" ht="23">
      <c r="A1874" s="2" t="s">
        <v>2711</v>
      </c>
      <c r="B1874" s="9" t="s">
        <v>2712</v>
      </c>
      <c r="C1874" s="9" t="s">
        <v>414</v>
      </c>
      <c r="D1874" s="9" t="s">
        <v>11</v>
      </c>
      <c r="E1874" s="9">
        <v>144</v>
      </c>
      <c r="F1874" s="9">
        <v>6.5</v>
      </c>
      <c r="G1874" s="9">
        <v>25500000</v>
      </c>
      <c r="H1874" s="9">
        <v>41229</v>
      </c>
      <c r="I1874" s="5">
        <f>IMDB_Movies!$H1874-IMDB_Movies!$G1874</f>
        <v>-25458771</v>
      </c>
    </row>
    <row r="1875" spans="1:9" ht="23">
      <c r="A1875" s="3" t="s">
        <v>2713</v>
      </c>
      <c r="B1875" s="10" t="s">
        <v>2714</v>
      </c>
      <c r="C1875" s="10" t="s">
        <v>56</v>
      </c>
      <c r="D1875" s="10" t="s">
        <v>11</v>
      </c>
      <c r="E1875" s="10">
        <v>114</v>
      </c>
      <c r="F1875" s="10">
        <v>7.5</v>
      </c>
      <c r="G1875" s="10">
        <v>30000000</v>
      </c>
      <c r="H1875" s="10">
        <v>31655091</v>
      </c>
      <c r="I1875" s="5">
        <f>IMDB_Movies!$H1875-IMDB_Movies!$G1875</f>
        <v>1655091</v>
      </c>
    </row>
    <row r="1876" spans="1:9" ht="23">
      <c r="A1876" s="2" t="s">
        <v>2715</v>
      </c>
      <c r="B1876" s="9" t="s">
        <v>1290</v>
      </c>
      <c r="C1876" s="9" t="s">
        <v>418</v>
      </c>
      <c r="D1876" s="9" t="s">
        <v>11</v>
      </c>
      <c r="E1876" s="9">
        <v>124</v>
      </c>
      <c r="F1876" s="9">
        <v>7.5</v>
      </c>
      <c r="G1876" s="9">
        <v>25000000</v>
      </c>
      <c r="H1876" s="9">
        <v>30012990</v>
      </c>
      <c r="I1876" s="5">
        <f>IMDB_Movies!$H1876-IMDB_Movies!$G1876</f>
        <v>5012990</v>
      </c>
    </row>
    <row r="1877" spans="1:9" ht="23">
      <c r="A1877" s="3" t="s">
        <v>2716</v>
      </c>
      <c r="B1877" s="10" t="s">
        <v>2132</v>
      </c>
      <c r="C1877" s="10" t="s">
        <v>138</v>
      </c>
      <c r="D1877" s="10" t="s">
        <v>11</v>
      </c>
      <c r="E1877" s="10">
        <v>89</v>
      </c>
      <c r="F1877" s="10">
        <v>5.3</v>
      </c>
      <c r="G1877" s="10">
        <v>25000000</v>
      </c>
      <c r="H1877" s="10">
        <v>32368960</v>
      </c>
      <c r="I1877" s="5">
        <f>IMDB_Movies!$H1877-IMDB_Movies!$G1877</f>
        <v>7368960</v>
      </c>
    </row>
    <row r="1878" spans="1:9" ht="23">
      <c r="A1878" s="2" t="s">
        <v>2717</v>
      </c>
      <c r="B1878" s="9" t="s">
        <v>2718</v>
      </c>
      <c r="C1878" s="9" t="s">
        <v>10</v>
      </c>
      <c r="D1878" s="9" t="s">
        <v>11</v>
      </c>
      <c r="E1878" s="9">
        <v>160</v>
      </c>
      <c r="F1878" s="9">
        <v>7.5</v>
      </c>
      <c r="G1878" s="9">
        <v>25000000</v>
      </c>
      <c r="H1878" s="9">
        <v>14500000</v>
      </c>
      <c r="I1878" s="5">
        <f>IMDB_Movies!$H1878-IMDB_Movies!$G1878</f>
        <v>-10500000</v>
      </c>
    </row>
    <row r="1879" spans="1:9" ht="23">
      <c r="A1879" s="3" t="s">
        <v>2719</v>
      </c>
      <c r="B1879" s="10" t="s">
        <v>2720</v>
      </c>
      <c r="C1879" s="10" t="s">
        <v>138</v>
      </c>
      <c r="D1879" s="10" t="s">
        <v>11</v>
      </c>
      <c r="E1879" s="10">
        <v>93</v>
      </c>
      <c r="F1879" s="10">
        <v>3.3</v>
      </c>
      <c r="G1879" s="10">
        <v>25000000</v>
      </c>
      <c r="H1879" s="10">
        <v>29247405</v>
      </c>
      <c r="I1879" s="5">
        <f>IMDB_Movies!$H1879-IMDB_Movies!$G1879</f>
        <v>4247405</v>
      </c>
    </row>
    <row r="1880" spans="1:9" ht="23">
      <c r="A1880" s="2" t="s">
        <v>2721</v>
      </c>
      <c r="B1880" s="9" t="s">
        <v>1484</v>
      </c>
      <c r="C1880" s="9" t="s">
        <v>138</v>
      </c>
      <c r="D1880" s="9" t="s">
        <v>11</v>
      </c>
      <c r="E1880" s="9">
        <v>87</v>
      </c>
      <c r="F1880" s="9">
        <v>5.7</v>
      </c>
      <c r="G1880" s="9">
        <v>20000000</v>
      </c>
      <c r="H1880" s="9">
        <v>30538669</v>
      </c>
      <c r="I1880" s="5">
        <f>IMDB_Movies!$H1880-IMDB_Movies!$G1880</f>
        <v>10538669</v>
      </c>
    </row>
    <row r="1881" spans="1:9" ht="23">
      <c r="A1881" s="3" t="s">
        <v>2722</v>
      </c>
      <c r="B1881" s="10" t="s">
        <v>2723</v>
      </c>
      <c r="C1881" s="10" t="s">
        <v>10</v>
      </c>
      <c r="D1881" s="10" t="s">
        <v>11</v>
      </c>
      <c r="E1881" s="10">
        <v>88</v>
      </c>
      <c r="F1881" s="10">
        <v>3.5</v>
      </c>
      <c r="G1881" s="10">
        <v>25000000</v>
      </c>
      <c r="H1881" s="10">
        <v>25615792</v>
      </c>
      <c r="I1881" s="5">
        <f>IMDB_Movies!$H1881-IMDB_Movies!$G1881</f>
        <v>615792</v>
      </c>
    </row>
    <row r="1882" spans="1:9" ht="23">
      <c r="A1882" s="2" t="s">
        <v>2724</v>
      </c>
      <c r="B1882" s="9" t="s">
        <v>873</v>
      </c>
      <c r="C1882" s="9" t="s">
        <v>414</v>
      </c>
      <c r="D1882" s="9" t="s">
        <v>11</v>
      </c>
      <c r="E1882" s="9">
        <v>142</v>
      </c>
      <c r="F1882" s="9">
        <v>9.3000000000000007</v>
      </c>
      <c r="G1882" s="9">
        <v>25000000</v>
      </c>
      <c r="H1882" s="9">
        <v>28341469</v>
      </c>
      <c r="I1882" s="5">
        <f>IMDB_Movies!$H1882-IMDB_Movies!$G1882</f>
        <v>3341469</v>
      </c>
    </row>
    <row r="1883" spans="1:9" ht="23">
      <c r="A1883" s="3" t="s">
        <v>2725</v>
      </c>
      <c r="B1883" s="10" t="s">
        <v>1630</v>
      </c>
      <c r="C1883" s="10" t="s">
        <v>24</v>
      </c>
      <c r="D1883" s="10" t="s">
        <v>11</v>
      </c>
      <c r="E1883" s="10">
        <v>92</v>
      </c>
      <c r="F1883" s="10">
        <v>4.8</v>
      </c>
      <c r="G1883" s="10">
        <v>21150000</v>
      </c>
      <c r="H1883" s="10">
        <v>25590119</v>
      </c>
      <c r="I1883" s="5">
        <f>IMDB_Movies!$H1883-IMDB_Movies!$G1883</f>
        <v>4440119</v>
      </c>
    </row>
    <row r="1884" spans="1:9" ht="23">
      <c r="A1884" s="2" t="s">
        <v>2726</v>
      </c>
      <c r="B1884" s="9" t="s">
        <v>934</v>
      </c>
      <c r="C1884" s="9" t="s">
        <v>138</v>
      </c>
      <c r="D1884" s="9" t="s">
        <v>11</v>
      </c>
      <c r="E1884" s="9">
        <v>117</v>
      </c>
      <c r="F1884" s="9">
        <v>6.9</v>
      </c>
      <c r="G1884" s="9">
        <v>27000000</v>
      </c>
      <c r="H1884" s="9">
        <v>24944213</v>
      </c>
      <c r="I1884" s="5">
        <f>IMDB_Movies!$H1884-IMDB_Movies!$G1884</f>
        <v>-2055787</v>
      </c>
    </row>
    <row r="1885" spans="1:9" ht="23">
      <c r="A1885" s="3" t="s">
        <v>2727</v>
      </c>
      <c r="B1885" s="10" t="s">
        <v>548</v>
      </c>
      <c r="C1885" s="10" t="s">
        <v>414</v>
      </c>
      <c r="D1885" s="10" t="s">
        <v>11</v>
      </c>
      <c r="E1885" s="10">
        <v>111</v>
      </c>
      <c r="F1885" s="10">
        <v>6</v>
      </c>
      <c r="G1885" s="10">
        <v>25000000</v>
      </c>
      <c r="H1885" s="10">
        <v>33631221</v>
      </c>
      <c r="I1885" s="5">
        <f>IMDB_Movies!$H1885-IMDB_Movies!$G1885</f>
        <v>8631221</v>
      </c>
    </row>
    <row r="1886" spans="1:9" ht="23">
      <c r="A1886" s="2" t="s">
        <v>2728</v>
      </c>
      <c r="B1886" s="9" t="s">
        <v>2729</v>
      </c>
      <c r="C1886" s="9" t="s">
        <v>56</v>
      </c>
      <c r="D1886" s="9" t="s">
        <v>11</v>
      </c>
      <c r="E1886" s="9">
        <v>121</v>
      </c>
      <c r="F1886" s="9">
        <v>7.3</v>
      </c>
      <c r="G1886" s="9">
        <v>25000000</v>
      </c>
      <c r="H1886" s="9">
        <v>37738400</v>
      </c>
      <c r="I1886" s="5">
        <f>IMDB_Movies!$H1886-IMDB_Movies!$G1886</f>
        <v>12738400</v>
      </c>
    </row>
    <row r="1887" spans="1:9" ht="23">
      <c r="A1887" s="3" t="s">
        <v>2730</v>
      </c>
      <c r="B1887" s="10" t="s">
        <v>2731</v>
      </c>
      <c r="C1887" s="10" t="s">
        <v>138</v>
      </c>
      <c r="D1887" s="10" t="s">
        <v>11</v>
      </c>
      <c r="E1887" s="10">
        <v>98</v>
      </c>
      <c r="F1887" s="10">
        <v>6</v>
      </c>
      <c r="G1887" s="10">
        <v>20000000</v>
      </c>
      <c r="H1887" s="10">
        <v>24381334</v>
      </c>
      <c r="I1887" s="5">
        <f>IMDB_Movies!$H1887-IMDB_Movies!$G1887</f>
        <v>4381334</v>
      </c>
    </row>
    <row r="1888" spans="1:9" ht="23">
      <c r="A1888" s="2" t="s">
        <v>2732</v>
      </c>
      <c r="B1888" s="9" t="s">
        <v>2733</v>
      </c>
      <c r="C1888" s="9" t="s">
        <v>138</v>
      </c>
      <c r="D1888" s="9" t="s">
        <v>11</v>
      </c>
      <c r="E1888" s="9">
        <v>107</v>
      </c>
      <c r="F1888" s="9">
        <v>6.6</v>
      </c>
      <c r="G1888" s="9">
        <v>30000000</v>
      </c>
      <c r="H1888" s="9">
        <v>21835784</v>
      </c>
      <c r="I1888" s="5">
        <f>IMDB_Movies!$H1888-IMDB_Movies!$G1888</f>
        <v>-8164216</v>
      </c>
    </row>
    <row r="1889" spans="1:9" ht="23">
      <c r="A1889" s="3" t="s">
        <v>2734</v>
      </c>
      <c r="B1889" s="10" t="s">
        <v>2735</v>
      </c>
      <c r="C1889" s="10" t="s">
        <v>418</v>
      </c>
      <c r="D1889" s="10" t="s">
        <v>11</v>
      </c>
      <c r="E1889" s="10">
        <v>106</v>
      </c>
      <c r="F1889" s="10">
        <v>7.5</v>
      </c>
      <c r="G1889" s="10">
        <v>23000000</v>
      </c>
      <c r="H1889" s="10">
        <v>15785632</v>
      </c>
      <c r="I1889" s="5">
        <f>IMDB_Movies!$H1889-IMDB_Movies!$G1889</f>
        <v>-7214368</v>
      </c>
    </row>
    <row r="1890" spans="1:9" ht="23">
      <c r="A1890" s="2" t="s">
        <v>2736</v>
      </c>
      <c r="B1890" s="9" t="s">
        <v>1380</v>
      </c>
      <c r="C1890" s="9" t="s">
        <v>56</v>
      </c>
      <c r="D1890" s="9" t="s">
        <v>11</v>
      </c>
      <c r="E1890" s="9">
        <v>136</v>
      </c>
      <c r="F1890" s="9">
        <v>6.9</v>
      </c>
      <c r="G1890" s="9">
        <v>25000000</v>
      </c>
      <c r="H1890" s="9">
        <v>21554585</v>
      </c>
      <c r="I1890" s="5">
        <f>IMDB_Movies!$H1890-IMDB_Movies!$G1890</f>
        <v>-3445415</v>
      </c>
    </row>
    <row r="1891" spans="1:9" ht="23">
      <c r="A1891" s="3" t="s">
        <v>2737</v>
      </c>
      <c r="B1891" s="10" t="s">
        <v>2738</v>
      </c>
      <c r="C1891" s="10" t="s">
        <v>138</v>
      </c>
      <c r="D1891" s="10" t="s">
        <v>11</v>
      </c>
      <c r="E1891" s="10">
        <v>97</v>
      </c>
      <c r="F1891" s="10">
        <v>6.8</v>
      </c>
      <c r="G1891" s="10">
        <v>25000000</v>
      </c>
      <c r="H1891" s="10">
        <v>22200000</v>
      </c>
      <c r="I1891" s="5">
        <f>IMDB_Movies!$H1891-IMDB_Movies!$G1891</f>
        <v>-2800000</v>
      </c>
    </row>
    <row r="1892" spans="1:9" ht="23">
      <c r="A1892" s="2" t="s">
        <v>2739</v>
      </c>
      <c r="B1892" s="9" t="s">
        <v>2117</v>
      </c>
      <c r="C1892" s="9" t="s">
        <v>56</v>
      </c>
      <c r="D1892" s="9" t="s">
        <v>11</v>
      </c>
      <c r="E1892" s="9">
        <v>108</v>
      </c>
      <c r="F1892" s="9">
        <v>6.3</v>
      </c>
      <c r="G1892" s="9">
        <v>25000000</v>
      </c>
      <c r="H1892" s="9">
        <v>80014842</v>
      </c>
      <c r="I1892" s="5">
        <f>IMDB_Movies!$H1892-IMDB_Movies!$G1892</f>
        <v>55014842</v>
      </c>
    </row>
    <row r="1893" spans="1:9" ht="23">
      <c r="A1893" s="3" t="s">
        <v>2740</v>
      </c>
      <c r="B1893" s="10" t="s">
        <v>2741</v>
      </c>
      <c r="C1893" s="10" t="s">
        <v>10</v>
      </c>
      <c r="D1893" s="10" t="s">
        <v>11</v>
      </c>
      <c r="E1893" s="10">
        <v>97</v>
      </c>
      <c r="F1893" s="10">
        <v>6.4</v>
      </c>
      <c r="G1893" s="10">
        <v>25000000</v>
      </c>
      <c r="H1893" s="10">
        <v>23527955</v>
      </c>
      <c r="I1893" s="5">
        <f>IMDB_Movies!$H1893-IMDB_Movies!$G1893</f>
        <v>-1472045</v>
      </c>
    </row>
    <row r="1894" spans="1:9" ht="23">
      <c r="A1894" s="2" t="s">
        <v>2742</v>
      </c>
      <c r="B1894" s="9" t="s">
        <v>2743</v>
      </c>
      <c r="C1894" s="9" t="s">
        <v>713</v>
      </c>
      <c r="D1894" s="9" t="s">
        <v>11</v>
      </c>
      <c r="E1894" s="9">
        <v>99</v>
      </c>
      <c r="F1894" s="9">
        <v>5.6</v>
      </c>
      <c r="G1894" s="9">
        <v>25000000</v>
      </c>
      <c r="H1894" s="9">
        <v>24042490</v>
      </c>
      <c r="I1894" s="5">
        <f>IMDB_Movies!$H1894-IMDB_Movies!$G1894</f>
        <v>-957510</v>
      </c>
    </row>
    <row r="1895" spans="1:9" ht="23">
      <c r="A1895" s="3" t="s">
        <v>2744</v>
      </c>
      <c r="B1895" s="10" t="s">
        <v>2745</v>
      </c>
      <c r="C1895" s="10" t="s">
        <v>10</v>
      </c>
      <c r="D1895" s="10" t="s">
        <v>11</v>
      </c>
      <c r="E1895" s="10">
        <v>103</v>
      </c>
      <c r="F1895" s="10">
        <v>6.3</v>
      </c>
      <c r="G1895" s="10">
        <v>25000000</v>
      </c>
      <c r="H1895" s="10">
        <v>22466994</v>
      </c>
      <c r="I1895" s="5">
        <f>IMDB_Movies!$H1895-IMDB_Movies!$G1895</f>
        <v>-2533006</v>
      </c>
    </row>
    <row r="1896" spans="1:9" ht="23">
      <c r="A1896" s="2" t="s">
        <v>2746</v>
      </c>
      <c r="B1896" s="9" t="s">
        <v>1955</v>
      </c>
      <c r="C1896" s="9" t="s">
        <v>138</v>
      </c>
      <c r="D1896" s="9" t="s">
        <v>11</v>
      </c>
      <c r="E1896" s="9">
        <v>95</v>
      </c>
      <c r="F1896" s="9">
        <v>7.3</v>
      </c>
      <c r="G1896" s="9">
        <v>25000000</v>
      </c>
      <c r="H1896" s="9">
        <v>17791031</v>
      </c>
      <c r="I1896" s="5">
        <f>IMDB_Movies!$H1896-IMDB_Movies!$G1896</f>
        <v>-7208969</v>
      </c>
    </row>
    <row r="1897" spans="1:9" ht="23">
      <c r="A1897" s="3" t="s">
        <v>2747</v>
      </c>
      <c r="B1897" s="10" t="s">
        <v>2748</v>
      </c>
      <c r="C1897" s="10" t="s">
        <v>138</v>
      </c>
      <c r="D1897" s="10" t="s">
        <v>11</v>
      </c>
      <c r="E1897" s="10">
        <v>93</v>
      </c>
      <c r="F1897" s="10">
        <v>6.6</v>
      </c>
      <c r="G1897" s="10">
        <v>25000000</v>
      </c>
      <c r="H1897" s="10">
        <v>17718223</v>
      </c>
      <c r="I1897" s="5">
        <f>IMDB_Movies!$H1897-IMDB_Movies!$G1897</f>
        <v>-7281777</v>
      </c>
    </row>
    <row r="1898" spans="1:9" ht="23">
      <c r="A1898" s="2" t="s">
        <v>2749</v>
      </c>
      <c r="B1898" s="9" t="s">
        <v>2750</v>
      </c>
      <c r="C1898" s="9" t="s">
        <v>10</v>
      </c>
      <c r="D1898" s="9" t="s">
        <v>11</v>
      </c>
      <c r="E1898" s="9">
        <v>98</v>
      </c>
      <c r="F1898" s="9">
        <v>4.5999999999999996</v>
      </c>
      <c r="G1898" s="9">
        <v>13000000</v>
      </c>
      <c r="H1898" s="9">
        <v>15361537</v>
      </c>
      <c r="I1898" s="5">
        <f>IMDB_Movies!$H1898-IMDB_Movies!$G1898</f>
        <v>2361537</v>
      </c>
    </row>
    <row r="1899" spans="1:9" ht="23">
      <c r="A1899" s="3" t="s">
        <v>2751</v>
      </c>
      <c r="B1899" s="10" t="s">
        <v>263</v>
      </c>
      <c r="C1899" s="10" t="s">
        <v>24</v>
      </c>
      <c r="D1899" s="10" t="s">
        <v>11</v>
      </c>
      <c r="E1899" s="10">
        <v>90</v>
      </c>
      <c r="F1899" s="10">
        <v>5.0999999999999996</v>
      </c>
      <c r="G1899" s="10">
        <v>26000000</v>
      </c>
      <c r="H1899" s="10">
        <v>16647384</v>
      </c>
      <c r="I1899" s="5">
        <f>IMDB_Movies!$H1899-IMDB_Movies!$G1899</f>
        <v>-9352616</v>
      </c>
    </row>
    <row r="1900" spans="1:9" ht="23">
      <c r="A1900" s="2" t="s">
        <v>2752</v>
      </c>
      <c r="B1900" s="9" t="s">
        <v>2753</v>
      </c>
      <c r="C1900" s="9" t="s">
        <v>56</v>
      </c>
      <c r="D1900" s="9" t="s">
        <v>11</v>
      </c>
      <c r="E1900" s="9">
        <v>107</v>
      </c>
      <c r="F1900" s="9">
        <v>5.6</v>
      </c>
      <c r="G1900" s="9">
        <v>25000000</v>
      </c>
      <c r="H1900" s="9">
        <v>16118077</v>
      </c>
      <c r="I1900" s="5">
        <f>IMDB_Movies!$H1900-IMDB_Movies!$G1900</f>
        <v>-8881923</v>
      </c>
    </row>
    <row r="1901" spans="1:9" ht="23">
      <c r="A1901" s="3" t="s">
        <v>2754</v>
      </c>
      <c r="B1901" s="10" t="s">
        <v>2755</v>
      </c>
      <c r="C1901" s="10" t="s">
        <v>24</v>
      </c>
      <c r="D1901" s="10" t="s">
        <v>2756</v>
      </c>
      <c r="E1901" s="10">
        <v>90</v>
      </c>
      <c r="F1901" s="10">
        <v>5.3</v>
      </c>
      <c r="G1901" s="10">
        <v>25000000</v>
      </c>
      <c r="H1901" s="10">
        <v>15091542</v>
      </c>
      <c r="I1901" s="5">
        <f>IMDB_Movies!$H1901-IMDB_Movies!$G1901</f>
        <v>-9908458</v>
      </c>
    </row>
    <row r="1902" spans="1:9" ht="23">
      <c r="A1902" s="2" t="s">
        <v>2757</v>
      </c>
      <c r="B1902" s="9" t="s">
        <v>2758</v>
      </c>
      <c r="C1902" s="9" t="s">
        <v>56</v>
      </c>
      <c r="D1902" s="9" t="s">
        <v>11</v>
      </c>
      <c r="E1902" s="9">
        <v>120</v>
      </c>
      <c r="F1902" s="9">
        <v>7.5</v>
      </c>
      <c r="G1902" s="9">
        <v>20000000</v>
      </c>
      <c r="H1902" s="9">
        <v>15331289</v>
      </c>
      <c r="I1902" s="5">
        <f>IMDB_Movies!$H1902-IMDB_Movies!$G1902</f>
        <v>-4668711</v>
      </c>
    </row>
    <row r="1903" spans="1:9" ht="23">
      <c r="A1903" s="3" t="s">
        <v>2759</v>
      </c>
      <c r="B1903" s="10" t="s">
        <v>2760</v>
      </c>
      <c r="C1903" s="10" t="s">
        <v>56</v>
      </c>
      <c r="D1903" s="10" t="s">
        <v>11</v>
      </c>
      <c r="E1903" s="10">
        <v>115</v>
      </c>
      <c r="F1903" s="10">
        <v>5.6</v>
      </c>
      <c r="G1903" s="10">
        <v>16000000</v>
      </c>
      <c r="H1903" s="10">
        <v>15045676</v>
      </c>
      <c r="I1903" s="5">
        <f>IMDB_Movies!$H1903-IMDB_Movies!$G1903</f>
        <v>-954324</v>
      </c>
    </row>
    <row r="1904" spans="1:9" ht="23">
      <c r="A1904" s="2" t="s">
        <v>2761</v>
      </c>
      <c r="B1904" s="9" t="s">
        <v>2762</v>
      </c>
      <c r="C1904" s="9" t="s">
        <v>810</v>
      </c>
      <c r="D1904" s="9" t="s">
        <v>11</v>
      </c>
      <c r="E1904" s="9">
        <v>93</v>
      </c>
      <c r="F1904" s="9">
        <v>5.9</v>
      </c>
      <c r="G1904" s="9">
        <v>8000000</v>
      </c>
      <c r="H1904" s="9">
        <v>17427926</v>
      </c>
      <c r="I1904" s="5">
        <f>IMDB_Movies!$H1904-IMDB_Movies!$G1904</f>
        <v>9427926</v>
      </c>
    </row>
    <row r="1905" spans="1:9" ht="23">
      <c r="A1905" s="3" t="s">
        <v>2763</v>
      </c>
      <c r="B1905" s="10" t="s">
        <v>2764</v>
      </c>
      <c r="C1905" s="10" t="s">
        <v>138</v>
      </c>
      <c r="D1905" s="10" t="s">
        <v>11</v>
      </c>
      <c r="E1905" s="10">
        <v>99</v>
      </c>
      <c r="F1905" s="10">
        <v>4.7</v>
      </c>
      <c r="G1905" s="10">
        <v>25000000</v>
      </c>
      <c r="H1905" s="10">
        <v>14983572</v>
      </c>
      <c r="I1905" s="5">
        <f>IMDB_Movies!$H1905-IMDB_Movies!$G1905</f>
        <v>-10016428</v>
      </c>
    </row>
    <row r="1906" spans="1:9" ht="23">
      <c r="A1906" s="2" t="s">
        <v>2765</v>
      </c>
      <c r="B1906" s="9" t="s">
        <v>1739</v>
      </c>
      <c r="C1906" s="9" t="s">
        <v>810</v>
      </c>
      <c r="D1906" s="9" t="s">
        <v>11</v>
      </c>
      <c r="E1906" s="9">
        <v>107</v>
      </c>
      <c r="F1906" s="9">
        <v>4.8</v>
      </c>
      <c r="G1906" s="9">
        <v>25000000</v>
      </c>
      <c r="H1906" s="9">
        <v>14637490</v>
      </c>
      <c r="I1906" s="5">
        <f>IMDB_Movies!$H1906-IMDB_Movies!$G1906</f>
        <v>-10362510</v>
      </c>
    </row>
    <row r="1907" spans="1:9" ht="23">
      <c r="A1907" s="3" t="s">
        <v>2766</v>
      </c>
      <c r="B1907" s="10" t="s">
        <v>2058</v>
      </c>
      <c r="C1907" s="10" t="s">
        <v>138</v>
      </c>
      <c r="D1907" s="10" t="s">
        <v>11</v>
      </c>
      <c r="E1907" s="10">
        <v>110</v>
      </c>
      <c r="F1907" s="10">
        <v>6.8</v>
      </c>
      <c r="G1907" s="10">
        <v>25000000</v>
      </c>
      <c r="H1907" s="10">
        <v>14589444</v>
      </c>
      <c r="I1907" s="5">
        <f>IMDB_Movies!$H1907-IMDB_Movies!$G1907</f>
        <v>-10410556</v>
      </c>
    </row>
    <row r="1908" spans="1:9" ht="23">
      <c r="A1908" s="2" t="s">
        <v>2767</v>
      </c>
      <c r="B1908" s="9" t="s">
        <v>2768</v>
      </c>
      <c r="C1908" s="9" t="s">
        <v>10</v>
      </c>
      <c r="D1908" s="9" t="s">
        <v>11</v>
      </c>
      <c r="E1908" s="9">
        <v>101</v>
      </c>
      <c r="F1908" s="9">
        <v>5.4</v>
      </c>
      <c r="G1908" s="9">
        <v>25000000</v>
      </c>
      <c r="H1908" s="9">
        <v>14095303</v>
      </c>
      <c r="I1908" s="5">
        <f>IMDB_Movies!$H1908-IMDB_Movies!$G1908</f>
        <v>-10904697</v>
      </c>
    </row>
    <row r="1909" spans="1:9" ht="23">
      <c r="A1909" s="3" t="s">
        <v>2769</v>
      </c>
      <c r="B1909" s="10" t="s">
        <v>2770</v>
      </c>
      <c r="C1909" s="10" t="s">
        <v>138</v>
      </c>
      <c r="D1909" s="10" t="s">
        <v>11</v>
      </c>
      <c r="E1909" s="10">
        <v>85</v>
      </c>
      <c r="F1909" s="10">
        <v>5.0999999999999996</v>
      </c>
      <c r="G1909" s="10">
        <v>25000000</v>
      </c>
      <c r="H1909" s="10">
        <v>13973532</v>
      </c>
      <c r="I1909" s="5">
        <f>IMDB_Movies!$H1909-IMDB_Movies!$G1909</f>
        <v>-11026468</v>
      </c>
    </row>
    <row r="1910" spans="1:9" ht="23">
      <c r="A1910" s="2" t="s">
        <v>2771</v>
      </c>
      <c r="B1910" s="9" t="s">
        <v>1382</v>
      </c>
      <c r="C1910" s="9" t="s">
        <v>418</v>
      </c>
      <c r="D1910" s="9" t="s">
        <v>11</v>
      </c>
      <c r="E1910" s="9">
        <v>132</v>
      </c>
      <c r="F1910" s="9">
        <v>7</v>
      </c>
      <c r="G1910" s="9">
        <v>30000000</v>
      </c>
      <c r="H1910" s="9">
        <v>1865774</v>
      </c>
      <c r="I1910" s="5">
        <f>IMDB_Movies!$H1910-IMDB_Movies!$G1910</f>
        <v>-28134226</v>
      </c>
    </row>
    <row r="1911" spans="1:9" ht="23">
      <c r="A1911" s="3" t="s">
        <v>2772</v>
      </c>
      <c r="B1911" s="10" t="s">
        <v>1276</v>
      </c>
      <c r="C1911" s="10" t="s">
        <v>138</v>
      </c>
      <c r="D1911" s="10" t="s">
        <v>11</v>
      </c>
      <c r="E1911" s="10">
        <v>88</v>
      </c>
      <c r="F1911" s="10">
        <v>6.7</v>
      </c>
      <c r="G1911" s="10">
        <v>20000000</v>
      </c>
      <c r="H1911" s="10">
        <v>13920741</v>
      </c>
      <c r="I1911" s="5">
        <f>IMDB_Movies!$H1911-IMDB_Movies!$G1911</f>
        <v>-6079259</v>
      </c>
    </row>
    <row r="1912" spans="1:9" ht="23">
      <c r="A1912" s="2" t="s">
        <v>2773</v>
      </c>
      <c r="B1912" s="9" t="s">
        <v>1607</v>
      </c>
      <c r="C1912" s="9" t="s">
        <v>810</v>
      </c>
      <c r="D1912" s="9" t="s">
        <v>11</v>
      </c>
      <c r="E1912" s="9">
        <v>90</v>
      </c>
      <c r="F1912" s="9">
        <v>4</v>
      </c>
      <c r="G1912" s="9">
        <v>25000000</v>
      </c>
      <c r="H1912" s="9">
        <v>18860403</v>
      </c>
      <c r="I1912" s="5">
        <f>IMDB_Movies!$H1912-IMDB_Movies!$G1912</f>
        <v>-6139597</v>
      </c>
    </row>
    <row r="1913" spans="1:9" ht="23">
      <c r="A1913" s="3" t="s">
        <v>2774</v>
      </c>
      <c r="B1913" s="10" t="s">
        <v>1269</v>
      </c>
      <c r="C1913" s="10" t="s">
        <v>56</v>
      </c>
      <c r="D1913" s="10" t="s">
        <v>11</v>
      </c>
      <c r="E1913" s="10">
        <v>145</v>
      </c>
      <c r="F1913" s="10">
        <v>7.3</v>
      </c>
      <c r="G1913" s="10">
        <v>25000000</v>
      </c>
      <c r="H1913" s="10">
        <v>13038660</v>
      </c>
      <c r="I1913" s="5">
        <f>IMDB_Movies!$H1913-IMDB_Movies!$G1913</f>
        <v>-11961340</v>
      </c>
    </row>
    <row r="1914" spans="1:9" ht="23">
      <c r="A1914" s="2" t="s">
        <v>2775</v>
      </c>
      <c r="B1914" s="9" t="s">
        <v>722</v>
      </c>
      <c r="C1914" s="9" t="s">
        <v>56</v>
      </c>
      <c r="D1914" s="9" t="s">
        <v>11</v>
      </c>
      <c r="E1914" s="9">
        <v>110</v>
      </c>
      <c r="F1914" s="9">
        <v>6.8</v>
      </c>
      <c r="G1914" s="9">
        <v>25000000</v>
      </c>
      <c r="H1914" s="9">
        <v>28831145</v>
      </c>
      <c r="I1914" s="5">
        <f>IMDB_Movies!$H1914-IMDB_Movies!$G1914</f>
        <v>3831145</v>
      </c>
    </row>
    <row r="1915" spans="1:9" ht="23">
      <c r="A1915" s="3" t="s">
        <v>2776</v>
      </c>
      <c r="B1915" s="10" t="s">
        <v>2051</v>
      </c>
      <c r="C1915" s="10" t="s">
        <v>10</v>
      </c>
      <c r="D1915" s="10" t="s">
        <v>11</v>
      </c>
      <c r="E1915" s="10">
        <v>101</v>
      </c>
      <c r="F1915" s="10">
        <v>6.1</v>
      </c>
      <c r="G1915" s="10">
        <v>25000000</v>
      </c>
      <c r="H1915" s="10">
        <v>25078937</v>
      </c>
      <c r="I1915" s="5">
        <f>IMDB_Movies!$H1915-IMDB_Movies!$G1915</f>
        <v>78937</v>
      </c>
    </row>
    <row r="1916" spans="1:9" ht="23">
      <c r="A1916" s="2" t="s">
        <v>2777</v>
      </c>
      <c r="B1916" s="9" t="s">
        <v>1087</v>
      </c>
      <c r="C1916" s="9" t="s">
        <v>414</v>
      </c>
      <c r="D1916" s="9" t="s">
        <v>11</v>
      </c>
      <c r="E1916" s="9">
        <v>122</v>
      </c>
      <c r="F1916" s="9">
        <v>7</v>
      </c>
      <c r="G1916" s="9">
        <v>25000000</v>
      </c>
      <c r="H1916" s="9">
        <v>11538204</v>
      </c>
      <c r="I1916" s="5">
        <f>IMDB_Movies!$H1916-IMDB_Movies!$G1916</f>
        <v>-13461796</v>
      </c>
    </row>
    <row r="1917" spans="1:9" ht="23">
      <c r="A1917" s="3" t="s">
        <v>2778</v>
      </c>
      <c r="B1917" s="10" t="s">
        <v>1693</v>
      </c>
      <c r="C1917" s="10" t="s">
        <v>418</v>
      </c>
      <c r="D1917" s="10" t="s">
        <v>11</v>
      </c>
      <c r="E1917" s="10">
        <v>107</v>
      </c>
      <c r="F1917" s="10">
        <v>7.1</v>
      </c>
      <c r="G1917" s="10">
        <v>25000000</v>
      </c>
      <c r="H1917" s="10">
        <v>11008432</v>
      </c>
      <c r="I1917" s="5">
        <f>IMDB_Movies!$H1917-IMDB_Movies!$G1917</f>
        <v>-13991568</v>
      </c>
    </row>
    <row r="1918" spans="1:9" ht="23">
      <c r="A1918" s="2" t="s">
        <v>2779</v>
      </c>
      <c r="B1918" s="9" t="s">
        <v>2780</v>
      </c>
      <c r="C1918" s="9" t="s">
        <v>418</v>
      </c>
      <c r="D1918" s="9" t="s">
        <v>11</v>
      </c>
      <c r="E1918" s="9">
        <v>127</v>
      </c>
      <c r="F1918" s="9">
        <v>6.9</v>
      </c>
      <c r="G1918" s="9">
        <v>26000000</v>
      </c>
      <c r="H1918" s="9">
        <v>12188642</v>
      </c>
      <c r="I1918" s="5">
        <f>IMDB_Movies!$H1918-IMDB_Movies!$G1918</f>
        <v>-13811358</v>
      </c>
    </row>
    <row r="1919" spans="1:9" ht="23">
      <c r="A1919" s="3" t="s">
        <v>2781</v>
      </c>
      <c r="B1919" s="10" t="s">
        <v>1470</v>
      </c>
      <c r="C1919" s="10" t="s">
        <v>10</v>
      </c>
      <c r="D1919" s="10" t="s">
        <v>11</v>
      </c>
      <c r="E1919" s="10">
        <v>99</v>
      </c>
      <c r="F1919" s="10">
        <v>7.3</v>
      </c>
      <c r="G1919" s="10">
        <v>25000000</v>
      </c>
      <c r="H1919" s="10">
        <v>11100000</v>
      </c>
      <c r="I1919" s="5">
        <f>IMDB_Movies!$H1919-IMDB_Movies!$G1919</f>
        <v>-13900000</v>
      </c>
    </row>
    <row r="1920" spans="1:9" ht="23">
      <c r="A1920" s="2" t="s">
        <v>2782</v>
      </c>
      <c r="B1920" s="9" t="s">
        <v>2783</v>
      </c>
      <c r="C1920" s="9" t="s">
        <v>138</v>
      </c>
      <c r="D1920" s="9" t="s">
        <v>394</v>
      </c>
      <c r="E1920" s="9">
        <v>104</v>
      </c>
      <c r="F1920" s="9">
        <v>6.3</v>
      </c>
      <c r="G1920" s="9">
        <v>17000000</v>
      </c>
      <c r="H1920" s="9">
        <v>25078937</v>
      </c>
      <c r="I1920" s="5">
        <f>IMDB_Movies!$H1920-IMDB_Movies!$G1920</f>
        <v>8078937</v>
      </c>
    </row>
    <row r="1921" spans="1:9" ht="23">
      <c r="A1921" s="3" t="s">
        <v>2784</v>
      </c>
      <c r="B1921" s="10" t="s">
        <v>2402</v>
      </c>
      <c r="C1921" s="10" t="s">
        <v>56</v>
      </c>
      <c r="D1921" s="10" t="s">
        <v>11</v>
      </c>
      <c r="E1921" s="10">
        <v>140</v>
      </c>
      <c r="F1921" s="10">
        <v>8.1999999999999993</v>
      </c>
      <c r="G1921" s="10">
        <v>25000000</v>
      </c>
      <c r="H1921" s="10">
        <v>13651662</v>
      </c>
      <c r="I1921" s="5">
        <f>IMDB_Movies!$H1921-IMDB_Movies!$G1921</f>
        <v>-11348338</v>
      </c>
    </row>
    <row r="1922" spans="1:9" ht="23">
      <c r="A1922" s="2" t="s">
        <v>2785</v>
      </c>
      <c r="B1922" s="9" t="s">
        <v>1372</v>
      </c>
      <c r="C1922" s="9" t="s">
        <v>418</v>
      </c>
      <c r="D1922" s="9" t="s">
        <v>11</v>
      </c>
      <c r="E1922" s="9">
        <v>133</v>
      </c>
      <c r="F1922" s="9">
        <v>7.1</v>
      </c>
      <c r="G1922" s="9">
        <v>28000000</v>
      </c>
      <c r="H1922" s="9">
        <v>11030963</v>
      </c>
      <c r="I1922" s="5">
        <f>IMDB_Movies!$H1922-IMDB_Movies!$G1922</f>
        <v>-16969037</v>
      </c>
    </row>
    <row r="1923" spans="1:9" ht="23">
      <c r="A1923" s="3" t="s">
        <v>2786</v>
      </c>
      <c r="B1923" s="10" t="s">
        <v>1294</v>
      </c>
      <c r="C1923" s="10" t="s">
        <v>56</v>
      </c>
      <c r="D1923" s="10" t="s">
        <v>11</v>
      </c>
      <c r="E1923" s="10">
        <v>271</v>
      </c>
      <c r="F1923" s="10">
        <v>7.7</v>
      </c>
      <c r="G1923" s="10">
        <v>25000000</v>
      </c>
      <c r="H1923" s="10">
        <v>10769960</v>
      </c>
      <c r="I1923" s="5">
        <f>IMDB_Movies!$H1923-IMDB_Movies!$G1923</f>
        <v>-14230040</v>
      </c>
    </row>
    <row r="1924" spans="1:9" ht="23">
      <c r="A1924" s="2" t="s">
        <v>2787</v>
      </c>
      <c r="B1924" s="9" t="s">
        <v>2351</v>
      </c>
      <c r="C1924" s="9" t="s">
        <v>56</v>
      </c>
      <c r="D1924" s="9" t="s">
        <v>11</v>
      </c>
      <c r="E1924" s="9">
        <v>112</v>
      </c>
      <c r="F1924" s="9">
        <v>6.5</v>
      </c>
      <c r="G1924" s="9">
        <v>25000000</v>
      </c>
      <c r="H1924" s="9">
        <v>10911750</v>
      </c>
      <c r="I1924" s="5">
        <f>IMDB_Movies!$H1924-IMDB_Movies!$G1924</f>
        <v>-14088250</v>
      </c>
    </row>
    <row r="1925" spans="1:9" ht="23">
      <c r="A1925" s="3" t="s">
        <v>2788</v>
      </c>
      <c r="B1925" s="10" t="s">
        <v>1417</v>
      </c>
      <c r="C1925" s="10" t="s">
        <v>56</v>
      </c>
      <c r="D1925" s="10" t="s">
        <v>11</v>
      </c>
      <c r="E1925" s="10">
        <v>99</v>
      </c>
      <c r="F1925" s="10">
        <v>4.9000000000000004</v>
      </c>
      <c r="G1925" s="10">
        <v>25000000</v>
      </c>
      <c r="H1925" s="10">
        <v>10719367</v>
      </c>
      <c r="I1925" s="5">
        <f>IMDB_Movies!$H1925-IMDB_Movies!$G1925</f>
        <v>-14280633</v>
      </c>
    </row>
    <row r="1926" spans="1:9" ht="23">
      <c r="A1926" s="2" t="s">
        <v>2789</v>
      </c>
      <c r="B1926" s="9" t="s">
        <v>2790</v>
      </c>
      <c r="C1926" s="9" t="s">
        <v>56</v>
      </c>
      <c r="D1926" s="9" t="s">
        <v>11</v>
      </c>
      <c r="E1926" s="9">
        <v>100</v>
      </c>
      <c r="F1926" s="9">
        <v>6.4</v>
      </c>
      <c r="G1926" s="9">
        <v>25000000</v>
      </c>
      <c r="H1926" s="9">
        <v>10114315</v>
      </c>
      <c r="I1926" s="5">
        <f>IMDB_Movies!$H1926-IMDB_Movies!$G1926</f>
        <v>-14885685</v>
      </c>
    </row>
    <row r="1927" spans="1:9" ht="23">
      <c r="A1927" s="3" t="s">
        <v>2791</v>
      </c>
      <c r="B1927" s="10" t="s">
        <v>2792</v>
      </c>
      <c r="C1927" s="10" t="s">
        <v>810</v>
      </c>
      <c r="D1927" s="10" t="s">
        <v>11</v>
      </c>
      <c r="E1927" s="10">
        <v>92</v>
      </c>
      <c r="F1927" s="10">
        <v>5.9</v>
      </c>
      <c r="G1927" s="10">
        <v>14000000</v>
      </c>
      <c r="H1927" s="10">
        <v>49122319</v>
      </c>
      <c r="I1927" s="5">
        <f>IMDB_Movies!$H1927-IMDB_Movies!$G1927</f>
        <v>35122319</v>
      </c>
    </row>
    <row r="1928" spans="1:9" ht="23">
      <c r="A1928" s="2" t="s">
        <v>2793</v>
      </c>
      <c r="B1928" s="9" t="s">
        <v>2794</v>
      </c>
      <c r="C1928" s="9" t="s">
        <v>138</v>
      </c>
      <c r="D1928" s="9" t="s">
        <v>11</v>
      </c>
      <c r="E1928" s="9">
        <v>105</v>
      </c>
      <c r="F1928" s="9">
        <v>6.2</v>
      </c>
      <c r="G1928" s="9">
        <v>25000000</v>
      </c>
      <c r="H1928" s="9">
        <v>10070000</v>
      </c>
      <c r="I1928" s="5">
        <f>IMDB_Movies!$H1928-IMDB_Movies!$G1928</f>
        <v>-14930000</v>
      </c>
    </row>
    <row r="1929" spans="1:9" ht="23">
      <c r="A1929" s="3" t="s">
        <v>2795</v>
      </c>
      <c r="B1929" s="10" t="s">
        <v>1178</v>
      </c>
      <c r="C1929" s="10" t="s">
        <v>10</v>
      </c>
      <c r="D1929" s="10" t="s">
        <v>11</v>
      </c>
      <c r="E1929" s="10">
        <v>110</v>
      </c>
      <c r="F1929" s="10">
        <v>5.8</v>
      </c>
      <c r="G1929" s="10">
        <v>25000000</v>
      </c>
      <c r="H1929" s="10">
        <v>10324441</v>
      </c>
      <c r="I1929" s="5">
        <f>IMDB_Movies!$H1929-IMDB_Movies!$G1929</f>
        <v>-14675559</v>
      </c>
    </row>
    <row r="1930" spans="1:9" ht="23">
      <c r="A1930" s="2" t="s">
        <v>2796</v>
      </c>
      <c r="B1930" s="9" t="s">
        <v>2117</v>
      </c>
      <c r="C1930" s="9" t="s">
        <v>138</v>
      </c>
      <c r="D1930" s="9" t="s">
        <v>11</v>
      </c>
      <c r="E1930" s="9">
        <v>116</v>
      </c>
      <c r="F1930" s="9">
        <v>6.7</v>
      </c>
      <c r="G1930" s="9">
        <v>25000000</v>
      </c>
      <c r="H1930" s="9">
        <v>7156933</v>
      </c>
      <c r="I1930" s="5">
        <f>IMDB_Movies!$H1930-IMDB_Movies!$G1930</f>
        <v>-17843067</v>
      </c>
    </row>
    <row r="1931" spans="1:9" ht="23">
      <c r="A1931" s="3" t="s">
        <v>2797</v>
      </c>
      <c r="B1931" s="10" t="s">
        <v>2798</v>
      </c>
      <c r="C1931" s="10" t="s">
        <v>10</v>
      </c>
      <c r="D1931" s="10" t="s">
        <v>11</v>
      </c>
      <c r="E1931" s="10">
        <v>88</v>
      </c>
      <c r="F1931" s="10">
        <v>5.9</v>
      </c>
      <c r="G1931" s="10">
        <v>17000000</v>
      </c>
      <c r="H1931" s="10">
        <v>9286314</v>
      </c>
      <c r="I1931" s="5">
        <f>IMDB_Movies!$H1931-IMDB_Movies!$G1931</f>
        <v>-7713686</v>
      </c>
    </row>
    <row r="1932" spans="1:9" ht="23">
      <c r="A1932" s="2" t="s">
        <v>2799</v>
      </c>
      <c r="B1932" s="9" t="s">
        <v>2800</v>
      </c>
      <c r="C1932" s="9" t="s">
        <v>24</v>
      </c>
      <c r="D1932" s="9" t="s">
        <v>11</v>
      </c>
      <c r="E1932" s="9">
        <v>111</v>
      </c>
      <c r="F1932" s="9">
        <v>7.3</v>
      </c>
      <c r="G1932" s="9">
        <v>25000000</v>
      </c>
      <c r="H1932" s="9">
        <v>56692</v>
      </c>
      <c r="I1932" s="5">
        <f>IMDB_Movies!$H1932-IMDB_Movies!$G1932</f>
        <v>-24943308</v>
      </c>
    </row>
    <row r="1933" spans="1:9" ht="23">
      <c r="A1933" s="3" t="s">
        <v>2801</v>
      </c>
      <c r="B1933" s="10" t="s">
        <v>2802</v>
      </c>
      <c r="C1933" s="10" t="s">
        <v>24</v>
      </c>
      <c r="D1933" s="10" t="s">
        <v>11</v>
      </c>
      <c r="E1933" s="10">
        <v>117</v>
      </c>
      <c r="F1933" s="10">
        <v>4.8</v>
      </c>
      <c r="G1933" s="10">
        <v>25000000</v>
      </c>
      <c r="H1933" s="10">
        <v>25078937</v>
      </c>
      <c r="I1933" s="5">
        <f>IMDB_Movies!$H1933-IMDB_Movies!$G1933</f>
        <v>78937</v>
      </c>
    </row>
    <row r="1934" spans="1:9" ht="23">
      <c r="A1934" s="2" t="s">
        <v>2803</v>
      </c>
      <c r="B1934" s="9" t="s">
        <v>2804</v>
      </c>
      <c r="C1934" s="9" t="s">
        <v>10</v>
      </c>
      <c r="D1934" s="9" t="s">
        <v>11</v>
      </c>
      <c r="E1934" s="9">
        <v>95</v>
      </c>
      <c r="F1934" s="9">
        <v>4.0999999999999996</v>
      </c>
      <c r="G1934" s="9">
        <v>25000000</v>
      </c>
      <c r="H1934" s="9">
        <v>5654777</v>
      </c>
      <c r="I1934" s="5">
        <f>IMDB_Movies!$H1934-IMDB_Movies!$G1934</f>
        <v>-19345223</v>
      </c>
    </row>
    <row r="1935" spans="1:9" ht="23">
      <c r="A1935" s="3" t="s">
        <v>2805</v>
      </c>
      <c r="B1935" s="10" t="s">
        <v>2253</v>
      </c>
      <c r="C1935" s="10" t="s">
        <v>138</v>
      </c>
      <c r="D1935" s="10" t="s">
        <v>11</v>
      </c>
      <c r="E1935" s="10">
        <v>95</v>
      </c>
      <c r="F1935" s="10">
        <v>4.9000000000000004</v>
      </c>
      <c r="G1935" s="10">
        <v>25000000</v>
      </c>
      <c r="H1935" s="10">
        <v>5516708</v>
      </c>
      <c r="I1935" s="5">
        <f>IMDB_Movies!$H1935-IMDB_Movies!$G1935</f>
        <v>-19483292</v>
      </c>
    </row>
    <row r="1936" spans="1:9" ht="23">
      <c r="A1936" s="2" t="s">
        <v>2806</v>
      </c>
      <c r="B1936" s="9" t="s">
        <v>401</v>
      </c>
      <c r="C1936" s="9" t="s">
        <v>418</v>
      </c>
      <c r="D1936" s="9" t="s">
        <v>11</v>
      </c>
      <c r="E1936" s="9">
        <v>127</v>
      </c>
      <c r="F1936" s="9">
        <v>7.9</v>
      </c>
      <c r="G1936" s="9">
        <v>25000000</v>
      </c>
      <c r="H1936" s="9">
        <v>5128124</v>
      </c>
      <c r="I1936" s="5">
        <f>IMDB_Movies!$H1936-IMDB_Movies!$G1936</f>
        <v>-19871876</v>
      </c>
    </row>
    <row r="1937" spans="1:9" ht="23">
      <c r="A1937" s="3" t="s">
        <v>2807</v>
      </c>
      <c r="B1937" s="10" t="s">
        <v>2808</v>
      </c>
      <c r="C1937" s="10" t="s">
        <v>10</v>
      </c>
      <c r="D1937" s="10" t="s">
        <v>11</v>
      </c>
      <c r="E1937" s="10">
        <v>104</v>
      </c>
      <c r="F1937" s="10">
        <v>5.2</v>
      </c>
      <c r="G1937" s="10">
        <v>25000000</v>
      </c>
      <c r="H1937" s="10">
        <v>4064333</v>
      </c>
      <c r="I1937" s="5">
        <f>IMDB_Movies!$H1937-IMDB_Movies!$G1937</f>
        <v>-20935667</v>
      </c>
    </row>
    <row r="1938" spans="1:9" ht="23">
      <c r="A1938" s="2" t="s">
        <v>2809</v>
      </c>
      <c r="B1938" s="9" t="s">
        <v>2810</v>
      </c>
      <c r="C1938" s="9" t="s">
        <v>138</v>
      </c>
      <c r="D1938" s="9" t="s">
        <v>11</v>
      </c>
      <c r="E1938" s="9">
        <v>95</v>
      </c>
      <c r="F1938" s="9">
        <v>4.0999999999999996</v>
      </c>
      <c r="G1938" s="9">
        <v>15000000</v>
      </c>
      <c r="H1938" s="9">
        <v>4006906</v>
      </c>
      <c r="I1938" s="5">
        <f>IMDB_Movies!$H1938-IMDB_Movies!$G1938</f>
        <v>-10993094</v>
      </c>
    </row>
    <row r="1939" spans="1:9" ht="23">
      <c r="A1939" s="3" t="s">
        <v>2811</v>
      </c>
      <c r="B1939" s="10" t="s">
        <v>2626</v>
      </c>
      <c r="C1939" s="10" t="s">
        <v>56</v>
      </c>
      <c r="D1939" s="10" t="s">
        <v>11</v>
      </c>
      <c r="E1939" s="10">
        <v>121</v>
      </c>
      <c r="F1939" s="10">
        <v>6.6</v>
      </c>
      <c r="G1939" s="10">
        <v>25000000</v>
      </c>
      <c r="H1939" s="10">
        <v>3073392</v>
      </c>
      <c r="I1939" s="5">
        <f>IMDB_Movies!$H1939-IMDB_Movies!$G1939</f>
        <v>-21926608</v>
      </c>
    </row>
    <row r="1940" spans="1:9" ht="23">
      <c r="A1940" s="2" t="s">
        <v>2812</v>
      </c>
      <c r="B1940" s="9" t="s">
        <v>1195</v>
      </c>
      <c r="C1940" s="9" t="s">
        <v>10</v>
      </c>
      <c r="D1940" s="9" t="s">
        <v>11</v>
      </c>
      <c r="E1940" s="9">
        <v>92</v>
      </c>
      <c r="F1940" s="9">
        <v>2.9</v>
      </c>
      <c r="G1940" s="9">
        <v>25000000</v>
      </c>
      <c r="H1940" s="9">
        <v>1550000</v>
      </c>
      <c r="I1940" s="5">
        <f>IMDB_Movies!$H1940-IMDB_Movies!$G1940</f>
        <v>-23450000</v>
      </c>
    </row>
    <row r="1941" spans="1:9" ht="23">
      <c r="A1941" s="3" t="s">
        <v>2813</v>
      </c>
      <c r="B1941" s="10" t="s">
        <v>1025</v>
      </c>
      <c r="C1941" s="10" t="s">
        <v>138</v>
      </c>
      <c r="D1941" s="10" t="s">
        <v>11</v>
      </c>
      <c r="E1941" s="10">
        <v>80</v>
      </c>
      <c r="F1941" s="10">
        <v>7.2</v>
      </c>
      <c r="G1941" s="10">
        <v>25000000</v>
      </c>
      <c r="H1941" s="10">
        <v>25078937</v>
      </c>
      <c r="I1941" s="5">
        <f>IMDB_Movies!$H1941-IMDB_Movies!$G1941</f>
        <v>78937</v>
      </c>
    </row>
    <row r="1942" spans="1:9" ht="23">
      <c r="A1942" s="2" t="s">
        <v>2814</v>
      </c>
      <c r="B1942" s="9" t="s">
        <v>2815</v>
      </c>
      <c r="C1942" s="9" t="s">
        <v>414</v>
      </c>
      <c r="D1942" s="9" t="s">
        <v>11</v>
      </c>
      <c r="E1942" s="9">
        <v>107</v>
      </c>
      <c r="F1942" s="9">
        <v>6.5</v>
      </c>
      <c r="G1942" s="9">
        <v>25000000</v>
      </c>
      <c r="H1942" s="9">
        <v>871527</v>
      </c>
      <c r="I1942" s="5">
        <f>IMDB_Movies!$H1942-IMDB_Movies!$G1942</f>
        <v>-24128473</v>
      </c>
    </row>
    <row r="1943" spans="1:9" ht="23">
      <c r="A1943" s="3" t="s">
        <v>2816</v>
      </c>
      <c r="B1943" s="10" t="s">
        <v>39</v>
      </c>
      <c r="C1943" s="10" t="s">
        <v>713</v>
      </c>
      <c r="D1943" s="10" t="s">
        <v>11</v>
      </c>
      <c r="E1943" s="10">
        <v>91</v>
      </c>
      <c r="F1943" s="10">
        <v>6.8</v>
      </c>
      <c r="G1943" s="10">
        <v>20000000</v>
      </c>
      <c r="H1943" s="10">
        <v>12495865</v>
      </c>
      <c r="I1943" s="5">
        <f>IMDB_Movies!$H1943-IMDB_Movies!$G1943</f>
        <v>-7504135</v>
      </c>
    </row>
    <row r="1944" spans="1:9" ht="23">
      <c r="A1944" s="2" t="s">
        <v>2817</v>
      </c>
      <c r="B1944" s="9" t="s">
        <v>2818</v>
      </c>
      <c r="C1944" s="9" t="s">
        <v>418</v>
      </c>
      <c r="D1944" s="9" t="s">
        <v>11</v>
      </c>
      <c r="E1944" s="9">
        <v>117</v>
      </c>
      <c r="F1944" s="9">
        <v>7.2</v>
      </c>
      <c r="G1944" s="9">
        <v>25000000</v>
      </c>
      <c r="H1944" s="9">
        <v>777423</v>
      </c>
      <c r="I1944" s="5">
        <f>IMDB_Movies!$H1944-IMDB_Movies!$G1944</f>
        <v>-24222577</v>
      </c>
    </row>
    <row r="1945" spans="1:9" ht="23">
      <c r="A1945" s="3" t="s">
        <v>2819</v>
      </c>
      <c r="B1945" s="10" t="s">
        <v>2571</v>
      </c>
      <c r="C1945" s="10" t="s">
        <v>56</v>
      </c>
      <c r="D1945" s="10" t="s">
        <v>11</v>
      </c>
      <c r="E1945" s="10">
        <v>107</v>
      </c>
      <c r="F1945" s="10">
        <v>6.8</v>
      </c>
      <c r="G1945" s="10">
        <v>25000000</v>
      </c>
      <c r="H1945" s="10">
        <v>1186957</v>
      </c>
      <c r="I1945" s="5">
        <f>IMDB_Movies!$H1945-IMDB_Movies!$G1945</f>
        <v>-23813043</v>
      </c>
    </row>
    <row r="1946" spans="1:9" ht="23">
      <c r="A1946" s="2" t="s">
        <v>2820</v>
      </c>
      <c r="B1946" s="9" t="s">
        <v>2821</v>
      </c>
      <c r="C1946" s="9" t="s">
        <v>414</v>
      </c>
      <c r="D1946" s="9" t="s">
        <v>11</v>
      </c>
      <c r="E1946" s="9">
        <v>131</v>
      </c>
      <c r="F1946" s="9">
        <v>7.8</v>
      </c>
      <c r="G1946" s="9">
        <v>13500000</v>
      </c>
      <c r="H1946" s="9">
        <v>85433</v>
      </c>
      <c r="I1946" s="5">
        <f>IMDB_Movies!$H1946-IMDB_Movies!$G1946</f>
        <v>-13414567</v>
      </c>
    </row>
    <row r="1947" spans="1:9" ht="23">
      <c r="A1947" s="3" t="s">
        <v>2822</v>
      </c>
      <c r="B1947" s="10" t="s">
        <v>2823</v>
      </c>
      <c r="C1947" s="10" t="s">
        <v>414</v>
      </c>
      <c r="D1947" s="10" t="s">
        <v>11</v>
      </c>
      <c r="E1947" s="10">
        <v>122</v>
      </c>
      <c r="F1947" s="10">
        <v>6.7</v>
      </c>
      <c r="G1947" s="10">
        <v>20000000</v>
      </c>
      <c r="H1947" s="10">
        <v>1697956</v>
      </c>
      <c r="I1947" s="5">
        <f>IMDB_Movies!$H1947-IMDB_Movies!$G1947</f>
        <v>-18302044</v>
      </c>
    </row>
    <row r="1948" spans="1:9" ht="23">
      <c r="A1948" s="2" t="s">
        <v>2824</v>
      </c>
      <c r="B1948" s="9" t="s">
        <v>2825</v>
      </c>
      <c r="C1948" s="9" t="s">
        <v>24</v>
      </c>
      <c r="D1948" s="9" t="s">
        <v>11</v>
      </c>
      <c r="E1948" s="9">
        <v>88</v>
      </c>
      <c r="F1948" s="9">
        <v>6.1</v>
      </c>
      <c r="G1948" s="9">
        <v>20000000</v>
      </c>
      <c r="H1948" s="9">
        <v>25078937</v>
      </c>
      <c r="I1948" s="5">
        <f>IMDB_Movies!$H1948-IMDB_Movies!$G1948</f>
        <v>5078937</v>
      </c>
    </row>
    <row r="1949" spans="1:9" ht="23">
      <c r="A1949" s="3" t="s">
        <v>2826</v>
      </c>
      <c r="B1949" s="10" t="s">
        <v>2712</v>
      </c>
      <c r="C1949" s="10" t="s">
        <v>138</v>
      </c>
      <c r="D1949" s="10" t="s">
        <v>394</v>
      </c>
      <c r="E1949" s="10">
        <v>134</v>
      </c>
      <c r="F1949" s="10">
        <v>7.1</v>
      </c>
      <c r="G1949" s="10">
        <v>25000000</v>
      </c>
      <c r="H1949" s="10">
        <v>183662</v>
      </c>
      <c r="I1949" s="5">
        <f>IMDB_Movies!$H1949-IMDB_Movies!$G1949</f>
        <v>-24816338</v>
      </c>
    </row>
    <row r="1950" spans="1:9" ht="23">
      <c r="A1950" s="2" t="s">
        <v>2827</v>
      </c>
      <c r="B1950" s="9" t="s">
        <v>1015</v>
      </c>
      <c r="C1950" s="9" t="s">
        <v>138</v>
      </c>
      <c r="D1950" s="9" t="s">
        <v>11</v>
      </c>
      <c r="E1950" s="9">
        <v>117</v>
      </c>
      <c r="F1950" s="9">
        <v>5.7</v>
      </c>
      <c r="G1950" s="9">
        <v>25000000</v>
      </c>
      <c r="H1950" s="9">
        <v>134904</v>
      </c>
      <c r="I1950" s="5">
        <f>IMDB_Movies!$H1950-IMDB_Movies!$G1950</f>
        <v>-24865096</v>
      </c>
    </row>
    <row r="1951" spans="1:9" ht="23">
      <c r="A1951" s="3" t="s">
        <v>2828</v>
      </c>
      <c r="B1951" s="10" t="s">
        <v>2829</v>
      </c>
      <c r="C1951" s="10" t="s">
        <v>24</v>
      </c>
      <c r="D1951" s="10" t="s">
        <v>11</v>
      </c>
      <c r="E1951" s="10">
        <v>80</v>
      </c>
      <c r="F1951" s="10">
        <v>2.9</v>
      </c>
      <c r="G1951" s="10">
        <v>25000000</v>
      </c>
      <c r="H1951" s="10">
        <v>25078937</v>
      </c>
      <c r="I1951" s="5">
        <f>IMDB_Movies!$H1951-IMDB_Movies!$G1951</f>
        <v>78937</v>
      </c>
    </row>
    <row r="1952" spans="1:9" ht="23">
      <c r="A1952" s="2" t="s">
        <v>2830</v>
      </c>
      <c r="B1952" s="9" t="s">
        <v>2831</v>
      </c>
      <c r="C1952" s="9" t="s">
        <v>24</v>
      </c>
      <c r="D1952" s="9" t="s">
        <v>1544</v>
      </c>
      <c r="E1952" s="9">
        <v>85</v>
      </c>
      <c r="F1952" s="9">
        <v>5.2</v>
      </c>
      <c r="G1952" s="9">
        <v>25000000</v>
      </c>
      <c r="H1952" s="9">
        <v>25078937</v>
      </c>
      <c r="I1952" s="5">
        <f>IMDB_Movies!$H1952-IMDB_Movies!$G1952</f>
        <v>78937</v>
      </c>
    </row>
    <row r="1953" spans="1:9" ht="23">
      <c r="A1953" s="3" t="s">
        <v>2832</v>
      </c>
      <c r="B1953" s="10" t="s">
        <v>50</v>
      </c>
      <c r="C1953" s="10" t="s">
        <v>414</v>
      </c>
      <c r="D1953" s="10" t="s">
        <v>11</v>
      </c>
      <c r="E1953" s="10">
        <v>138</v>
      </c>
      <c r="F1953" s="10">
        <v>5.3</v>
      </c>
      <c r="G1953" s="10">
        <v>25000000</v>
      </c>
      <c r="H1953" s="10">
        <v>16969390</v>
      </c>
      <c r="I1953" s="5">
        <f>IMDB_Movies!$H1953-IMDB_Movies!$G1953</f>
        <v>-8030610</v>
      </c>
    </row>
    <row r="1954" spans="1:9" ht="23">
      <c r="A1954" s="2" t="s">
        <v>2833</v>
      </c>
      <c r="B1954" s="9" t="s">
        <v>2834</v>
      </c>
      <c r="C1954" s="9" t="s">
        <v>10</v>
      </c>
      <c r="D1954" s="9" t="s">
        <v>11</v>
      </c>
      <c r="E1954" s="9">
        <v>121</v>
      </c>
      <c r="F1954" s="9">
        <v>6.2</v>
      </c>
      <c r="G1954" s="9">
        <v>25000000</v>
      </c>
      <c r="H1954" s="9">
        <v>25078937</v>
      </c>
      <c r="I1954" s="5">
        <f>IMDB_Movies!$H1954-IMDB_Movies!$G1954</f>
        <v>78937</v>
      </c>
    </row>
    <row r="1955" spans="1:9" ht="23">
      <c r="A1955" s="3" t="s">
        <v>2835</v>
      </c>
      <c r="B1955" s="10" t="s">
        <v>2836</v>
      </c>
      <c r="C1955" s="10" t="s">
        <v>10</v>
      </c>
      <c r="D1955" s="10" t="s">
        <v>11</v>
      </c>
      <c r="E1955" s="10">
        <v>134</v>
      </c>
      <c r="F1955" s="10">
        <v>7.3</v>
      </c>
      <c r="G1955" s="10">
        <v>25000000</v>
      </c>
      <c r="H1955" s="10">
        <v>25078937</v>
      </c>
      <c r="I1955" s="5">
        <f>IMDB_Movies!$H1955-IMDB_Movies!$G1955</f>
        <v>78937</v>
      </c>
    </row>
    <row r="1956" spans="1:9" ht="23">
      <c r="A1956" s="2" t="s">
        <v>2837</v>
      </c>
      <c r="B1956" s="9" t="s">
        <v>2838</v>
      </c>
      <c r="C1956" s="9" t="s">
        <v>10</v>
      </c>
      <c r="D1956" s="9" t="s">
        <v>2005</v>
      </c>
      <c r="E1956" s="9">
        <v>100</v>
      </c>
      <c r="F1956" s="9">
        <v>6.5</v>
      </c>
      <c r="G1956" s="9">
        <v>25000000</v>
      </c>
      <c r="H1956" s="9">
        <v>129115</v>
      </c>
      <c r="I1956" s="5">
        <f>IMDB_Movies!$H1956-IMDB_Movies!$G1956</f>
        <v>-24870885</v>
      </c>
    </row>
    <row r="1957" spans="1:9" ht="23">
      <c r="A1957" s="3" t="s">
        <v>2839</v>
      </c>
      <c r="B1957" s="10" t="s">
        <v>2840</v>
      </c>
      <c r="C1957" s="10" t="s">
        <v>10</v>
      </c>
      <c r="D1957" s="10" t="s">
        <v>11</v>
      </c>
      <c r="E1957" s="10">
        <v>100</v>
      </c>
      <c r="F1957" s="10">
        <v>4.0999999999999996</v>
      </c>
      <c r="G1957" s="10">
        <v>25000000</v>
      </c>
      <c r="H1957" s="10">
        <v>25078937</v>
      </c>
      <c r="I1957" s="5">
        <f>IMDB_Movies!$H1957-IMDB_Movies!$G1957</f>
        <v>78937</v>
      </c>
    </row>
    <row r="1958" spans="1:9" ht="23">
      <c r="A1958" s="2" t="s">
        <v>2841</v>
      </c>
      <c r="B1958" s="9" t="s">
        <v>1548</v>
      </c>
      <c r="C1958" s="9" t="s">
        <v>56</v>
      </c>
      <c r="D1958" s="9" t="s">
        <v>11</v>
      </c>
      <c r="E1958" s="9">
        <v>119</v>
      </c>
      <c r="F1958" s="9">
        <v>7.7</v>
      </c>
      <c r="G1958" s="9">
        <v>14000000</v>
      </c>
      <c r="H1958" s="9">
        <v>34700000</v>
      </c>
      <c r="I1958" s="5">
        <f>IMDB_Movies!$H1958-IMDB_Movies!$G1958</f>
        <v>20700000</v>
      </c>
    </row>
    <row r="1959" spans="1:9" ht="23">
      <c r="A1959" s="3" t="s">
        <v>2842</v>
      </c>
      <c r="B1959" s="10" t="s">
        <v>1187</v>
      </c>
      <c r="C1959" s="10" t="s">
        <v>24</v>
      </c>
      <c r="D1959" s="10" t="s">
        <v>11</v>
      </c>
      <c r="E1959" s="10">
        <v>137</v>
      </c>
      <c r="F1959" s="10">
        <v>6.1</v>
      </c>
      <c r="G1959" s="10">
        <v>25000000</v>
      </c>
      <c r="H1959" s="10">
        <v>717753</v>
      </c>
      <c r="I1959" s="5">
        <f>IMDB_Movies!$H1959-IMDB_Movies!$G1959</f>
        <v>-24282247</v>
      </c>
    </row>
    <row r="1960" spans="1:9" ht="23">
      <c r="A1960" s="2" t="s">
        <v>2843</v>
      </c>
      <c r="B1960" s="9" t="s">
        <v>2844</v>
      </c>
      <c r="C1960" s="9" t="s">
        <v>24</v>
      </c>
      <c r="D1960" s="9" t="s">
        <v>11</v>
      </c>
      <c r="E1960" s="9">
        <v>119</v>
      </c>
      <c r="F1960" s="9">
        <v>7.3</v>
      </c>
      <c r="G1960" s="9">
        <v>25000000</v>
      </c>
      <c r="H1960" s="9">
        <v>109713132</v>
      </c>
      <c r="I1960" s="5">
        <f>IMDB_Movies!$H1960-IMDB_Movies!$G1960</f>
        <v>84713132</v>
      </c>
    </row>
    <row r="1961" spans="1:9" ht="23">
      <c r="A1961" s="3" t="s">
        <v>2845</v>
      </c>
      <c r="B1961" s="10" t="s">
        <v>676</v>
      </c>
      <c r="C1961" s="10" t="s">
        <v>56</v>
      </c>
      <c r="D1961" s="10" t="s">
        <v>11</v>
      </c>
      <c r="E1961" s="10">
        <v>139</v>
      </c>
      <c r="F1961" s="10">
        <v>7.2</v>
      </c>
      <c r="G1961" s="10">
        <v>24000000</v>
      </c>
      <c r="H1961" s="10">
        <v>70269171</v>
      </c>
      <c r="I1961" s="5">
        <f>IMDB_Movies!$H1961-IMDB_Movies!$G1961</f>
        <v>46269171</v>
      </c>
    </row>
    <row r="1962" spans="1:9" ht="23">
      <c r="A1962" s="2" t="s">
        <v>2846</v>
      </c>
      <c r="B1962" s="9" t="s">
        <v>1739</v>
      </c>
      <c r="C1962" s="9" t="s">
        <v>810</v>
      </c>
      <c r="D1962" s="9" t="s">
        <v>11</v>
      </c>
      <c r="E1962" s="9">
        <v>120</v>
      </c>
      <c r="F1962" s="9">
        <v>6.1</v>
      </c>
      <c r="G1962" s="9">
        <v>24000000</v>
      </c>
      <c r="H1962" s="9">
        <v>101334374</v>
      </c>
      <c r="I1962" s="5">
        <f>IMDB_Movies!$H1962-IMDB_Movies!$G1962</f>
        <v>77334374</v>
      </c>
    </row>
    <row r="1963" spans="1:9" ht="23">
      <c r="A1963" s="3" t="s">
        <v>2847</v>
      </c>
      <c r="B1963" s="10" t="s">
        <v>2402</v>
      </c>
      <c r="C1963" s="10" t="s">
        <v>10</v>
      </c>
      <c r="D1963" s="10" t="s">
        <v>11</v>
      </c>
      <c r="E1963" s="10">
        <v>98</v>
      </c>
      <c r="F1963" s="10">
        <v>5.8</v>
      </c>
      <c r="G1963" s="10">
        <v>25000000</v>
      </c>
      <c r="H1963" s="10">
        <v>1512815</v>
      </c>
      <c r="I1963" s="5">
        <f>IMDB_Movies!$H1963-IMDB_Movies!$G1963</f>
        <v>-23487185</v>
      </c>
    </row>
    <row r="1964" spans="1:9" ht="23">
      <c r="A1964" s="2" t="s">
        <v>2848</v>
      </c>
      <c r="B1964" s="9" t="s">
        <v>364</v>
      </c>
      <c r="C1964" s="9" t="s">
        <v>138</v>
      </c>
      <c r="D1964" s="9" t="s">
        <v>11</v>
      </c>
      <c r="E1964" s="9">
        <v>106</v>
      </c>
      <c r="F1964" s="9">
        <v>5.7</v>
      </c>
      <c r="G1964" s="9">
        <v>24000000</v>
      </c>
      <c r="H1964" s="9">
        <v>65182182</v>
      </c>
      <c r="I1964" s="5">
        <f>IMDB_Movies!$H1964-IMDB_Movies!$G1964</f>
        <v>41182182</v>
      </c>
    </row>
    <row r="1965" spans="1:9" ht="23">
      <c r="A1965" s="3" t="s">
        <v>2849</v>
      </c>
      <c r="B1965" s="10" t="s">
        <v>1923</v>
      </c>
      <c r="C1965" s="10" t="s">
        <v>138</v>
      </c>
      <c r="D1965" s="10" t="s">
        <v>11</v>
      </c>
      <c r="E1965" s="10">
        <v>98</v>
      </c>
      <c r="F1965" s="10">
        <v>6.7</v>
      </c>
      <c r="G1965" s="10">
        <v>24000000</v>
      </c>
      <c r="H1965" s="10">
        <v>57262492</v>
      </c>
      <c r="I1965" s="5">
        <f>IMDB_Movies!$H1965-IMDB_Movies!$G1965</f>
        <v>33262492</v>
      </c>
    </row>
    <row r="1966" spans="1:9" ht="23">
      <c r="A1966" s="2" t="s">
        <v>2850</v>
      </c>
      <c r="B1966" s="9" t="s">
        <v>2851</v>
      </c>
      <c r="C1966" s="9" t="s">
        <v>56</v>
      </c>
      <c r="D1966" s="9" t="s">
        <v>11</v>
      </c>
      <c r="E1966" s="9">
        <v>107</v>
      </c>
      <c r="F1966" s="9">
        <v>6.5</v>
      </c>
      <c r="G1966" s="9">
        <v>8200000</v>
      </c>
      <c r="H1966" s="9">
        <v>80000000</v>
      </c>
      <c r="I1966" s="5">
        <f>IMDB_Movies!$H1966-IMDB_Movies!$G1966</f>
        <v>71800000</v>
      </c>
    </row>
    <row r="1967" spans="1:9" ht="23">
      <c r="A1967" s="3" t="s">
        <v>2852</v>
      </c>
      <c r="B1967" s="10" t="s">
        <v>680</v>
      </c>
      <c r="C1967" s="10" t="s">
        <v>138</v>
      </c>
      <c r="D1967" s="10" t="s">
        <v>11</v>
      </c>
      <c r="E1967" s="10">
        <v>88</v>
      </c>
      <c r="F1967" s="10">
        <v>7.2</v>
      </c>
      <c r="G1967" s="10">
        <v>24000000</v>
      </c>
      <c r="H1967" s="10">
        <v>74608545</v>
      </c>
      <c r="I1967" s="5">
        <f>IMDB_Movies!$H1967-IMDB_Movies!$G1967</f>
        <v>50608545</v>
      </c>
    </row>
    <row r="1968" spans="1:9" ht="23">
      <c r="A1968" s="2" t="s">
        <v>2853</v>
      </c>
      <c r="B1968" s="9" t="s">
        <v>747</v>
      </c>
      <c r="C1968" s="9" t="s">
        <v>138</v>
      </c>
      <c r="D1968" s="9" t="s">
        <v>11</v>
      </c>
      <c r="E1968" s="9">
        <v>137</v>
      </c>
      <c r="F1968" s="9">
        <v>7.6</v>
      </c>
      <c r="G1968" s="9">
        <v>24000000</v>
      </c>
      <c r="H1968" s="9">
        <v>41895491</v>
      </c>
      <c r="I1968" s="5">
        <f>IMDB_Movies!$H1968-IMDB_Movies!$G1968</f>
        <v>17895491</v>
      </c>
    </row>
    <row r="1969" spans="1:9" ht="23">
      <c r="A1969" s="3" t="s">
        <v>2854</v>
      </c>
      <c r="B1969" s="10" t="s">
        <v>2181</v>
      </c>
      <c r="C1969" s="10" t="s">
        <v>810</v>
      </c>
      <c r="D1969" s="10" t="s">
        <v>11</v>
      </c>
      <c r="E1969" s="10">
        <v>100</v>
      </c>
      <c r="F1969" s="10">
        <v>4.5999999999999996</v>
      </c>
      <c r="G1969" s="10">
        <v>24000000</v>
      </c>
      <c r="H1969" s="10">
        <v>39989008</v>
      </c>
      <c r="I1969" s="5">
        <f>IMDB_Movies!$H1969-IMDB_Movies!$G1969</f>
        <v>15989008</v>
      </c>
    </row>
    <row r="1970" spans="1:9" ht="23">
      <c r="A1970" s="2" t="s">
        <v>2855</v>
      </c>
      <c r="B1970" s="9" t="s">
        <v>2856</v>
      </c>
      <c r="C1970" s="9" t="s">
        <v>138</v>
      </c>
      <c r="D1970" s="9" t="s">
        <v>11</v>
      </c>
      <c r="E1970" s="9">
        <v>115</v>
      </c>
      <c r="F1970" s="9">
        <v>6.9</v>
      </c>
      <c r="G1970" s="9">
        <v>24000000</v>
      </c>
      <c r="H1970" s="9">
        <v>32662299</v>
      </c>
      <c r="I1970" s="5">
        <f>IMDB_Movies!$H1970-IMDB_Movies!$G1970</f>
        <v>8662299</v>
      </c>
    </row>
    <row r="1971" spans="1:9" ht="23">
      <c r="A1971" s="3" t="s">
        <v>2857</v>
      </c>
      <c r="B1971" s="10" t="s">
        <v>1973</v>
      </c>
      <c r="C1971" s="10" t="s">
        <v>138</v>
      </c>
      <c r="D1971" s="10" t="s">
        <v>11</v>
      </c>
      <c r="E1971" s="10">
        <v>101</v>
      </c>
      <c r="F1971" s="10">
        <v>6.6</v>
      </c>
      <c r="G1971" s="10">
        <v>24000000</v>
      </c>
      <c r="H1971" s="10">
        <v>31452765</v>
      </c>
      <c r="I1971" s="5">
        <f>IMDB_Movies!$H1971-IMDB_Movies!$G1971</f>
        <v>7452765</v>
      </c>
    </row>
    <row r="1972" spans="1:9" ht="23">
      <c r="A1972" s="2" t="s">
        <v>2858</v>
      </c>
      <c r="B1972" s="9" t="s">
        <v>2859</v>
      </c>
      <c r="C1972" s="9" t="s">
        <v>138</v>
      </c>
      <c r="D1972" s="9" t="s">
        <v>11</v>
      </c>
      <c r="E1972" s="9">
        <v>110</v>
      </c>
      <c r="F1972" s="9">
        <v>6.3</v>
      </c>
      <c r="G1972" s="9">
        <v>24000000</v>
      </c>
      <c r="H1972" s="9">
        <v>25167270</v>
      </c>
      <c r="I1972" s="5">
        <f>IMDB_Movies!$H1972-IMDB_Movies!$G1972</f>
        <v>1167270</v>
      </c>
    </row>
    <row r="1973" spans="1:9" ht="23">
      <c r="A1973" s="3" t="s">
        <v>2860</v>
      </c>
      <c r="B1973" s="10" t="s">
        <v>2861</v>
      </c>
      <c r="C1973" s="10" t="s">
        <v>138</v>
      </c>
      <c r="D1973" s="10" t="s">
        <v>11</v>
      </c>
      <c r="E1973" s="10">
        <v>94</v>
      </c>
      <c r="F1973" s="10">
        <v>6.2</v>
      </c>
      <c r="G1973" s="10">
        <v>25000000</v>
      </c>
      <c r="H1973" s="10">
        <v>32416109</v>
      </c>
      <c r="I1973" s="5">
        <f>IMDB_Movies!$H1973-IMDB_Movies!$G1973</f>
        <v>7416109</v>
      </c>
    </row>
    <row r="1974" spans="1:9" ht="23">
      <c r="A1974" s="2" t="s">
        <v>2862</v>
      </c>
      <c r="B1974" s="9" t="s">
        <v>2863</v>
      </c>
      <c r="C1974" s="9" t="s">
        <v>10</v>
      </c>
      <c r="D1974" s="9" t="s">
        <v>11</v>
      </c>
      <c r="E1974" s="9">
        <v>88</v>
      </c>
      <c r="F1974" s="9">
        <v>5.3</v>
      </c>
      <c r="G1974" s="9">
        <v>24000000</v>
      </c>
      <c r="H1974" s="9">
        <v>20218</v>
      </c>
      <c r="I1974" s="5">
        <f>IMDB_Movies!$H1974-IMDB_Movies!$G1974</f>
        <v>-23979782</v>
      </c>
    </row>
    <row r="1975" spans="1:9" ht="23">
      <c r="A1975" s="3" t="s">
        <v>2864</v>
      </c>
      <c r="B1975" s="10" t="s">
        <v>382</v>
      </c>
      <c r="C1975" s="10" t="s">
        <v>418</v>
      </c>
      <c r="D1975" s="10" t="s">
        <v>11</v>
      </c>
      <c r="E1975" s="10">
        <v>127</v>
      </c>
      <c r="F1975" s="10">
        <v>7.3</v>
      </c>
      <c r="G1975" s="10">
        <v>24000000</v>
      </c>
      <c r="H1975" s="10">
        <v>28871190</v>
      </c>
      <c r="I1975" s="5">
        <f>IMDB_Movies!$H1975-IMDB_Movies!$G1975</f>
        <v>4871190</v>
      </c>
    </row>
    <row r="1976" spans="1:9" ht="23">
      <c r="A1976" s="2" t="s">
        <v>2865</v>
      </c>
      <c r="B1976" s="9" t="s">
        <v>828</v>
      </c>
      <c r="C1976" s="9" t="s">
        <v>138</v>
      </c>
      <c r="D1976" s="9" t="s">
        <v>11</v>
      </c>
      <c r="E1976" s="9">
        <v>95</v>
      </c>
      <c r="F1976" s="9">
        <v>5.6</v>
      </c>
      <c r="G1976" s="9">
        <v>24000000</v>
      </c>
      <c r="H1976" s="9">
        <v>16964743</v>
      </c>
      <c r="I1976" s="5">
        <f>IMDB_Movies!$H1976-IMDB_Movies!$G1976</f>
        <v>-7035257</v>
      </c>
    </row>
    <row r="1977" spans="1:9" ht="23">
      <c r="A1977" s="3" t="s">
        <v>2866</v>
      </c>
      <c r="B1977" s="10" t="s">
        <v>1053</v>
      </c>
      <c r="C1977" s="10" t="s">
        <v>24</v>
      </c>
      <c r="D1977" s="10" t="s">
        <v>11</v>
      </c>
      <c r="E1977" s="10">
        <v>87</v>
      </c>
      <c r="F1977" s="10">
        <v>6.2</v>
      </c>
      <c r="G1977" s="10">
        <v>24000000</v>
      </c>
      <c r="H1977" s="10">
        <v>16290976</v>
      </c>
      <c r="I1977" s="5">
        <f>IMDB_Movies!$H1977-IMDB_Movies!$G1977</f>
        <v>-7709024</v>
      </c>
    </row>
    <row r="1978" spans="1:9" ht="23">
      <c r="A1978" s="2" t="s">
        <v>2867</v>
      </c>
      <c r="B1978" s="9" t="s">
        <v>2868</v>
      </c>
      <c r="C1978" s="9" t="s">
        <v>24</v>
      </c>
      <c r="D1978" s="9" t="s">
        <v>11</v>
      </c>
      <c r="E1978" s="9">
        <v>118</v>
      </c>
      <c r="F1978" s="9">
        <v>5.2</v>
      </c>
      <c r="G1978" s="9">
        <v>24000000</v>
      </c>
      <c r="H1978" s="9">
        <v>13000000</v>
      </c>
      <c r="I1978" s="5">
        <f>IMDB_Movies!$H1978-IMDB_Movies!$G1978</f>
        <v>-11000000</v>
      </c>
    </row>
    <row r="1979" spans="1:9" ht="23">
      <c r="A1979" s="3" t="s">
        <v>2869</v>
      </c>
      <c r="B1979" s="10" t="s">
        <v>1103</v>
      </c>
      <c r="C1979" s="10" t="s">
        <v>138</v>
      </c>
      <c r="D1979" s="10" t="s">
        <v>11</v>
      </c>
      <c r="E1979" s="10">
        <v>107</v>
      </c>
      <c r="F1979" s="10">
        <v>5.3</v>
      </c>
      <c r="G1979" s="10">
        <v>24000000</v>
      </c>
      <c r="H1979" s="10">
        <v>12372410</v>
      </c>
      <c r="I1979" s="5">
        <f>IMDB_Movies!$H1979-IMDB_Movies!$G1979</f>
        <v>-11627590</v>
      </c>
    </row>
    <row r="1980" spans="1:9" ht="23">
      <c r="A1980" s="2" t="s">
        <v>2870</v>
      </c>
      <c r="B1980" s="9" t="s">
        <v>845</v>
      </c>
      <c r="C1980" s="9" t="s">
        <v>138</v>
      </c>
      <c r="D1980" s="9" t="s">
        <v>11</v>
      </c>
      <c r="E1980" s="9">
        <v>124</v>
      </c>
      <c r="F1980" s="9">
        <v>5.4</v>
      </c>
      <c r="G1980" s="9">
        <v>24000000</v>
      </c>
      <c r="H1980" s="9">
        <v>8427204</v>
      </c>
      <c r="I1980" s="5">
        <f>IMDB_Movies!$H1980-IMDB_Movies!$G1980</f>
        <v>-15572796</v>
      </c>
    </row>
    <row r="1981" spans="1:9" ht="23">
      <c r="A1981" s="3" t="s">
        <v>2871</v>
      </c>
      <c r="B1981" s="10" t="s">
        <v>2872</v>
      </c>
      <c r="C1981" s="10" t="s">
        <v>138</v>
      </c>
      <c r="D1981" s="10" t="s">
        <v>11</v>
      </c>
      <c r="E1981" s="10">
        <v>89</v>
      </c>
      <c r="F1981" s="10">
        <v>4.9000000000000004</v>
      </c>
      <c r="G1981" s="10">
        <v>24000000</v>
      </c>
      <c r="H1981" s="10">
        <v>9639242</v>
      </c>
      <c r="I1981" s="5">
        <f>IMDB_Movies!$H1981-IMDB_Movies!$G1981</f>
        <v>-14360758</v>
      </c>
    </row>
    <row r="1982" spans="1:9" ht="23">
      <c r="A1982" s="2" t="s">
        <v>2873</v>
      </c>
      <c r="B1982" s="9" t="s">
        <v>2071</v>
      </c>
      <c r="C1982" s="9" t="s">
        <v>138</v>
      </c>
      <c r="D1982" s="9" t="s">
        <v>11</v>
      </c>
      <c r="E1982" s="9">
        <v>88</v>
      </c>
      <c r="F1982" s="9">
        <v>5.5</v>
      </c>
      <c r="G1982" s="9">
        <v>24000000</v>
      </c>
      <c r="H1982" s="9">
        <v>25003072</v>
      </c>
      <c r="I1982" s="5">
        <f>IMDB_Movies!$H1982-IMDB_Movies!$G1982</f>
        <v>1003072</v>
      </c>
    </row>
    <row r="1983" spans="1:9" ht="23">
      <c r="A1983" s="3" t="s">
        <v>2874</v>
      </c>
      <c r="B1983" s="10" t="s">
        <v>2875</v>
      </c>
      <c r="C1983" s="10" t="s">
        <v>418</v>
      </c>
      <c r="D1983" s="10" t="s">
        <v>11</v>
      </c>
      <c r="E1983" s="10">
        <v>118</v>
      </c>
      <c r="F1983" s="10">
        <v>6.7</v>
      </c>
      <c r="G1983" s="10">
        <v>23000000</v>
      </c>
      <c r="H1983" s="10">
        <v>6144806</v>
      </c>
      <c r="I1983" s="5">
        <f>IMDB_Movies!$H1983-IMDB_Movies!$G1983</f>
        <v>-16855194</v>
      </c>
    </row>
    <row r="1984" spans="1:9" ht="23">
      <c r="A1984" s="2" t="s">
        <v>2876</v>
      </c>
      <c r="B1984" s="9" t="s">
        <v>2436</v>
      </c>
      <c r="C1984" s="9" t="s">
        <v>138</v>
      </c>
      <c r="D1984" s="9" t="s">
        <v>11</v>
      </c>
      <c r="E1984" s="9">
        <v>93</v>
      </c>
      <c r="F1984" s="9">
        <v>3.9</v>
      </c>
      <c r="G1984" s="9">
        <v>24000000</v>
      </c>
      <c r="H1984" s="9">
        <v>4308981</v>
      </c>
      <c r="I1984" s="5">
        <f>IMDB_Movies!$H1984-IMDB_Movies!$G1984</f>
        <v>-19691019</v>
      </c>
    </row>
    <row r="1985" spans="1:9" ht="23">
      <c r="A1985" s="3" t="s">
        <v>2877</v>
      </c>
      <c r="B1985" s="10" t="s">
        <v>2878</v>
      </c>
      <c r="C1985" s="10" t="s">
        <v>10</v>
      </c>
      <c r="D1985" s="10" t="s">
        <v>11</v>
      </c>
      <c r="E1985" s="10">
        <v>80</v>
      </c>
      <c r="F1985" s="10">
        <v>7.2</v>
      </c>
      <c r="G1985" s="10">
        <v>28000000</v>
      </c>
      <c r="H1985" s="10">
        <v>669276</v>
      </c>
      <c r="I1985" s="5">
        <f>IMDB_Movies!$H1985-IMDB_Movies!$G1985</f>
        <v>-27330724</v>
      </c>
    </row>
    <row r="1986" spans="1:9" ht="23">
      <c r="A1986" s="2" t="s">
        <v>2879</v>
      </c>
      <c r="B1986" s="9" t="s">
        <v>2880</v>
      </c>
      <c r="C1986" s="9" t="s">
        <v>56</v>
      </c>
      <c r="D1986" s="9" t="s">
        <v>11</v>
      </c>
      <c r="E1986" s="9">
        <v>120</v>
      </c>
      <c r="F1986" s="9">
        <v>5.0999999999999996</v>
      </c>
      <c r="G1986" s="9">
        <v>24000000</v>
      </c>
      <c r="H1986" s="9">
        <v>42880</v>
      </c>
      <c r="I1986" s="5">
        <f>IMDB_Movies!$H1986-IMDB_Movies!$G1986</f>
        <v>-23957120</v>
      </c>
    </row>
    <row r="1987" spans="1:9" ht="23">
      <c r="A1987" s="3" t="s">
        <v>2881</v>
      </c>
      <c r="B1987" s="10" t="s">
        <v>2158</v>
      </c>
      <c r="C1987" s="10" t="s">
        <v>10</v>
      </c>
      <c r="D1987" s="10" t="s">
        <v>11</v>
      </c>
      <c r="E1987" s="10">
        <v>98</v>
      </c>
      <c r="F1987" s="10">
        <v>6.5</v>
      </c>
      <c r="G1987" s="10">
        <v>24000000</v>
      </c>
      <c r="H1987" s="10">
        <v>23225911</v>
      </c>
      <c r="I1987" s="5">
        <f>IMDB_Movies!$H1987-IMDB_Movies!$G1987</f>
        <v>-774089</v>
      </c>
    </row>
    <row r="1988" spans="1:9" ht="23">
      <c r="A1988" s="2" t="s">
        <v>2882</v>
      </c>
      <c r="B1988" s="9" t="s">
        <v>2156</v>
      </c>
      <c r="C1988" s="9" t="s">
        <v>24</v>
      </c>
      <c r="D1988" s="9" t="s">
        <v>179</v>
      </c>
      <c r="E1988" s="9">
        <v>119</v>
      </c>
      <c r="F1988" s="9">
        <v>8.1999999999999993</v>
      </c>
      <c r="G1988" s="9">
        <v>24000000</v>
      </c>
      <c r="H1988" s="9">
        <v>4710455</v>
      </c>
      <c r="I1988" s="5">
        <f>IMDB_Movies!$H1988-IMDB_Movies!$G1988</f>
        <v>-19289545</v>
      </c>
    </row>
    <row r="1989" spans="1:9" ht="23">
      <c r="A1989" s="3" t="s">
        <v>2883</v>
      </c>
      <c r="B1989" s="10" t="s">
        <v>1139</v>
      </c>
      <c r="C1989" s="10" t="s">
        <v>24</v>
      </c>
      <c r="D1989" s="10" t="s">
        <v>11</v>
      </c>
      <c r="E1989" s="10">
        <v>88</v>
      </c>
      <c r="F1989" s="10">
        <v>7.7</v>
      </c>
      <c r="G1989" s="10">
        <v>23600000</v>
      </c>
      <c r="H1989" s="10">
        <v>75590286</v>
      </c>
      <c r="I1989" s="5">
        <f>IMDB_Movies!$H1989-IMDB_Movies!$G1989</f>
        <v>51990286</v>
      </c>
    </row>
    <row r="1990" spans="1:9" ht="23">
      <c r="A1990" s="2" t="s">
        <v>2884</v>
      </c>
      <c r="B1990" s="9" t="s">
        <v>438</v>
      </c>
      <c r="C1990" s="9" t="s">
        <v>138</v>
      </c>
      <c r="D1990" s="9" t="s">
        <v>11</v>
      </c>
      <c r="E1990" s="9">
        <v>90</v>
      </c>
      <c r="F1990" s="9">
        <v>6.1</v>
      </c>
      <c r="G1990" s="9">
        <v>20000000</v>
      </c>
      <c r="H1990" s="9">
        <v>161487252</v>
      </c>
      <c r="I1990" s="5">
        <f>IMDB_Movies!$H1990-IMDB_Movies!$G1990</f>
        <v>141487252</v>
      </c>
    </row>
    <row r="1991" spans="1:9" ht="23">
      <c r="A1991" s="3" t="s">
        <v>2885</v>
      </c>
      <c r="B1991" s="10" t="s">
        <v>1986</v>
      </c>
      <c r="C1991" s="10" t="s">
        <v>10</v>
      </c>
      <c r="D1991" s="10" t="s">
        <v>11</v>
      </c>
      <c r="E1991" s="10">
        <v>127</v>
      </c>
      <c r="F1991" s="10">
        <v>8.8000000000000007</v>
      </c>
      <c r="G1991" s="10">
        <v>18000000</v>
      </c>
      <c r="H1991" s="10">
        <v>290158751</v>
      </c>
      <c r="I1991" s="5">
        <f>IMDB_Movies!$H1991-IMDB_Movies!$G1991</f>
        <v>272158751</v>
      </c>
    </row>
    <row r="1992" spans="1:9" ht="23">
      <c r="A1992" s="2" t="s">
        <v>2886</v>
      </c>
      <c r="B1992" s="9" t="s">
        <v>74</v>
      </c>
      <c r="C1992" s="9" t="s">
        <v>10</v>
      </c>
      <c r="D1992" s="9" t="s">
        <v>11</v>
      </c>
      <c r="E1992" s="9">
        <v>119</v>
      </c>
      <c r="F1992" s="9">
        <v>6.8</v>
      </c>
      <c r="G1992" s="9">
        <v>19000000</v>
      </c>
      <c r="H1992" s="9">
        <v>65807024</v>
      </c>
      <c r="I1992" s="5">
        <f>IMDB_Movies!$H1992-IMDB_Movies!$G1992</f>
        <v>46807024</v>
      </c>
    </row>
    <row r="1993" spans="1:9" ht="23">
      <c r="A1993" s="3" t="s">
        <v>2887</v>
      </c>
      <c r="B1993" s="10" t="s">
        <v>1564</v>
      </c>
      <c r="C1993" s="10" t="s">
        <v>138</v>
      </c>
      <c r="D1993" s="10" t="s">
        <v>11</v>
      </c>
      <c r="E1993" s="10">
        <v>85</v>
      </c>
      <c r="F1993" s="10">
        <v>6.8</v>
      </c>
      <c r="G1993" s="10">
        <v>23000000</v>
      </c>
      <c r="H1993" s="10">
        <v>86930411</v>
      </c>
      <c r="I1993" s="5">
        <f>IMDB_Movies!$H1993-IMDB_Movies!$G1993</f>
        <v>63930411</v>
      </c>
    </row>
    <row r="1994" spans="1:9" ht="23">
      <c r="A1994" s="2" t="s">
        <v>2888</v>
      </c>
      <c r="B1994" s="9" t="s">
        <v>1508</v>
      </c>
      <c r="C1994" s="9" t="s">
        <v>810</v>
      </c>
      <c r="D1994" s="9" t="s">
        <v>11</v>
      </c>
      <c r="E1994" s="9">
        <v>98</v>
      </c>
      <c r="F1994" s="9">
        <v>6.7</v>
      </c>
      <c r="G1994" s="9">
        <v>23000000</v>
      </c>
      <c r="H1994" s="9">
        <v>53302314</v>
      </c>
      <c r="I1994" s="5">
        <f>IMDB_Movies!$H1994-IMDB_Movies!$G1994</f>
        <v>30302314</v>
      </c>
    </row>
    <row r="1995" spans="1:9" ht="23">
      <c r="A1995" s="3" t="s">
        <v>2889</v>
      </c>
      <c r="B1995" s="10" t="s">
        <v>908</v>
      </c>
      <c r="C1995" s="10" t="s">
        <v>56</v>
      </c>
      <c r="D1995" s="10" t="s">
        <v>11</v>
      </c>
      <c r="E1995" s="10">
        <v>101</v>
      </c>
      <c r="F1995" s="10">
        <v>7.1</v>
      </c>
      <c r="G1995" s="10">
        <v>12500000</v>
      </c>
      <c r="H1995" s="10">
        <v>40962534</v>
      </c>
      <c r="I1995" s="5">
        <f>IMDB_Movies!$H1995-IMDB_Movies!$G1995</f>
        <v>28462534</v>
      </c>
    </row>
    <row r="1996" spans="1:9" ht="23">
      <c r="A1996" s="2" t="s">
        <v>2890</v>
      </c>
      <c r="B1996" s="9" t="s">
        <v>375</v>
      </c>
      <c r="C1996" s="9" t="s">
        <v>810</v>
      </c>
      <c r="D1996" s="9" t="s">
        <v>11</v>
      </c>
      <c r="E1996" s="9">
        <v>112</v>
      </c>
      <c r="F1996" s="9">
        <v>7.1</v>
      </c>
      <c r="G1996" s="9">
        <v>23000000</v>
      </c>
      <c r="H1996" s="9">
        <v>39235088</v>
      </c>
      <c r="I1996" s="5">
        <f>IMDB_Movies!$H1996-IMDB_Movies!$G1996</f>
        <v>16235088</v>
      </c>
    </row>
    <row r="1997" spans="1:9" ht="23">
      <c r="A1997" s="3" t="s">
        <v>2891</v>
      </c>
      <c r="B1997" s="10" t="s">
        <v>2892</v>
      </c>
      <c r="C1997" s="10" t="s">
        <v>138</v>
      </c>
      <c r="D1997" s="10" t="s">
        <v>11</v>
      </c>
      <c r="E1997" s="10">
        <v>97</v>
      </c>
      <c r="F1997" s="10">
        <v>6.1</v>
      </c>
      <c r="G1997" s="10">
        <v>23000000</v>
      </c>
      <c r="H1997" s="10">
        <v>27338033</v>
      </c>
      <c r="I1997" s="5">
        <f>IMDB_Movies!$H1997-IMDB_Movies!$G1997</f>
        <v>4338033</v>
      </c>
    </row>
    <row r="1998" spans="1:9" ht="23">
      <c r="A1998" s="2" t="s">
        <v>2893</v>
      </c>
      <c r="B1998" s="9" t="s">
        <v>483</v>
      </c>
      <c r="C1998" s="9" t="s">
        <v>56</v>
      </c>
      <c r="D1998" s="9" t="s">
        <v>11</v>
      </c>
      <c r="E1998" s="9">
        <v>126</v>
      </c>
      <c r="F1998" s="9">
        <v>8</v>
      </c>
      <c r="G1998" s="9">
        <v>23000000</v>
      </c>
      <c r="H1998" s="9">
        <v>25556065</v>
      </c>
      <c r="I1998" s="5">
        <f>IMDB_Movies!$H1998-IMDB_Movies!$G1998</f>
        <v>2556065</v>
      </c>
    </row>
    <row r="1999" spans="1:9" ht="23">
      <c r="A1999" s="3" t="s">
        <v>2894</v>
      </c>
      <c r="B1999" s="10" t="s">
        <v>1200</v>
      </c>
      <c r="C1999" s="10" t="s">
        <v>228</v>
      </c>
      <c r="D1999" s="10" t="s">
        <v>11</v>
      </c>
      <c r="E1999" s="10">
        <v>97</v>
      </c>
      <c r="F1999" s="10">
        <v>6.6</v>
      </c>
      <c r="G1999" s="10">
        <v>23000000</v>
      </c>
      <c r="H1999" s="10">
        <v>21973182</v>
      </c>
      <c r="I1999" s="5">
        <f>IMDB_Movies!$H1999-IMDB_Movies!$G1999</f>
        <v>-1026818</v>
      </c>
    </row>
    <row r="2000" spans="1:9" ht="23">
      <c r="A2000" s="2" t="s">
        <v>2895</v>
      </c>
      <c r="B2000" s="9" t="s">
        <v>2896</v>
      </c>
      <c r="C2000" s="9" t="s">
        <v>24</v>
      </c>
      <c r="D2000" s="9" t="s">
        <v>11</v>
      </c>
      <c r="E2000" s="9">
        <v>100</v>
      </c>
      <c r="F2000" s="9">
        <v>5.4</v>
      </c>
      <c r="G2000" s="9">
        <v>25000000</v>
      </c>
      <c r="H2000" s="9">
        <v>4756</v>
      </c>
      <c r="I2000" s="5">
        <f>IMDB_Movies!$H2000-IMDB_Movies!$G2000</f>
        <v>-24995244</v>
      </c>
    </row>
    <row r="2001" spans="1:9" ht="23">
      <c r="A2001" s="3" t="s">
        <v>2897</v>
      </c>
      <c r="B2001" s="10" t="s">
        <v>1248</v>
      </c>
      <c r="C2001" s="10" t="s">
        <v>138</v>
      </c>
      <c r="D2001" s="10" t="s">
        <v>11</v>
      </c>
      <c r="E2001" s="10">
        <v>114</v>
      </c>
      <c r="F2001" s="10">
        <v>6.1</v>
      </c>
      <c r="G2001" s="10">
        <v>23000000</v>
      </c>
      <c r="H2001" s="10">
        <v>18653615</v>
      </c>
      <c r="I2001" s="5">
        <f>IMDB_Movies!$H2001-IMDB_Movies!$G2001</f>
        <v>-4346385</v>
      </c>
    </row>
    <row r="2002" spans="1:9" ht="23">
      <c r="A2002" s="2" t="s">
        <v>2898</v>
      </c>
      <c r="B2002" s="9" t="s">
        <v>2899</v>
      </c>
      <c r="C2002" s="9" t="s">
        <v>138</v>
      </c>
      <c r="D2002" s="9" t="s">
        <v>11</v>
      </c>
      <c r="E2002" s="9">
        <v>88</v>
      </c>
      <c r="F2002" s="9">
        <v>5.6</v>
      </c>
      <c r="G2002" s="9">
        <v>23000000</v>
      </c>
      <c r="H2002" s="9">
        <v>13019253</v>
      </c>
      <c r="I2002" s="5">
        <f>IMDB_Movies!$H2002-IMDB_Movies!$G2002</f>
        <v>-9980747</v>
      </c>
    </row>
    <row r="2003" spans="1:9" ht="23">
      <c r="A2003" s="3" t="s">
        <v>2900</v>
      </c>
      <c r="B2003" s="10" t="s">
        <v>413</v>
      </c>
      <c r="C2003" s="10" t="s">
        <v>10</v>
      </c>
      <c r="D2003" s="10" t="s">
        <v>11</v>
      </c>
      <c r="E2003" s="10">
        <v>93</v>
      </c>
      <c r="F2003" s="10">
        <v>5.8</v>
      </c>
      <c r="G2003" s="10">
        <v>23000000</v>
      </c>
      <c r="H2003" s="10">
        <v>18934858</v>
      </c>
      <c r="I2003" s="5">
        <f>IMDB_Movies!$H2003-IMDB_Movies!$G2003</f>
        <v>-4065142</v>
      </c>
    </row>
    <row r="2004" spans="1:9" ht="23">
      <c r="A2004" s="2" t="s">
        <v>2901</v>
      </c>
      <c r="B2004" s="9" t="s">
        <v>2902</v>
      </c>
      <c r="C2004" s="9" t="s">
        <v>24</v>
      </c>
      <c r="D2004" s="9" t="s">
        <v>11</v>
      </c>
      <c r="E2004" s="9">
        <v>92</v>
      </c>
      <c r="F2004" s="9">
        <v>2.8</v>
      </c>
      <c r="G2004" s="9">
        <v>23000000</v>
      </c>
      <c r="H2004" s="9">
        <v>20763013</v>
      </c>
      <c r="I2004" s="5">
        <f>IMDB_Movies!$H2004-IMDB_Movies!$G2004</f>
        <v>-2236987</v>
      </c>
    </row>
    <row r="2005" spans="1:9" ht="23">
      <c r="A2005" s="3" t="s">
        <v>2903</v>
      </c>
      <c r="B2005" s="10" t="s">
        <v>2904</v>
      </c>
      <c r="C2005" s="10" t="s">
        <v>56</v>
      </c>
      <c r="D2005" s="10" t="s">
        <v>11</v>
      </c>
      <c r="E2005" s="10">
        <v>98</v>
      </c>
      <c r="F2005" s="10">
        <v>6.7</v>
      </c>
      <c r="G2005" s="10">
        <v>23000000</v>
      </c>
      <c r="H2005" s="10">
        <v>12782508</v>
      </c>
      <c r="I2005" s="5">
        <f>IMDB_Movies!$H2005-IMDB_Movies!$G2005</f>
        <v>-10217492</v>
      </c>
    </row>
    <row r="2006" spans="1:9" ht="23">
      <c r="A2006" s="2" t="s">
        <v>2905</v>
      </c>
      <c r="B2006" s="9" t="s">
        <v>2906</v>
      </c>
      <c r="C2006" s="9" t="s">
        <v>418</v>
      </c>
      <c r="D2006" s="9" t="s">
        <v>11</v>
      </c>
      <c r="E2006" s="9">
        <v>94</v>
      </c>
      <c r="F2006" s="9">
        <v>5.0999999999999996</v>
      </c>
      <c r="G2006" s="9">
        <v>23000000</v>
      </c>
      <c r="H2006" s="9">
        <v>11508423</v>
      </c>
      <c r="I2006" s="5">
        <f>IMDB_Movies!$H2006-IMDB_Movies!$G2006</f>
        <v>-11491577</v>
      </c>
    </row>
    <row r="2007" spans="1:9" ht="23">
      <c r="A2007" s="3" t="s">
        <v>2907</v>
      </c>
      <c r="B2007" s="10" t="s">
        <v>1372</v>
      </c>
      <c r="C2007" s="10" t="s">
        <v>56</v>
      </c>
      <c r="D2007" s="10" t="s">
        <v>11</v>
      </c>
      <c r="E2007" s="10">
        <v>102</v>
      </c>
      <c r="F2007" s="10">
        <v>7.2</v>
      </c>
      <c r="G2007" s="10">
        <v>23000000</v>
      </c>
      <c r="H2007" s="10">
        <v>10660147</v>
      </c>
      <c r="I2007" s="5">
        <f>IMDB_Movies!$H2007-IMDB_Movies!$G2007</f>
        <v>-12339853</v>
      </c>
    </row>
    <row r="2008" spans="1:9" ht="23">
      <c r="A2008" s="2" t="s">
        <v>2908</v>
      </c>
      <c r="B2008" s="9" t="s">
        <v>1630</v>
      </c>
      <c r="C2008" s="9" t="s">
        <v>10</v>
      </c>
      <c r="D2008" s="9" t="s">
        <v>11</v>
      </c>
      <c r="E2008" s="9">
        <v>98</v>
      </c>
      <c r="F2008" s="9">
        <v>6</v>
      </c>
      <c r="G2008" s="9">
        <v>23000000</v>
      </c>
      <c r="H2008" s="9">
        <v>7434726</v>
      </c>
      <c r="I2008" s="5">
        <f>IMDB_Movies!$H2008-IMDB_Movies!$G2008</f>
        <v>-15565274</v>
      </c>
    </row>
    <row r="2009" spans="1:9" ht="23">
      <c r="A2009" s="3" t="s">
        <v>2909</v>
      </c>
      <c r="B2009" s="10" t="s">
        <v>2382</v>
      </c>
      <c r="C2009" s="10" t="s">
        <v>414</v>
      </c>
      <c r="D2009" s="10" t="s">
        <v>11</v>
      </c>
      <c r="E2009" s="10">
        <v>121</v>
      </c>
      <c r="F2009" s="10">
        <v>7.2</v>
      </c>
      <c r="G2009" s="10">
        <v>20000000</v>
      </c>
      <c r="H2009" s="10">
        <v>6777589</v>
      </c>
      <c r="I2009" s="5">
        <f>IMDB_Movies!$H2009-IMDB_Movies!$G2009</f>
        <v>-13222411</v>
      </c>
    </row>
    <row r="2010" spans="1:9" ht="23">
      <c r="A2010" s="2" t="s">
        <v>2910</v>
      </c>
      <c r="B2010" s="9" t="s">
        <v>2911</v>
      </c>
      <c r="C2010" s="9" t="s">
        <v>418</v>
      </c>
      <c r="D2010" s="9" t="s">
        <v>394</v>
      </c>
      <c r="E2010" s="9">
        <v>111</v>
      </c>
      <c r="F2010" s="9">
        <v>6.7</v>
      </c>
      <c r="G2010" s="9">
        <v>19430000</v>
      </c>
      <c r="H2010" s="9">
        <v>6109075</v>
      </c>
      <c r="I2010" s="5">
        <f>IMDB_Movies!$H2010-IMDB_Movies!$G2010</f>
        <v>-13320925</v>
      </c>
    </row>
    <row r="2011" spans="1:9" ht="23">
      <c r="A2011" s="3" t="s">
        <v>2912</v>
      </c>
      <c r="B2011" s="10" t="s">
        <v>2913</v>
      </c>
      <c r="C2011" s="10" t="s">
        <v>56</v>
      </c>
      <c r="D2011" s="10" t="s">
        <v>11</v>
      </c>
      <c r="E2011" s="10">
        <v>90</v>
      </c>
      <c r="F2011" s="10">
        <v>6.3</v>
      </c>
      <c r="G2011" s="10">
        <v>11000000</v>
      </c>
      <c r="H2011" s="10">
        <v>25078937</v>
      </c>
      <c r="I2011" s="5">
        <f>IMDB_Movies!$H2011-IMDB_Movies!$G2011</f>
        <v>14078937</v>
      </c>
    </row>
    <row r="2012" spans="1:9" ht="23">
      <c r="A2012" s="2" t="s">
        <v>2914</v>
      </c>
      <c r="B2012" s="9" t="s">
        <v>1548</v>
      </c>
      <c r="C2012" s="9" t="s">
        <v>138</v>
      </c>
      <c r="D2012" s="9" t="s">
        <v>11</v>
      </c>
      <c r="E2012" s="9">
        <v>100</v>
      </c>
      <c r="F2012" s="9">
        <v>6.2</v>
      </c>
      <c r="G2012" s="9">
        <v>23000000</v>
      </c>
      <c r="H2012" s="9">
        <v>2708188</v>
      </c>
      <c r="I2012" s="5">
        <f>IMDB_Movies!$H2012-IMDB_Movies!$G2012</f>
        <v>-20291812</v>
      </c>
    </row>
    <row r="2013" spans="1:9" ht="23">
      <c r="A2013" s="3" t="s">
        <v>2915</v>
      </c>
      <c r="B2013" s="10" t="s">
        <v>2916</v>
      </c>
      <c r="C2013" s="10" t="s">
        <v>56</v>
      </c>
      <c r="D2013" s="10" t="s">
        <v>11</v>
      </c>
      <c r="E2013" s="10">
        <v>141</v>
      </c>
      <c r="F2013" s="10">
        <v>6.2</v>
      </c>
      <c r="G2013" s="10">
        <v>23000000</v>
      </c>
      <c r="H2013" s="10">
        <v>16123851</v>
      </c>
      <c r="I2013" s="5">
        <f>IMDB_Movies!$H2013-IMDB_Movies!$G2013</f>
        <v>-6876149</v>
      </c>
    </row>
    <row r="2014" spans="1:9" ht="23">
      <c r="A2014" s="2" t="s">
        <v>2917</v>
      </c>
      <c r="B2014" s="9" t="s">
        <v>2838</v>
      </c>
      <c r="C2014" s="9" t="s">
        <v>10</v>
      </c>
      <c r="D2014" s="9" t="s">
        <v>521</v>
      </c>
      <c r="E2014" s="9">
        <v>139</v>
      </c>
      <c r="F2014" s="9">
        <v>6.9</v>
      </c>
      <c r="G2014" s="9">
        <v>23000000</v>
      </c>
      <c r="H2014" s="9">
        <v>25078937</v>
      </c>
      <c r="I2014" s="5">
        <f>IMDB_Movies!$H2014-IMDB_Movies!$G2014</f>
        <v>2078937</v>
      </c>
    </row>
    <row r="2015" spans="1:9" ht="23">
      <c r="A2015" s="3" t="s">
        <v>2918</v>
      </c>
      <c r="B2015" s="10" t="s">
        <v>942</v>
      </c>
      <c r="C2015" s="10" t="s">
        <v>713</v>
      </c>
      <c r="D2015" s="10" t="s">
        <v>11</v>
      </c>
      <c r="E2015" s="10">
        <v>114</v>
      </c>
      <c r="F2015" s="10">
        <v>6.8</v>
      </c>
      <c r="G2015" s="10">
        <v>25000000</v>
      </c>
      <c r="H2015" s="10">
        <v>71975611</v>
      </c>
      <c r="I2015" s="5">
        <f>IMDB_Movies!$H2015-IMDB_Movies!$G2015</f>
        <v>46975611</v>
      </c>
    </row>
    <row r="2016" spans="1:9" ht="23">
      <c r="A2016" s="2" t="s">
        <v>2919</v>
      </c>
      <c r="B2016" s="9" t="s">
        <v>2920</v>
      </c>
      <c r="C2016" s="9" t="s">
        <v>24</v>
      </c>
      <c r="D2016" s="9" t="s">
        <v>11</v>
      </c>
      <c r="E2016" s="9">
        <v>96</v>
      </c>
      <c r="F2016" s="9">
        <v>7.1</v>
      </c>
      <c r="G2016" s="9">
        <v>22700000</v>
      </c>
      <c r="H2016" s="9">
        <v>38119483</v>
      </c>
      <c r="I2016" s="5">
        <f>IMDB_Movies!$H2016-IMDB_Movies!$G2016</f>
        <v>15419483</v>
      </c>
    </row>
    <row r="2017" spans="1:9" ht="23">
      <c r="A2017" s="3" t="s">
        <v>2921</v>
      </c>
      <c r="B2017" s="10" t="s">
        <v>2922</v>
      </c>
      <c r="C2017" s="10" t="s">
        <v>56</v>
      </c>
      <c r="D2017" s="10" t="s">
        <v>11</v>
      </c>
      <c r="E2017" s="10">
        <v>111</v>
      </c>
      <c r="F2017" s="10">
        <v>7.1</v>
      </c>
      <c r="G2017" s="10">
        <v>22500000</v>
      </c>
      <c r="H2017" s="10">
        <v>4190530</v>
      </c>
      <c r="I2017" s="5">
        <f>IMDB_Movies!$H2017-IMDB_Movies!$G2017</f>
        <v>-18309470</v>
      </c>
    </row>
    <row r="2018" spans="1:9" ht="23">
      <c r="A2018" s="2" t="s">
        <v>2923</v>
      </c>
      <c r="B2018" s="9" t="s">
        <v>836</v>
      </c>
      <c r="C2018" s="9" t="s">
        <v>56</v>
      </c>
      <c r="D2018" s="9" t="s">
        <v>11</v>
      </c>
      <c r="E2018" s="9">
        <v>127</v>
      </c>
      <c r="F2018" s="9">
        <v>7</v>
      </c>
      <c r="G2018" s="9">
        <v>22000000</v>
      </c>
      <c r="H2018" s="9">
        <v>217631306</v>
      </c>
      <c r="I2018" s="5">
        <f>IMDB_Movies!$H2018-IMDB_Movies!$G2018</f>
        <v>195631306</v>
      </c>
    </row>
    <row r="2019" spans="1:9" ht="23">
      <c r="A2019" s="3" t="s">
        <v>2924</v>
      </c>
      <c r="B2019" s="10" t="s">
        <v>934</v>
      </c>
      <c r="C2019" s="10" t="s">
        <v>138</v>
      </c>
      <c r="D2019" s="10" t="s">
        <v>11</v>
      </c>
      <c r="E2019" s="10">
        <v>107</v>
      </c>
      <c r="F2019" s="10">
        <v>7.1</v>
      </c>
      <c r="G2019" s="10">
        <v>23000000</v>
      </c>
      <c r="H2019" s="10">
        <v>176483808</v>
      </c>
      <c r="I2019" s="5">
        <f>IMDB_Movies!$H2019-IMDB_Movies!$G2019</f>
        <v>153483808</v>
      </c>
    </row>
    <row r="2020" spans="1:9" ht="23">
      <c r="A2020" s="2" t="s">
        <v>2925</v>
      </c>
      <c r="B2020" s="9" t="s">
        <v>1136</v>
      </c>
      <c r="C2020" s="9" t="s">
        <v>138</v>
      </c>
      <c r="D2020" s="9" t="s">
        <v>11</v>
      </c>
      <c r="E2020" s="9">
        <v>97</v>
      </c>
      <c r="F2020" s="9">
        <v>6.4</v>
      </c>
      <c r="G2020" s="9">
        <v>22000000</v>
      </c>
      <c r="H2020" s="9">
        <v>144833357</v>
      </c>
      <c r="I2020" s="5">
        <f>IMDB_Movies!$H2020-IMDB_Movies!$G2020</f>
        <v>122833357</v>
      </c>
    </row>
    <row r="2021" spans="1:9" ht="23">
      <c r="A2021" s="3" t="s">
        <v>2926</v>
      </c>
      <c r="B2021" s="10" t="s">
        <v>554</v>
      </c>
      <c r="C2021" s="10" t="s">
        <v>56</v>
      </c>
      <c r="D2021" s="10" t="s">
        <v>11</v>
      </c>
      <c r="E2021" s="10">
        <v>127</v>
      </c>
      <c r="F2021" s="10">
        <v>7</v>
      </c>
      <c r="G2021" s="10">
        <v>20000000</v>
      </c>
      <c r="H2021" s="10">
        <v>75597042</v>
      </c>
      <c r="I2021" s="5">
        <f>IMDB_Movies!$H2021-IMDB_Movies!$G2021</f>
        <v>55597042</v>
      </c>
    </row>
    <row r="2022" spans="1:9" ht="23">
      <c r="A2022" s="2" t="s">
        <v>2927</v>
      </c>
      <c r="B2022" s="9" t="s">
        <v>1401</v>
      </c>
      <c r="C2022" s="9" t="s">
        <v>138</v>
      </c>
      <c r="D2022" s="9" t="s">
        <v>11</v>
      </c>
      <c r="E2022" s="9">
        <v>110</v>
      </c>
      <c r="F2022" s="9">
        <v>6.2</v>
      </c>
      <c r="G2022" s="9">
        <v>22000000</v>
      </c>
      <c r="H2022" s="9">
        <v>90636983</v>
      </c>
      <c r="I2022" s="5">
        <f>IMDB_Movies!$H2022-IMDB_Movies!$G2022</f>
        <v>68636983</v>
      </c>
    </row>
    <row r="2023" spans="1:9" ht="23">
      <c r="A2023" s="3" t="s">
        <v>2928</v>
      </c>
      <c r="B2023" s="10" t="s">
        <v>992</v>
      </c>
      <c r="C2023" s="10" t="s">
        <v>56</v>
      </c>
      <c r="D2023" s="10" t="s">
        <v>11</v>
      </c>
      <c r="E2023" s="10">
        <v>135</v>
      </c>
      <c r="F2023" s="10">
        <v>7.5</v>
      </c>
      <c r="G2023" s="10">
        <v>35000000</v>
      </c>
      <c r="H2023" s="10">
        <v>70960517</v>
      </c>
      <c r="I2023" s="5">
        <f>IMDB_Movies!$H2023-IMDB_Movies!$G2023</f>
        <v>35960517</v>
      </c>
    </row>
    <row r="2024" spans="1:9" ht="23">
      <c r="A2024" s="2" t="s">
        <v>2929</v>
      </c>
      <c r="B2024" s="9" t="s">
        <v>2058</v>
      </c>
      <c r="C2024" s="9" t="s">
        <v>138</v>
      </c>
      <c r="D2024" s="9" t="s">
        <v>11</v>
      </c>
      <c r="E2024" s="9">
        <v>84</v>
      </c>
      <c r="F2024" s="9">
        <v>4.8</v>
      </c>
      <c r="G2024" s="9">
        <v>22000000</v>
      </c>
      <c r="H2024" s="9">
        <v>55762229</v>
      </c>
      <c r="I2024" s="5">
        <f>IMDB_Movies!$H2024-IMDB_Movies!$G2024</f>
        <v>33762229</v>
      </c>
    </row>
    <row r="2025" spans="1:9" ht="23">
      <c r="A2025" s="3" t="s">
        <v>2930</v>
      </c>
      <c r="B2025" s="10" t="s">
        <v>2476</v>
      </c>
      <c r="C2025" s="10" t="s">
        <v>418</v>
      </c>
      <c r="D2025" s="10" t="s">
        <v>11</v>
      </c>
      <c r="E2025" s="10">
        <v>240</v>
      </c>
      <c r="F2025" s="10">
        <v>8.1</v>
      </c>
      <c r="G2025" s="10">
        <v>22000000</v>
      </c>
      <c r="H2025" s="10">
        <v>25078937</v>
      </c>
      <c r="I2025" s="5">
        <f>IMDB_Movies!$H2025-IMDB_Movies!$G2025</f>
        <v>3078937</v>
      </c>
    </row>
    <row r="2026" spans="1:9" ht="23">
      <c r="A2026" s="2" t="s">
        <v>2931</v>
      </c>
      <c r="B2026" s="9" t="s">
        <v>2117</v>
      </c>
      <c r="C2026" s="9" t="s">
        <v>138</v>
      </c>
      <c r="D2026" s="9" t="s">
        <v>11</v>
      </c>
      <c r="E2026" s="9">
        <v>122</v>
      </c>
      <c r="F2026" s="9">
        <v>7.3</v>
      </c>
      <c r="G2026" s="9">
        <v>22000000</v>
      </c>
      <c r="H2026" s="9">
        <v>54235441</v>
      </c>
      <c r="I2026" s="5">
        <f>IMDB_Movies!$H2026-IMDB_Movies!$G2026</f>
        <v>32235441</v>
      </c>
    </row>
    <row r="2027" spans="1:9" ht="23">
      <c r="A2027" s="3" t="s">
        <v>2932</v>
      </c>
      <c r="B2027" s="10" t="s">
        <v>1845</v>
      </c>
      <c r="C2027" s="10" t="s">
        <v>10</v>
      </c>
      <c r="D2027" s="10" t="s">
        <v>11</v>
      </c>
      <c r="E2027" s="10">
        <v>114</v>
      </c>
      <c r="F2027" s="10">
        <v>5.8</v>
      </c>
      <c r="G2027" s="10">
        <v>22000000</v>
      </c>
      <c r="H2027" s="10">
        <v>50728000</v>
      </c>
      <c r="I2027" s="5">
        <f>IMDB_Movies!$H2027-IMDB_Movies!$G2027</f>
        <v>28728000</v>
      </c>
    </row>
    <row r="2028" spans="1:9" ht="23">
      <c r="A2028" s="2" t="s">
        <v>2933</v>
      </c>
      <c r="B2028" s="9" t="s">
        <v>2934</v>
      </c>
      <c r="C2028" s="9" t="s">
        <v>56</v>
      </c>
      <c r="D2028" s="9" t="s">
        <v>11</v>
      </c>
      <c r="E2028" s="9">
        <v>132</v>
      </c>
      <c r="F2028" s="9">
        <v>7.6</v>
      </c>
      <c r="G2028" s="9">
        <v>22000000</v>
      </c>
      <c r="H2028" s="9">
        <v>40270895</v>
      </c>
      <c r="I2028" s="5">
        <f>IMDB_Movies!$H2028-IMDB_Movies!$G2028</f>
        <v>18270895</v>
      </c>
    </row>
    <row r="2029" spans="1:9" ht="23">
      <c r="A2029" s="3" t="s">
        <v>2935</v>
      </c>
      <c r="B2029" s="10" t="s">
        <v>2936</v>
      </c>
      <c r="C2029" s="10" t="s">
        <v>418</v>
      </c>
      <c r="D2029" s="10" t="s">
        <v>11</v>
      </c>
      <c r="E2029" s="10">
        <v>170</v>
      </c>
      <c r="F2029" s="10">
        <v>5.6</v>
      </c>
      <c r="G2029" s="10">
        <v>22000000</v>
      </c>
      <c r="H2029" s="10">
        <v>59696176</v>
      </c>
      <c r="I2029" s="5">
        <f>IMDB_Movies!$H2029-IMDB_Movies!$G2029</f>
        <v>37696176</v>
      </c>
    </row>
    <row r="2030" spans="1:9" ht="23">
      <c r="A2030" s="2" t="s">
        <v>2937</v>
      </c>
      <c r="B2030" s="9" t="s">
        <v>435</v>
      </c>
      <c r="C2030" s="9" t="s">
        <v>10</v>
      </c>
      <c r="D2030" s="9" t="s">
        <v>11</v>
      </c>
      <c r="E2030" s="9">
        <v>133</v>
      </c>
      <c r="F2030" s="9">
        <v>7</v>
      </c>
      <c r="G2030" s="9">
        <v>22000000</v>
      </c>
      <c r="H2030" s="9">
        <v>51483949</v>
      </c>
      <c r="I2030" s="5">
        <f>IMDB_Movies!$H2030-IMDB_Movies!$G2030</f>
        <v>29483949</v>
      </c>
    </row>
    <row r="2031" spans="1:9" ht="23">
      <c r="A2031" s="3" t="s">
        <v>2938</v>
      </c>
      <c r="B2031" s="10" t="s">
        <v>942</v>
      </c>
      <c r="C2031" s="10" t="s">
        <v>56</v>
      </c>
      <c r="D2031" s="10" t="s">
        <v>11</v>
      </c>
      <c r="E2031" s="10">
        <v>112</v>
      </c>
      <c r="F2031" s="10">
        <v>6.6</v>
      </c>
      <c r="G2031" s="10">
        <v>22000000</v>
      </c>
      <c r="H2031" s="10">
        <v>36020063</v>
      </c>
      <c r="I2031" s="5">
        <f>IMDB_Movies!$H2031-IMDB_Movies!$G2031</f>
        <v>14020063</v>
      </c>
    </row>
    <row r="2032" spans="1:9" ht="23">
      <c r="A2032" s="2" t="s">
        <v>2939</v>
      </c>
      <c r="B2032" s="9" t="s">
        <v>413</v>
      </c>
      <c r="C2032" s="9" t="s">
        <v>138</v>
      </c>
      <c r="D2032" s="9" t="s">
        <v>11</v>
      </c>
      <c r="E2032" s="9">
        <v>108</v>
      </c>
      <c r="F2032" s="9">
        <v>6.5</v>
      </c>
      <c r="G2032" s="9">
        <v>21000000</v>
      </c>
      <c r="H2032" s="9">
        <v>33313582</v>
      </c>
      <c r="I2032" s="5">
        <f>IMDB_Movies!$H2032-IMDB_Movies!$G2032</f>
        <v>12313582</v>
      </c>
    </row>
    <row r="2033" spans="1:9" ht="23">
      <c r="A2033" s="3" t="s">
        <v>2940</v>
      </c>
      <c r="B2033" s="10" t="s">
        <v>2476</v>
      </c>
      <c r="C2033" s="10" t="s">
        <v>418</v>
      </c>
      <c r="D2033" s="10" t="s">
        <v>11</v>
      </c>
      <c r="E2033" s="10">
        <v>115</v>
      </c>
      <c r="F2033" s="10">
        <v>7.4</v>
      </c>
      <c r="G2033" s="10">
        <v>22000000</v>
      </c>
      <c r="H2033" s="10">
        <v>25842000</v>
      </c>
      <c r="I2033" s="5">
        <f>IMDB_Movies!$H2033-IMDB_Movies!$G2033</f>
        <v>3842000</v>
      </c>
    </row>
    <row r="2034" spans="1:9" ht="23">
      <c r="A2034" s="2" t="s">
        <v>2941</v>
      </c>
      <c r="B2034" s="9" t="s">
        <v>2942</v>
      </c>
      <c r="C2034" s="9" t="s">
        <v>138</v>
      </c>
      <c r="D2034" s="9" t="s">
        <v>11</v>
      </c>
      <c r="E2034" s="9">
        <v>83</v>
      </c>
      <c r="F2034" s="9">
        <v>4.5999999999999996</v>
      </c>
      <c r="G2034" s="9">
        <v>22000000</v>
      </c>
      <c r="H2034" s="9">
        <v>22264487</v>
      </c>
      <c r="I2034" s="5">
        <f>IMDB_Movies!$H2034-IMDB_Movies!$G2034</f>
        <v>264487</v>
      </c>
    </row>
    <row r="2035" spans="1:9" ht="23">
      <c r="A2035" s="3" t="s">
        <v>2943</v>
      </c>
      <c r="B2035" s="10" t="s">
        <v>2149</v>
      </c>
      <c r="C2035" s="10" t="s">
        <v>138</v>
      </c>
      <c r="D2035" s="10" t="s">
        <v>11</v>
      </c>
      <c r="E2035" s="10">
        <v>105</v>
      </c>
      <c r="F2035" s="10">
        <v>6.4</v>
      </c>
      <c r="G2035" s="10">
        <v>26000000</v>
      </c>
      <c r="H2035" s="10">
        <v>30659817</v>
      </c>
      <c r="I2035" s="5">
        <f>IMDB_Movies!$H2035-IMDB_Movies!$G2035</f>
        <v>4659817</v>
      </c>
    </row>
    <row r="2036" spans="1:9" ht="23">
      <c r="A2036" s="2" t="s">
        <v>2944</v>
      </c>
      <c r="B2036" s="9" t="s">
        <v>2086</v>
      </c>
      <c r="C2036" s="9" t="s">
        <v>2945</v>
      </c>
      <c r="D2036" s="9" t="s">
        <v>11</v>
      </c>
      <c r="E2036" s="9">
        <v>108</v>
      </c>
      <c r="F2036" s="9">
        <v>6.4</v>
      </c>
      <c r="G2036" s="9">
        <v>20000000</v>
      </c>
      <c r="H2036" s="9">
        <v>3108216</v>
      </c>
      <c r="I2036" s="5">
        <f>IMDB_Movies!$H2036-IMDB_Movies!$G2036</f>
        <v>-16891784</v>
      </c>
    </row>
    <row r="2037" spans="1:9" ht="23">
      <c r="A2037" s="3" t="s">
        <v>2946</v>
      </c>
      <c r="B2037" s="10" t="s">
        <v>584</v>
      </c>
      <c r="C2037" s="10" t="s">
        <v>138</v>
      </c>
      <c r="D2037" s="10" t="s">
        <v>11</v>
      </c>
      <c r="E2037" s="10">
        <v>96</v>
      </c>
      <c r="F2037" s="10">
        <v>5.9</v>
      </c>
      <c r="G2037" s="10">
        <v>22000000</v>
      </c>
      <c r="H2037" s="10">
        <v>19351569</v>
      </c>
      <c r="I2037" s="5">
        <f>IMDB_Movies!$H2037-IMDB_Movies!$G2037</f>
        <v>-2648431</v>
      </c>
    </row>
    <row r="2038" spans="1:9" ht="23">
      <c r="A2038" s="2" t="s">
        <v>2947</v>
      </c>
      <c r="B2038" s="9" t="s">
        <v>253</v>
      </c>
      <c r="C2038" s="9" t="s">
        <v>138</v>
      </c>
      <c r="D2038" s="9" t="s">
        <v>11</v>
      </c>
      <c r="E2038" s="9">
        <v>94</v>
      </c>
      <c r="F2038" s="9">
        <v>6.4</v>
      </c>
      <c r="G2038" s="9">
        <v>22000000</v>
      </c>
      <c r="H2038" s="9">
        <v>49002815</v>
      </c>
      <c r="I2038" s="5">
        <f>IMDB_Movies!$H2038-IMDB_Movies!$G2038</f>
        <v>27002815</v>
      </c>
    </row>
    <row r="2039" spans="1:9" ht="23">
      <c r="A2039" s="3" t="s">
        <v>2948</v>
      </c>
      <c r="B2039" s="10" t="s">
        <v>1380</v>
      </c>
      <c r="C2039" s="10" t="s">
        <v>414</v>
      </c>
      <c r="D2039" s="10" t="s">
        <v>11</v>
      </c>
      <c r="E2039" s="10">
        <v>142</v>
      </c>
      <c r="F2039" s="10">
        <v>6.6</v>
      </c>
      <c r="G2039" s="10">
        <v>22000000</v>
      </c>
      <c r="H2039" s="10">
        <v>19283782</v>
      </c>
      <c r="I2039" s="5">
        <f>IMDB_Movies!$H2039-IMDB_Movies!$G2039</f>
        <v>-2716218</v>
      </c>
    </row>
    <row r="2040" spans="1:9" ht="23">
      <c r="A2040" s="2" t="s">
        <v>2949</v>
      </c>
      <c r="B2040" s="9" t="s">
        <v>1973</v>
      </c>
      <c r="C2040" s="9" t="s">
        <v>138</v>
      </c>
      <c r="D2040" s="9" t="s">
        <v>11</v>
      </c>
      <c r="E2040" s="9">
        <v>104</v>
      </c>
      <c r="F2040" s="9">
        <v>6.9</v>
      </c>
      <c r="G2040" s="9">
        <v>22000000</v>
      </c>
      <c r="H2040" s="9">
        <v>30059386</v>
      </c>
      <c r="I2040" s="5">
        <f>IMDB_Movies!$H2040-IMDB_Movies!$G2040</f>
        <v>8059386</v>
      </c>
    </row>
    <row r="2041" spans="1:9" ht="23">
      <c r="A2041" s="3" t="s">
        <v>2950</v>
      </c>
      <c r="B2041" s="10" t="s">
        <v>2951</v>
      </c>
      <c r="C2041" s="10" t="s">
        <v>414</v>
      </c>
      <c r="D2041" s="10" t="s">
        <v>11</v>
      </c>
      <c r="E2041" s="10">
        <v>106</v>
      </c>
      <c r="F2041" s="10">
        <v>5.8</v>
      </c>
      <c r="G2041" s="10">
        <v>30000000</v>
      </c>
      <c r="H2041" s="10">
        <v>17951431</v>
      </c>
      <c r="I2041" s="5">
        <f>IMDB_Movies!$H2041-IMDB_Movies!$G2041</f>
        <v>-12048569</v>
      </c>
    </row>
    <row r="2042" spans="1:9" ht="23">
      <c r="A2042" s="2" t="s">
        <v>2952</v>
      </c>
      <c r="B2042" s="9" t="s">
        <v>1967</v>
      </c>
      <c r="C2042" s="9" t="s">
        <v>138</v>
      </c>
      <c r="D2042" s="9" t="s">
        <v>11</v>
      </c>
      <c r="E2042" s="9">
        <v>106</v>
      </c>
      <c r="F2042" s="9">
        <v>6.4</v>
      </c>
      <c r="G2042" s="9">
        <v>22000000</v>
      </c>
      <c r="H2042" s="9">
        <v>29997095</v>
      </c>
      <c r="I2042" s="5">
        <f>IMDB_Movies!$H2042-IMDB_Movies!$G2042</f>
        <v>7997095</v>
      </c>
    </row>
    <row r="2043" spans="1:9" ht="23">
      <c r="A2043" s="3" t="s">
        <v>2953</v>
      </c>
      <c r="B2043" s="10" t="s">
        <v>2954</v>
      </c>
      <c r="C2043" s="10" t="s">
        <v>138</v>
      </c>
      <c r="D2043" s="10" t="s">
        <v>11</v>
      </c>
      <c r="E2043" s="10">
        <v>98</v>
      </c>
      <c r="F2043" s="10">
        <v>5.3</v>
      </c>
      <c r="G2043" s="10">
        <v>22000000</v>
      </c>
      <c r="H2043" s="10">
        <v>14252830</v>
      </c>
      <c r="I2043" s="5">
        <f>IMDB_Movies!$H2043-IMDB_Movies!$G2043</f>
        <v>-7747170</v>
      </c>
    </row>
    <row r="2044" spans="1:9" ht="23">
      <c r="A2044" s="2" t="s">
        <v>2955</v>
      </c>
      <c r="B2044" s="9" t="s">
        <v>1410</v>
      </c>
      <c r="C2044" s="9" t="s">
        <v>10</v>
      </c>
      <c r="D2044" s="9" t="s">
        <v>11</v>
      </c>
      <c r="E2044" s="9">
        <v>100</v>
      </c>
      <c r="F2044" s="9">
        <v>6.5</v>
      </c>
      <c r="G2044" s="9">
        <v>22000000</v>
      </c>
      <c r="H2044" s="9">
        <v>19783777</v>
      </c>
      <c r="I2044" s="5">
        <f>IMDB_Movies!$H2044-IMDB_Movies!$G2044</f>
        <v>-2216223</v>
      </c>
    </row>
    <row r="2045" spans="1:9" ht="23">
      <c r="A2045" s="3" t="s">
        <v>2956</v>
      </c>
      <c r="B2045" s="10" t="s">
        <v>2957</v>
      </c>
      <c r="C2045" s="10" t="s">
        <v>24</v>
      </c>
      <c r="D2045" s="10" t="s">
        <v>11</v>
      </c>
      <c r="E2045" s="10">
        <v>95</v>
      </c>
      <c r="F2045" s="10">
        <v>5.7</v>
      </c>
      <c r="G2045" s="10">
        <v>22000000</v>
      </c>
      <c r="H2045" s="10">
        <v>13555988</v>
      </c>
      <c r="I2045" s="5">
        <f>IMDB_Movies!$H2045-IMDB_Movies!$G2045</f>
        <v>-8444012</v>
      </c>
    </row>
    <row r="2046" spans="1:9" ht="23">
      <c r="A2046" s="2" t="s">
        <v>2958</v>
      </c>
      <c r="B2046" s="9" t="s">
        <v>1124</v>
      </c>
      <c r="C2046" s="9" t="s">
        <v>138</v>
      </c>
      <c r="D2046" s="9" t="s">
        <v>11</v>
      </c>
      <c r="E2046" s="9">
        <v>107</v>
      </c>
      <c r="F2046" s="9">
        <v>6.7</v>
      </c>
      <c r="G2046" s="9">
        <v>22000000</v>
      </c>
      <c r="H2046" s="9">
        <v>12784713</v>
      </c>
      <c r="I2046" s="5">
        <f>IMDB_Movies!$H2046-IMDB_Movies!$G2046</f>
        <v>-9215287</v>
      </c>
    </row>
    <row r="2047" spans="1:9" ht="23">
      <c r="A2047" s="3" t="s">
        <v>2959</v>
      </c>
      <c r="B2047" s="10" t="s">
        <v>2960</v>
      </c>
      <c r="C2047" s="10" t="s">
        <v>10</v>
      </c>
      <c r="D2047" s="10" t="s">
        <v>11</v>
      </c>
      <c r="E2047" s="10">
        <v>104</v>
      </c>
      <c r="F2047" s="10">
        <v>3.9</v>
      </c>
      <c r="G2047" s="10">
        <v>23500000</v>
      </c>
      <c r="H2047" s="10">
        <v>10696210</v>
      </c>
      <c r="I2047" s="5">
        <f>IMDB_Movies!$H2047-IMDB_Movies!$G2047</f>
        <v>-12803790</v>
      </c>
    </row>
    <row r="2048" spans="1:9" ht="23">
      <c r="A2048" s="2" t="s">
        <v>2961</v>
      </c>
      <c r="B2048" s="9" t="s">
        <v>2962</v>
      </c>
      <c r="C2048" s="9" t="s">
        <v>10</v>
      </c>
      <c r="D2048" s="9" t="s">
        <v>11</v>
      </c>
      <c r="E2048" s="9">
        <v>104</v>
      </c>
      <c r="F2048" s="9">
        <v>4.0999999999999996</v>
      </c>
      <c r="G2048" s="9">
        <v>22000000</v>
      </c>
      <c r="H2048" s="9">
        <v>5974653</v>
      </c>
      <c r="I2048" s="5">
        <f>IMDB_Movies!$H2048-IMDB_Movies!$G2048</f>
        <v>-16025347</v>
      </c>
    </row>
    <row r="2049" spans="1:9" ht="23">
      <c r="A2049" s="3" t="s">
        <v>2963</v>
      </c>
      <c r="B2049" s="10" t="s">
        <v>2964</v>
      </c>
      <c r="C2049" s="10" t="s">
        <v>138</v>
      </c>
      <c r="D2049" s="10" t="s">
        <v>11</v>
      </c>
      <c r="E2049" s="10">
        <v>143</v>
      </c>
      <c r="F2049" s="10">
        <v>6.2</v>
      </c>
      <c r="G2049" s="10">
        <v>25000000</v>
      </c>
      <c r="H2049" s="10">
        <v>5000000</v>
      </c>
      <c r="I2049" s="5">
        <f>IMDB_Movies!$H2049-IMDB_Movies!$G2049</f>
        <v>-20000000</v>
      </c>
    </row>
    <row r="2050" spans="1:9" ht="23">
      <c r="A2050" s="2" t="s">
        <v>2965</v>
      </c>
      <c r="B2050" s="9" t="s">
        <v>2077</v>
      </c>
      <c r="C2050" s="9" t="s">
        <v>138</v>
      </c>
      <c r="D2050" s="9" t="s">
        <v>11</v>
      </c>
      <c r="E2050" s="9">
        <v>77</v>
      </c>
      <c r="F2050" s="9">
        <v>3.8</v>
      </c>
      <c r="G2050" s="9">
        <v>22000000</v>
      </c>
      <c r="H2050" s="9">
        <v>9694105</v>
      </c>
      <c r="I2050" s="5">
        <f>IMDB_Movies!$H2050-IMDB_Movies!$G2050</f>
        <v>-12305895</v>
      </c>
    </row>
    <row r="2051" spans="1:9" ht="23">
      <c r="A2051" s="3" t="s">
        <v>2966</v>
      </c>
      <c r="B2051" s="10" t="s">
        <v>2538</v>
      </c>
      <c r="C2051" s="10" t="s">
        <v>10</v>
      </c>
      <c r="D2051" s="10" t="s">
        <v>11</v>
      </c>
      <c r="E2051" s="10">
        <v>96</v>
      </c>
      <c r="F2051" s="10">
        <v>5.0999999999999996</v>
      </c>
      <c r="G2051" s="10">
        <v>25000000</v>
      </c>
      <c r="H2051" s="10">
        <v>16027866</v>
      </c>
      <c r="I2051" s="5">
        <f>IMDB_Movies!$H2051-IMDB_Movies!$G2051</f>
        <v>-8972134</v>
      </c>
    </row>
    <row r="2052" spans="1:9" ht="23">
      <c r="A2052" s="2" t="s">
        <v>2967</v>
      </c>
      <c r="B2052" s="9" t="s">
        <v>2968</v>
      </c>
      <c r="C2052" s="9" t="s">
        <v>56</v>
      </c>
      <c r="D2052" s="9" t="s">
        <v>11</v>
      </c>
      <c r="E2052" s="9">
        <v>114</v>
      </c>
      <c r="F2052" s="9">
        <v>6.4</v>
      </c>
      <c r="G2052" s="9">
        <v>20000000</v>
      </c>
      <c r="H2052" s="9">
        <v>4829497</v>
      </c>
      <c r="I2052" s="5">
        <f>IMDB_Movies!$H2052-IMDB_Movies!$G2052</f>
        <v>-15170503</v>
      </c>
    </row>
    <row r="2053" spans="1:9" ht="23">
      <c r="A2053" s="3" t="s">
        <v>2969</v>
      </c>
      <c r="B2053" s="10" t="s">
        <v>351</v>
      </c>
      <c r="C2053" s="10" t="s">
        <v>56</v>
      </c>
      <c r="D2053" s="10" t="s">
        <v>2970</v>
      </c>
      <c r="E2053" s="10">
        <v>145</v>
      </c>
      <c r="F2053" s="10">
        <v>7.8</v>
      </c>
      <c r="G2053" s="10">
        <v>21000000</v>
      </c>
      <c r="H2053" s="10">
        <v>4398392</v>
      </c>
      <c r="I2053" s="5">
        <f>IMDB_Movies!$H2053-IMDB_Movies!$G2053</f>
        <v>-16601608</v>
      </c>
    </row>
    <row r="2054" spans="1:9" ht="23">
      <c r="A2054" s="2" t="s">
        <v>2971</v>
      </c>
      <c r="B2054" s="9" t="s">
        <v>2972</v>
      </c>
      <c r="C2054" s="9" t="s">
        <v>56</v>
      </c>
      <c r="D2054" s="9" t="s">
        <v>394</v>
      </c>
      <c r="E2054" s="9">
        <v>116</v>
      </c>
      <c r="F2054" s="9">
        <v>7.8</v>
      </c>
      <c r="G2054" s="9">
        <v>22000000</v>
      </c>
      <c r="H2054" s="9">
        <v>1050445</v>
      </c>
      <c r="I2054" s="5">
        <f>IMDB_Movies!$H2054-IMDB_Movies!$G2054</f>
        <v>-20949555</v>
      </c>
    </row>
    <row r="2055" spans="1:9" ht="23">
      <c r="A2055" s="3" t="s">
        <v>2973</v>
      </c>
      <c r="B2055" s="10" t="s">
        <v>2974</v>
      </c>
      <c r="C2055" s="10" t="s">
        <v>10</v>
      </c>
      <c r="D2055" s="10" t="s">
        <v>11</v>
      </c>
      <c r="E2055" s="10">
        <v>100</v>
      </c>
      <c r="F2055" s="10">
        <v>6.1</v>
      </c>
      <c r="G2055" s="10">
        <v>2000000</v>
      </c>
      <c r="H2055" s="10">
        <v>13746550</v>
      </c>
      <c r="I2055" s="5">
        <f>IMDB_Movies!$H2055-IMDB_Movies!$G2055</f>
        <v>11746550</v>
      </c>
    </row>
    <row r="2056" spans="1:9" ht="23">
      <c r="A2056" s="2" t="s">
        <v>2975</v>
      </c>
      <c r="B2056" s="9" t="s">
        <v>2551</v>
      </c>
      <c r="C2056" s="9" t="s">
        <v>138</v>
      </c>
      <c r="D2056" s="9" t="s">
        <v>11</v>
      </c>
      <c r="E2056" s="9">
        <v>104</v>
      </c>
      <c r="F2056" s="9">
        <v>5.8</v>
      </c>
      <c r="G2056" s="9">
        <v>22000000</v>
      </c>
      <c r="H2056" s="9">
        <v>20668843</v>
      </c>
      <c r="I2056" s="5">
        <f>IMDB_Movies!$H2056-IMDB_Movies!$G2056</f>
        <v>-1331157</v>
      </c>
    </row>
    <row r="2057" spans="1:9" ht="23">
      <c r="A2057" s="3" t="s">
        <v>2976</v>
      </c>
      <c r="B2057" s="10" t="s">
        <v>2977</v>
      </c>
      <c r="C2057" s="10" t="s">
        <v>56</v>
      </c>
      <c r="D2057" s="10" t="s">
        <v>11</v>
      </c>
      <c r="E2057" s="10">
        <v>92</v>
      </c>
      <c r="F2057" s="10">
        <v>6.3</v>
      </c>
      <c r="G2057" s="10">
        <v>22000000</v>
      </c>
      <c r="H2057" s="10">
        <v>2963012</v>
      </c>
      <c r="I2057" s="5">
        <f>IMDB_Movies!$H2057-IMDB_Movies!$G2057</f>
        <v>-19036988</v>
      </c>
    </row>
    <row r="2058" spans="1:9" ht="23">
      <c r="A2058" s="2" t="s">
        <v>2978</v>
      </c>
      <c r="B2058" s="9" t="s">
        <v>1278</v>
      </c>
      <c r="C2058" s="9" t="s">
        <v>24</v>
      </c>
      <c r="D2058" s="9" t="s">
        <v>11</v>
      </c>
      <c r="E2058" s="9">
        <v>92</v>
      </c>
      <c r="F2058" s="9">
        <v>7.7</v>
      </c>
      <c r="G2058" s="9">
        <v>12000000</v>
      </c>
      <c r="H2058" s="9">
        <v>25078937</v>
      </c>
      <c r="I2058" s="5">
        <f>IMDB_Movies!$H2058-IMDB_Movies!$G2058</f>
        <v>13078937</v>
      </c>
    </row>
    <row r="2059" spans="1:9" ht="23">
      <c r="A2059" s="3" t="s">
        <v>2979</v>
      </c>
      <c r="B2059" s="10" t="s">
        <v>2980</v>
      </c>
      <c r="C2059" s="10" t="s">
        <v>56</v>
      </c>
      <c r="D2059" s="10" t="s">
        <v>11</v>
      </c>
      <c r="E2059" s="10">
        <v>105</v>
      </c>
      <c r="F2059" s="10">
        <v>5.4</v>
      </c>
      <c r="G2059" s="10">
        <v>22000000</v>
      </c>
      <c r="H2059" s="10">
        <v>1796024</v>
      </c>
      <c r="I2059" s="5">
        <f>IMDB_Movies!$H2059-IMDB_Movies!$G2059</f>
        <v>-20203976</v>
      </c>
    </row>
    <row r="2060" spans="1:9" ht="23">
      <c r="A2060" s="2" t="s">
        <v>2981</v>
      </c>
      <c r="B2060" s="9" t="s">
        <v>2447</v>
      </c>
      <c r="C2060" s="9" t="s">
        <v>138</v>
      </c>
      <c r="D2060" s="9" t="s">
        <v>394</v>
      </c>
      <c r="E2060" s="9">
        <v>120</v>
      </c>
      <c r="F2060" s="9">
        <v>7.3</v>
      </c>
      <c r="G2060" s="9">
        <v>16000000</v>
      </c>
      <c r="H2060" s="9">
        <v>634277</v>
      </c>
      <c r="I2060" s="5">
        <f>IMDB_Movies!$H2060-IMDB_Movies!$G2060</f>
        <v>-15365723</v>
      </c>
    </row>
    <row r="2061" spans="1:9" ht="23">
      <c r="A2061" s="3" t="s">
        <v>2982</v>
      </c>
      <c r="B2061" s="10" t="s">
        <v>1323</v>
      </c>
      <c r="C2061" s="10" t="s">
        <v>414</v>
      </c>
      <c r="D2061" s="10" t="s">
        <v>11</v>
      </c>
      <c r="E2061" s="10">
        <v>116</v>
      </c>
      <c r="F2061" s="10">
        <v>6.8</v>
      </c>
      <c r="G2061" s="10">
        <v>22000000</v>
      </c>
      <c r="H2061" s="10">
        <v>11326836</v>
      </c>
      <c r="I2061" s="5">
        <f>IMDB_Movies!$H2061-IMDB_Movies!$G2061</f>
        <v>-10673164</v>
      </c>
    </row>
    <row r="2062" spans="1:9" ht="23">
      <c r="A2062" s="2" t="s">
        <v>2983</v>
      </c>
      <c r="B2062" s="9" t="s">
        <v>355</v>
      </c>
      <c r="C2062" s="9" t="s">
        <v>414</v>
      </c>
      <c r="D2062" s="9" t="s">
        <v>11</v>
      </c>
      <c r="E2062" s="9">
        <v>119</v>
      </c>
      <c r="F2062" s="9">
        <v>7.3</v>
      </c>
      <c r="G2062" s="9">
        <v>25000000</v>
      </c>
      <c r="H2062" s="9">
        <v>49024969</v>
      </c>
      <c r="I2062" s="5">
        <f>IMDB_Movies!$H2062-IMDB_Movies!$G2062</f>
        <v>24024969</v>
      </c>
    </row>
    <row r="2063" spans="1:9" ht="23">
      <c r="A2063" s="3" t="s">
        <v>2984</v>
      </c>
      <c r="B2063" s="10" t="s">
        <v>662</v>
      </c>
      <c r="C2063" s="10" t="s">
        <v>24</v>
      </c>
      <c r="D2063" s="10" t="s">
        <v>11</v>
      </c>
      <c r="E2063" s="10">
        <v>101</v>
      </c>
      <c r="F2063" s="10">
        <v>6.5</v>
      </c>
      <c r="G2063" s="10">
        <v>21500000</v>
      </c>
      <c r="H2063" s="10">
        <v>22294341</v>
      </c>
      <c r="I2063" s="5">
        <f>IMDB_Movies!$H2063-IMDB_Movies!$G2063</f>
        <v>794341</v>
      </c>
    </row>
    <row r="2064" spans="1:9" ht="23">
      <c r="A2064" s="2" t="s">
        <v>2985</v>
      </c>
      <c r="B2064" s="9" t="s">
        <v>1688</v>
      </c>
      <c r="C2064" s="9" t="s">
        <v>414</v>
      </c>
      <c r="D2064" s="9" t="s">
        <v>11</v>
      </c>
      <c r="E2064" s="9">
        <v>117</v>
      </c>
      <c r="F2064" s="9">
        <v>7.2</v>
      </c>
      <c r="G2064" s="9">
        <v>21500000</v>
      </c>
      <c r="H2064" s="9">
        <v>24362501</v>
      </c>
      <c r="I2064" s="5">
        <f>IMDB_Movies!$H2064-IMDB_Movies!$G2064</f>
        <v>2862501</v>
      </c>
    </row>
    <row r="2065" spans="1:9" ht="23">
      <c r="A2065" s="3" t="s">
        <v>2986</v>
      </c>
      <c r="B2065" s="10" t="s">
        <v>2987</v>
      </c>
      <c r="C2065" s="10" t="s">
        <v>24</v>
      </c>
      <c r="D2065" s="10" t="s">
        <v>741</v>
      </c>
      <c r="E2065" s="10">
        <v>106</v>
      </c>
      <c r="F2065" s="10">
        <v>6.7</v>
      </c>
      <c r="G2065" s="10">
        <v>22000000</v>
      </c>
      <c r="H2065" s="10">
        <v>25078937</v>
      </c>
      <c r="I2065" s="5">
        <f>IMDB_Movies!$H2065-IMDB_Movies!$G2065</f>
        <v>3078937</v>
      </c>
    </row>
    <row r="2066" spans="1:9" ht="23">
      <c r="A2066" s="2" t="s">
        <v>2988</v>
      </c>
      <c r="B2066" s="9" t="s">
        <v>2304</v>
      </c>
      <c r="C2066" s="9" t="s">
        <v>138</v>
      </c>
      <c r="D2066" s="9" t="s">
        <v>11</v>
      </c>
      <c r="E2066" s="9">
        <v>112</v>
      </c>
      <c r="F2066" s="9">
        <v>6.3</v>
      </c>
      <c r="G2066" s="9">
        <v>17000000</v>
      </c>
      <c r="H2066" s="9">
        <v>16684352</v>
      </c>
      <c r="I2066" s="5">
        <f>IMDB_Movies!$H2066-IMDB_Movies!$G2066</f>
        <v>-315648</v>
      </c>
    </row>
    <row r="2067" spans="1:9" ht="23">
      <c r="A2067" s="3" t="s">
        <v>2989</v>
      </c>
      <c r="B2067" s="10" t="s">
        <v>992</v>
      </c>
      <c r="C2067" s="10" t="s">
        <v>10</v>
      </c>
      <c r="D2067" s="10" t="s">
        <v>11</v>
      </c>
      <c r="E2067" s="10">
        <v>136</v>
      </c>
      <c r="F2067" s="10">
        <v>5.9</v>
      </c>
      <c r="G2067" s="10">
        <v>21000000</v>
      </c>
      <c r="H2067" s="10">
        <v>46700000</v>
      </c>
      <c r="I2067" s="5">
        <f>IMDB_Movies!$H2067-IMDB_Movies!$G2067</f>
        <v>25700000</v>
      </c>
    </row>
    <row r="2068" spans="1:9" ht="23">
      <c r="A2068" s="2" t="s">
        <v>2990</v>
      </c>
      <c r="B2068" s="9" t="s">
        <v>2991</v>
      </c>
      <c r="C2068" s="9" t="s">
        <v>116</v>
      </c>
      <c r="D2068" s="9" t="s">
        <v>11</v>
      </c>
      <c r="E2068" s="9">
        <v>81</v>
      </c>
      <c r="F2068" s="9">
        <v>7.8</v>
      </c>
      <c r="G2068" s="9">
        <v>21000000</v>
      </c>
      <c r="H2068" s="9">
        <v>52008288</v>
      </c>
      <c r="I2068" s="5">
        <f>IMDB_Movies!$H2068-IMDB_Movies!$G2068</f>
        <v>31008288</v>
      </c>
    </row>
    <row r="2069" spans="1:9" ht="23">
      <c r="A2069" s="3" t="s">
        <v>2992</v>
      </c>
      <c r="B2069" s="10" t="s">
        <v>525</v>
      </c>
      <c r="C2069" s="10" t="s">
        <v>138</v>
      </c>
      <c r="D2069" s="10" t="s">
        <v>11</v>
      </c>
      <c r="E2069" s="10">
        <v>87</v>
      </c>
      <c r="F2069" s="10">
        <v>7.4</v>
      </c>
      <c r="G2069" s="10">
        <v>9000000</v>
      </c>
      <c r="H2069" s="10">
        <v>8579684</v>
      </c>
      <c r="I2069" s="5">
        <f>IMDB_Movies!$H2069-IMDB_Movies!$G2069</f>
        <v>-420316</v>
      </c>
    </row>
    <row r="2070" spans="1:9" ht="23">
      <c r="A2070" s="2" t="s">
        <v>2993</v>
      </c>
      <c r="B2070" s="9" t="s">
        <v>2994</v>
      </c>
      <c r="C2070" s="9" t="s">
        <v>10</v>
      </c>
      <c r="D2070" s="9" t="s">
        <v>11</v>
      </c>
      <c r="E2070" s="9">
        <v>96</v>
      </c>
      <c r="F2070" s="9">
        <v>4.8</v>
      </c>
      <c r="G2070" s="9">
        <v>17000000</v>
      </c>
      <c r="H2070" s="9">
        <v>42660000</v>
      </c>
      <c r="I2070" s="5">
        <f>IMDB_Movies!$H2070-IMDB_Movies!$G2070</f>
        <v>25660000</v>
      </c>
    </row>
    <row r="2071" spans="1:9" ht="23">
      <c r="A2071" s="3" t="s">
        <v>2995</v>
      </c>
      <c r="B2071" s="10" t="s">
        <v>1103</v>
      </c>
      <c r="C2071" s="10" t="s">
        <v>56</v>
      </c>
      <c r="D2071" s="10" t="s">
        <v>11</v>
      </c>
      <c r="E2071" s="10">
        <v>106</v>
      </c>
      <c r="F2071" s="10">
        <v>6.3</v>
      </c>
      <c r="G2071" s="10">
        <v>21000000</v>
      </c>
      <c r="H2071" s="10">
        <v>40219708</v>
      </c>
      <c r="I2071" s="5">
        <f>IMDB_Movies!$H2071-IMDB_Movies!$G2071</f>
        <v>19219708</v>
      </c>
    </row>
    <row r="2072" spans="1:9" ht="23">
      <c r="A2072" s="2" t="s">
        <v>2996</v>
      </c>
      <c r="B2072" s="9" t="s">
        <v>1124</v>
      </c>
      <c r="C2072" s="9" t="s">
        <v>138</v>
      </c>
      <c r="D2072" s="9" t="s">
        <v>11</v>
      </c>
      <c r="E2072" s="9">
        <v>122</v>
      </c>
      <c r="F2072" s="9">
        <v>7.8</v>
      </c>
      <c r="G2072" s="9">
        <v>21000000</v>
      </c>
      <c r="H2072" s="9">
        <v>132088910</v>
      </c>
      <c r="I2072" s="5">
        <f>IMDB_Movies!$H2072-IMDB_Movies!$G2072</f>
        <v>111088910</v>
      </c>
    </row>
    <row r="2073" spans="1:9" ht="23">
      <c r="A2073" s="3" t="s">
        <v>2997</v>
      </c>
      <c r="B2073" s="10" t="s">
        <v>1497</v>
      </c>
      <c r="C2073" s="10" t="s">
        <v>418</v>
      </c>
      <c r="D2073" s="10" t="s">
        <v>11</v>
      </c>
      <c r="E2073" s="10">
        <v>123</v>
      </c>
      <c r="F2073" s="10">
        <v>7.5</v>
      </c>
      <c r="G2073" s="10">
        <v>21000000</v>
      </c>
      <c r="H2073" s="10">
        <v>36581633</v>
      </c>
      <c r="I2073" s="5">
        <f>IMDB_Movies!$H2073-IMDB_Movies!$G2073</f>
        <v>15581633</v>
      </c>
    </row>
    <row r="2074" spans="1:9" ht="23">
      <c r="A2074" s="2" t="s">
        <v>2998</v>
      </c>
      <c r="B2074" s="9" t="s">
        <v>2669</v>
      </c>
      <c r="C2074" s="9" t="s">
        <v>56</v>
      </c>
      <c r="D2074" s="9" t="s">
        <v>11</v>
      </c>
      <c r="E2074" s="9">
        <v>133</v>
      </c>
      <c r="F2074" s="9">
        <v>6</v>
      </c>
      <c r="G2074" s="9">
        <v>20000000</v>
      </c>
      <c r="H2074" s="9">
        <v>37721949</v>
      </c>
      <c r="I2074" s="5">
        <f>IMDB_Movies!$H2074-IMDB_Movies!$G2074</f>
        <v>17721949</v>
      </c>
    </row>
    <row r="2075" spans="1:9" ht="23">
      <c r="A2075" s="3" t="s">
        <v>2999</v>
      </c>
      <c r="B2075" s="10" t="s">
        <v>302</v>
      </c>
      <c r="C2075" s="10" t="s">
        <v>10</v>
      </c>
      <c r="D2075" s="10" t="s">
        <v>11</v>
      </c>
      <c r="E2075" s="10">
        <v>92</v>
      </c>
      <c r="F2075" s="10">
        <v>6.8</v>
      </c>
      <c r="G2075" s="10">
        <v>21000000</v>
      </c>
      <c r="H2075" s="10">
        <v>25296447</v>
      </c>
      <c r="I2075" s="5">
        <f>IMDB_Movies!$H2075-IMDB_Movies!$G2075</f>
        <v>4296447</v>
      </c>
    </row>
    <row r="2076" spans="1:9" ht="23">
      <c r="A2076" s="2" t="s">
        <v>3000</v>
      </c>
      <c r="B2076" s="9" t="s">
        <v>2534</v>
      </c>
      <c r="C2076" s="9" t="s">
        <v>10</v>
      </c>
      <c r="D2076" s="9" t="s">
        <v>11</v>
      </c>
      <c r="E2076" s="9">
        <v>110</v>
      </c>
      <c r="F2076" s="9">
        <v>6.6</v>
      </c>
      <c r="G2076" s="9">
        <v>20000000</v>
      </c>
      <c r="H2076" s="9">
        <v>24848292</v>
      </c>
      <c r="I2076" s="5">
        <f>IMDB_Movies!$H2076-IMDB_Movies!$G2076</f>
        <v>4848292</v>
      </c>
    </row>
    <row r="2077" spans="1:9" ht="23">
      <c r="A2077" s="3" t="s">
        <v>3001</v>
      </c>
      <c r="B2077" s="10" t="s">
        <v>3002</v>
      </c>
      <c r="C2077" s="10" t="s">
        <v>810</v>
      </c>
      <c r="D2077" s="10" t="s">
        <v>11</v>
      </c>
      <c r="E2077" s="10">
        <v>104</v>
      </c>
      <c r="F2077" s="10">
        <v>4.5999999999999996</v>
      </c>
      <c r="G2077" s="10">
        <v>21000000</v>
      </c>
      <c r="H2077" s="10">
        <v>17757087</v>
      </c>
      <c r="I2077" s="5">
        <f>IMDB_Movies!$H2077-IMDB_Movies!$G2077</f>
        <v>-3242913</v>
      </c>
    </row>
    <row r="2078" spans="1:9" ht="23">
      <c r="A2078" s="2" t="s">
        <v>3003</v>
      </c>
      <c r="B2078" s="9" t="s">
        <v>15</v>
      </c>
      <c r="C2078" s="9" t="s">
        <v>138</v>
      </c>
      <c r="D2078" s="9" t="s">
        <v>11</v>
      </c>
      <c r="E2078" s="9">
        <v>98</v>
      </c>
      <c r="F2078" s="9">
        <v>7.1</v>
      </c>
      <c r="G2078" s="9">
        <v>17000000</v>
      </c>
      <c r="H2078" s="9">
        <v>9430988</v>
      </c>
      <c r="I2078" s="5">
        <f>IMDB_Movies!$H2078-IMDB_Movies!$G2078</f>
        <v>-7569012</v>
      </c>
    </row>
    <row r="2079" spans="1:9" ht="23">
      <c r="A2079" s="3" t="s">
        <v>3004</v>
      </c>
      <c r="B2079" s="10" t="s">
        <v>3005</v>
      </c>
      <c r="C2079" s="10" t="s">
        <v>138</v>
      </c>
      <c r="D2079" s="10" t="s">
        <v>11</v>
      </c>
      <c r="E2079" s="10">
        <v>120</v>
      </c>
      <c r="F2079" s="10">
        <v>6.1</v>
      </c>
      <c r="G2079" s="10">
        <v>21000000</v>
      </c>
      <c r="H2079" s="10">
        <v>16284360</v>
      </c>
      <c r="I2079" s="5">
        <f>IMDB_Movies!$H2079-IMDB_Movies!$G2079</f>
        <v>-4715640</v>
      </c>
    </row>
    <row r="2080" spans="1:9" ht="23">
      <c r="A2080" s="2" t="s">
        <v>3006</v>
      </c>
      <c r="B2080" s="9" t="s">
        <v>502</v>
      </c>
      <c r="C2080" s="9" t="s">
        <v>56</v>
      </c>
      <c r="D2080" s="9" t="s">
        <v>11</v>
      </c>
      <c r="E2080" s="9">
        <v>112</v>
      </c>
      <c r="F2080" s="9">
        <v>6.7</v>
      </c>
      <c r="G2080" s="9">
        <v>21000000</v>
      </c>
      <c r="H2080" s="9">
        <v>6830957</v>
      </c>
      <c r="I2080" s="5">
        <f>IMDB_Movies!$H2080-IMDB_Movies!$G2080</f>
        <v>-14169043</v>
      </c>
    </row>
    <row r="2081" spans="1:9" ht="23">
      <c r="A2081" s="3" t="s">
        <v>3007</v>
      </c>
      <c r="B2081" s="10" t="s">
        <v>3008</v>
      </c>
      <c r="C2081" s="10" t="s">
        <v>56</v>
      </c>
      <c r="D2081" s="10" t="s">
        <v>11</v>
      </c>
      <c r="E2081" s="10">
        <v>127</v>
      </c>
      <c r="F2081" s="10">
        <v>7.1</v>
      </c>
      <c r="G2081" s="10">
        <v>20000000</v>
      </c>
      <c r="H2081" s="10">
        <v>24104113</v>
      </c>
      <c r="I2081" s="5">
        <f>IMDB_Movies!$H2081-IMDB_Movies!$G2081</f>
        <v>4104113</v>
      </c>
    </row>
    <row r="2082" spans="1:9" ht="23">
      <c r="A2082" s="2" t="s">
        <v>3009</v>
      </c>
      <c r="B2082" s="9" t="s">
        <v>3010</v>
      </c>
      <c r="C2082" s="9" t="s">
        <v>138</v>
      </c>
      <c r="D2082" s="9" t="s">
        <v>11</v>
      </c>
      <c r="E2082" s="9">
        <v>102</v>
      </c>
      <c r="F2082" s="9">
        <v>5.8</v>
      </c>
      <c r="G2082" s="9">
        <v>21000000</v>
      </c>
      <c r="H2082" s="9">
        <v>15593</v>
      </c>
      <c r="I2082" s="5">
        <f>IMDB_Movies!$H2082-IMDB_Movies!$G2082</f>
        <v>-20984407</v>
      </c>
    </row>
    <row r="2083" spans="1:9" ht="23">
      <c r="A2083" s="3" t="s">
        <v>3011</v>
      </c>
      <c r="B2083" s="10" t="s">
        <v>2579</v>
      </c>
      <c r="C2083" s="10" t="s">
        <v>56</v>
      </c>
      <c r="D2083" s="10" t="s">
        <v>11</v>
      </c>
      <c r="E2083" s="10">
        <v>91</v>
      </c>
      <c r="F2083" s="10">
        <v>6.7</v>
      </c>
      <c r="G2083" s="10">
        <v>21000000</v>
      </c>
      <c r="H2083" s="10">
        <v>958319</v>
      </c>
      <c r="I2083" s="5">
        <f>IMDB_Movies!$H2083-IMDB_Movies!$G2083</f>
        <v>-20041681</v>
      </c>
    </row>
    <row r="2084" spans="1:9" ht="23">
      <c r="A2084" s="2" t="s">
        <v>3012</v>
      </c>
      <c r="B2084" s="9" t="s">
        <v>3013</v>
      </c>
      <c r="C2084" s="9" t="s">
        <v>138</v>
      </c>
      <c r="D2084" s="9" t="s">
        <v>11</v>
      </c>
      <c r="E2084" s="9">
        <v>114</v>
      </c>
      <c r="F2084" s="9">
        <v>5.8</v>
      </c>
      <c r="G2084" s="9">
        <v>35000000</v>
      </c>
      <c r="H2084" s="9">
        <v>69700000</v>
      </c>
      <c r="I2084" s="5">
        <f>IMDB_Movies!$H2084-IMDB_Movies!$G2084</f>
        <v>34700000</v>
      </c>
    </row>
    <row r="2085" spans="1:9" ht="23">
      <c r="A2085" s="3" t="s">
        <v>3014</v>
      </c>
      <c r="B2085" s="10" t="s">
        <v>1479</v>
      </c>
      <c r="C2085" s="10" t="s">
        <v>810</v>
      </c>
      <c r="D2085" s="10" t="s">
        <v>11</v>
      </c>
      <c r="E2085" s="10">
        <v>115</v>
      </c>
      <c r="F2085" s="10">
        <v>6.8</v>
      </c>
      <c r="G2085" s="10">
        <v>31000000</v>
      </c>
      <c r="H2085" s="10">
        <v>2840417</v>
      </c>
      <c r="I2085" s="5">
        <f>IMDB_Movies!$H2085-IMDB_Movies!$G2085</f>
        <v>-28159583</v>
      </c>
    </row>
    <row r="2086" spans="1:9" ht="23">
      <c r="A2086" s="2" t="s">
        <v>3015</v>
      </c>
      <c r="B2086" s="9" t="s">
        <v>103</v>
      </c>
      <c r="C2086" s="9" t="s">
        <v>10</v>
      </c>
      <c r="D2086" s="9" t="s">
        <v>11</v>
      </c>
      <c r="E2086" s="9">
        <v>115</v>
      </c>
      <c r="F2086" s="9">
        <v>8.5</v>
      </c>
      <c r="G2086" s="9">
        <v>18000000</v>
      </c>
      <c r="H2086" s="9">
        <v>242374454</v>
      </c>
      <c r="I2086" s="5">
        <f>IMDB_Movies!$H2086-IMDB_Movies!$G2086</f>
        <v>224374454</v>
      </c>
    </row>
    <row r="2087" spans="1:9" ht="23">
      <c r="A2087" s="3" t="s">
        <v>3016</v>
      </c>
      <c r="B2087" s="10" t="s">
        <v>337</v>
      </c>
      <c r="C2087" s="10" t="s">
        <v>24</v>
      </c>
      <c r="D2087" s="10" t="s">
        <v>11</v>
      </c>
      <c r="E2087" s="10">
        <v>120</v>
      </c>
      <c r="F2087" s="10">
        <v>6.6</v>
      </c>
      <c r="G2087" s="10">
        <v>18000000</v>
      </c>
      <c r="H2087" s="10">
        <v>173585516</v>
      </c>
      <c r="I2087" s="5">
        <f>IMDB_Movies!$H2087-IMDB_Movies!$G2087</f>
        <v>155585516</v>
      </c>
    </row>
    <row r="2088" spans="1:9" ht="23">
      <c r="A2088" s="2" t="s">
        <v>3017</v>
      </c>
      <c r="B2088" s="9" t="s">
        <v>103</v>
      </c>
      <c r="C2088" s="9" t="s">
        <v>56</v>
      </c>
      <c r="D2088" s="9" t="s">
        <v>11</v>
      </c>
      <c r="E2088" s="9">
        <v>135</v>
      </c>
      <c r="F2088" s="9">
        <v>7.7</v>
      </c>
      <c r="G2088" s="9">
        <v>19400870</v>
      </c>
      <c r="H2088" s="9">
        <v>128300000</v>
      </c>
      <c r="I2088" s="5">
        <f>IMDB_Movies!$H2088-IMDB_Movies!$G2088</f>
        <v>108899130</v>
      </c>
    </row>
    <row r="2089" spans="1:9" ht="23">
      <c r="A2089" s="3" t="s">
        <v>3018</v>
      </c>
      <c r="B2089" s="10" t="s">
        <v>3019</v>
      </c>
      <c r="C2089" s="10" t="s">
        <v>56</v>
      </c>
      <c r="D2089" s="10" t="s">
        <v>11</v>
      </c>
      <c r="E2089" s="10">
        <v>90</v>
      </c>
      <c r="F2089" s="10">
        <v>4.7</v>
      </c>
      <c r="G2089" s="10">
        <v>20000000</v>
      </c>
      <c r="H2089" s="10">
        <v>20259297</v>
      </c>
      <c r="I2089" s="5">
        <f>IMDB_Movies!$H2089-IMDB_Movies!$G2089</f>
        <v>259297</v>
      </c>
    </row>
    <row r="2090" spans="1:9" ht="23">
      <c r="A2090" s="2" t="s">
        <v>3020</v>
      </c>
      <c r="B2090" s="9" t="s">
        <v>464</v>
      </c>
      <c r="C2090" s="9" t="s">
        <v>10</v>
      </c>
      <c r="D2090" s="9" t="s">
        <v>11</v>
      </c>
      <c r="E2090" s="9">
        <v>100</v>
      </c>
      <c r="F2090" s="9">
        <v>6.4</v>
      </c>
      <c r="G2090" s="9">
        <v>28000000</v>
      </c>
      <c r="H2090" s="9">
        <v>153665036</v>
      </c>
      <c r="I2090" s="5">
        <f>IMDB_Movies!$H2090-IMDB_Movies!$G2090</f>
        <v>125665036</v>
      </c>
    </row>
    <row r="2091" spans="1:9" ht="23">
      <c r="A2091" s="3" t="s">
        <v>3021</v>
      </c>
      <c r="B2091" s="10" t="s">
        <v>700</v>
      </c>
      <c r="C2091" s="10" t="s">
        <v>138</v>
      </c>
      <c r="D2091" s="10" t="s">
        <v>11</v>
      </c>
      <c r="E2091" s="10">
        <v>105</v>
      </c>
      <c r="F2091" s="10">
        <v>5.5</v>
      </c>
      <c r="G2091" s="10">
        <v>33000000</v>
      </c>
      <c r="H2091" s="10">
        <v>132541238</v>
      </c>
      <c r="I2091" s="5">
        <f>IMDB_Movies!$H2091-IMDB_Movies!$G2091</f>
        <v>99541238</v>
      </c>
    </row>
    <row r="2092" spans="1:9" ht="23">
      <c r="A2092" s="2" t="s">
        <v>3022</v>
      </c>
      <c r="B2092" s="9" t="s">
        <v>731</v>
      </c>
      <c r="C2092" s="9" t="s">
        <v>414</v>
      </c>
      <c r="D2092" s="9" t="s">
        <v>11</v>
      </c>
      <c r="E2092" s="9">
        <v>138</v>
      </c>
      <c r="F2092" s="9">
        <v>8.6</v>
      </c>
      <c r="G2092" s="9">
        <v>19000000</v>
      </c>
      <c r="H2092" s="9">
        <v>130727000</v>
      </c>
      <c r="I2092" s="5">
        <f>IMDB_Movies!$H2092-IMDB_Movies!$G2092</f>
        <v>111727000</v>
      </c>
    </row>
    <row r="2093" spans="1:9" ht="23">
      <c r="A2093" s="3" t="s">
        <v>3023</v>
      </c>
      <c r="B2093" s="10" t="s">
        <v>3024</v>
      </c>
      <c r="C2093" s="10" t="s">
        <v>138</v>
      </c>
      <c r="D2093" s="10" t="s">
        <v>11</v>
      </c>
      <c r="E2093" s="10">
        <v>94</v>
      </c>
      <c r="F2093" s="10">
        <v>7</v>
      </c>
      <c r="G2093" s="10">
        <v>20000000</v>
      </c>
      <c r="H2093" s="10">
        <v>121697350</v>
      </c>
      <c r="I2093" s="5">
        <f>IMDB_Movies!$H2093-IMDB_Movies!$G2093</f>
        <v>101697350</v>
      </c>
    </row>
    <row r="2094" spans="1:9" ht="23">
      <c r="A2094" s="2" t="s">
        <v>3025</v>
      </c>
      <c r="B2094" s="9" t="s">
        <v>3026</v>
      </c>
      <c r="C2094" s="9" t="s">
        <v>10</v>
      </c>
      <c r="D2094" s="9" t="s">
        <v>11</v>
      </c>
      <c r="E2094" s="9">
        <v>101</v>
      </c>
      <c r="F2094" s="9">
        <v>7.1</v>
      </c>
      <c r="G2094" s="9">
        <v>20000000</v>
      </c>
      <c r="H2094" s="9">
        <v>117224271</v>
      </c>
      <c r="I2094" s="5">
        <f>IMDB_Movies!$H2094-IMDB_Movies!$G2094</f>
        <v>97224271</v>
      </c>
    </row>
    <row r="2095" spans="1:9" ht="23">
      <c r="A2095" s="3" t="s">
        <v>3027</v>
      </c>
      <c r="B2095" s="10" t="s">
        <v>3028</v>
      </c>
      <c r="C2095" s="10" t="s">
        <v>24</v>
      </c>
      <c r="D2095" s="10" t="s">
        <v>11</v>
      </c>
      <c r="E2095" s="10">
        <v>131</v>
      </c>
      <c r="F2095" s="10">
        <v>5.7</v>
      </c>
      <c r="G2095" s="10">
        <v>20000000</v>
      </c>
      <c r="H2095" s="10">
        <v>102922376</v>
      </c>
      <c r="I2095" s="5">
        <f>IMDB_Movies!$H2095-IMDB_Movies!$G2095</f>
        <v>82922376</v>
      </c>
    </row>
    <row r="2096" spans="1:9" ht="23">
      <c r="A2096" s="2" t="s">
        <v>3029</v>
      </c>
      <c r="B2096" s="9" t="s">
        <v>425</v>
      </c>
      <c r="C2096" s="9" t="s">
        <v>24</v>
      </c>
      <c r="D2096" s="9" t="s">
        <v>11</v>
      </c>
      <c r="E2096" s="9">
        <v>91</v>
      </c>
      <c r="F2096" s="9">
        <v>3.7</v>
      </c>
      <c r="G2096" s="9">
        <v>20000000</v>
      </c>
      <c r="H2096" s="9">
        <v>94497271</v>
      </c>
      <c r="I2096" s="5">
        <f>IMDB_Movies!$H2096-IMDB_Movies!$G2096</f>
        <v>74497271</v>
      </c>
    </row>
    <row r="2097" spans="1:9" ht="23">
      <c r="A2097" s="3" t="s">
        <v>3030</v>
      </c>
      <c r="B2097" s="10" t="s">
        <v>89</v>
      </c>
      <c r="C2097" s="10" t="s">
        <v>810</v>
      </c>
      <c r="D2097" s="10" t="s">
        <v>11</v>
      </c>
      <c r="E2097" s="10">
        <v>112</v>
      </c>
      <c r="F2097" s="10">
        <v>7.5</v>
      </c>
      <c r="G2097" s="10">
        <v>20000000</v>
      </c>
      <c r="H2097" s="10">
        <v>137387272</v>
      </c>
      <c r="I2097" s="5">
        <f>IMDB_Movies!$H2097-IMDB_Movies!$G2097</f>
        <v>117387272</v>
      </c>
    </row>
    <row r="2098" spans="1:9" ht="23">
      <c r="A2098" s="2" t="s">
        <v>3031</v>
      </c>
      <c r="B2098" s="9" t="s">
        <v>1106</v>
      </c>
      <c r="C2098" s="9" t="s">
        <v>24</v>
      </c>
      <c r="D2098" s="9" t="s">
        <v>11</v>
      </c>
      <c r="E2098" s="9">
        <v>95</v>
      </c>
      <c r="F2098" s="9">
        <v>4.5999999999999996</v>
      </c>
      <c r="G2098" s="9">
        <v>32000000</v>
      </c>
      <c r="H2098" s="9">
        <v>82301521</v>
      </c>
      <c r="I2098" s="5">
        <f>IMDB_Movies!$H2098-IMDB_Movies!$G2098</f>
        <v>50301521</v>
      </c>
    </row>
    <row r="2099" spans="1:9" ht="23">
      <c r="A2099" s="3" t="s">
        <v>3032</v>
      </c>
      <c r="B2099" s="10" t="s">
        <v>2474</v>
      </c>
      <c r="C2099" s="10" t="s">
        <v>138</v>
      </c>
      <c r="D2099" s="10" t="s">
        <v>11</v>
      </c>
      <c r="E2099" s="10">
        <v>100</v>
      </c>
      <c r="F2099" s="10">
        <v>4.9000000000000004</v>
      </c>
      <c r="G2099" s="10">
        <v>20000000</v>
      </c>
      <c r="H2099" s="10">
        <v>84518155</v>
      </c>
      <c r="I2099" s="5">
        <f>IMDB_Movies!$H2099-IMDB_Movies!$G2099</f>
        <v>64518155</v>
      </c>
    </row>
    <row r="2100" spans="1:9" ht="23">
      <c r="A2100" s="2" t="s">
        <v>3033</v>
      </c>
      <c r="B2100" s="9" t="s">
        <v>2571</v>
      </c>
      <c r="C2100" s="9" t="s">
        <v>138</v>
      </c>
      <c r="D2100" s="9" t="s">
        <v>11</v>
      </c>
      <c r="E2100" s="9">
        <v>108</v>
      </c>
      <c r="F2100" s="9">
        <v>7.1</v>
      </c>
      <c r="G2100" s="9">
        <v>35000000</v>
      </c>
      <c r="H2100" s="9">
        <v>81257845</v>
      </c>
      <c r="I2100" s="5">
        <f>IMDB_Movies!$H2100-IMDB_Movies!$G2100</f>
        <v>46257845</v>
      </c>
    </row>
    <row r="2101" spans="1:9" ht="23">
      <c r="A2101" s="3" t="s">
        <v>3034</v>
      </c>
      <c r="B2101" s="10" t="s">
        <v>623</v>
      </c>
      <c r="C2101" s="10" t="s">
        <v>10</v>
      </c>
      <c r="D2101" s="10" t="s">
        <v>11</v>
      </c>
      <c r="E2101" s="10">
        <v>101</v>
      </c>
      <c r="F2101" s="10">
        <v>5.8</v>
      </c>
      <c r="G2101" s="10">
        <v>18000000</v>
      </c>
      <c r="H2101" s="10">
        <v>70360285</v>
      </c>
      <c r="I2101" s="5">
        <f>IMDB_Movies!$H2101-IMDB_Movies!$G2101</f>
        <v>52360285</v>
      </c>
    </row>
    <row r="2102" spans="1:9" ht="23">
      <c r="A2102" s="2" t="s">
        <v>3035</v>
      </c>
      <c r="B2102" s="9" t="s">
        <v>1041</v>
      </c>
      <c r="C2102" s="9" t="s">
        <v>138</v>
      </c>
      <c r="D2102" s="9" t="s">
        <v>11</v>
      </c>
      <c r="E2102" s="9">
        <v>109</v>
      </c>
      <c r="F2102" s="9">
        <v>5.4</v>
      </c>
      <c r="G2102" s="9">
        <v>37000000</v>
      </c>
      <c r="H2102" s="9">
        <v>69148997</v>
      </c>
      <c r="I2102" s="5">
        <f>IMDB_Movies!$H2102-IMDB_Movies!$G2102</f>
        <v>32148997</v>
      </c>
    </row>
    <row r="2103" spans="1:9" ht="23">
      <c r="A2103" s="3" t="s">
        <v>3036</v>
      </c>
      <c r="B2103" s="10" t="s">
        <v>2285</v>
      </c>
      <c r="C2103" s="10" t="s">
        <v>138</v>
      </c>
      <c r="D2103" s="10" t="s">
        <v>11</v>
      </c>
      <c r="E2103" s="10">
        <v>115</v>
      </c>
      <c r="F2103" s="10">
        <v>7.3</v>
      </c>
      <c r="G2103" s="10">
        <v>20000000</v>
      </c>
      <c r="H2103" s="10">
        <v>82624961</v>
      </c>
      <c r="I2103" s="5">
        <f>IMDB_Movies!$H2103-IMDB_Movies!$G2103</f>
        <v>62624961</v>
      </c>
    </row>
    <row r="2104" spans="1:9" ht="23">
      <c r="A2104" s="2" t="s">
        <v>3037</v>
      </c>
      <c r="B2104" s="9" t="s">
        <v>652</v>
      </c>
      <c r="C2104" s="9" t="s">
        <v>24</v>
      </c>
      <c r="D2104" s="9" t="s">
        <v>11</v>
      </c>
      <c r="E2104" s="9">
        <v>117</v>
      </c>
      <c r="F2104" s="9">
        <v>7.1</v>
      </c>
      <c r="G2104" s="9">
        <v>20000000</v>
      </c>
      <c r="H2104" s="9">
        <v>67325559</v>
      </c>
      <c r="I2104" s="5">
        <f>IMDB_Movies!$H2104-IMDB_Movies!$G2104</f>
        <v>47325559</v>
      </c>
    </row>
    <row r="2105" spans="1:9" ht="23">
      <c r="A2105" s="3" t="s">
        <v>3038</v>
      </c>
      <c r="B2105" s="10" t="s">
        <v>1701</v>
      </c>
      <c r="C2105" s="10" t="s">
        <v>56</v>
      </c>
      <c r="D2105" s="10" t="s">
        <v>11</v>
      </c>
      <c r="E2105" s="10">
        <v>107</v>
      </c>
      <c r="F2105" s="10">
        <v>5.8</v>
      </c>
      <c r="G2105" s="10">
        <v>20000000</v>
      </c>
      <c r="H2105" s="10">
        <v>62933793</v>
      </c>
      <c r="I2105" s="5">
        <f>IMDB_Movies!$H2105-IMDB_Movies!$G2105</f>
        <v>42933793</v>
      </c>
    </row>
    <row r="2106" spans="1:9" ht="23">
      <c r="A2106" s="2" t="s">
        <v>3039</v>
      </c>
      <c r="B2106" s="9" t="s">
        <v>3040</v>
      </c>
      <c r="C2106" s="9" t="s">
        <v>418</v>
      </c>
      <c r="D2106" s="9" t="s">
        <v>11</v>
      </c>
      <c r="E2106" s="9">
        <v>134</v>
      </c>
      <c r="F2106" s="9">
        <v>8.1</v>
      </c>
      <c r="G2106" s="9">
        <v>20000000</v>
      </c>
      <c r="H2106" s="9">
        <v>56667870</v>
      </c>
      <c r="I2106" s="5">
        <f>IMDB_Movies!$H2106-IMDB_Movies!$G2106</f>
        <v>36667870</v>
      </c>
    </row>
    <row r="2107" spans="1:9" ht="23">
      <c r="A2107" s="3" t="s">
        <v>3041</v>
      </c>
      <c r="B2107" s="10" t="s">
        <v>2380</v>
      </c>
      <c r="C2107" s="10" t="s">
        <v>138</v>
      </c>
      <c r="D2107" s="10" t="s">
        <v>11</v>
      </c>
      <c r="E2107" s="10">
        <v>118</v>
      </c>
      <c r="F2107" s="10">
        <v>5.7</v>
      </c>
      <c r="G2107" s="10">
        <v>20000000</v>
      </c>
      <c r="H2107" s="10">
        <v>56398162</v>
      </c>
      <c r="I2107" s="5">
        <f>IMDB_Movies!$H2107-IMDB_Movies!$G2107</f>
        <v>36398162</v>
      </c>
    </row>
    <row r="2108" spans="1:9" ht="23">
      <c r="A2108" s="2" t="s">
        <v>3042</v>
      </c>
      <c r="B2108" s="9" t="s">
        <v>2669</v>
      </c>
      <c r="C2108" s="9" t="s">
        <v>138</v>
      </c>
      <c r="D2108" s="9" t="s">
        <v>11</v>
      </c>
      <c r="E2108" s="9">
        <v>121</v>
      </c>
      <c r="F2108" s="9">
        <v>4.4000000000000004</v>
      </c>
      <c r="G2108" s="9">
        <v>20000000</v>
      </c>
      <c r="H2108" s="9">
        <v>60072596</v>
      </c>
      <c r="I2108" s="5">
        <f>IMDB_Movies!$H2108-IMDB_Movies!$G2108</f>
        <v>40072596</v>
      </c>
    </row>
    <row r="2109" spans="1:9" ht="23">
      <c r="A2109" s="3" t="s">
        <v>3043</v>
      </c>
      <c r="B2109" s="10" t="s">
        <v>68</v>
      </c>
      <c r="C2109" s="10" t="s">
        <v>713</v>
      </c>
      <c r="D2109" s="10" t="s">
        <v>11</v>
      </c>
      <c r="E2109" s="10">
        <v>105</v>
      </c>
      <c r="F2109" s="10">
        <v>7.9</v>
      </c>
      <c r="G2109" s="10">
        <v>20000000</v>
      </c>
      <c r="H2109" s="10">
        <v>56362352</v>
      </c>
      <c r="I2109" s="5">
        <f>IMDB_Movies!$H2109-IMDB_Movies!$G2109</f>
        <v>36362352</v>
      </c>
    </row>
    <row r="2110" spans="1:9" ht="23">
      <c r="A2110" s="2" t="s">
        <v>3044</v>
      </c>
      <c r="B2110" s="9" t="s">
        <v>3045</v>
      </c>
      <c r="C2110" s="9" t="s">
        <v>56</v>
      </c>
      <c r="D2110" s="9" t="s">
        <v>11</v>
      </c>
      <c r="E2110" s="9">
        <v>110</v>
      </c>
      <c r="F2110" s="9">
        <v>7.6</v>
      </c>
      <c r="G2110" s="9">
        <v>20000000</v>
      </c>
      <c r="H2110" s="9">
        <v>56154094</v>
      </c>
      <c r="I2110" s="5">
        <f>IMDB_Movies!$H2110-IMDB_Movies!$G2110</f>
        <v>36154094</v>
      </c>
    </row>
    <row r="2111" spans="1:9" ht="23">
      <c r="A2111" s="3" t="s">
        <v>3046</v>
      </c>
      <c r="B2111" s="10" t="s">
        <v>2669</v>
      </c>
      <c r="C2111" s="10" t="s">
        <v>138</v>
      </c>
      <c r="D2111" s="10" t="s">
        <v>11</v>
      </c>
      <c r="E2111" s="10">
        <v>114</v>
      </c>
      <c r="F2111" s="10">
        <v>4.8</v>
      </c>
      <c r="G2111" s="10">
        <v>20000000</v>
      </c>
      <c r="H2111" s="10">
        <v>65623128</v>
      </c>
      <c r="I2111" s="5">
        <f>IMDB_Movies!$H2111-IMDB_Movies!$G2111</f>
        <v>45623128</v>
      </c>
    </row>
    <row r="2112" spans="1:9" ht="23">
      <c r="A2112" s="2" t="s">
        <v>3047</v>
      </c>
      <c r="B2112" s="9" t="s">
        <v>1278</v>
      </c>
      <c r="C2112" s="9" t="s">
        <v>10</v>
      </c>
      <c r="D2112" s="9" t="s">
        <v>11</v>
      </c>
      <c r="E2112" s="9">
        <v>104</v>
      </c>
      <c r="F2112" s="9">
        <v>7.8</v>
      </c>
      <c r="G2112" s="9">
        <v>1800000</v>
      </c>
      <c r="H2112" s="9">
        <v>25078937</v>
      </c>
      <c r="I2112" s="5">
        <f>IMDB_Movies!$H2112-IMDB_Movies!$G2112</f>
        <v>23278937</v>
      </c>
    </row>
    <row r="2113" spans="1:9" ht="23">
      <c r="A2113" s="3" t="s">
        <v>3048</v>
      </c>
      <c r="B2113" s="10" t="s">
        <v>3049</v>
      </c>
      <c r="C2113" s="10" t="s">
        <v>138</v>
      </c>
      <c r="D2113" s="10" t="s">
        <v>11</v>
      </c>
      <c r="E2113" s="10">
        <v>100</v>
      </c>
      <c r="F2113" s="10">
        <v>6.7</v>
      </c>
      <c r="G2113" s="10">
        <v>20000000</v>
      </c>
      <c r="H2113" s="10">
        <v>55461307</v>
      </c>
      <c r="I2113" s="5">
        <f>IMDB_Movies!$H2113-IMDB_Movies!$G2113</f>
        <v>35461307</v>
      </c>
    </row>
    <row r="2114" spans="1:9" ht="23">
      <c r="A2114" s="2" t="s">
        <v>3050</v>
      </c>
      <c r="B2114" s="9" t="s">
        <v>3051</v>
      </c>
      <c r="C2114" s="9" t="s">
        <v>138</v>
      </c>
      <c r="D2114" s="9" t="s">
        <v>11</v>
      </c>
      <c r="E2114" s="9">
        <v>85</v>
      </c>
      <c r="F2114" s="9">
        <v>2.7</v>
      </c>
      <c r="G2114" s="9">
        <v>20000000</v>
      </c>
      <c r="H2114" s="9">
        <v>48546578</v>
      </c>
      <c r="I2114" s="5">
        <f>IMDB_Movies!$H2114-IMDB_Movies!$G2114</f>
        <v>28546578</v>
      </c>
    </row>
    <row r="2115" spans="1:9" ht="23">
      <c r="A2115" s="3" t="s">
        <v>3052</v>
      </c>
      <c r="B2115" s="10" t="s">
        <v>3053</v>
      </c>
      <c r="C2115" s="10" t="s">
        <v>24</v>
      </c>
      <c r="D2115" s="10" t="s">
        <v>11</v>
      </c>
      <c r="E2115" s="10">
        <v>72</v>
      </c>
      <c r="F2115" s="10">
        <v>5.8</v>
      </c>
      <c r="G2115" s="10">
        <v>20000000</v>
      </c>
      <c r="H2115" s="10">
        <v>48423368</v>
      </c>
      <c r="I2115" s="5">
        <f>IMDB_Movies!$H2115-IMDB_Movies!$G2115</f>
        <v>28423368</v>
      </c>
    </row>
    <row r="2116" spans="1:9" ht="23">
      <c r="A2116" s="2" t="s">
        <v>3054</v>
      </c>
      <c r="B2116" s="9" t="s">
        <v>3055</v>
      </c>
      <c r="C2116" s="9" t="s">
        <v>418</v>
      </c>
      <c r="D2116" s="9" t="s">
        <v>11</v>
      </c>
      <c r="E2116" s="9">
        <v>128</v>
      </c>
      <c r="F2116" s="9">
        <v>7.5</v>
      </c>
      <c r="G2116" s="9">
        <v>20000000</v>
      </c>
      <c r="H2116" s="9">
        <v>52066000</v>
      </c>
      <c r="I2116" s="5">
        <f>IMDB_Movies!$H2116-IMDB_Movies!$G2116</f>
        <v>32066000</v>
      </c>
    </row>
    <row r="2117" spans="1:9" ht="23">
      <c r="A2117" s="3" t="s">
        <v>3056</v>
      </c>
      <c r="B2117" s="10" t="s">
        <v>3057</v>
      </c>
      <c r="C2117" s="10" t="s">
        <v>24</v>
      </c>
      <c r="D2117" s="10" t="s">
        <v>11</v>
      </c>
      <c r="E2117" s="10">
        <v>72</v>
      </c>
      <c r="F2117" s="10">
        <v>5.4</v>
      </c>
      <c r="G2117" s="10">
        <v>20000000</v>
      </c>
      <c r="H2117" s="10">
        <v>47887943</v>
      </c>
      <c r="I2117" s="5">
        <f>IMDB_Movies!$H2117-IMDB_Movies!$G2117</f>
        <v>27887943</v>
      </c>
    </row>
    <row r="2118" spans="1:9" ht="23">
      <c r="A2118" s="2" t="s">
        <v>3058</v>
      </c>
      <c r="B2118" s="9" t="s">
        <v>1854</v>
      </c>
      <c r="C2118" s="9" t="s">
        <v>56</v>
      </c>
      <c r="D2118" s="9" t="s">
        <v>11</v>
      </c>
      <c r="E2118" s="9">
        <v>89</v>
      </c>
      <c r="F2118" s="9">
        <v>4.0999999999999996</v>
      </c>
      <c r="G2118" s="9">
        <v>20000000</v>
      </c>
      <c r="H2118" s="9">
        <v>46363118</v>
      </c>
      <c r="I2118" s="5">
        <f>IMDB_Movies!$H2118-IMDB_Movies!$G2118</f>
        <v>26363118</v>
      </c>
    </row>
    <row r="2119" spans="1:9" ht="23">
      <c r="A2119" s="3" t="s">
        <v>3059</v>
      </c>
      <c r="B2119" s="10" t="s">
        <v>3060</v>
      </c>
      <c r="C2119" s="10" t="s">
        <v>56</v>
      </c>
      <c r="D2119" s="10" t="s">
        <v>11</v>
      </c>
      <c r="E2119" s="10">
        <v>96</v>
      </c>
      <c r="F2119" s="10">
        <v>5.9</v>
      </c>
      <c r="G2119" s="10">
        <v>20000000</v>
      </c>
      <c r="H2119" s="10">
        <v>47852604</v>
      </c>
      <c r="I2119" s="5">
        <f>IMDB_Movies!$H2119-IMDB_Movies!$G2119</f>
        <v>27852604</v>
      </c>
    </row>
    <row r="2120" spans="1:9" ht="23">
      <c r="A2120" s="2" t="s">
        <v>3061</v>
      </c>
      <c r="B2120" s="9" t="s">
        <v>3062</v>
      </c>
      <c r="C2120" s="9" t="s">
        <v>116</v>
      </c>
      <c r="D2120" s="9" t="s">
        <v>11</v>
      </c>
      <c r="E2120" s="9">
        <v>77</v>
      </c>
      <c r="F2120" s="9">
        <v>6.3</v>
      </c>
      <c r="G2120" s="9">
        <v>30000000</v>
      </c>
      <c r="H2120" s="9">
        <v>45542421</v>
      </c>
      <c r="I2120" s="5">
        <f>IMDB_Movies!$H2120-IMDB_Movies!$G2120</f>
        <v>15542421</v>
      </c>
    </row>
    <row r="2121" spans="1:9" ht="23">
      <c r="A2121" s="3" t="s">
        <v>3063</v>
      </c>
      <c r="B2121" s="10" t="s">
        <v>1399</v>
      </c>
      <c r="C2121" s="10" t="s">
        <v>810</v>
      </c>
      <c r="D2121" s="10" t="s">
        <v>11</v>
      </c>
      <c r="E2121" s="10">
        <v>123</v>
      </c>
      <c r="F2121" s="10">
        <v>7</v>
      </c>
      <c r="G2121" s="10">
        <v>20000000</v>
      </c>
      <c r="H2121" s="10">
        <v>41573740</v>
      </c>
      <c r="I2121" s="5">
        <f>IMDB_Movies!$H2121-IMDB_Movies!$G2121</f>
        <v>21573740</v>
      </c>
    </row>
    <row r="2122" spans="1:9" ht="23">
      <c r="A2122" s="2" t="s">
        <v>3064</v>
      </c>
      <c r="B2122" s="9" t="s">
        <v>2183</v>
      </c>
      <c r="C2122" s="9" t="s">
        <v>24</v>
      </c>
      <c r="D2122" s="9" t="s">
        <v>11</v>
      </c>
      <c r="E2122" s="9">
        <v>111</v>
      </c>
      <c r="F2122" s="9">
        <v>6.8</v>
      </c>
      <c r="G2122" s="9">
        <v>20000000</v>
      </c>
      <c r="H2122" s="9">
        <v>42652003</v>
      </c>
      <c r="I2122" s="5">
        <f>IMDB_Movies!$H2122-IMDB_Movies!$G2122</f>
        <v>22652003</v>
      </c>
    </row>
    <row r="2123" spans="1:9" ht="23">
      <c r="A2123" s="3" t="s">
        <v>3065</v>
      </c>
      <c r="B2123" s="10" t="s">
        <v>2340</v>
      </c>
      <c r="C2123" s="10" t="s">
        <v>24</v>
      </c>
      <c r="D2123" s="10" t="s">
        <v>11</v>
      </c>
      <c r="E2123" s="10">
        <v>93</v>
      </c>
      <c r="F2123" s="10">
        <v>2.2999999999999998</v>
      </c>
      <c r="G2123" s="10">
        <v>20000000</v>
      </c>
      <c r="H2123" s="10">
        <v>39737645</v>
      </c>
      <c r="I2123" s="5">
        <f>IMDB_Movies!$H2123-IMDB_Movies!$G2123</f>
        <v>19737645</v>
      </c>
    </row>
    <row r="2124" spans="1:9" ht="23">
      <c r="A2124" s="2" t="s">
        <v>3066</v>
      </c>
      <c r="B2124" s="9" t="s">
        <v>3067</v>
      </c>
      <c r="C2124" s="9" t="s">
        <v>418</v>
      </c>
      <c r="D2124" s="9" t="s">
        <v>11</v>
      </c>
      <c r="E2124" s="9">
        <v>128</v>
      </c>
      <c r="F2124" s="9">
        <v>8.1</v>
      </c>
      <c r="G2124" s="9">
        <v>20000000</v>
      </c>
      <c r="H2124" s="9">
        <v>44988180</v>
      </c>
      <c r="I2124" s="5">
        <f>IMDB_Movies!$H2124-IMDB_Movies!$G2124</f>
        <v>24988180</v>
      </c>
    </row>
    <row r="2125" spans="1:9" ht="23">
      <c r="A2125" s="3" t="s">
        <v>3068</v>
      </c>
      <c r="B2125" s="10" t="s">
        <v>2859</v>
      </c>
      <c r="C2125" s="10" t="s">
        <v>414</v>
      </c>
      <c r="D2125" s="10" t="s">
        <v>11</v>
      </c>
      <c r="E2125" s="10">
        <v>110</v>
      </c>
      <c r="F2125" s="10">
        <v>6.1</v>
      </c>
      <c r="G2125" s="10">
        <v>22000000</v>
      </c>
      <c r="H2125" s="10">
        <v>39263506</v>
      </c>
      <c r="I2125" s="5">
        <f>IMDB_Movies!$H2125-IMDB_Movies!$G2125</f>
        <v>17263506</v>
      </c>
    </row>
    <row r="2126" spans="1:9" ht="23">
      <c r="A2126" s="2" t="s">
        <v>3069</v>
      </c>
      <c r="B2126" s="9" t="s">
        <v>3070</v>
      </c>
      <c r="C2126" s="9" t="s">
        <v>810</v>
      </c>
      <c r="D2126" s="9" t="s">
        <v>11</v>
      </c>
      <c r="E2126" s="9">
        <v>137</v>
      </c>
      <c r="F2126" s="9">
        <v>5</v>
      </c>
      <c r="G2126" s="9">
        <v>20000000</v>
      </c>
      <c r="H2126" s="9">
        <v>39143839</v>
      </c>
      <c r="I2126" s="5">
        <f>IMDB_Movies!$H2126-IMDB_Movies!$G2126</f>
        <v>19143839</v>
      </c>
    </row>
    <row r="2127" spans="1:9" ht="23">
      <c r="A2127" s="3" t="s">
        <v>3071</v>
      </c>
      <c r="B2127" s="10" t="s">
        <v>2022</v>
      </c>
      <c r="C2127" s="10" t="s">
        <v>138</v>
      </c>
      <c r="D2127" s="10" t="s">
        <v>11</v>
      </c>
      <c r="E2127" s="10">
        <v>124</v>
      </c>
      <c r="F2127" s="10">
        <v>5.5</v>
      </c>
      <c r="G2127" s="10">
        <v>20000000</v>
      </c>
      <c r="H2127" s="10">
        <v>37672350</v>
      </c>
      <c r="I2127" s="5">
        <f>IMDB_Movies!$H2127-IMDB_Movies!$G2127</f>
        <v>17672350</v>
      </c>
    </row>
    <row r="2128" spans="1:9" ht="23">
      <c r="A2128" s="2" t="s">
        <v>3072</v>
      </c>
      <c r="B2128" s="9" t="s">
        <v>1392</v>
      </c>
      <c r="C2128" s="9" t="s">
        <v>24</v>
      </c>
      <c r="D2128" s="9" t="s">
        <v>11</v>
      </c>
      <c r="E2128" s="9">
        <v>93</v>
      </c>
      <c r="F2128" s="9">
        <v>6.2</v>
      </c>
      <c r="G2128" s="9">
        <v>20000000</v>
      </c>
      <c r="H2128" s="9">
        <v>38037513</v>
      </c>
      <c r="I2128" s="5">
        <f>IMDB_Movies!$H2128-IMDB_Movies!$G2128</f>
        <v>18037513</v>
      </c>
    </row>
    <row r="2129" spans="1:9" ht="23">
      <c r="A2129" s="3" t="s">
        <v>3073</v>
      </c>
      <c r="B2129" s="10" t="s">
        <v>834</v>
      </c>
      <c r="C2129" s="10" t="s">
        <v>138</v>
      </c>
      <c r="D2129" s="10" t="s">
        <v>11</v>
      </c>
      <c r="E2129" s="10">
        <v>115</v>
      </c>
      <c r="F2129" s="10">
        <v>6.2</v>
      </c>
      <c r="G2129" s="10">
        <v>20000000</v>
      </c>
      <c r="H2129" s="10">
        <v>37442180</v>
      </c>
      <c r="I2129" s="5">
        <f>IMDB_Movies!$H2129-IMDB_Movies!$G2129</f>
        <v>17442180</v>
      </c>
    </row>
    <row r="2130" spans="1:9" ht="23">
      <c r="A2130" s="2" t="s">
        <v>3074</v>
      </c>
      <c r="B2130" s="9" t="s">
        <v>3075</v>
      </c>
      <c r="C2130" s="9" t="s">
        <v>10</v>
      </c>
      <c r="D2130" s="9" t="s">
        <v>11</v>
      </c>
      <c r="E2130" s="9">
        <v>98</v>
      </c>
      <c r="F2130" s="9">
        <v>5.9</v>
      </c>
      <c r="G2130" s="9">
        <v>20000000</v>
      </c>
      <c r="H2130" s="9">
        <v>25078937</v>
      </c>
      <c r="I2130" s="5">
        <f>IMDB_Movies!$H2130-IMDB_Movies!$G2130</f>
        <v>5078937</v>
      </c>
    </row>
    <row r="2131" spans="1:9" ht="23">
      <c r="A2131" s="3" t="s">
        <v>3076</v>
      </c>
      <c r="B2131" s="10" t="s">
        <v>3077</v>
      </c>
      <c r="C2131" s="10" t="s">
        <v>414</v>
      </c>
      <c r="D2131" s="10" t="s">
        <v>11</v>
      </c>
      <c r="E2131" s="10">
        <v>105</v>
      </c>
      <c r="F2131" s="10">
        <v>6.3</v>
      </c>
      <c r="G2131" s="10">
        <v>20000000</v>
      </c>
      <c r="H2131" s="10">
        <v>35596227</v>
      </c>
      <c r="I2131" s="5">
        <f>IMDB_Movies!$H2131-IMDB_Movies!$G2131</f>
        <v>15596227</v>
      </c>
    </row>
    <row r="2132" spans="1:9" ht="23">
      <c r="A2132" s="2" t="s">
        <v>3078</v>
      </c>
      <c r="B2132" s="9" t="s">
        <v>3079</v>
      </c>
      <c r="C2132" s="9" t="s">
        <v>418</v>
      </c>
      <c r="D2132" s="9" t="s">
        <v>11</v>
      </c>
      <c r="E2132" s="9">
        <v>127</v>
      </c>
      <c r="F2132" s="9">
        <v>6.7</v>
      </c>
      <c r="G2132" s="9">
        <v>20000000</v>
      </c>
      <c r="H2132" s="9">
        <v>35422828</v>
      </c>
      <c r="I2132" s="5">
        <f>IMDB_Movies!$H2132-IMDB_Movies!$G2132</f>
        <v>15422828</v>
      </c>
    </row>
    <row r="2133" spans="1:9" ht="23">
      <c r="A2133" s="3" t="s">
        <v>3080</v>
      </c>
      <c r="B2133" s="10" t="s">
        <v>2340</v>
      </c>
      <c r="C2133" s="10" t="s">
        <v>138</v>
      </c>
      <c r="D2133" s="10" t="s">
        <v>11</v>
      </c>
      <c r="E2133" s="10">
        <v>82</v>
      </c>
      <c r="F2133" s="10">
        <v>3.5</v>
      </c>
      <c r="G2133" s="10">
        <v>20000000</v>
      </c>
      <c r="H2133" s="10">
        <v>36658108</v>
      </c>
      <c r="I2133" s="5">
        <f>IMDB_Movies!$H2133-IMDB_Movies!$G2133</f>
        <v>16658108</v>
      </c>
    </row>
    <row r="2134" spans="1:9" ht="23">
      <c r="A2134" s="2" t="s">
        <v>3081</v>
      </c>
      <c r="B2134" s="9" t="s">
        <v>305</v>
      </c>
      <c r="C2134" s="9" t="s">
        <v>56</v>
      </c>
      <c r="D2134" s="9" t="s">
        <v>11</v>
      </c>
      <c r="E2134" s="9">
        <v>143</v>
      </c>
      <c r="F2134" s="9">
        <v>7.5</v>
      </c>
      <c r="G2134" s="9">
        <v>25000000</v>
      </c>
      <c r="H2134" s="9">
        <v>34300771</v>
      </c>
      <c r="I2134" s="5">
        <f>IMDB_Movies!$H2134-IMDB_Movies!$G2134</f>
        <v>9300771</v>
      </c>
    </row>
    <row r="2135" spans="1:9" ht="23">
      <c r="A2135" s="3" t="s">
        <v>3082</v>
      </c>
      <c r="B2135" s="10" t="s">
        <v>216</v>
      </c>
      <c r="C2135" s="10" t="s">
        <v>138</v>
      </c>
      <c r="D2135" s="10" t="s">
        <v>11</v>
      </c>
      <c r="E2135" s="10">
        <v>103</v>
      </c>
      <c r="F2135" s="10">
        <v>6.6</v>
      </c>
      <c r="G2135" s="10">
        <v>19800000</v>
      </c>
      <c r="H2135" s="10">
        <v>34290142</v>
      </c>
      <c r="I2135" s="5">
        <f>IMDB_Movies!$H2135-IMDB_Movies!$G2135</f>
        <v>14490142</v>
      </c>
    </row>
    <row r="2136" spans="1:9" ht="23">
      <c r="A2136" s="2" t="s">
        <v>3083</v>
      </c>
      <c r="B2136" s="9" t="s">
        <v>3084</v>
      </c>
      <c r="C2136" s="9" t="s">
        <v>56</v>
      </c>
      <c r="D2136" s="9" t="s">
        <v>11</v>
      </c>
      <c r="E2136" s="9">
        <v>104</v>
      </c>
      <c r="F2136" s="9">
        <v>7.5</v>
      </c>
      <c r="G2136" s="9">
        <v>20000000</v>
      </c>
      <c r="H2136" s="9">
        <v>33422556</v>
      </c>
      <c r="I2136" s="5">
        <f>IMDB_Movies!$H2136-IMDB_Movies!$G2136</f>
        <v>13422556</v>
      </c>
    </row>
    <row r="2137" spans="1:9" ht="23">
      <c r="A2137" s="3" t="s">
        <v>3085</v>
      </c>
      <c r="B2137" s="10" t="s">
        <v>2991</v>
      </c>
      <c r="C2137" s="10" t="s">
        <v>10</v>
      </c>
      <c r="D2137" s="10" t="s">
        <v>11</v>
      </c>
      <c r="E2137" s="10">
        <v>98</v>
      </c>
      <c r="F2137" s="10">
        <v>7.2</v>
      </c>
      <c r="G2137" s="10">
        <v>30000000</v>
      </c>
      <c r="H2137" s="10">
        <v>32774834</v>
      </c>
      <c r="I2137" s="5">
        <f>IMDB_Movies!$H2137-IMDB_Movies!$G2137</f>
        <v>2774834</v>
      </c>
    </row>
    <row r="2138" spans="1:9" ht="23">
      <c r="A2138" s="2" t="s">
        <v>3086</v>
      </c>
      <c r="B2138" s="9" t="s">
        <v>2204</v>
      </c>
      <c r="C2138" s="9" t="s">
        <v>810</v>
      </c>
      <c r="D2138" s="9" t="s">
        <v>11</v>
      </c>
      <c r="E2138" s="9">
        <v>92</v>
      </c>
      <c r="F2138" s="9">
        <v>4.8</v>
      </c>
      <c r="G2138" s="9">
        <v>11000000</v>
      </c>
      <c r="H2138" s="9">
        <v>34334256</v>
      </c>
      <c r="I2138" s="5">
        <f>IMDB_Movies!$H2138-IMDB_Movies!$G2138</f>
        <v>23334256</v>
      </c>
    </row>
    <row r="2139" spans="1:9" ht="23">
      <c r="A2139" s="3" t="s">
        <v>3087</v>
      </c>
      <c r="B2139" s="10" t="s">
        <v>660</v>
      </c>
      <c r="C2139" s="10" t="s">
        <v>414</v>
      </c>
      <c r="D2139" s="10" t="s">
        <v>11</v>
      </c>
      <c r="E2139" s="10">
        <v>123</v>
      </c>
      <c r="F2139" s="10">
        <v>6.6</v>
      </c>
      <c r="G2139" s="10">
        <v>20000000</v>
      </c>
      <c r="H2139" s="10">
        <v>32051917</v>
      </c>
      <c r="I2139" s="5">
        <f>IMDB_Movies!$H2139-IMDB_Movies!$G2139</f>
        <v>12051917</v>
      </c>
    </row>
    <row r="2140" spans="1:9" ht="23">
      <c r="A2140" s="2" t="s">
        <v>3088</v>
      </c>
      <c r="B2140" s="9" t="s">
        <v>1875</v>
      </c>
      <c r="C2140" s="9" t="s">
        <v>138</v>
      </c>
      <c r="D2140" s="9" t="s">
        <v>11</v>
      </c>
      <c r="E2140" s="9">
        <v>88</v>
      </c>
      <c r="F2140" s="9">
        <v>3.5</v>
      </c>
      <c r="G2140" s="9">
        <v>20000000</v>
      </c>
      <c r="H2140" s="9">
        <v>32014289</v>
      </c>
      <c r="I2140" s="5">
        <f>IMDB_Movies!$H2140-IMDB_Movies!$G2140</f>
        <v>12014289</v>
      </c>
    </row>
    <row r="2141" spans="1:9" ht="23">
      <c r="A2141" s="3" t="s">
        <v>3089</v>
      </c>
      <c r="B2141" s="10" t="s">
        <v>3090</v>
      </c>
      <c r="C2141" s="10" t="s">
        <v>138</v>
      </c>
      <c r="D2141" s="10" t="s">
        <v>11</v>
      </c>
      <c r="E2141" s="10">
        <v>158</v>
      </c>
      <c r="F2141" s="10">
        <v>6.7</v>
      </c>
      <c r="G2141" s="10">
        <v>20000000</v>
      </c>
      <c r="H2141" s="10">
        <v>25078937</v>
      </c>
      <c r="I2141" s="5">
        <f>IMDB_Movies!$H2141-IMDB_Movies!$G2141</f>
        <v>5078937</v>
      </c>
    </row>
    <row r="2142" spans="1:9" ht="23">
      <c r="A2142" s="2" t="s">
        <v>3091</v>
      </c>
      <c r="B2142" s="9" t="s">
        <v>1664</v>
      </c>
      <c r="C2142" s="9" t="s">
        <v>418</v>
      </c>
      <c r="D2142" s="9" t="s">
        <v>11</v>
      </c>
      <c r="E2142" s="9">
        <v>128</v>
      </c>
      <c r="F2142" s="9">
        <v>7.6</v>
      </c>
      <c r="G2142" s="9">
        <v>20000000</v>
      </c>
      <c r="H2142" s="9">
        <v>31838002</v>
      </c>
      <c r="I2142" s="5">
        <f>IMDB_Movies!$H2142-IMDB_Movies!$G2142</f>
        <v>11838002</v>
      </c>
    </row>
    <row r="2143" spans="1:9" ht="23">
      <c r="A2143" s="3" t="s">
        <v>3092</v>
      </c>
      <c r="B2143" s="10" t="s">
        <v>142</v>
      </c>
      <c r="C2143" s="10" t="s">
        <v>10</v>
      </c>
      <c r="D2143" s="10" t="s">
        <v>11</v>
      </c>
      <c r="E2143" s="10">
        <v>107</v>
      </c>
      <c r="F2143" s="10">
        <v>6.3</v>
      </c>
      <c r="G2143" s="10">
        <v>20000000</v>
      </c>
      <c r="H2143" s="10">
        <v>36874745</v>
      </c>
      <c r="I2143" s="5">
        <f>IMDB_Movies!$H2143-IMDB_Movies!$G2143</f>
        <v>16874745</v>
      </c>
    </row>
    <row r="2144" spans="1:9" ht="23">
      <c r="A2144" s="2" t="s">
        <v>3093</v>
      </c>
      <c r="B2144" s="9" t="s">
        <v>3094</v>
      </c>
      <c r="C2144" s="9" t="s">
        <v>810</v>
      </c>
      <c r="D2144" s="9" t="s">
        <v>11</v>
      </c>
      <c r="E2144" s="9">
        <v>91</v>
      </c>
      <c r="F2144" s="9">
        <v>5.5</v>
      </c>
      <c r="G2144" s="9">
        <v>35000000</v>
      </c>
      <c r="H2144" s="9">
        <v>30079316</v>
      </c>
      <c r="I2144" s="5">
        <f>IMDB_Movies!$H2144-IMDB_Movies!$G2144</f>
        <v>-4920684</v>
      </c>
    </row>
    <row r="2145" spans="1:9" ht="23">
      <c r="A2145" s="3" t="s">
        <v>3095</v>
      </c>
      <c r="B2145" s="10" t="s">
        <v>3096</v>
      </c>
      <c r="C2145" s="10" t="s">
        <v>24</v>
      </c>
      <c r="D2145" s="10" t="s">
        <v>11</v>
      </c>
      <c r="E2145" s="10">
        <v>90</v>
      </c>
      <c r="F2145" s="10">
        <v>6.3</v>
      </c>
      <c r="G2145" s="10">
        <v>19000000</v>
      </c>
      <c r="H2145" s="10">
        <v>35033759</v>
      </c>
      <c r="I2145" s="5">
        <f>IMDB_Movies!$H2145-IMDB_Movies!$G2145</f>
        <v>16033759</v>
      </c>
    </row>
    <row r="2146" spans="1:9" ht="23">
      <c r="A2146" s="2" t="s">
        <v>3097</v>
      </c>
      <c r="B2146" s="9" t="s">
        <v>3098</v>
      </c>
      <c r="C2146" s="9" t="s">
        <v>414</v>
      </c>
      <c r="D2146" s="9" t="s">
        <v>11</v>
      </c>
      <c r="E2146" s="9">
        <v>115</v>
      </c>
      <c r="F2146" s="9">
        <v>6.5</v>
      </c>
      <c r="G2146" s="9">
        <v>20000000</v>
      </c>
      <c r="H2146" s="9">
        <v>29753944</v>
      </c>
      <c r="I2146" s="5">
        <f>IMDB_Movies!$H2146-IMDB_Movies!$G2146</f>
        <v>9753944</v>
      </c>
    </row>
    <row r="2147" spans="1:9" ht="23">
      <c r="A2147" s="3" t="s">
        <v>3099</v>
      </c>
      <c r="B2147" s="10" t="s">
        <v>3100</v>
      </c>
      <c r="C2147" s="10" t="s">
        <v>414</v>
      </c>
      <c r="D2147" s="10" t="s">
        <v>11</v>
      </c>
      <c r="E2147" s="10">
        <v>101</v>
      </c>
      <c r="F2147" s="10">
        <v>5.6</v>
      </c>
      <c r="G2147" s="10">
        <v>20000000</v>
      </c>
      <c r="H2147" s="10">
        <v>29062561</v>
      </c>
      <c r="I2147" s="5">
        <f>IMDB_Movies!$H2147-IMDB_Movies!$G2147</f>
        <v>9062561</v>
      </c>
    </row>
    <row r="2148" spans="1:9" ht="23">
      <c r="A2148" s="2" t="s">
        <v>3101</v>
      </c>
      <c r="B2148" s="9" t="s">
        <v>1227</v>
      </c>
      <c r="C2148" s="9" t="s">
        <v>56</v>
      </c>
      <c r="D2148" s="9" t="s">
        <v>11</v>
      </c>
      <c r="E2148" s="9">
        <v>113</v>
      </c>
      <c r="F2148" s="9">
        <v>6.9</v>
      </c>
      <c r="G2148" s="9">
        <v>20000000</v>
      </c>
      <c r="H2148" s="9">
        <v>31146570</v>
      </c>
      <c r="I2148" s="5">
        <f>IMDB_Movies!$H2148-IMDB_Movies!$G2148</f>
        <v>11146570</v>
      </c>
    </row>
    <row r="2149" spans="1:9" ht="23">
      <c r="A2149" s="3" t="s">
        <v>3102</v>
      </c>
      <c r="B2149" s="10" t="s">
        <v>1548</v>
      </c>
      <c r="C2149" s="10" t="s">
        <v>138</v>
      </c>
      <c r="D2149" s="10" t="s">
        <v>11</v>
      </c>
      <c r="E2149" s="10">
        <v>113</v>
      </c>
      <c r="F2149" s="10">
        <v>7.6</v>
      </c>
      <c r="G2149" s="10">
        <v>20000000</v>
      </c>
      <c r="H2149" s="10">
        <v>27277055</v>
      </c>
      <c r="I2149" s="5">
        <f>IMDB_Movies!$H2149-IMDB_Movies!$G2149</f>
        <v>7277055</v>
      </c>
    </row>
    <row r="2150" spans="1:9" ht="23">
      <c r="A2150" s="2" t="s">
        <v>3103</v>
      </c>
      <c r="B2150" s="9" t="s">
        <v>3104</v>
      </c>
      <c r="C2150" s="9" t="s">
        <v>810</v>
      </c>
      <c r="D2150" s="9" t="s">
        <v>11</v>
      </c>
      <c r="E2150" s="9">
        <v>87</v>
      </c>
      <c r="F2150" s="9">
        <v>3.9</v>
      </c>
      <c r="G2150" s="9">
        <v>27000000</v>
      </c>
      <c r="H2150" s="9">
        <v>26876529</v>
      </c>
      <c r="I2150" s="5">
        <f>IMDB_Movies!$H2150-IMDB_Movies!$G2150</f>
        <v>-123471</v>
      </c>
    </row>
    <row r="2151" spans="1:9" ht="23">
      <c r="A2151" s="3" t="s">
        <v>3105</v>
      </c>
      <c r="B2151" s="10" t="s">
        <v>2764</v>
      </c>
      <c r="C2151" s="10" t="s">
        <v>414</v>
      </c>
      <c r="D2151" s="10" t="s">
        <v>11</v>
      </c>
      <c r="E2151" s="10">
        <v>101</v>
      </c>
      <c r="F2151" s="10">
        <v>6.1</v>
      </c>
      <c r="G2151" s="10">
        <v>20000000</v>
      </c>
      <c r="H2151" s="10">
        <v>53146000</v>
      </c>
      <c r="I2151" s="5">
        <f>IMDB_Movies!$H2151-IMDB_Movies!$G2151</f>
        <v>33146000</v>
      </c>
    </row>
    <row r="2152" spans="1:9" ht="23">
      <c r="A2152" s="2" t="s">
        <v>3106</v>
      </c>
      <c r="B2152" s="9" t="s">
        <v>401</v>
      </c>
      <c r="C2152" s="9" t="s">
        <v>414</v>
      </c>
      <c r="D2152" s="9" t="s">
        <v>11</v>
      </c>
      <c r="E2152" s="9">
        <v>111</v>
      </c>
      <c r="F2152" s="9">
        <v>7.3</v>
      </c>
      <c r="G2152" s="9">
        <v>20000000</v>
      </c>
      <c r="H2152" s="9">
        <v>30028592</v>
      </c>
      <c r="I2152" s="5">
        <f>IMDB_Movies!$H2152-IMDB_Movies!$G2152</f>
        <v>10028592</v>
      </c>
    </row>
    <row r="2153" spans="1:9" ht="23">
      <c r="A2153" s="3" t="s">
        <v>3107</v>
      </c>
      <c r="B2153" s="10" t="s">
        <v>421</v>
      </c>
      <c r="C2153" s="10" t="s">
        <v>56</v>
      </c>
      <c r="D2153" s="10" t="s">
        <v>11</v>
      </c>
      <c r="E2153" s="10">
        <v>108</v>
      </c>
      <c r="F2153" s="10">
        <v>8.3000000000000007</v>
      </c>
      <c r="G2153" s="10">
        <v>20000000</v>
      </c>
      <c r="H2153" s="10">
        <v>34126138</v>
      </c>
      <c r="I2153" s="5">
        <f>IMDB_Movies!$H2153-IMDB_Movies!$G2153</f>
        <v>14126138</v>
      </c>
    </row>
    <row r="2154" spans="1:9" ht="23">
      <c r="A2154" s="2" t="s">
        <v>3108</v>
      </c>
      <c r="B2154" s="9" t="s">
        <v>1401</v>
      </c>
      <c r="C2154" s="9" t="s">
        <v>138</v>
      </c>
      <c r="D2154" s="9" t="s">
        <v>11</v>
      </c>
      <c r="E2154" s="9">
        <v>105</v>
      </c>
      <c r="F2154" s="9">
        <v>5.8</v>
      </c>
      <c r="G2154" s="9">
        <v>20000000</v>
      </c>
      <c r="H2154" s="9">
        <v>25677801</v>
      </c>
      <c r="I2154" s="5">
        <f>IMDB_Movies!$H2154-IMDB_Movies!$G2154</f>
        <v>5677801</v>
      </c>
    </row>
    <row r="2155" spans="1:9" ht="23">
      <c r="A2155" s="3" t="s">
        <v>3109</v>
      </c>
      <c r="B2155" s="10" t="s">
        <v>135</v>
      </c>
      <c r="C2155" s="10" t="s">
        <v>10</v>
      </c>
      <c r="D2155" s="10" t="s">
        <v>11</v>
      </c>
      <c r="E2155" s="10">
        <v>109</v>
      </c>
      <c r="F2155" s="10">
        <v>6.8</v>
      </c>
      <c r="G2155" s="10">
        <v>20000000</v>
      </c>
      <c r="H2155" s="10">
        <v>26415649</v>
      </c>
      <c r="I2155" s="5">
        <f>IMDB_Movies!$H2155-IMDB_Movies!$G2155</f>
        <v>6415649</v>
      </c>
    </row>
    <row r="2156" spans="1:9" ht="23">
      <c r="A2156" s="2" t="s">
        <v>3110</v>
      </c>
      <c r="B2156" s="9" t="s">
        <v>658</v>
      </c>
      <c r="C2156" s="9" t="s">
        <v>10</v>
      </c>
      <c r="D2156" s="9" t="s">
        <v>11</v>
      </c>
      <c r="E2156" s="9">
        <v>109</v>
      </c>
      <c r="F2156" s="9">
        <v>7</v>
      </c>
      <c r="G2156" s="9">
        <v>20000000</v>
      </c>
      <c r="H2156" s="9">
        <v>26003149</v>
      </c>
      <c r="I2156" s="5">
        <f>IMDB_Movies!$H2156-IMDB_Movies!$G2156</f>
        <v>6003149</v>
      </c>
    </row>
    <row r="2157" spans="1:9" ht="23">
      <c r="A2157" s="3" t="s">
        <v>3111</v>
      </c>
      <c r="B2157" s="10" t="s">
        <v>3112</v>
      </c>
      <c r="C2157" s="10" t="s">
        <v>138</v>
      </c>
      <c r="D2157" s="10" t="s">
        <v>11</v>
      </c>
      <c r="E2157" s="10">
        <v>99</v>
      </c>
      <c r="F2157" s="10">
        <v>5.9</v>
      </c>
      <c r="G2157" s="10">
        <v>20000000</v>
      </c>
      <c r="H2157" s="10">
        <v>25584685</v>
      </c>
      <c r="I2157" s="5">
        <f>IMDB_Movies!$H2157-IMDB_Movies!$G2157</f>
        <v>5584685</v>
      </c>
    </row>
    <row r="2158" spans="1:9" ht="23">
      <c r="A2158" s="2" t="s">
        <v>3113</v>
      </c>
      <c r="B2158" s="9" t="s">
        <v>3114</v>
      </c>
      <c r="C2158" s="9" t="s">
        <v>10</v>
      </c>
      <c r="D2158" s="9" t="s">
        <v>11</v>
      </c>
      <c r="E2158" s="9">
        <v>98</v>
      </c>
      <c r="F2158" s="9">
        <v>6.5</v>
      </c>
      <c r="G2158" s="9">
        <v>20000000</v>
      </c>
      <c r="H2158" s="9">
        <v>29975979</v>
      </c>
      <c r="I2158" s="5">
        <f>IMDB_Movies!$H2158-IMDB_Movies!$G2158</f>
        <v>9975979</v>
      </c>
    </row>
    <row r="2159" spans="1:9" ht="23">
      <c r="A2159" s="3" t="s">
        <v>3115</v>
      </c>
      <c r="B2159" s="10" t="s">
        <v>3116</v>
      </c>
      <c r="C2159" s="10" t="s">
        <v>138</v>
      </c>
      <c r="D2159" s="10" t="s">
        <v>11</v>
      </c>
      <c r="E2159" s="10">
        <v>104</v>
      </c>
      <c r="F2159" s="10">
        <v>6.4</v>
      </c>
      <c r="G2159" s="10">
        <v>20000000</v>
      </c>
      <c r="H2159" s="10">
        <v>31584722</v>
      </c>
      <c r="I2159" s="5">
        <f>IMDB_Movies!$H2159-IMDB_Movies!$G2159</f>
        <v>11584722</v>
      </c>
    </row>
    <row r="2160" spans="1:9" ht="23">
      <c r="A2160" s="2" t="s">
        <v>3117</v>
      </c>
      <c r="B2160" s="9" t="s">
        <v>3118</v>
      </c>
      <c r="C2160" s="9" t="s">
        <v>24</v>
      </c>
      <c r="D2160" s="9" t="s">
        <v>11</v>
      </c>
      <c r="E2160" s="9">
        <v>109</v>
      </c>
      <c r="F2160" s="9">
        <v>5.8</v>
      </c>
      <c r="G2160" s="9">
        <v>20000000</v>
      </c>
      <c r="H2160" s="9">
        <v>23179303</v>
      </c>
      <c r="I2160" s="5">
        <f>IMDB_Movies!$H2160-IMDB_Movies!$G2160</f>
        <v>3179303</v>
      </c>
    </row>
    <row r="2161" spans="1:9" ht="23">
      <c r="A2161" s="3" t="s">
        <v>3119</v>
      </c>
      <c r="B2161" s="10" t="s">
        <v>3120</v>
      </c>
      <c r="C2161" s="10" t="s">
        <v>810</v>
      </c>
      <c r="D2161" s="10" t="s">
        <v>11</v>
      </c>
      <c r="E2161" s="10">
        <v>75</v>
      </c>
      <c r="F2161" s="10">
        <v>5.0999999999999996</v>
      </c>
      <c r="G2161" s="10">
        <v>9000000</v>
      </c>
      <c r="H2161" s="10">
        <v>23078294</v>
      </c>
      <c r="I2161" s="5">
        <f>IMDB_Movies!$H2161-IMDB_Movies!$G2161</f>
        <v>14078294</v>
      </c>
    </row>
    <row r="2162" spans="1:9" ht="23">
      <c r="A2162" s="2" t="s">
        <v>3121</v>
      </c>
      <c r="B2162" s="9" t="s">
        <v>1630</v>
      </c>
      <c r="C2162" s="9" t="s">
        <v>10</v>
      </c>
      <c r="D2162" s="9" t="s">
        <v>11</v>
      </c>
      <c r="E2162" s="9">
        <v>119</v>
      </c>
      <c r="F2162" s="9">
        <v>6.8</v>
      </c>
      <c r="G2162" s="9">
        <v>20000000</v>
      </c>
      <c r="H2162" s="9">
        <v>21413105</v>
      </c>
      <c r="I2162" s="5">
        <f>IMDB_Movies!$H2162-IMDB_Movies!$G2162</f>
        <v>1413105</v>
      </c>
    </row>
    <row r="2163" spans="1:9" ht="23">
      <c r="A2163" s="3" t="s">
        <v>3122</v>
      </c>
      <c r="B2163" s="10" t="s">
        <v>3123</v>
      </c>
      <c r="C2163" s="10" t="s">
        <v>24</v>
      </c>
      <c r="D2163" s="10" t="s">
        <v>11</v>
      </c>
      <c r="E2163" s="10">
        <v>90</v>
      </c>
      <c r="F2163" s="10">
        <v>5.3</v>
      </c>
      <c r="G2163" s="10">
        <v>20000000</v>
      </c>
      <c r="H2163" s="10">
        <v>25077977</v>
      </c>
      <c r="I2163" s="5">
        <f>IMDB_Movies!$H2163-IMDB_Movies!$G2163</f>
        <v>5077977</v>
      </c>
    </row>
    <row r="2164" spans="1:9" ht="23">
      <c r="A2164" s="2" t="s">
        <v>3124</v>
      </c>
      <c r="B2164" s="9" t="s">
        <v>557</v>
      </c>
      <c r="C2164" s="9" t="s">
        <v>10</v>
      </c>
      <c r="D2164" s="9" t="s">
        <v>11</v>
      </c>
      <c r="E2164" s="9">
        <v>97</v>
      </c>
      <c r="F2164" s="9">
        <v>5.3</v>
      </c>
      <c r="G2164" s="9">
        <v>20000000</v>
      </c>
      <c r="H2164" s="9">
        <v>23292105</v>
      </c>
      <c r="I2164" s="5">
        <f>IMDB_Movies!$H2164-IMDB_Movies!$G2164</f>
        <v>3292105</v>
      </c>
    </row>
    <row r="2165" spans="1:9" ht="23">
      <c r="A2165" s="3" t="s">
        <v>3125</v>
      </c>
      <c r="B2165" s="10" t="s">
        <v>3126</v>
      </c>
      <c r="C2165" s="10" t="s">
        <v>138</v>
      </c>
      <c r="D2165" s="10" t="s">
        <v>11</v>
      </c>
      <c r="E2165" s="10">
        <v>103</v>
      </c>
      <c r="F2165" s="10">
        <v>6.4</v>
      </c>
      <c r="G2165" s="10">
        <v>20000000</v>
      </c>
      <c r="H2165" s="10">
        <v>26870825</v>
      </c>
      <c r="I2165" s="5">
        <f>IMDB_Movies!$H2165-IMDB_Movies!$G2165</f>
        <v>6870825</v>
      </c>
    </row>
    <row r="2166" spans="1:9" ht="23">
      <c r="A2166" s="2" t="s">
        <v>3127</v>
      </c>
      <c r="B2166" s="9" t="s">
        <v>1327</v>
      </c>
      <c r="C2166" s="9" t="s">
        <v>138</v>
      </c>
      <c r="D2166" s="9" t="s">
        <v>11</v>
      </c>
      <c r="E2166" s="9">
        <v>89</v>
      </c>
      <c r="F2166" s="9">
        <v>4.9000000000000004</v>
      </c>
      <c r="G2166" s="9">
        <v>40000000</v>
      </c>
      <c r="H2166" s="9">
        <v>20916309</v>
      </c>
      <c r="I2166" s="5">
        <f>IMDB_Movies!$H2166-IMDB_Movies!$G2166</f>
        <v>-19083691</v>
      </c>
    </row>
    <row r="2167" spans="1:9" ht="23">
      <c r="A2167" s="3" t="s">
        <v>3128</v>
      </c>
      <c r="B2167" s="10" t="s">
        <v>1664</v>
      </c>
      <c r="C2167" s="10" t="s">
        <v>138</v>
      </c>
      <c r="D2167" s="10" t="s">
        <v>11</v>
      </c>
      <c r="E2167" s="10">
        <v>106</v>
      </c>
      <c r="F2167" s="10">
        <v>6.8</v>
      </c>
      <c r="G2167" s="10">
        <v>20000000</v>
      </c>
      <c r="H2167" s="10">
        <v>21200000</v>
      </c>
      <c r="I2167" s="5">
        <f>IMDB_Movies!$H2167-IMDB_Movies!$G2167</f>
        <v>1200000</v>
      </c>
    </row>
    <row r="2168" spans="1:9" ht="23">
      <c r="A2168" s="2" t="s">
        <v>3129</v>
      </c>
      <c r="B2168" s="9" t="s">
        <v>3130</v>
      </c>
      <c r="C2168" s="9" t="s">
        <v>24</v>
      </c>
      <c r="D2168" s="9" t="s">
        <v>11</v>
      </c>
      <c r="E2168" s="9">
        <v>96</v>
      </c>
      <c r="F2168" s="9">
        <v>7.1</v>
      </c>
      <c r="G2168" s="9">
        <v>20000000</v>
      </c>
      <c r="H2168" s="9">
        <v>28876924</v>
      </c>
      <c r="I2168" s="5">
        <f>IMDB_Movies!$H2168-IMDB_Movies!$G2168</f>
        <v>8876924</v>
      </c>
    </row>
    <row r="2169" spans="1:9" ht="23">
      <c r="A2169" s="3" t="s">
        <v>3131</v>
      </c>
      <c r="B2169" s="10" t="s">
        <v>3132</v>
      </c>
      <c r="C2169" s="10" t="s">
        <v>414</v>
      </c>
      <c r="D2169" s="10" t="s">
        <v>11</v>
      </c>
      <c r="E2169" s="10">
        <v>115</v>
      </c>
      <c r="F2169" s="10">
        <v>6.8</v>
      </c>
      <c r="G2169" s="10">
        <v>20000000</v>
      </c>
      <c r="H2169" s="10">
        <v>20207003</v>
      </c>
      <c r="I2169" s="5">
        <f>IMDB_Movies!$H2169-IMDB_Movies!$G2169</f>
        <v>207003</v>
      </c>
    </row>
    <row r="2170" spans="1:9" ht="23">
      <c r="A2170" s="2" t="s">
        <v>3133</v>
      </c>
      <c r="B2170" s="9" t="s">
        <v>1470</v>
      </c>
      <c r="C2170" s="9" t="s">
        <v>10</v>
      </c>
      <c r="D2170" s="9" t="s">
        <v>11</v>
      </c>
      <c r="E2170" s="9">
        <v>104</v>
      </c>
      <c r="F2170" s="9">
        <v>6.1</v>
      </c>
      <c r="G2170" s="9">
        <v>20000000</v>
      </c>
      <c r="H2170" s="9">
        <v>20241395</v>
      </c>
      <c r="I2170" s="5">
        <f>IMDB_Movies!$H2170-IMDB_Movies!$G2170</f>
        <v>241395</v>
      </c>
    </row>
    <row r="2171" spans="1:9" ht="23">
      <c r="A2171" s="3" t="s">
        <v>3134</v>
      </c>
      <c r="B2171" s="10" t="s">
        <v>3135</v>
      </c>
      <c r="C2171" s="10" t="s">
        <v>810</v>
      </c>
      <c r="D2171" s="10" t="s">
        <v>11</v>
      </c>
      <c r="E2171" s="10">
        <v>108</v>
      </c>
      <c r="F2171" s="10">
        <v>8.5</v>
      </c>
      <c r="G2171" s="10">
        <v>806947</v>
      </c>
      <c r="H2171" s="10">
        <v>32000000</v>
      </c>
      <c r="I2171" s="5">
        <f>IMDB_Movies!$H2171-IMDB_Movies!$G2171</f>
        <v>31193053</v>
      </c>
    </row>
    <row r="2172" spans="1:9" ht="23">
      <c r="A2172" s="2" t="s">
        <v>3136</v>
      </c>
      <c r="B2172" s="9" t="s">
        <v>1429</v>
      </c>
      <c r="C2172" s="9" t="s">
        <v>138</v>
      </c>
      <c r="D2172" s="9" t="s">
        <v>11</v>
      </c>
      <c r="E2172" s="9">
        <v>112</v>
      </c>
      <c r="F2172" s="9">
        <v>5.9</v>
      </c>
      <c r="G2172" s="9">
        <v>40000000</v>
      </c>
      <c r="H2172" s="9">
        <v>19151864</v>
      </c>
      <c r="I2172" s="5">
        <f>IMDB_Movies!$H2172-IMDB_Movies!$G2172</f>
        <v>-20848136</v>
      </c>
    </row>
    <row r="2173" spans="1:9" ht="23">
      <c r="A2173" s="3" t="s">
        <v>3137</v>
      </c>
      <c r="B2173" s="10" t="s">
        <v>3138</v>
      </c>
      <c r="C2173" s="10" t="s">
        <v>56</v>
      </c>
      <c r="D2173" s="10" t="s">
        <v>11</v>
      </c>
      <c r="E2173" s="10">
        <v>104</v>
      </c>
      <c r="F2173" s="10">
        <v>6.3</v>
      </c>
      <c r="G2173" s="10">
        <v>20000000</v>
      </c>
      <c r="H2173" s="10">
        <v>23393765</v>
      </c>
      <c r="I2173" s="5">
        <f>IMDB_Movies!$H2173-IMDB_Movies!$G2173</f>
        <v>3393765</v>
      </c>
    </row>
    <row r="2174" spans="1:9" ht="23">
      <c r="A2174" s="2" t="s">
        <v>3139</v>
      </c>
      <c r="B2174" s="9" t="s">
        <v>883</v>
      </c>
      <c r="C2174" s="9" t="s">
        <v>138</v>
      </c>
      <c r="D2174" s="9" t="s">
        <v>11</v>
      </c>
      <c r="E2174" s="9">
        <v>113</v>
      </c>
      <c r="F2174" s="9">
        <v>5.9</v>
      </c>
      <c r="G2174" s="9">
        <v>20000000</v>
      </c>
      <c r="H2174" s="9">
        <v>18882880</v>
      </c>
      <c r="I2174" s="5">
        <f>IMDB_Movies!$H2174-IMDB_Movies!$G2174</f>
        <v>-1117120</v>
      </c>
    </row>
    <row r="2175" spans="1:9" ht="23">
      <c r="A2175" s="3" t="s">
        <v>3140</v>
      </c>
      <c r="B2175" s="10" t="s">
        <v>3141</v>
      </c>
      <c r="C2175" s="10" t="s">
        <v>138</v>
      </c>
      <c r="D2175" s="10" t="s">
        <v>11</v>
      </c>
      <c r="E2175" s="10">
        <v>98</v>
      </c>
      <c r="F2175" s="10">
        <v>5.4</v>
      </c>
      <c r="G2175" s="10">
        <v>20000000</v>
      </c>
      <c r="H2175" s="10">
        <v>8500000</v>
      </c>
      <c r="I2175" s="5">
        <f>IMDB_Movies!$H2175-IMDB_Movies!$G2175</f>
        <v>-11500000</v>
      </c>
    </row>
    <row r="2176" spans="1:9" ht="23">
      <c r="A2176" s="2" t="s">
        <v>3142</v>
      </c>
      <c r="B2176" s="9" t="s">
        <v>285</v>
      </c>
      <c r="C2176" s="9" t="s">
        <v>24</v>
      </c>
      <c r="D2176" s="9" t="s">
        <v>11</v>
      </c>
      <c r="E2176" s="9">
        <v>121</v>
      </c>
      <c r="F2176" s="9">
        <v>7</v>
      </c>
      <c r="G2176" s="9">
        <v>20000000</v>
      </c>
      <c r="H2176" s="9">
        <v>25078937</v>
      </c>
      <c r="I2176" s="5">
        <f>IMDB_Movies!$H2176-IMDB_Movies!$G2176</f>
        <v>5078937</v>
      </c>
    </row>
    <row r="2177" spans="1:9" ht="23">
      <c r="A2177" s="3" t="s">
        <v>3143</v>
      </c>
      <c r="B2177" s="10" t="s">
        <v>367</v>
      </c>
      <c r="C2177" s="10" t="s">
        <v>138</v>
      </c>
      <c r="D2177" s="10" t="s">
        <v>11</v>
      </c>
      <c r="E2177" s="10">
        <v>114</v>
      </c>
      <c r="F2177" s="10">
        <v>6.9</v>
      </c>
      <c r="G2177" s="10">
        <v>30000000</v>
      </c>
      <c r="H2177" s="10">
        <v>18252684</v>
      </c>
      <c r="I2177" s="5">
        <f>IMDB_Movies!$H2177-IMDB_Movies!$G2177</f>
        <v>-11747316</v>
      </c>
    </row>
    <row r="2178" spans="1:9" ht="23">
      <c r="A2178" s="2" t="s">
        <v>3144</v>
      </c>
      <c r="B2178" s="9" t="s">
        <v>3145</v>
      </c>
      <c r="C2178" s="9" t="s">
        <v>56</v>
      </c>
      <c r="D2178" s="9" t="s">
        <v>11</v>
      </c>
      <c r="E2178" s="9">
        <v>124</v>
      </c>
      <c r="F2178" s="9">
        <v>7.5</v>
      </c>
      <c r="G2178" s="9">
        <v>20000000</v>
      </c>
      <c r="H2178" s="9">
        <v>19661987</v>
      </c>
      <c r="I2178" s="5">
        <f>IMDB_Movies!$H2178-IMDB_Movies!$G2178</f>
        <v>-338013</v>
      </c>
    </row>
    <row r="2179" spans="1:9" ht="23">
      <c r="A2179" s="3" t="s">
        <v>3146</v>
      </c>
      <c r="B2179" s="10" t="s">
        <v>1626</v>
      </c>
      <c r="C2179" s="10" t="s">
        <v>24</v>
      </c>
      <c r="D2179" s="10" t="s">
        <v>11</v>
      </c>
      <c r="E2179" s="10">
        <v>148</v>
      </c>
      <c r="F2179" s="10">
        <v>8.1999999999999993</v>
      </c>
      <c r="G2179" s="10">
        <v>15000000</v>
      </c>
      <c r="H2179" s="10">
        <v>18352454</v>
      </c>
      <c r="I2179" s="5">
        <f>IMDB_Movies!$H2179-IMDB_Movies!$G2179</f>
        <v>3352454</v>
      </c>
    </row>
    <row r="2180" spans="1:9" ht="23">
      <c r="A2180" s="2" t="s">
        <v>3147</v>
      </c>
      <c r="B2180" s="9" t="s">
        <v>680</v>
      </c>
      <c r="C2180" s="9" t="s">
        <v>138</v>
      </c>
      <c r="D2180" s="9" t="s">
        <v>11</v>
      </c>
      <c r="E2180" s="9">
        <v>108</v>
      </c>
      <c r="F2180" s="9">
        <v>5.9</v>
      </c>
      <c r="G2180" s="9">
        <v>20000000</v>
      </c>
      <c r="H2180" s="9">
        <v>17803796</v>
      </c>
      <c r="I2180" s="5">
        <f>IMDB_Movies!$H2180-IMDB_Movies!$G2180</f>
        <v>-2196204</v>
      </c>
    </row>
    <row r="2181" spans="1:9" ht="23">
      <c r="A2181" s="3" t="s">
        <v>3148</v>
      </c>
      <c r="B2181" s="10" t="s">
        <v>3149</v>
      </c>
      <c r="C2181" s="10" t="s">
        <v>24</v>
      </c>
      <c r="D2181" s="10" t="s">
        <v>11</v>
      </c>
      <c r="E2181" s="10">
        <v>95</v>
      </c>
      <c r="F2181" s="10">
        <v>5</v>
      </c>
      <c r="G2181" s="10">
        <v>20000000</v>
      </c>
      <c r="H2181" s="10">
        <v>17529157</v>
      </c>
      <c r="I2181" s="5">
        <f>IMDB_Movies!$H2181-IMDB_Movies!$G2181</f>
        <v>-2470843</v>
      </c>
    </row>
    <row r="2182" spans="1:9" ht="23">
      <c r="A2182" s="2" t="s">
        <v>3150</v>
      </c>
      <c r="B2182" s="9" t="s">
        <v>1327</v>
      </c>
      <c r="C2182" s="9" t="s">
        <v>414</v>
      </c>
      <c r="D2182" s="9" t="s">
        <v>11</v>
      </c>
      <c r="E2182" s="9">
        <v>108</v>
      </c>
      <c r="F2182" s="9">
        <v>7.3</v>
      </c>
      <c r="G2182" s="9">
        <v>19000000</v>
      </c>
      <c r="H2182" s="9">
        <v>25753840</v>
      </c>
      <c r="I2182" s="5">
        <f>IMDB_Movies!$H2182-IMDB_Movies!$G2182</f>
        <v>6753840</v>
      </c>
    </row>
    <row r="2183" spans="1:9" ht="23">
      <c r="A2183" s="3" t="s">
        <v>3151</v>
      </c>
      <c r="B2183" s="10" t="s">
        <v>3152</v>
      </c>
      <c r="C2183" s="10" t="s">
        <v>116</v>
      </c>
      <c r="D2183" s="10" t="s">
        <v>11</v>
      </c>
      <c r="E2183" s="10">
        <v>68</v>
      </c>
      <c r="F2183" s="10">
        <v>6.4</v>
      </c>
      <c r="G2183" s="10">
        <v>20000000</v>
      </c>
      <c r="H2183" s="10">
        <v>18081626</v>
      </c>
      <c r="I2183" s="5">
        <f>IMDB_Movies!$H2183-IMDB_Movies!$G2183</f>
        <v>-1918374</v>
      </c>
    </row>
    <row r="2184" spans="1:9" ht="23">
      <c r="A2184" s="2" t="s">
        <v>3153</v>
      </c>
      <c r="B2184" s="9" t="s">
        <v>2579</v>
      </c>
      <c r="C2184" s="9" t="s">
        <v>138</v>
      </c>
      <c r="D2184" s="9" t="s">
        <v>11</v>
      </c>
      <c r="E2184" s="9">
        <v>103</v>
      </c>
      <c r="F2184" s="9">
        <v>6.6</v>
      </c>
      <c r="G2184" s="9">
        <v>20000000</v>
      </c>
      <c r="H2184" s="9">
        <v>17518220</v>
      </c>
      <c r="I2184" s="5">
        <f>IMDB_Movies!$H2184-IMDB_Movies!$G2184</f>
        <v>-2481780</v>
      </c>
    </row>
    <row r="2185" spans="1:9" ht="23">
      <c r="A2185" s="3" t="s">
        <v>3154</v>
      </c>
      <c r="B2185" s="10" t="s">
        <v>3155</v>
      </c>
      <c r="C2185" s="10" t="s">
        <v>10</v>
      </c>
      <c r="D2185" s="10" t="s">
        <v>2005</v>
      </c>
      <c r="E2185" s="10">
        <v>99</v>
      </c>
      <c r="F2185" s="10">
        <v>7.8</v>
      </c>
      <c r="G2185" s="10">
        <v>20000000</v>
      </c>
      <c r="H2185" s="10">
        <v>17104669</v>
      </c>
      <c r="I2185" s="5">
        <f>IMDB_Movies!$H2185-IMDB_Movies!$G2185</f>
        <v>-2895331</v>
      </c>
    </row>
    <row r="2186" spans="1:9" ht="23">
      <c r="A2186" s="2" t="s">
        <v>3156</v>
      </c>
      <c r="B2186" s="9" t="s">
        <v>3157</v>
      </c>
      <c r="C2186" s="9" t="s">
        <v>138</v>
      </c>
      <c r="D2186" s="9" t="s">
        <v>11</v>
      </c>
      <c r="E2186" s="9">
        <v>88</v>
      </c>
      <c r="F2186" s="9">
        <v>4</v>
      </c>
      <c r="G2186" s="9">
        <v>35000000</v>
      </c>
      <c r="H2186" s="9">
        <v>16988996</v>
      </c>
      <c r="I2186" s="5">
        <f>IMDB_Movies!$H2186-IMDB_Movies!$G2186</f>
        <v>-18011004</v>
      </c>
    </row>
    <row r="2187" spans="1:9" ht="23">
      <c r="A2187" s="3" t="s">
        <v>3158</v>
      </c>
      <c r="B2187" s="10" t="s">
        <v>34</v>
      </c>
      <c r="C2187" s="10" t="s">
        <v>56</v>
      </c>
      <c r="D2187" s="10" t="s">
        <v>3159</v>
      </c>
      <c r="E2187" s="10">
        <v>128</v>
      </c>
      <c r="F2187" s="10">
        <v>7.6</v>
      </c>
      <c r="G2187" s="10">
        <v>20000000</v>
      </c>
      <c r="H2187" s="10">
        <v>15797907</v>
      </c>
      <c r="I2187" s="5">
        <f>IMDB_Movies!$H2187-IMDB_Movies!$G2187</f>
        <v>-4202093</v>
      </c>
    </row>
    <row r="2188" spans="1:9" ht="23">
      <c r="A2188" s="2" t="s">
        <v>3160</v>
      </c>
      <c r="B2188" s="9" t="s">
        <v>305</v>
      </c>
      <c r="C2188" s="9" t="s">
        <v>56</v>
      </c>
      <c r="D2188" s="9" t="s">
        <v>11</v>
      </c>
      <c r="E2188" s="9">
        <v>124</v>
      </c>
      <c r="F2188" s="9">
        <v>7.7</v>
      </c>
      <c r="G2188" s="9">
        <v>20000000</v>
      </c>
      <c r="H2188" s="9">
        <v>16248701</v>
      </c>
      <c r="I2188" s="5">
        <f>IMDB_Movies!$H2188-IMDB_Movies!$G2188</f>
        <v>-3751299</v>
      </c>
    </row>
    <row r="2189" spans="1:9" ht="23">
      <c r="A2189" s="3" t="s">
        <v>3161</v>
      </c>
      <c r="B2189" s="10" t="s">
        <v>3162</v>
      </c>
      <c r="C2189" s="10" t="s">
        <v>10</v>
      </c>
      <c r="D2189" s="10" t="s">
        <v>11</v>
      </c>
      <c r="E2189" s="10">
        <v>84</v>
      </c>
      <c r="F2189" s="10">
        <v>5.8</v>
      </c>
      <c r="G2189" s="10">
        <v>20000000</v>
      </c>
      <c r="H2189" s="10">
        <v>15712072</v>
      </c>
      <c r="I2189" s="5">
        <f>IMDB_Movies!$H2189-IMDB_Movies!$G2189</f>
        <v>-4287928</v>
      </c>
    </row>
    <row r="2190" spans="1:9" ht="23">
      <c r="A2190" s="2" t="s">
        <v>3163</v>
      </c>
      <c r="B2190" s="9" t="s">
        <v>3164</v>
      </c>
      <c r="C2190" s="9" t="s">
        <v>138</v>
      </c>
      <c r="D2190" s="9" t="s">
        <v>11</v>
      </c>
      <c r="E2190" s="9">
        <v>101</v>
      </c>
      <c r="F2190" s="9">
        <v>5.6</v>
      </c>
      <c r="G2190" s="9">
        <v>20000000</v>
      </c>
      <c r="H2190" s="9">
        <v>15408822</v>
      </c>
      <c r="I2190" s="5">
        <f>IMDB_Movies!$H2190-IMDB_Movies!$G2190</f>
        <v>-4591178</v>
      </c>
    </row>
    <row r="2191" spans="1:9" ht="23">
      <c r="A2191" s="3" t="s">
        <v>3165</v>
      </c>
      <c r="B2191" s="10" t="s">
        <v>3166</v>
      </c>
      <c r="C2191" s="10" t="s">
        <v>138</v>
      </c>
      <c r="D2191" s="10" t="s">
        <v>11</v>
      </c>
      <c r="E2191" s="10">
        <v>98</v>
      </c>
      <c r="F2191" s="10">
        <v>5.3</v>
      </c>
      <c r="G2191" s="10">
        <v>20000000</v>
      </c>
      <c r="H2191" s="10">
        <v>15464026</v>
      </c>
      <c r="I2191" s="5">
        <f>IMDB_Movies!$H2191-IMDB_Movies!$G2191</f>
        <v>-4535974</v>
      </c>
    </row>
    <row r="2192" spans="1:9" ht="23">
      <c r="A2192" s="2" t="s">
        <v>3167</v>
      </c>
      <c r="B2192" s="9" t="s">
        <v>3168</v>
      </c>
      <c r="C2192" s="9" t="s">
        <v>414</v>
      </c>
      <c r="D2192" s="9" t="s">
        <v>11</v>
      </c>
      <c r="E2192" s="9">
        <v>105</v>
      </c>
      <c r="F2192" s="9">
        <v>7.4</v>
      </c>
      <c r="G2192" s="9">
        <v>20000000</v>
      </c>
      <c r="H2192" s="9">
        <v>14359793</v>
      </c>
      <c r="I2192" s="5">
        <f>IMDB_Movies!$H2192-IMDB_Movies!$G2192</f>
        <v>-5640207</v>
      </c>
    </row>
    <row r="2193" spans="1:9" ht="23">
      <c r="A2193" s="3" t="s">
        <v>3169</v>
      </c>
      <c r="B2193" s="10" t="s">
        <v>3170</v>
      </c>
      <c r="C2193" s="10" t="s">
        <v>418</v>
      </c>
      <c r="D2193" s="10" t="s">
        <v>11</v>
      </c>
      <c r="E2193" s="10">
        <v>225</v>
      </c>
      <c r="F2193" s="10">
        <v>6.6</v>
      </c>
      <c r="G2193" s="10">
        <v>20000000</v>
      </c>
      <c r="H2193" s="10">
        <v>8000000</v>
      </c>
      <c r="I2193" s="5">
        <f>IMDB_Movies!$H2193-IMDB_Movies!$G2193</f>
        <v>-12000000</v>
      </c>
    </row>
    <row r="2194" spans="1:9" ht="23">
      <c r="A2194" s="2" t="s">
        <v>3171</v>
      </c>
      <c r="B2194" s="9" t="s">
        <v>3172</v>
      </c>
      <c r="C2194" s="9" t="s">
        <v>414</v>
      </c>
      <c r="D2194" s="9" t="s">
        <v>11</v>
      </c>
      <c r="E2194" s="9">
        <v>111</v>
      </c>
      <c r="F2194" s="9">
        <v>6.2</v>
      </c>
      <c r="G2194" s="9">
        <v>19500000</v>
      </c>
      <c r="H2194" s="9">
        <v>25078937</v>
      </c>
      <c r="I2194" s="5">
        <f>IMDB_Movies!$H2194-IMDB_Movies!$G2194</f>
        <v>5578937</v>
      </c>
    </row>
    <row r="2195" spans="1:9" ht="23">
      <c r="A2195" s="3" t="s">
        <v>3173</v>
      </c>
      <c r="B2195" s="10" t="s">
        <v>2340</v>
      </c>
      <c r="C2195" s="10" t="s">
        <v>138</v>
      </c>
      <c r="D2195" s="10" t="s">
        <v>11</v>
      </c>
      <c r="E2195" s="10">
        <v>88</v>
      </c>
      <c r="F2195" s="10">
        <v>1.9</v>
      </c>
      <c r="G2195" s="10">
        <v>25000000</v>
      </c>
      <c r="H2195" s="10">
        <v>14174654</v>
      </c>
      <c r="I2195" s="5">
        <f>IMDB_Movies!$H2195-IMDB_Movies!$G2195</f>
        <v>-10825346</v>
      </c>
    </row>
    <row r="2196" spans="1:9" ht="23">
      <c r="A2196" s="2" t="s">
        <v>3174</v>
      </c>
      <c r="B2196" s="9" t="s">
        <v>1783</v>
      </c>
      <c r="C2196" s="9" t="s">
        <v>10</v>
      </c>
      <c r="D2196" s="9" t="s">
        <v>11</v>
      </c>
      <c r="E2196" s="9">
        <v>88</v>
      </c>
      <c r="F2196" s="9">
        <v>5.7</v>
      </c>
      <c r="G2196" s="9">
        <v>27000000</v>
      </c>
      <c r="H2196" s="9">
        <v>15988876</v>
      </c>
      <c r="I2196" s="5">
        <f>IMDB_Movies!$H2196-IMDB_Movies!$G2196</f>
        <v>-11011124</v>
      </c>
    </row>
    <row r="2197" spans="1:9" ht="23">
      <c r="A2197" s="3" t="s">
        <v>3175</v>
      </c>
      <c r="B2197" s="10" t="s">
        <v>660</v>
      </c>
      <c r="C2197" s="10" t="s">
        <v>10</v>
      </c>
      <c r="D2197" s="10" t="s">
        <v>11</v>
      </c>
      <c r="E2197" s="10">
        <v>94</v>
      </c>
      <c r="F2197" s="10">
        <v>6.6</v>
      </c>
      <c r="G2197" s="10">
        <v>20000000</v>
      </c>
      <c r="H2197" s="10">
        <v>13801755</v>
      </c>
      <c r="I2197" s="5">
        <f>IMDB_Movies!$H2197-IMDB_Movies!$G2197</f>
        <v>-6198245</v>
      </c>
    </row>
    <row r="2198" spans="1:9" ht="23">
      <c r="A2198" s="2" t="s">
        <v>3176</v>
      </c>
      <c r="B2198" s="9" t="s">
        <v>3177</v>
      </c>
      <c r="C2198" s="9" t="s">
        <v>138</v>
      </c>
      <c r="D2198" s="9" t="s">
        <v>11</v>
      </c>
      <c r="E2198" s="9">
        <v>117</v>
      </c>
      <c r="F2198" s="9">
        <v>6</v>
      </c>
      <c r="G2198" s="9">
        <v>20000000</v>
      </c>
      <c r="H2198" s="9">
        <v>13987482</v>
      </c>
      <c r="I2198" s="5">
        <f>IMDB_Movies!$H2198-IMDB_Movies!$G2198</f>
        <v>-6012518</v>
      </c>
    </row>
    <row r="2199" spans="1:9" ht="23">
      <c r="A2199" s="3" t="s">
        <v>3178</v>
      </c>
      <c r="B2199" s="10" t="s">
        <v>3179</v>
      </c>
      <c r="C2199" s="10" t="s">
        <v>10</v>
      </c>
      <c r="D2199" s="10" t="s">
        <v>11</v>
      </c>
      <c r="E2199" s="10">
        <v>95</v>
      </c>
      <c r="F2199" s="10">
        <v>6.1</v>
      </c>
      <c r="G2199" s="10">
        <v>20000000</v>
      </c>
      <c r="H2199" s="10">
        <v>14291570</v>
      </c>
      <c r="I2199" s="5">
        <f>IMDB_Movies!$H2199-IMDB_Movies!$G2199</f>
        <v>-5708430</v>
      </c>
    </row>
    <row r="2200" spans="1:9" ht="23">
      <c r="A2200" s="2" t="s">
        <v>3180</v>
      </c>
      <c r="B2200" s="9" t="s">
        <v>834</v>
      </c>
      <c r="C2200" s="9" t="s">
        <v>138</v>
      </c>
      <c r="D2200" s="9" t="s">
        <v>11</v>
      </c>
      <c r="E2200" s="9">
        <v>99</v>
      </c>
      <c r="F2200" s="9">
        <v>4.8</v>
      </c>
      <c r="G2200" s="9">
        <v>40000000</v>
      </c>
      <c r="H2200" s="9">
        <v>12181484</v>
      </c>
      <c r="I2200" s="5">
        <f>IMDB_Movies!$H2200-IMDB_Movies!$G2200</f>
        <v>-27818516</v>
      </c>
    </row>
    <row r="2201" spans="1:9" ht="23">
      <c r="A2201" s="3" t="s">
        <v>3181</v>
      </c>
      <c r="B2201" s="10" t="s">
        <v>1225</v>
      </c>
      <c r="C2201" s="10" t="s">
        <v>10</v>
      </c>
      <c r="D2201" s="10" t="s">
        <v>11</v>
      </c>
      <c r="E2201" s="10">
        <v>96</v>
      </c>
      <c r="F2201" s="10">
        <v>6.2</v>
      </c>
      <c r="G2201" s="10">
        <v>20000000</v>
      </c>
      <c r="H2201" s="10">
        <v>13630226</v>
      </c>
      <c r="I2201" s="5">
        <f>IMDB_Movies!$H2201-IMDB_Movies!$G2201</f>
        <v>-6369774</v>
      </c>
    </row>
    <row r="2202" spans="1:9" ht="23">
      <c r="A2202" s="2" t="s">
        <v>3182</v>
      </c>
      <c r="B2202" s="9" t="s">
        <v>2304</v>
      </c>
      <c r="C2202" s="9" t="s">
        <v>138</v>
      </c>
      <c r="D2202" s="9" t="s">
        <v>11</v>
      </c>
      <c r="E2202" s="9">
        <v>98</v>
      </c>
      <c r="F2202" s="9">
        <v>7.5</v>
      </c>
      <c r="G2202" s="9">
        <v>20000000</v>
      </c>
      <c r="H2202" s="9">
        <v>13383737</v>
      </c>
      <c r="I2202" s="5">
        <f>IMDB_Movies!$H2202-IMDB_Movies!$G2202</f>
        <v>-6616263</v>
      </c>
    </row>
    <row r="2203" spans="1:9" ht="23">
      <c r="A2203" s="3" t="s">
        <v>3183</v>
      </c>
      <c r="B2203" s="10" t="s">
        <v>3184</v>
      </c>
      <c r="C2203" s="10" t="s">
        <v>418</v>
      </c>
      <c r="D2203" s="10" t="s">
        <v>11</v>
      </c>
      <c r="E2203" s="10">
        <v>123</v>
      </c>
      <c r="F2203" s="10">
        <v>6.3</v>
      </c>
      <c r="G2203" s="10">
        <v>20000000</v>
      </c>
      <c r="H2203" s="10">
        <v>13391174</v>
      </c>
      <c r="I2203" s="5">
        <f>IMDB_Movies!$H2203-IMDB_Movies!$G2203</f>
        <v>-6608826</v>
      </c>
    </row>
    <row r="2204" spans="1:9" ht="23">
      <c r="A2204" s="2" t="s">
        <v>3185</v>
      </c>
      <c r="B2204" s="9" t="s">
        <v>323</v>
      </c>
      <c r="C2204" s="9" t="s">
        <v>56</v>
      </c>
      <c r="D2204" s="9" t="s">
        <v>11</v>
      </c>
      <c r="E2204" s="9">
        <v>101</v>
      </c>
      <c r="F2204" s="9">
        <v>7.1</v>
      </c>
      <c r="G2204" s="9">
        <v>30000000</v>
      </c>
      <c r="H2204" s="9">
        <v>12987647</v>
      </c>
      <c r="I2204" s="5">
        <f>IMDB_Movies!$H2204-IMDB_Movies!$G2204</f>
        <v>-17012353</v>
      </c>
    </row>
    <row r="2205" spans="1:9" ht="23">
      <c r="A2205" s="3" t="s">
        <v>3186</v>
      </c>
      <c r="B2205" s="10" t="s">
        <v>13</v>
      </c>
      <c r="C2205" s="10" t="s">
        <v>138</v>
      </c>
      <c r="D2205" s="10" t="s">
        <v>11</v>
      </c>
      <c r="E2205" s="10">
        <v>102</v>
      </c>
      <c r="F2205" s="10">
        <v>6.6</v>
      </c>
      <c r="G2205" s="10">
        <v>22000000</v>
      </c>
      <c r="H2205" s="10">
        <v>12469811</v>
      </c>
      <c r="I2205" s="5">
        <f>IMDB_Movies!$H2205-IMDB_Movies!$G2205</f>
        <v>-9530189</v>
      </c>
    </row>
    <row r="2206" spans="1:9" ht="23">
      <c r="A2206" s="2" t="s">
        <v>3187</v>
      </c>
      <c r="B2206" s="9" t="s">
        <v>1180</v>
      </c>
      <c r="C2206" s="9" t="s">
        <v>10</v>
      </c>
      <c r="D2206" s="9" t="s">
        <v>11</v>
      </c>
      <c r="E2206" s="9">
        <v>94</v>
      </c>
      <c r="F2206" s="9">
        <v>6.1</v>
      </c>
      <c r="G2206" s="9">
        <v>20000000</v>
      </c>
      <c r="H2206" s="9">
        <v>12398628</v>
      </c>
      <c r="I2206" s="5">
        <f>IMDB_Movies!$H2206-IMDB_Movies!$G2206</f>
        <v>-7601372</v>
      </c>
    </row>
    <row r="2207" spans="1:9" ht="23">
      <c r="A2207" s="3" t="s">
        <v>3188</v>
      </c>
      <c r="B2207" s="10" t="s">
        <v>1193</v>
      </c>
      <c r="C2207" s="10" t="s">
        <v>138</v>
      </c>
      <c r="D2207" s="10" t="s">
        <v>11</v>
      </c>
      <c r="E2207" s="10">
        <v>102</v>
      </c>
      <c r="F2207" s="10">
        <v>6.7</v>
      </c>
      <c r="G2207" s="10">
        <v>20000000</v>
      </c>
      <c r="H2207" s="10">
        <v>13214030</v>
      </c>
      <c r="I2207" s="5">
        <f>IMDB_Movies!$H2207-IMDB_Movies!$G2207</f>
        <v>-6785970</v>
      </c>
    </row>
    <row r="2208" spans="1:9" ht="23">
      <c r="A2208" s="2" t="s">
        <v>3189</v>
      </c>
      <c r="B2208" s="9" t="s">
        <v>557</v>
      </c>
      <c r="C2208" s="9" t="s">
        <v>10</v>
      </c>
      <c r="D2208" s="9" t="s">
        <v>11</v>
      </c>
      <c r="E2208" s="9">
        <v>108</v>
      </c>
      <c r="F2208" s="9">
        <v>5.6</v>
      </c>
      <c r="G2208" s="9">
        <v>22000000</v>
      </c>
      <c r="H2208" s="9">
        <v>12232937</v>
      </c>
      <c r="I2208" s="5">
        <f>IMDB_Movies!$H2208-IMDB_Movies!$G2208</f>
        <v>-9767063</v>
      </c>
    </row>
    <row r="2209" spans="1:9" ht="23">
      <c r="A2209" s="3" t="s">
        <v>3190</v>
      </c>
      <c r="B2209" s="10" t="s">
        <v>153</v>
      </c>
      <c r="C2209" s="10" t="s">
        <v>56</v>
      </c>
      <c r="D2209" s="10" t="s">
        <v>11</v>
      </c>
      <c r="E2209" s="10">
        <v>116</v>
      </c>
      <c r="F2209" s="10">
        <v>7.2</v>
      </c>
      <c r="G2209" s="10">
        <v>20000000</v>
      </c>
      <c r="H2209" s="10">
        <v>12134420</v>
      </c>
      <c r="I2209" s="5">
        <f>IMDB_Movies!$H2209-IMDB_Movies!$G2209</f>
        <v>-7865580</v>
      </c>
    </row>
    <row r="2210" spans="1:9" ht="23">
      <c r="A2210" s="2" t="s">
        <v>3191</v>
      </c>
      <c r="B2210" s="9" t="s">
        <v>3192</v>
      </c>
      <c r="C2210" s="9" t="s">
        <v>10</v>
      </c>
      <c r="D2210" s="9" t="s">
        <v>11</v>
      </c>
      <c r="E2210" s="9">
        <v>93</v>
      </c>
      <c r="F2210" s="9">
        <v>4.3</v>
      </c>
      <c r="G2210" s="9">
        <v>20000000</v>
      </c>
      <c r="H2210" s="9">
        <v>11784000</v>
      </c>
      <c r="I2210" s="5">
        <f>IMDB_Movies!$H2210-IMDB_Movies!$G2210</f>
        <v>-8216000</v>
      </c>
    </row>
    <row r="2211" spans="1:9" ht="23">
      <c r="A2211" s="3" t="s">
        <v>3193</v>
      </c>
      <c r="B2211" s="10" t="s">
        <v>421</v>
      </c>
      <c r="C2211" s="10" t="s">
        <v>138</v>
      </c>
      <c r="D2211" s="10" t="s">
        <v>11</v>
      </c>
      <c r="E2211" s="10">
        <v>102</v>
      </c>
      <c r="F2211" s="10">
        <v>6.4</v>
      </c>
      <c r="G2211" s="10">
        <v>20000000</v>
      </c>
      <c r="H2211" s="10">
        <v>11169531</v>
      </c>
      <c r="I2211" s="5">
        <f>IMDB_Movies!$H2211-IMDB_Movies!$G2211</f>
        <v>-8830469</v>
      </c>
    </row>
    <row r="2212" spans="1:9" ht="23">
      <c r="A2212" s="2" t="s">
        <v>3194</v>
      </c>
      <c r="B2212" s="9" t="s">
        <v>1548</v>
      </c>
      <c r="C2212" s="9" t="s">
        <v>138</v>
      </c>
      <c r="D2212" s="9" t="s">
        <v>11</v>
      </c>
      <c r="E2212" s="9">
        <v>103</v>
      </c>
      <c r="F2212" s="9">
        <v>7.1</v>
      </c>
      <c r="G2212" s="9">
        <v>20000000</v>
      </c>
      <c r="H2212" s="9">
        <v>11034436</v>
      </c>
      <c r="I2212" s="5">
        <f>IMDB_Movies!$H2212-IMDB_Movies!$G2212</f>
        <v>-8965564</v>
      </c>
    </row>
    <row r="2213" spans="1:9" ht="23">
      <c r="A2213" s="3" t="s">
        <v>3195</v>
      </c>
      <c r="B2213" s="10" t="s">
        <v>2800</v>
      </c>
      <c r="C2213" s="10" t="s">
        <v>10</v>
      </c>
      <c r="D2213" s="10" t="s">
        <v>11</v>
      </c>
      <c r="E2213" s="10">
        <v>115</v>
      </c>
      <c r="F2213" s="10">
        <v>6.3</v>
      </c>
      <c r="G2213" s="10">
        <v>20000000</v>
      </c>
      <c r="H2213" s="10">
        <v>12626905</v>
      </c>
      <c r="I2213" s="5">
        <f>IMDB_Movies!$H2213-IMDB_Movies!$G2213</f>
        <v>-7373095</v>
      </c>
    </row>
    <row r="2214" spans="1:9" ht="23">
      <c r="A2214" s="2" t="s">
        <v>3196</v>
      </c>
      <c r="B2214" s="9" t="s">
        <v>2304</v>
      </c>
      <c r="C2214" s="9" t="s">
        <v>138</v>
      </c>
      <c r="D2214" s="9" t="s">
        <v>11</v>
      </c>
      <c r="E2214" s="9">
        <v>96</v>
      </c>
      <c r="F2214" s="9">
        <v>7.4</v>
      </c>
      <c r="G2214" s="9">
        <v>20000000</v>
      </c>
      <c r="H2214" s="9">
        <v>10569071</v>
      </c>
      <c r="I2214" s="5">
        <f>IMDB_Movies!$H2214-IMDB_Movies!$G2214</f>
        <v>-9430929</v>
      </c>
    </row>
    <row r="2215" spans="1:9" ht="23">
      <c r="A2215" s="3" t="s">
        <v>3197</v>
      </c>
      <c r="B2215" s="10" t="s">
        <v>3198</v>
      </c>
      <c r="C2215" s="10" t="s">
        <v>138</v>
      </c>
      <c r="D2215" s="10" t="s">
        <v>11</v>
      </c>
      <c r="E2215" s="10">
        <v>98</v>
      </c>
      <c r="F2215" s="10">
        <v>6.1</v>
      </c>
      <c r="G2215" s="10">
        <v>20000000</v>
      </c>
      <c r="H2215" s="10">
        <v>10544143</v>
      </c>
      <c r="I2215" s="5">
        <f>IMDB_Movies!$H2215-IMDB_Movies!$G2215</f>
        <v>-9455857</v>
      </c>
    </row>
    <row r="2216" spans="1:9" ht="23">
      <c r="A2216" s="2" t="s">
        <v>3199</v>
      </c>
      <c r="B2216" s="9" t="s">
        <v>2729</v>
      </c>
      <c r="C2216" s="9" t="s">
        <v>138</v>
      </c>
      <c r="D2216" s="9" t="s">
        <v>11</v>
      </c>
      <c r="E2216" s="9">
        <v>101</v>
      </c>
      <c r="F2216" s="9">
        <v>6.6</v>
      </c>
      <c r="G2216" s="9">
        <v>20000000</v>
      </c>
      <c r="H2216" s="9">
        <v>13650738</v>
      </c>
      <c r="I2216" s="5">
        <f>IMDB_Movies!$H2216-IMDB_Movies!$G2216</f>
        <v>-6349262</v>
      </c>
    </row>
    <row r="2217" spans="1:9" ht="23">
      <c r="A2217" s="3" t="s">
        <v>3200</v>
      </c>
      <c r="B2217" s="10" t="s">
        <v>1372</v>
      </c>
      <c r="C2217" s="10" t="s">
        <v>138</v>
      </c>
      <c r="D2217" s="10" t="s">
        <v>11</v>
      </c>
      <c r="E2217" s="10">
        <v>106</v>
      </c>
      <c r="F2217" s="10">
        <v>6</v>
      </c>
      <c r="G2217" s="10">
        <v>20000000</v>
      </c>
      <c r="H2217" s="10">
        <v>10555348</v>
      </c>
      <c r="I2217" s="5">
        <f>IMDB_Movies!$H2217-IMDB_Movies!$G2217</f>
        <v>-9444652</v>
      </c>
    </row>
    <row r="2218" spans="1:9" ht="23">
      <c r="A2218" s="2" t="s">
        <v>3201</v>
      </c>
      <c r="B2218" s="9" t="s">
        <v>2304</v>
      </c>
      <c r="C2218" s="9" t="s">
        <v>138</v>
      </c>
      <c r="D2218" s="9" t="s">
        <v>11</v>
      </c>
      <c r="E2218" s="9">
        <v>101</v>
      </c>
      <c r="F2218" s="9">
        <v>6.8</v>
      </c>
      <c r="G2218" s="9">
        <v>20000000</v>
      </c>
      <c r="H2218" s="9">
        <v>9714482</v>
      </c>
      <c r="I2218" s="5">
        <f>IMDB_Movies!$H2218-IMDB_Movies!$G2218</f>
        <v>-10285518</v>
      </c>
    </row>
    <row r="2219" spans="1:9" ht="23">
      <c r="A2219" s="3" t="s">
        <v>3202</v>
      </c>
      <c r="B2219" s="10" t="s">
        <v>89</v>
      </c>
      <c r="C2219" s="10" t="s">
        <v>10</v>
      </c>
      <c r="D2219" s="10" t="s">
        <v>11</v>
      </c>
      <c r="E2219" s="10">
        <v>111</v>
      </c>
      <c r="F2219" s="10">
        <v>6.8</v>
      </c>
      <c r="G2219" s="10">
        <v>20000000</v>
      </c>
      <c r="H2219" s="10">
        <v>9525276</v>
      </c>
      <c r="I2219" s="5">
        <f>IMDB_Movies!$H2219-IMDB_Movies!$G2219</f>
        <v>-10474724</v>
      </c>
    </row>
    <row r="2220" spans="1:9" ht="23">
      <c r="A2220" s="2" t="s">
        <v>3203</v>
      </c>
      <c r="B2220" s="9" t="s">
        <v>1965</v>
      </c>
      <c r="C2220" s="9" t="s">
        <v>24</v>
      </c>
      <c r="D2220" s="9" t="s">
        <v>11</v>
      </c>
      <c r="E2220" s="9">
        <v>99</v>
      </c>
      <c r="F2220" s="9">
        <v>7.2</v>
      </c>
      <c r="G2220" s="9">
        <v>21000000</v>
      </c>
      <c r="H2220" s="9">
        <v>8855646</v>
      </c>
      <c r="I2220" s="5">
        <f>IMDB_Movies!$H2220-IMDB_Movies!$G2220</f>
        <v>-12144354</v>
      </c>
    </row>
    <row r="2221" spans="1:9" ht="23">
      <c r="A2221" s="3" t="s">
        <v>3204</v>
      </c>
      <c r="B2221" s="10" t="s">
        <v>3205</v>
      </c>
      <c r="C2221" s="10" t="s">
        <v>138</v>
      </c>
      <c r="D2221" s="10" t="s">
        <v>11</v>
      </c>
      <c r="E2221" s="10">
        <v>88</v>
      </c>
      <c r="F2221" s="10">
        <v>1.9</v>
      </c>
      <c r="G2221" s="10">
        <v>20000000</v>
      </c>
      <c r="H2221" s="10">
        <v>9109322</v>
      </c>
      <c r="I2221" s="5">
        <f>IMDB_Movies!$H2221-IMDB_Movies!$G2221</f>
        <v>-10890678</v>
      </c>
    </row>
    <row r="2222" spans="1:9" ht="23">
      <c r="A2222" s="2" t="s">
        <v>3206</v>
      </c>
      <c r="B2222" s="9" t="s">
        <v>711</v>
      </c>
      <c r="C2222" s="9" t="s">
        <v>10</v>
      </c>
      <c r="D2222" s="9" t="s">
        <v>11</v>
      </c>
      <c r="E2222" s="9">
        <v>83</v>
      </c>
      <c r="F2222" s="9">
        <v>5.5</v>
      </c>
      <c r="G2222" s="9">
        <v>33000000</v>
      </c>
      <c r="H2222" s="9">
        <v>8326035</v>
      </c>
      <c r="I2222" s="5">
        <f>IMDB_Movies!$H2222-IMDB_Movies!$G2222</f>
        <v>-24673965</v>
      </c>
    </row>
    <row r="2223" spans="1:9" ht="23">
      <c r="A2223" s="3" t="s">
        <v>3207</v>
      </c>
      <c r="B2223" s="10" t="s">
        <v>711</v>
      </c>
      <c r="C2223" s="10" t="s">
        <v>10</v>
      </c>
      <c r="D2223" s="10" t="s">
        <v>11</v>
      </c>
      <c r="E2223" s="10">
        <v>91</v>
      </c>
      <c r="F2223" s="10">
        <v>4.5</v>
      </c>
      <c r="G2223" s="10">
        <v>20000000</v>
      </c>
      <c r="H2223" s="10">
        <v>8104069</v>
      </c>
      <c r="I2223" s="5">
        <f>IMDB_Movies!$H2223-IMDB_Movies!$G2223</f>
        <v>-11895931</v>
      </c>
    </row>
    <row r="2224" spans="1:9" ht="23">
      <c r="A2224" s="2" t="s">
        <v>3208</v>
      </c>
      <c r="B2224" s="9" t="s">
        <v>981</v>
      </c>
      <c r="C2224" s="9" t="s">
        <v>138</v>
      </c>
      <c r="D2224" s="9" t="s">
        <v>11</v>
      </c>
      <c r="E2224" s="9">
        <v>108</v>
      </c>
      <c r="F2224" s="9">
        <v>6.3</v>
      </c>
      <c r="G2224" s="9">
        <v>20000000</v>
      </c>
      <c r="H2224" s="9">
        <v>8054280</v>
      </c>
      <c r="I2224" s="5">
        <f>IMDB_Movies!$H2224-IMDB_Movies!$G2224</f>
        <v>-11945720</v>
      </c>
    </row>
    <row r="2225" spans="1:9" ht="23">
      <c r="A2225" s="3" t="s">
        <v>3209</v>
      </c>
      <c r="B2225" s="10" t="s">
        <v>654</v>
      </c>
      <c r="C2225" s="10" t="s">
        <v>138</v>
      </c>
      <c r="D2225" s="10" t="s">
        <v>11</v>
      </c>
      <c r="E2225" s="10">
        <v>154</v>
      </c>
      <c r="F2225" s="10">
        <v>7</v>
      </c>
      <c r="G2225" s="10">
        <v>20000000</v>
      </c>
      <c r="H2225" s="10">
        <v>25078937</v>
      </c>
      <c r="I2225" s="5">
        <f>IMDB_Movies!$H2225-IMDB_Movies!$G2225</f>
        <v>5078937</v>
      </c>
    </row>
    <row r="2226" spans="1:9" ht="23">
      <c r="A2226" s="2" t="s">
        <v>3210</v>
      </c>
      <c r="B2226" s="9" t="s">
        <v>1955</v>
      </c>
      <c r="C2226" s="9" t="s">
        <v>138</v>
      </c>
      <c r="D2226" s="9" t="s">
        <v>11</v>
      </c>
      <c r="E2226" s="9">
        <v>148</v>
      </c>
      <c r="F2226" s="9">
        <v>6.7</v>
      </c>
      <c r="G2226" s="9">
        <v>20000000</v>
      </c>
      <c r="H2226" s="9">
        <v>8093318</v>
      </c>
      <c r="I2226" s="5">
        <f>IMDB_Movies!$H2226-IMDB_Movies!$G2226</f>
        <v>-11906682</v>
      </c>
    </row>
    <row r="2227" spans="1:9" ht="23">
      <c r="A2227" s="3" t="s">
        <v>3211</v>
      </c>
      <c r="B2227" s="10" t="s">
        <v>3212</v>
      </c>
      <c r="C2227" s="10" t="s">
        <v>24</v>
      </c>
      <c r="D2227" s="10" t="s">
        <v>11</v>
      </c>
      <c r="E2227" s="10">
        <v>77</v>
      </c>
      <c r="F2227" s="10">
        <v>2.8</v>
      </c>
      <c r="G2227" s="10">
        <v>20000000</v>
      </c>
      <c r="H2227" s="10">
        <v>7382993</v>
      </c>
      <c r="I2227" s="5">
        <f>IMDB_Movies!$H2227-IMDB_Movies!$G2227</f>
        <v>-12617007</v>
      </c>
    </row>
    <row r="2228" spans="1:9" ht="23">
      <c r="A2228" s="2" t="s">
        <v>3213</v>
      </c>
      <c r="B2228" s="9" t="s">
        <v>3214</v>
      </c>
      <c r="C2228" s="9" t="s">
        <v>56</v>
      </c>
      <c r="D2228" s="9" t="s">
        <v>11</v>
      </c>
      <c r="E2228" s="9">
        <v>110</v>
      </c>
      <c r="F2228" s="9">
        <v>5</v>
      </c>
      <c r="G2228" s="9">
        <v>20000000</v>
      </c>
      <c r="H2228" s="9">
        <v>8888355</v>
      </c>
      <c r="I2228" s="5">
        <f>IMDB_Movies!$H2228-IMDB_Movies!$G2228</f>
        <v>-11111645</v>
      </c>
    </row>
    <row r="2229" spans="1:9" ht="23">
      <c r="A2229" s="3" t="s">
        <v>3215</v>
      </c>
      <c r="B2229" s="10" t="s">
        <v>1564</v>
      </c>
      <c r="C2229" s="10" t="s">
        <v>138</v>
      </c>
      <c r="D2229" s="10" t="s">
        <v>11</v>
      </c>
      <c r="E2229" s="10">
        <v>83</v>
      </c>
      <c r="F2229" s="10">
        <v>4.3</v>
      </c>
      <c r="G2229" s="10">
        <v>12000000</v>
      </c>
      <c r="H2229" s="10">
        <v>7001720</v>
      </c>
      <c r="I2229" s="5">
        <f>IMDB_Movies!$H2229-IMDB_Movies!$G2229</f>
        <v>-4998280</v>
      </c>
    </row>
    <row r="2230" spans="1:9" ht="23">
      <c r="A2230" s="2" t="s">
        <v>3216</v>
      </c>
      <c r="B2230" s="9" t="s">
        <v>1327</v>
      </c>
      <c r="C2230" s="9" t="s">
        <v>10</v>
      </c>
      <c r="D2230" s="9" t="s">
        <v>11</v>
      </c>
      <c r="E2230" s="9">
        <v>107</v>
      </c>
      <c r="F2230" s="9">
        <v>5.6</v>
      </c>
      <c r="G2230" s="9">
        <v>20000000</v>
      </c>
      <c r="H2230" s="9">
        <v>7268659</v>
      </c>
      <c r="I2230" s="5">
        <f>IMDB_Movies!$H2230-IMDB_Movies!$G2230</f>
        <v>-12731341</v>
      </c>
    </row>
    <row r="2231" spans="1:9" ht="23">
      <c r="A2231" s="3" t="s">
        <v>3217</v>
      </c>
      <c r="B2231" s="10" t="s">
        <v>3218</v>
      </c>
      <c r="C2231" s="10" t="s">
        <v>56</v>
      </c>
      <c r="D2231" s="10" t="s">
        <v>11</v>
      </c>
      <c r="E2231" s="10">
        <v>100</v>
      </c>
      <c r="F2231" s="10">
        <v>6.2</v>
      </c>
      <c r="G2231" s="10">
        <v>22000000</v>
      </c>
      <c r="H2231" s="10">
        <v>6852144</v>
      </c>
      <c r="I2231" s="5">
        <f>IMDB_Movies!$H2231-IMDB_Movies!$G2231</f>
        <v>-15147856</v>
      </c>
    </row>
    <row r="2232" spans="1:9" ht="23">
      <c r="A2232" s="2" t="s">
        <v>3219</v>
      </c>
      <c r="B2232" s="9" t="s">
        <v>2694</v>
      </c>
      <c r="C2232" s="9" t="s">
        <v>24</v>
      </c>
      <c r="D2232" s="9" t="s">
        <v>11</v>
      </c>
      <c r="E2232" s="9">
        <v>87</v>
      </c>
      <c r="F2232" s="9">
        <v>5.3</v>
      </c>
      <c r="G2232" s="9">
        <v>20000000</v>
      </c>
      <c r="H2232" s="9">
        <v>6563357</v>
      </c>
      <c r="I2232" s="5">
        <f>IMDB_Movies!$H2232-IMDB_Movies!$G2232</f>
        <v>-13436643</v>
      </c>
    </row>
    <row r="2233" spans="1:9" ht="23">
      <c r="A2233" s="3" t="s">
        <v>3220</v>
      </c>
      <c r="B2233" s="10" t="s">
        <v>3221</v>
      </c>
      <c r="C2233" s="10" t="s">
        <v>418</v>
      </c>
      <c r="D2233" s="10" t="s">
        <v>11</v>
      </c>
      <c r="E2233" s="10">
        <v>154</v>
      </c>
      <c r="F2233" s="10">
        <v>7.4</v>
      </c>
      <c r="G2233" s="10">
        <v>10000000</v>
      </c>
      <c r="H2233" s="10">
        <v>6201757</v>
      </c>
      <c r="I2233" s="5">
        <f>IMDB_Movies!$H2233-IMDB_Movies!$G2233</f>
        <v>-3798243</v>
      </c>
    </row>
    <row r="2234" spans="1:9" ht="23">
      <c r="A2234" s="2" t="s">
        <v>3222</v>
      </c>
      <c r="B2234" s="9" t="s">
        <v>3223</v>
      </c>
      <c r="C2234" s="9" t="s">
        <v>56</v>
      </c>
      <c r="D2234" s="9" t="s">
        <v>11</v>
      </c>
      <c r="E2234" s="9">
        <v>106</v>
      </c>
      <c r="F2234" s="9">
        <v>7.4</v>
      </c>
      <c r="G2234" s="9">
        <v>20000000</v>
      </c>
      <c r="H2234" s="9">
        <v>6420319</v>
      </c>
      <c r="I2234" s="5">
        <f>IMDB_Movies!$H2234-IMDB_Movies!$G2234</f>
        <v>-13579681</v>
      </c>
    </row>
    <row r="2235" spans="1:9" ht="23">
      <c r="A2235" s="3" t="s">
        <v>3224</v>
      </c>
      <c r="B2235" s="10" t="s">
        <v>1479</v>
      </c>
      <c r="C2235" s="10" t="s">
        <v>418</v>
      </c>
      <c r="D2235" s="10" t="s">
        <v>11</v>
      </c>
      <c r="E2235" s="10">
        <v>99</v>
      </c>
      <c r="F2235" s="10">
        <v>6.5</v>
      </c>
      <c r="G2235" s="10">
        <v>15000000</v>
      </c>
      <c r="H2235" s="10">
        <v>5702083</v>
      </c>
      <c r="I2235" s="5">
        <f>IMDB_Movies!$H2235-IMDB_Movies!$G2235</f>
        <v>-9297917</v>
      </c>
    </row>
    <row r="2236" spans="1:9" ht="23">
      <c r="A2236" s="2" t="s">
        <v>3225</v>
      </c>
      <c r="B2236" s="9" t="s">
        <v>2571</v>
      </c>
      <c r="C2236" s="9" t="s">
        <v>116</v>
      </c>
      <c r="D2236" s="9" t="s">
        <v>11</v>
      </c>
      <c r="E2236" s="9">
        <v>100</v>
      </c>
      <c r="F2236" s="9">
        <v>7.1</v>
      </c>
      <c r="G2236" s="9">
        <v>8700000</v>
      </c>
      <c r="H2236" s="9">
        <v>5480996</v>
      </c>
      <c r="I2236" s="5">
        <f>IMDB_Movies!$H2236-IMDB_Movies!$G2236</f>
        <v>-3219004</v>
      </c>
    </row>
    <row r="2237" spans="1:9" ht="23">
      <c r="A2237" s="3" t="s">
        <v>3226</v>
      </c>
      <c r="B2237" s="10" t="s">
        <v>201</v>
      </c>
      <c r="C2237" s="10" t="s">
        <v>418</v>
      </c>
      <c r="D2237" s="10" t="s">
        <v>11</v>
      </c>
      <c r="E2237" s="10">
        <v>116</v>
      </c>
      <c r="F2237" s="10">
        <v>7.2</v>
      </c>
      <c r="G2237" s="10">
        <v>20000000</v>
      </c>
      <c r="H2237" s="10">
        <v>6002756</v>
      </c>
      <c r="I2237" s="5">
        <f>IMDB_Movies!$H2237-IMDB_Movies!$G2237</f>
        <v>-13997244</v>
      </c>
    </row>
    <row r="2238" spans="1:9" ht="23">
      <c r="A2238" s="2" t="s">
        <v>3227</v>
      </c>
      <c r="B2238" s="9" t="s">
        <v>1195</v>
      </c>
      <c r="C2238" s="9" t="s">
        <v>810</v>
      </c>
      <c r="D2238" s="9" t="s">
        <v>11</v>
      </c>
      <c r="E2238" s="9">
        <v>94</v>
      </c>
      <c r="F2238" s="9">
        <v>2.2999999999999998</v>
      </c>
      <c r="G2238" s="9">
        <v>20000000</v>
      </c>
      <c r="H2238" s="9">
        <v>5132655</v>
      </c>
      <c r="I2238" s="5">
        <f>IMDB_Movies!$H2238-IMDB_Movies!$G2238</f>
        <v>-14867345</v>
      </c>
    </row>
    <row r="2239" spans="1:9" ht="23">
      <c r="A2239" s="3" t="s">
        <v>3228</v>
      </c>
      <c r="B2239" s="10" t="s">
        <v>2557</v>
      </c>
      <c r="C2239" s="10" t="s">
        <v>138</v>
      </c>
      <c r="D2239" s="10" t="s">
        <v>11</v>
      </c>
      <c r="E2239" s="10">
        <v>111</v>
      </c>
      <c r="F2239" s="10">
        <v>6.4</v>
      </c>
      <c r="G2239" s="10">
        <v>20000000</v>
      </c>
      <c r="H2239" s="10">
        <v>5205343</v>
      </c>
      <c r="I2239" s="5">
        <f>IMDB_Movies!$H2239-IMDB_Movies!$G2239</f>
        <v>-14794657</v>
      </c>
    </row>
    <row r="2240" spans="1:9" ht="23">
      <c r="A2240" s="2" t="s">
        <v>3229</v>
      </c>
      <c r="B2240" s="9" t="s">
        <v>3230</v>
      </c>
      <c r="C2240" s="9" t="s">
        <v>56</v>
      </c>
      <c r="D2240" s="9" t="s">
        <v>11</v>
      </c>
      <c r="E2240" s="9">
        <v>100</v>
      </c>
      <c r="F2240" s="9">
        <v>6.1</v>
      </c>
      <c r="G2240" s="9">
        <v>20000000</v>
      </c>
      <c r="H2240" s="9">
        <v>5005883</v>
      </c>
      <c r="I2240" s="5">
        <f>IMDB_Movies!$H2240-IMDB_Movies!$G2240</f>
        <v>-14994117</v>
      </c>
    </row>
    <row r="2241" spans="1:9" ht="23">
      <c r="A2241" s="3" t="s">
        <v>3231</v>
      </c>
      <c r="B2241" s="10" t="s">
        <v>3232</v>
      </c>
      <c r="C2241" s="10" t="s">
        <v>10</v>
      </c>
      <c r="D2241" s="10" t="s">
        <v>11</v>
      </c>
      <c r="E2241" s="10">
        <v>125</v>
      </c>
      <c r="F2241" s="10">
        <v>7</v>
      </c>
      <c r="G2241" s="10">
        <v>20000000</v>
      </c>
      <c r="H2241" s="10">
        <v>5749134</v>
      </c>
      <c r="I2241" s="5">
        <f>IMDB_Movies!$H2241-IMDB_Movies!$G2241</f>
        <v>-14250866</v>
      </c>
    </row>
    <row r="2242" spans="1:9" ht="23">
      <c r="A2242" s="2" t="s">
        <v>3233</v>
      </c>
      <c r="B2242" s="9" t="s">
        <v>3234</v>
      </c>
      <c r="C2242" s="9" t="s">
        <v>56</v>
      </c>
      <c r="D2242" s="9" t="s">
        <v>11</v>
      </c>
      <c r="E2242" s="9">
        <v>114</v>
      </c>
      <c r="F2242" s="9">
        <v>6.5</v>
      </c>
      <c r="G2242" s="9">
        <v>20000000</v>
      </c>
      <c r="H2242" s="9">
        <v>25078937</v>
      </c>
      <c r="I2242" s="5">
        <f>IMDB_Movies!$H2242-IMDB_Movies!$G2242</f>
        <v>5078937</v>
      </c>
    </row>
    <row r="2243" spans="1:9" ht="23">
      <c r="A2243" s="3" t="s">
        <v>3235</v>
      </c>
      <c r="B2243" s="10" t="s">
        <v>3236</v>
      </c>
      <c r="C2243" s="10" t="s">
        <v>418</v>
      </c>
      <c r="D2243" s="10" t="s">
        <v>11</v>
      </c>
      <c r="E2243" s="10">
        <v>119</v>
      </c>
      <c r="F2243" s="10">
        <v>7</v>
      </c>
      <c r="G2243" s="10">
        <v>20000000</v>
      </c>
      <c r="H2243" s="10">
        <v>4234040</v>
      </c>
      <c r="I2243" s="5">
        <f>IMDB_Movies!$H2243-IMDB_Movies!$G2243</f>
        <v>-15765960</v>
      </c>
    </row>
    <row r="2244" spans="1:9" ht="23">
      <c r="A2244" s="2" t="s">
        <v>3237</v>
      </c>
      <c r="B2244" s="9" t="s">
        <v>3238</v>
      </c>
      <c r="C2244" s="9" t="s">
        <v>418</v>
      </c>
      <c r="D2244" s="9" t="s">
        <v>11</v>
      </c>
      <c r="E2244" s="9">
        <v>135</v>
      </c>
      <c r="F2244" s="9">
        <v>7</v>
      </c>
      <c r="G2244" s="9">
        <v>20000000</v>
      </c>
      <c r="H2244" s="9">
        <v>4001121</v>
      </c>
      <c r="I2244" s="5">
        <f>IMDB_Movies!$H2244-IMDB_Movies!$G2244</f>
        <v>-15998879</v>
      </c>
    </row>
    <row r="2245" spans="1:9" ht="23">
      <c r="A2245" s="3" t="s">
        <v>3239</v>
      </c>
      <c r="B2245" s="10" t="s">
        <v>3240</v>
      </c>
      <c r="C2245" s="10" t="s">
        <v>10</v>
      </c>
      <c r="D2245" s="10" t="s">
        <v>11</v>
      </c>
      <c r="E2245" s="10">
        <v>93</v>
      </c>
      <c r="F2245" s="10">
        <v>4.9000000000000004</v>
      </c>
      <c r="G2245" s="10">
        <v>20000000</v>
      </c>
      <c r="H2245" s="10">
        <v>3749061</v>
      </c>
      <c r="I2245" s="5">
        <f>IMDB_Movies!$H2245-IMDB_Movies!$G2245</f>
        <v>-16250939</v>
      </c>
    </row>
    <row r="2246" spans="1:9" ht="23">
      <c r="A2246" s="2" t="s">
        <v>3241</v>
      </c>
      <c r="B2246" s="9" t="s">
        <v>2289</v>
      </c>
      <c r="C2246" s="9" t="s">
        <v>24</v>
      </c>
      <c r="D2246" s="9" t="s">
        <v>11</v>
      </c>
      <c r="E2246" s="9">
        <v>114</v>
      </c>
      <c r="F2246" s="9">
        <v>6.9</v>
      </c>
      <c r="G2246" s="9">
        <v>20000000</v>
      </c>
      <c r="H2246" s="9">
        <v>3519627</v>
      </c>
      <c r="I2246" s="5">
        <f>IMDB_Movies!$H2246-IMDB_Movies!$G2246</f>
        <v>-16480373</v>
      </c>
    </row>
    <row r="2247" spans="1:9" ht="23">
      <c r="A2247" s="3" t="s">
        <v>3242</v>
      </c>
      <c r="B2247" s="10" t="s">
        <v>3243</v>
      </c>
      <c r="C2247" s="10" t="s">
        <v>138</v>
      </c>
      <c r="D2247" s="10" t="s">
        <v>11</v>
      </c>
      <c r="E2247" s="10">
        <v>124</v>
      </c>
      <c r="F2247" s="10">
        <v>7.5</v>
      </c>
      <c r="G2247" s="10">
        <v>21000000</v>
      </c>
      <c r="H2247" s="10">
        <v>3081925</v>
      </c>
      <c r="I2247" s="5">
        <f>IMDB_Movies!$H2247-IMDB_Movies!$G2247</f>
        <v>-17918075</v>
      </c>
    </row>
    <row r="2248" spans="1:9" ht="23">
      <c r="A2248" s="2" t="s">
        <v>3244</v>
      </c>
      <c r="B2248" s="9" t="s">
        <v>2156</v>
      </c>
      <c r="C2248" s="9" t="s">
        <v>24</v>
      </c>
      <c r="D2248" s="9" t="s">
        <v>179</v>
      </c>
      <c r="E2248" s="9">
        <v>134</v>
      </c>
      <c r="F2248" s="9">
        <v>8.4</v>
      </c>
      <c r="G2248" s="9">
        <v>2400000000</v>
      </c>
      <c r="H2248" s="9">
        <v>2298191</v>
      </c>
      <c r="I2248" s="5">
        <f>IMDB_Movies!$H2248-IMDB_Movies!$G2248</f>
        <v>-2397701809</v>
      </c>
    </row>
    <row r="2249" spans="1:9" ht="23">
      <c r="A2249" s="3" t="s">
        <v>3245</v>
      </c>
      <c r="B2249" s="10" t="s">
        <v>2142</v>
      </c>
      <c r="C2249" s="10" t="s">
        <v>138</v>
      </c>
      <c r="D2249" s="10" t="s">
        <v>394</v>
      </c>
      <c r="E2249" s="10">
        <v>114</v>
      </c>
      <c r="F2249" s="10">
        <v>6.9</v>
      </c>
      <c r="G2249" s="10">
        <v>20000000</v>
      </c>
      <c r="H2249" s="10">
        <v>2353728</v>
      </c>
      <c r="I2249" s="5">
        <f>IMDB_Movies!$H2249-IMDB_Movies!$G2249</f>
        <v>-17646272</v>
      </c>
    </row>
    <row r="2250" spans="1:9" ht="23">
      <c r="A2250" s="2" t="s">
        <v>3246</v>
      </c>
      <c r="B2250" s="9" t="s">
        <v>3247</v>
      </c>
      <c r="C2250" s="9" t="s">
        <v>418</v>
      </c>
      <c r="D2250" s="9" t="s">
        <v>11</v>
      </c>
      <c r="E2250" s="9">
        <v>124</v>
      </c>
      <c r="F2250" s="9">
        <v>4.5</v>
      </c>
      <c r="G2250" s="9">
        <v>20000000</v>
      </c>
      <c r="H2250" s="9">
        <v>2000000</v>
      </c>
      <c r="I2250" s="5">
        <f>IMDB_Movies!$H2250-IMDB_Movies!$G2250</f>
        <v>-18000000</v>
      </c>
    </row>
    <row r="2251" spans="1:9" ht="23">
      <c r="A2251" s="3" t="s">
        <v>3248</v>
      </c>
      <c r="B2251" s="10" t="s">
        <v>2800</v>
      </c>
      <c r="C2251" s="10" t="s">
        <v>414</v>
      </c>
      <c r="D2251" s="10" t="s">
        <v>11</v>
      </c>
      <c r="E2251" s="10">
        <v>104</v>
      </c>
      <c r="F2251" s="10">
        <v>7.4</v>
      </c>
      <c r="G2251" s="10">
        <v>2000000</v>
      </c>
      <c r="H2251" s="10">
        <v>1900725</v>
      </c>
      <c r="I2251" s="5">
        <f>IMDB_Movies!$H2251-IMDB_Movies!$G2251</f>
        <v>-99275</v>
      </c>
    </row>
    <row r="2252" spans="1:9" ht="23">
      <c r="A2252" s="2" t="s">
        <v>3249</v>
      </c>
      <c r="B2252" s="9" t="s">
        <v>3250</v>
      </c>
      <c r="C2252" s="9" t="s">
        <v>418</v>
      </c>
      <c r="D2252" s="9" t="s">
        <v>11</v>
      </c>
      <c r="E2252" s="9">
        <v>118</v>
      </c>
      <c r="F2252" s="9">
        <v>7</v>
      </c>
      <c r="G2252" s="9">
        <v>20000000</v>
      </c>
      <c r="H2252" s="9">
        <v>2246000</v>
      </c>
      <c r="I2252" s="5">
        <f>IMDB_Movies!$H2252-IMDB_Movies!$G2252</f>
        <v>-17754000</v>
      </c>
    </row>
    <row r="2253" spans="1:9" ht="23">
      <c r="A2253" s="3" t="s">
        <v>3251</v>
      </c>
      <c r="B2253" s="10" t="s">
        <v>2794</v>
      </c>
      <c r="C2253" s="10" t="s">
        <v>138</v>
      </c>
      <c r="D2253" s="10" t="s">
        <v>11</v>
      </c>
      <c r="E2253" s="10">
        <v>80</v>
      </c>
      <c r="F2253" s="10">
        <v>2.8</v>
      </c>
      <c r="G2253" s="10">
        <v>20000000</v>
      </c>
      <c r="H2253" s="10">
        <v>1646664</v>
      </c>
      <c r="I2253" s="5">
        <f>IMDB_Movies!$H2253-IMDB_Movies!$G2253</f>
        <v>-18353336</v>
      </c>
    </row>
    <row r="2254" spans="1:9" ht="23">
      <c r="A2254" s="2" t="s">
        <v>3252</v>
      </c>
      <c r="B2254" s="9" t="s">
        <v>2384</v>
      </c>
      <c r="C2254" s="9" t="s">
        <v>10</v>
      </c>
      <c r="D2254" s="9" t="s">
        <v>11</v>
      </c>
      <c r="E2254" s="9">
        <v>107</v>
      </c>
      <c r="F2254" s="9">
        <v>7.5</v>
      </c>
      <c r="G2254" s="9">
        <v>20000000</v>
      </c>
      <c r="H2254" s="9">
        <v>1190018</v>
      </c>
      <c r="I2254" s="5">
        <f>IMDB_Movies!$H2254-IMDB_Movies!$G2254</f>
        <v>-18809982</v>
      </c>
    </row>
    <row r="2255" spans="1:9" ht="23">
      <c r="A2255" s="3" t="s">
        <v>3253</v>
      </c>
      <c r="B2255" s="10" t="s">
        <v>410</v>
      </c>
      <c r="C2255" s="10" t="s">
        <v>56</v>
      </c>
      <c r="D2255" s="10" t="s">
        <v>11</v>
      </c>
      <c r="E2255" s="10">
        <v>125</v>
      </c>
      <c r="F2255" s="10">
        <v>7.1</v>
      </c>
      <c r="G2255" s="10">
        <v>40000000</v>
      </c>
      <c r="H2255" s="10">
        <v>1027749</v>
      </c>
      <c r="I2255" s="5">
        <f>IMDB_Movies!$H2255-IMDB_Movies!$G2255</f>
        <v>-38972251</v>
      </c>
    </row>
    <row r="2256" spans="1:9" ht="23">
      <c r="A2256" s="2" t="s">
        <v>3254</v>
      </c>
      <c r="B2256" s="9" t="s">
        <v>2519</v>
      </c>
      <c r="C2256" s="9" t="s">
        <v>414</v>
      </c>
      <c r="D2256" s="9" t="s">
        <v>11</v>
      </c>
      <c r="E2256" s="9">
        <v>115</v>
      </c>
      <c r="F2256" s="9">
        <v>6.4</v>
      </c>
      <c r="G2256" s="9">
        <v>24000000</v>
      </c>
      <c r="H2256" s="9">
        <v>882710</v>
      </c>
      <c r="I2256" s="5">
        <f>IMDB_Movies!$H2256-IMDB_Movies!$G2256</f>
        <v>-23117290</v>
      </c>
    </row>
    <row r="2257" spans="1:9" ht="23">
      <c r="A2257" s="3" t="s">
        <v>3255</v>
      </c>
      <c r="B2257" s="10" t="s">
        <v>3256</v>
      </c>
      <c r="C2257" s="10" t="s">
        <v>24</v>
      </c>
      <c r="D2257" s="10" t="s">
        <v>11</v>
      </c>
      <c r="E2257" s="10">
        <v>88</v>
      </c>
      <c r="F2257" s="10">
        <v>6.7</v>
      </c>
      <c r="G2257" s="10">
        <v>20000000</v>
      </c>
      <c r="H2257" s="10">
        <v>1064277</v>
      </c>
      <c r="I2257" s="5">
        <f>IMDB_Movies!$H2257-IMDB_Movies!$G2257</f>
        <v>-18935723</v>
      </c>
    </row>
    <row r="2258" spans="1:9" ht="23">
      <c r="A2258" s="2" t="s">
        <v>3257</v>
      </c>
      <c r="B2258" s="9" t="s">
        <v>990</v>
      </c>
      <c r="C2258" s="9" t="s">
        <v>56</v>
      </c>
      <c r="D2258" s="9" t="s">
        <v>11</v>
      </c>
      <c r="E2258" s="9">
        <v>122</v>
      </c>
      <c r="F2258" s="9">
        <v>5.3</v>
      </c>
      <c r="G2258" s="9">
        <v>10000000</v>
      </c>
      <c r="H2258" s="9">
        <v>531009</v>
      </c>
      <c r="I2258" s="5">
        <f>IMDB_Movies!$H2258-IMDB_Movies!$G2258</f>
        <v>-9468991</v>
      </c>
    </row>
    <row r="2259" spans="1:9" ht="23">
      <c r="A2259" s="3" t="s">
        <v>3258</v>
      </c>
      <c r="B2259" s="10" t="s">
        <v>3259</v>
      </c>
      <c r="C2259" s="10" t="s">
        <v>10</v>
      </c>
      <c r="D2259" s="10" t="s">
        <v>179</v>
      </c>
      <c r="E2259" s="10">
        <v>103</v>
      </c>
      <c r="F2259" s="10">
        <v>6.9</v>
      </c>
      <c r="G2259" s="10">
        <v>2127519898</v>
      </c>
      <c r="H2259" s="10">
        <v>410388</v>
      </c>
      <c r="I2259" s="5">
        <f>IMDB_Movies!$H2259-IMDB_Movies!$G2259</f>
        <v>-2127109510</v>
      </c>
    </row>
    <row r="2260" spans="1:9" ht="23">
      <c r="A2260" s="2" t="s">
        <v>3260</v>
      </c>
      <c r="B2260" s="9" t="s">
        <v>3261</v>
      </c>
      <c r="C2260" s="9" t="s">
        <v>56</v>
      </c>
      <c r="D2260" s="9" t="s">
        <v>11</v>
      </c>
      <c r="E2260" s="9">
        <v>101</v>
      </c>
      <c r="F2260" s="9">
        <v>6.2</v>
      </c>
      <c r="G2260" s="9">
        <v>20000000</v>
      </c>
      <c r="H2260" s="9">
        <v>375474</v>
      </c>
      <c r="I2260" s="5">
        <f>IMDB_Movies!$H2260-IMDB_Movies!$G2260</f>
        <v>-19624526</v>
      </c>
    </row>
    <row r="2261" spans="1:9" ht="23">
      <c r="A2261" s="3" t="s">
        <v>3262</v>
      </c>
      <c r="B2261" s="10" t="s">
        <v>3263</v>
      </c>
      <c r="C2261" s="10" t="s">
        <v>414</v>
      </c>
      <c r="D2261" s="10" t="s">
        <v>11</v>
      </c>
      <c r="E2261" s="10">
        <v>101</v>
      </c>
      <c r="F2261" s="10">
        <v>6.3</v>
      </c>
      <c r="G2261" s="10">
        <v>20000000</v>
      </c>
      <c r="H2261" s="10">
        <v>578382</v>
      </c>
      <c r="I2261" s="5">
        <f>IMDB_Movies!$H2261-IMDB_Movies!$G2261</f>
        <v>-19421618</v>
      </c>
    </row>
    <row r="2262" spans="1:9" ht="23">
      <c r="A2262" s="2" t="s">
        <v>3264</v>
      </c>
      <c r="B2262" s="9" t="s">
        <v>142</v>
      </c>
      <c r="C2262" s="9" t="s">
        <v>10</v>
      </c>
      <c r="D2262" s="9" t="s">
        <v>11</v>
      </c>
      <c r="E2262" s="9">
        <v>107</v>
      </c>
      <c r="F2262" s="9">
        <v>6.4</v>
      </c>
      <c r="G2262" s="9">
        <v>20000000</v>
      </c>
      <c r="H2262" s="9">
        <v>305070</v>
      </c>
      <c r="I2262" s="5">
        <f>IMDB_Movies!$H2262-IMDB_Movies!$G2262</f>
        <v>-19694930</v>
      </c>
    </row>
    <row r="2263" spans="1:9" ht="23">
      <c r="A2263" s="3" t="s">
        <v>3265</v>
      </c>
      <c r="B2263" s="10" t="s">
        <v>3155</v>
      </c>
      <c r="C2263" s="10" t="s">
        <v>138</v>
      </c>
      <c r="D2263" s="10" t="s">
        <v>2005</v>
      </c>
      <c r="E2263" s="10">
        <v>86</v>
      </c>
      <c r="F2263" s="10">
        <v>6.5</v>
      </c>
      <c r="G2263" s="10">
        <v>20000000</v>
      </c>
      <c r="H2263" s="10">
        <v>206678</v>
      </c>
      <c r="I2263" s="5">
        <f>IMDB_Movies!$H2263-IMDB_Movies!$G2263</f>
        <v>-19793322</v>
      </c>
    </row>
    <row r="2264" spans="1:9" ht="23">
      <c r="A2264" s="2" t="s">
        <v>3266</v>
      </c>
      <c r="B2264" s="9" t="s">
        <v>1885</v>
      </c>
      <c r="C2264" s="9" t="s">
        <v>138</v>
      </c>
      <c r="D2264" s="9" t="s">
        <v>394</v>
      </c>
      <c r="E2264" s="9">
        <v>118</v>
      </c>
      <c r="F2264" s="9">
        <v>6</v>
      </c>
      <c r="G2264" s="9">
        <v>140000000</v>
      </c>
      <c r="H2264" s="9">
        <v>146072</v>
      </c>
      <c r="I2264" s="5">
        <f>IMDB_Movies!$H2264-IMDB_Movies!$G2264</f>
        <v>-139853928</v>
      </c>
    </row>
    <row r="2265" spans="1:9" ht="23">
      <c r="A2265" s="3" t="s">
        <v>3267</v>
      </c>
      <c r="B2265" s="10" t="s">
        <v>2033</v>
      </c>
      <c r="C2265" s="10" t="s">
        <v>10</v>
      </c>
      <c r="D2265" s="10" t="s">
        <v>11</v>
      </c>
      <c r="E2265" s="10">
        <v>107</v>
      </c>
      <c r="F2265" s="10">
        <v>5.0999999999999996</v>
      </c>
      <c r="G2265" s="10">
        <v>20000000</v>
      </c>
      <c r="H2265" s="10">
        <v>1183354</v>
      </c>
      <c r="I2265" s="5">
        <f>IMDB_Movies!$H2265-IMDB_Movies!$G2265</f>
        <v>-18816646</v>
      </c>
    </row>
    <row r="2266" spans="1:9" ht="23">
      <c r="A2266" s="2" t="s">
        <v>3268</v>
      </c>
      <c r="B2266" s="9" t="s">
        <v>3269</v>
      </c>
      <c r="C2266" s="9" t="s">
        <v>414</v>
      </c>
      <c r="D2266" s="9" t="s">
        <v>11</v>
      </c>
      <c r="E2266" s="9">
        <v>100</v>
      </c>
      <c r="F2266" s="9">
        <v>5.5</v>
      </c>
      <c r="G2266" s="9">
        <v>22000000</v>
      </c>
      <c r="H2266" s="9">
        <v>121972</v>
      </c>
      <c r="I2266" s="5">
        <f>IMDB_Movies!$H2266-IMDB_Movies!$G2266</f>
        <v>-21878028</v>
      </c>
    </row>
    <row r="2267" spans="1:9" ht="23">
      <c r="A2267" s="3" t="s">
        <v>3270</v>
      </c>
      <c r="B2267" s="10" t="s">
        <v>1615</v>
      </c>
      <c r="C2267" s="10" t="s">
        <v>138</v>
      </c>
      <c r="D2267" s="10" t="s">
        <v>11</v>
      </c>
      <c r="E2267" s="10">
        <v>110</v>
      </c>
      <c r="F2267" s="10">
        <v>5.4</v>
      </c>
      <c r="G2267" s="10">
        <v>20000000</v>
      </c>
      <c r="H2267" s="10">
        <v>263365</v>
      </c>
      <c r="I2267" s="5">
        <f>IMDB_Movies!$H2267-IMDB_Movies!$G2267</f>
        <v>-19736635</v>
      </c>
    </row>
    <row r="2268" spans="1:9" ht="23">
      <c r="A2268" s="2" t="s">
        <v>3271</v>
      </c>
      <c r="B2268" s="9" t="s">
        <v>955</v>
      </c>
      <c r="C2268" s="9" t="s">
        <v>414</v>
      </c>
      <c r="D2268" s="9" t="s">
        <v>11</v>
      </c>
      <c r="E2268" s="9">
        <v>106</v>
      </c>
      <c r="F2268" s="9">
        <v>5.7</v>
      </c>
      <c r="G2268" s="9">
        <v>20000000</v>
      </c>
      <c r="H2268" s="9">
        <v>54734</v>
      </c>
      <c r="I2268" s="5">
        <f>IMDB_Movies!$H2268-IMDB_Movies!$G2268</f>
        <v>-19945266</v>
      </c>
    </row>
    <row r="2269" spans="1:9" ht="23">
      <c r="A2269" s="3" t="s">
        <v>3272</v>
      </c>
      <c r="B2269" s="10" t="s">
        <v>3273</v>
      </c>
      <c r="C2269" s="10" t="s">
        <v>1359</v>
      </c>
      <c r="D2269" s="10" t="s">
        <v>11</v>
      </c>
      <c r="E2269" s="10">
        <v>7</v>
      </c>
      <c r="F2269" s="10">
        <v>5.2</v>
      </c>
      <c r="G2269" s="10">
        <v>13000</v>
      </c>
      <c r="H2269" s="10">
        <v>25078937</v>
      </c>
      <c r="I2269" s="5">
        <f>IMDB_Movies!$H2269-IMDB_Movies!$G2269</f>
        <v>25065937</v>
      </c>
    </row>
    <row r="2270" spans="1:9" ht="23">
      <c r="A2270" s="2" t="s">
        <v>3274</v>
      </c>
      <c r="B2270" s="9" t="s">
        <v>1039</v>
      </c>
      <c r="C2270" s="9" t="s">
        <v>10</v>
      </c>
      <c r="D2270" s="9" t="s">
        <v>521</v>
      </c>
      <c r="E2270" s="9">
        <v>102</v>
      </c>
      <c r="F2270" s="9">
        <v>6.2</v>
      </c>
      <c r="G2270" s="9">
        <v>25000000</v>
      </c>
      <c r="H2270" s="9">
        <v>25078937</v>
      </c>
      <c r="I2270" s="5">
        <f>IMDB_Movies!$H2270-IMDB_Movies!$G2270</f>
        <v>78937</v>
      </c>
    </row>
    <row r="2271" spans="1:9" ht="23">
      <c r="A2271" s="3" t="s">
        <v>3275</v>
      </c>
      <c r="B2271" s="10" t="s">
        <v>3276</v>
      </c>
      <c r="C2271" s="10" t="s">
        <v>414</v>
      </c>
      <c r="D2271" s="10" t="s">
        <v>11</v>
      </c>
      <c r="E2271" s="10">
        <v>98</v>
      </c>
      <c r="F2271" s="10">
        <v>6.7</v>
      </c>
      <c r="G2271" s="10">
        <v>20000000</v>
      </c>
      <c r="H2271" s="10">
        <v>25078937</v>
      </c>
      <c r="I2271" s="5">
        <f>IMDB_Movies!$H2271-IMDB_Movies!$G2271</f>
        <v>5078937</v>
      </c>
    </row>
    <row r="2272" spans="1:9" ht="23">
      <c r="A2272" s="2" t="s">
        <v>3277</v>
      </c>
      <c r="B2272" s="9" t="s">
        <v>3278</v>
      </c>
      <c r="C2272" s="9" t="s">
        <v>24</v>
      </c>
      <c r="D2272" s="9" t="s">
        <v>11</v>
      </c>
      <c r="E2272" s="9">
        <v>83</v>
      </c>
      <c r="F2272" s="9">
        <v>5.8</v>
      </c>
      <c r="G2272" s="9">
        <v>20000000</v>
      </c>
      <c r="H2272" s="9">
        <v>25078937</v>
      </c>
      <c r="I2272" s="5">
        <f>IMDB_Movies!$H2272-IMDB_Movies!$G2272</f>
        <v>5078937</v>
      </c>
    </row>
    <row r="2273" spans="1:9" ht="23">
      <c r="A2273" s="3" t="s">
        <v>3279</v>
      </c>
      <c r="B2273" s="10" t="s">
        <v>3280</v>
      </c>
      <c r="C2273" s="10" t="s">
        <v>418</v>
      </c>
      <c r="D2273" s="10" t="s">
        <v>11</v>
      </c>
      <c r="E2273" s="10">
        <v>153</v>
      </c>
      <c r="F2273" s="10">
        <v>7</v>
      </c>
      <c r="G2273" s="10">
        <v>20000000</v>
      </c>
      <c r="H2273" s="10">
        <v>25078937</v>
      </c>
      <c r="I2273" s="5">
        <f>IMDB_Movies!$H2273-IMDB_Movies!$G2273</f>
        <v>5078937</v>
      </c>
    </row>
    <row r="2274" spans="1:9" ht="23">
      <c r="A2274" s="2" t="s">
        <v>3281</v>
      </c>
      <c r="B2274" s="9" t="s">
        <v>3282</v>
      </c>
      <c r="C2274" s="9" t="s">
        <v>116</v>
      </c>
      <c r="D2274" s="9" t="s">
        <v>11</v>
      </c>
      <c r="E2274" s="9">
        <v>98</v>
      </c>
      <c r="F2274" s="9">
        <v>4.8</v>
      </c>
      <c r="G2274" s="9">
        <v>20000000</v>
      </c>
      <c r="H2274" s="9">
        <v>25078937</v>
      </c>
      <c r="I2274" s="5">
        <f>IMDB_Movies!$H2274-IMDB_Movies!$G2274</f>
        <v>5078937</v>
      </c>
    </row>
    <row r="2275" spans="1:9" ht="23">
      <c r="A2275" s="3" t="s">
        <v>3283</v>
      </c>
      <c r="B2275" s="10" t="s">
        <v>3284</v>
      </c>
      <c r="C2275" s="10" t="s">
        <v>10</v>
      </c>
      <c r="D2275" s="10" t="s">
        <v>11</v>
      </c>
      <c r="E2275" s="10">
        <v>105</v>
      </c>
      <c r="F2275" s="10">
        <v>7.2</v>
      </c>
      <c r="G2275" s="10">
        <v>20000000</v>
      </c>
      <c r="H2275" s="10">
        <v>25078937</v>
      </c>
      <c r="I2275" s="5">
        <f>IMDB_Movies!$H2275-IMDB_Movies!$G2275</f>
        <v>5078937</v>
      </c>
    </row>
    <row r="2276" spans="1:9" ht="23">
      <c r="A2276" s="2" t="s">
        <v>3285</v>
      </c>
      <c r="B2276" s="9" t="s">
        <v>1403</v>
      </c>
      <c r="C2276" s="9" t="s">
        <v>10</v>
      </c>
      <c r="D2276" s="9" t="s">
        <v>11</v>
      </c>
      <c r="E2276" s="9">
        <v>96</v>
      </c>
      <c r="F2276" s="9">
        <v>5.6</v>
      </c>
      <c r="G2276" s="9">
        <v>20000000</v>
      </c>
      <c r="H2276" s="9">
        <v>25078937</v>
      </c>
      <c r="I2276" s="5">
        <f>IMDB_Movies!$H2276-IMDB_Movies!$G2276</f>
        <v>5078937</v>
      </c>
    </row>
    <row r="2277" spans="1:9" ht="23">
      <c r="A2277" s="3" t="s">
        <v>3286</v>
      </c>
      <c r="B2277" s="10" t="s">
        <v>3287</v>
      </c>
      <c r="C2277" s="10" t="s">
        <v>414</v>
      </c>
      <c r="D2277" s="10" t="s">
        <v>11</v>
      </c>
      <c r="E2277" s="10">
        <v>105</v>
      </c>
      <c r="F2277" s="10">
        <v>6.4</v>
      </c>
      <c r="G2277" s="10">
        <v>27220000</v>
      </c>
      <c r="H2277" s="10">
        <v>25078937</v>
      </c>
      <c r="I2277" s="5">
        <f>IMDB_Movies!$H2277-IMDB_Movies!$G2277</f>
        <v>-2141063</v>
      </c>
    </row>
    <row r="2278" spans="1:9" ht="23">
      <c r="A2278" s="2" t="s">
        <v>3288</v>
      </c>
      <c r="B2278" s="9" t="s">
        <v>2980</v>
      </c>
      <c r="C2278" s="9" t="s">
        <v>56</v>
      </c>
      <c r="D2278" s="9" t="s">
        <v>521</v>
      </c>
      <c r="E2278" s="9">
        <v>125</v>
      </c>
      <c r="F2278" s="9">
        <v>7.5</v>
      </c>
      <c r="G2278" s="9">
        <v>19400000</v>
      </c>
      <c r="H2278" s="9">
        <v>8047690</v>
      </c>
      <c r="I2278" s="5">
        <f>IMDB_Movies!$H2278-IMDB_Movies!$G2278</f>
        <v>-11352310</v>
      </c>
    </row>
    <row r="2279" spans="1:9" ht="23">
      <c r="A2279" s="3" t="s">
        <v>3289</v>
      </c>
      <c r="B2279" s="10" t="s">
        <v>2957</v>
      </c>
      <c r="C2279" s="10" t="s">
        <v>10</v>
      </c>
      <c r="D2279" s="10" t="s">
        <v>2452</v>
      </c>
      <c r="E2279" s="10">
        <v>184</v>
      </c>
      <c r="F2279" s="10">
        <v>7.4</v>
      </c>
      <c r="G2279" s="10">
        <v>20000000</v>
      </c>
      <c r="H2279" s="10">
        <v>476270</v>
      </c>
      <c r="I2279" s="5">
        <f>IMDB_Movies!$H2279-IMDB_Movies!$G2279</f>
        <v>-19523730</v>
      </c>
    </row>
    <row r="2280" spans="1:9" ht="23">
      <c r="A2280" s="2" t="s">
        <v>3290</v>
      </c>
      <c r="B2280" s="9" t="s">
        <v>764</v>
      </c>
      <c r="C2280" s="9" t="s">
        <v>24</v>
      </c>
      <c r="D2280" s="9" t="s">
        <v>11</v>
      </c>
      <c r="E2280" s="9">
        <v>236</v>
      </c>
      <c r="F2280" s="9">
        <v>8</v>
      </c>
      <c r="G2280" s="9">
        <v>22000000</v>
      </c>
      <c r="H2280" s="9">
        <v>184208848</v>
      </c>
      <c r="I2280" s="5">
        <f>IMDB_Movies!$H2280-IMDB_Movies!$G2280</f>
        <v>162208848</v>
      </c>
    </row>
    <row r="2281" spans="1:9" ht="23">
      <c r="A2281" s="3" t="s">
        <v>3291</v>
      </c>
      <c r="B2281" s="10" t="s">
        <v>1811</v>
      </c>
      <c r="C2281" s="10" t="s">
        <v>138</v>
      </c>
      <c r="D2281" s="10" t="s">
        <v>11</v>
      </c>
      <c r="E2281" s="10">
        <v>97</v>
      </c>
      <c r="F2281" s="10">
        <v>5.7</v>
      </c>
      <c r="G2281" s="10">
        <v>20000000</v>
      </c>
      <c r="H2281" s="10">
        <v>100292856</v>
      </c>
      <c r="I2281" s="5">
        <f>IMDB_Movies!$H2281-IMDB_Movies!$G2281</f>
        <v>80292856</v>
      </c>
    </row>
    <row r="2282" spans="1:9" ht="23">
      <c r="A2282" s="2" t="s">
        <v>3292</v>
      </c>
      <c r="B2282" s="9" t="s">
        <v>1162</v>
      </c>
      <c r="C2282" s="9" t="s">
        <v>414</v>
      </c>
      <c r="D2282" s="9" t="s">
        <v>11</v>
      </c>
      <c r="E2282" s="9">
        <v>113</v>
      </c>
      <c r="F2282" s="9">
        <v>6.8</v>
      </c>
      <c r="G2282" s="9">
        <v>19000000</v>
      </c>
      <c r="H2282" s="9">
        <v>58571513</v>
      </c>
      <c r="I2282" s="5">
        <f>IMDB_Movies!$H2282-IMDB_Movies!$G2282</f>
        <v>39571513</v>
      </c>
    </row>
    <row r="2283" spans="1:9" ht="23">
      <c r="A2283" s="3" t="s">
        <v>3293</v>
      </c>
      <c r="B2283" s="10" t="s">
        <v>3294</v>
      </c>
      <c r="C2283" s="10" t="s">
        <v>138</v>
      </c>
      <c r="D2283" s="10" t="s">
        <v>11</v>
      </c>
      <c r="E2283" s="10">
        <v>95</v>
      </c>
      <c r="F2283" s="10">
        <v>5.9</v>
      </c>
      <c r="G2283" s="10">
        <v>20000000</v>
      </c>
      <c r="H2283" s="10">
        <v>51431160</v>
      </c>
      <c r="I2283" s="5">
        <f>IMDB_Movies!$H2283-IMDB_Movies!$G2283</f>
        <v>31431160</v>
      </c>
    </row>
    <row r="2284" spans="1:9" ht="23">
      <c r="A2284" s="2" t="s">
        <v>3295</v>
      </c>
      <c r="B2284" s="9" t="s">
        <v>1739</v>
      </c>
      <c r="C2284" s="9" t="s">
        <v>810</v>
      </c>
      <c r="D2284" s="9" t="s">
        <v>11</v>
      </c>
      <c r="E2284" s="9">
        <v>103</v>
      </c>
      <c r="F2284" s="9">
        <v>7.2</v>
      </c>
      <c r="G2284" s="9">
        <v>15000000</v>
      </c>
      <c r="H2284" s="9">
        <v>103001286</v>
      </c>
      <c r="I2284" s="5">
        <f>IMDB_Movies!$H2284-IMDB_Movies!$G2284</f>
        <v>88001286</v>
      </c>
    </row>
    <row r="2285" spans="1:9" ht="23">
      <c r="A2285" s="3" t="s">
        <v>3296</v>
      </c>
      <c r="B2285" s="10" t="s">
        <v>3094</v>
      </c>
      <c r="C2285" s="10" t="s">
        <v>810</v>
      </c>
      <c r="D2285" s="10" t="s">
        <v>11</v>
      </c>
      <c r="E2285" s="10">
        <v>91</v>
      </c>
      <c r="F2285" s="10">
        <v>5.5</v>
      </c>
      <c r="G2285" s="10">
        <v>20000000</v>
      </c>
      <c r="H2285" s="10">
        <v>41867960</v>
      </c>
      <c r="I2285" s="5">
        <f>IMDB_Movies!$H2285-IMDB_Movies!$G2285</f>
        <v>21867960</v>
      </c>
    </row>
    <row r="2286" spans="1:9" ht="23">
      <c r="A2286" s="2" t="s">
        <v>3297</v>
      </c>
      <c r="B2286" s="9" t="s">
        <v>1001</v>
      </c>
      <c r="C2286" s="9" t="s">
        <v>56</v>
      </c>
      <c r="D2286" s="9" t="s">
        <v>11</v>
      </c>
      <c r="E2286" s="9">
        <v>146</v>
      </c>
      <c r="F2286" s="9">
        <v>8.4</v>
      </c>
      <c r="G2286" s="9">
        <v>19000000</v>
      </c>
      <c r="H2286" s="9">
        <v>25078937</v>
      </c>
      <c r="I2286" s="5">
        <f>IMDB_Movies!$H2286-IMDB_Movies!$G2286</f>
        <v>6078937</v>
      </c>
    </row>
    <row r="2287" spans="1:9" ht="23">
      <c r="A2287" s="3" t="s">
        <v>3298</v>
      </c>
      <c r="B2287" s="10" t="s">
        <v>115</v>
      </c>
      <c r="C2287" s="10" t="s">
        <v>24</v>
      </c>
      <c r="D2287" s="10" t="s">
        <v>11</v>
      </c>
      <c r="E2287" s="10">
        <v>116</v>
      </c>
      <c r="F2287" s="10">
        <v>8.5</v>
      </c>
      <c r="G2287" s="10">
        <v>19000000</v>
      </c>
      <c r="H2287" s="10">
        <v>210609762</v>
      </c>
      <c r="I2287" s="5">
        <f>IMDB_Movies!$H2287-IMDB_Movies!$G2287</f>
        <v>191609762</v>
      </c>
    </row>
    <row r="2288" spans="1:9" ht="23">
      <c r="A2288" s="2" t="s">
        <v>3299</v>
      </c>
      <c r="B2288" s="9" t="s">
        <v>1871</v>
      </c>
      <c r="C2288" s="9" t="s">
        <v>810</v>
      </c>
      <c r="D2288" s="9" t="s">
        <v>11</v>
      </c>
      <c r="E2288" s="9">
        <v>93</v>
      </c>
      <c r="F2288" s="9">
        <v>5.6</v>
      </c>
      <c r="G2288" s="9">
        <v>19000000</v>
      </c>
      <c r="H2288" s="9">
        <v>40846082</v>
      </c>
      <c r="I2288" s="5">
        <f>IMDB_Movies!$H2288-IMDB_Movies!$G2288</f>
        <v>21846082</v>
      </c>
    </row>
    <row r="2289" spans="1:9" ht="23">
      <c r="A2289" s="3" t="s">
        <v>3300</v>
      </c>
      <c r="B2289" s="10" t="s">
        <v>2669</v>
      </c>
      <c r="C2289" s="10" t="s">
        <v>138</v>
      </c>
      <c r="D2289" s="10" t="s">
        <v>11</v>
      </c>
      <c r="E2289" s="10">
        <v>113</v>
      </c>
      <c r="F2289" s="10">
        <v>4.0999999999999996</v>
      </c>
      <c r="G2289" s="10">
        <v>13000000</v>
      </c>
      <c r="H2289" s="10">
        <v>51697449</v>
      </c>
      <c r="I2289" s="5">
        <f>IMDB_Movies!$H2289-IMDB_Movies!$G2289</f>
        <v>38697449</v>
      </c>
    </row>
    <row r="2290" spans="1:9" ht="23">
      <c r="A2290" s="2" t="s">
        <v>3301</v>
      </c>
      <c r="B2290" s="9" t="s">
        <v>3302</v>
      </c>
      <c r="C2290" s="9" t="s">
        <v>10</v>
      </c>
      <c r="D2290" s="9" t="s">
        <v>11</v>
      </c>
      <c r="E2290" s="9">
        <v>90</v>
      </c>
      <c r="F2290" s="9">
        <v>5</v>
      </c>
      <c r="G2290" s="9">
        <v>27000000</v>
      </c>
      <c r="H2290" s="9">
        <v>25078937</v>
      </c>
      <c r="I2290" s="5">
        <f>IMDB_Movies!$H2290-IMDB_Movies!$G2290</f>
        <v>-1921063</v>
      </c>
    </row>
    <row r="2291" spans="1:9" ht="23">
      <c r="A2291" s="3" t="s">
        <v>3303</v>
      </c>
      <c r="B2291" s="10" t="s">
        <v>1051</v>
      </c>
      <c r="C2291" s="10" t="s">
        <v>138</v>
      </c>
      <c r="D2291" s="10" t="s">
        <v>11</v>
      </c>
      <c r="E2291" s="10">
        <v>101</v>
      </c>
      <c r="F2291" s="10">
        <v>6.1</v>
      </c>
      <c r="G2291" s="10">
        <v>19000000</v>
      </c>
      <c r="H2291" s="10">
        <v>27758465</v>
      </c>
      <c r="I2291" s="5">
        <f>IMDB_Movies!$H2291-IMDB_Movies!$G2291</f>
        <v>8758465</v>
      </c>
    </row>
    <row r="2292" spans="1:9" ht="23">
      <c r="A2292" s="2" t="s">
        <v>3304</v>
      </c>
      <c r="B2292" s="9" t="s">
        <v>216</v>
      </c>
      <c r="C2292" s="9" t="s">
        <v>138</v>
      </c>
      <c r="D2292" s="9" t="s">
        <v>11</v>
      </c>
      <c r="E2292" s="9">
        <v>95</v>
      </c>
      <c r="F2292" s="9">
        <v>5.4</v>
      </c>
      <c r="G2292" s="9">
        <v>18000000</v>
      </c>
      <c r="H2292" s="9">
        <v>56127162</v>
      </c>
      <c r="I2292" s="5">
        <f>IMDB_Movies!$H2292-IMDB_Movies!$G2292</f>
        <v>38127162</v>
      </c>
    </row>
    <row r="2293" spans="1:9" ht="23">
      <c r="A2293" s="3" t="s">
        <v>3305</v>
      </c>
      <c r="B2293" s="10" t="s">
        <v>261</v>
      </c>
      <c r="C2293" s="10" t="s">
        <v>418</v>
      </c>
      <c r="D2293" s="10" t="s">
        <v>11</v>
      </c>
      <c r="E2293" s="10">
        <v>109</v>
      </c>
      <c r="F2293" s="10">
        <v>7.1</v>
      </c>
      <c r="G2293" s="10">
        <v>15000000</v>
      </c>
      <c r="H2293" s="10">
        <v>1357042</v>
      </c>
      <c r="I2293" s="5">
        <f>IMDB_Movies!$H2293-IMDB_Movies!$G2293</f>
        <v>-13642958</v>
      </c>
    </row>
    <row r="2294" spans="1:9" ht="23">
      <c r="A2294" s="2" t="s">
        <v>3306</v>
      </c>
      <c r="B2294" s="9" t="s">
        <v>3307</v>
      </c>
      <c r="C2294" s="9" t="s">
        <v>24</v>
      </c>
      <c r="D2294" s="9" t="s">
        <v>11</v>
      </c>
      <c r="E2294" s="9">
        <v>85</v>
      </c>
      <c r="F2294" s="9">
        <v>3.6</v>
      </c>
      <c r="G2294" s="9">
        <v>19000000</v>
      </c>
      <c r="H2294" s="9">
        <v>15911333</v>
      </c>
      <c r="I2294" s="5">
        <f>IMDB_Movies!$H2294-IMDB_Movies!$G2294</f>
        <v>-3088667</v>
      </c>
    </row>
    <row r="2295" spans="1:9" ht="23">
      <c r="A2295" s="3" t="s">
        <v>3308</v>
      </c>
      <c r="B2295" s="10" t="s">
        <v>291</v>
      </c>
      <c r="C2295" s="10" t="s">
        <v>810</v>
      </c>
      <c r="D2295" s="10" t="s">
        <v>11</v>
      </c>
      <c r="E2295" s="10">
        <v>101</v>
      </c>
      <c r="F2295" s="10">
        <v>6.5</v>
      </c>
      <c r="G2295" s="10">
        <v>20000000</v>
      </c>
      <c r="H2295" s="10">
        <v>39103378</v>
      </c>
      <c r="I2295" s="5">
        <f>IMDB_Movies!$H2295-IMDB_Movies!$G2295</f>
        <v>19103378</v>
      </c>
    </row>
    <row r="2296" spans="1:9" ht="23">
      <c r="A2296" s="2" t="s">
        <v>3309</v>
      </c>
      <c r="B2296" s="9" t="s">
        <v>2156</v>
      </c>
      <c r="C2296" s="9" t="s">
        <v>24</v>
      </c>
      <c r="D2296" s="9" t="s">
        <v>179</v>
      </c>
      <c r="E2296" s="9">
        <v>125</v>
      </c>
      <c r="F2296" s="9">
        <v>8.6</v>
      </c>
      <c r="G2296" s="9">
        <v>19000000</v>
      </c>
      <c r="H2296" s="9">
        <v>10049886</v>
      </c>
      <c r="I2296" s="5">
        <f>IMDB_Movies!$H2296-IMDB_Movies!$G2296</f>
        <v>-8950114</v>
      </c>
    </row>
    <row r="2297" spans="1:9" ht="23">
      <c r="A2297" s="3" t="s">
        <v>3310</v>
      </c>
      <c r="B2297" s="10" t="s">
        <v>3311</v>
      </c>
      <c r="C2297" s="10" t="s">
        <v>10</v>
      </c>
      <c r="D2297" s="10" t="s">
        <v>521</v>
      </c>
      <c r="E2297" s="10">
        <v>118</v>
      </c>
      <c r="F2297" s="10">
        <v>6.2</v>
      </c>
      <c r="G2297" s="10">
        <v>20000000</v>
      </c>
      <c r="H2297" s="10">
        <v>25078937</v>
      </c>
      <c r="I2297" s="5">
        <f>IMDB_Movies!$H2297-IMDB_Movies!$G2297</f>
        <v>5078937</v>
      </c>
    </row>
    <row r="2298" spans="1:9" ht="23">
      <c r="A2298" s="2" t="s">
        <v>3312</v>
      </c>
      <c r="B2298" s="9" t="s">
        <v>401</v>
      </c>
      <c r="C2298" s="9" t="s">
        <v>10</v>
      </c>
      <c r="D2298" s="9" t="s">
        <v>11</v>
      </c>
      <c r="E2298" s="9">
        <v>132</v>
      </c>
      <c r="F2298" s="9">
        <v>7</v>
      </c>
      <c r="G2298" s="9">
        <v>25000000</v>
      </c>
      <c r="H2298" s="9">
        <v>8600000</v>
      </c>
      <c r="I2298" s="5">
        <f>IMDB_Movies!$H2298-IMDB_Movies!$G2298</f>
        <v>-16400000</v>
      </c>
    </row>
    <row r="2299" spans="1:9" ht="23">
      <c r="A2299" s="3" t="s">
        <v>3313</v>
      </c>
      <c r="B2299" s="10" t="s">
        <v>3314</v>
      </c>
      <c r="C2299" s="10" t="s">
        <v>56</v>
      </c>
      <c r="D2299" s="10" t="s">
        <v>11</v>
      </c>
      <c r="E2299" s="10">
        <v>131</v>
      </c>
      <c r="F2299" s="10">
        <v>7.6</v>
      </c>
      <c r="G2299" s="10">
        <v>19000000</v>
      </c>
      <c r="H2299" s="10">
        <v>21483154</v>
      </c>
      <c r="I2299" s="5">
        <f>IMDB_Movies!$H2299-IMDB_Movies!$G2299</f>
        <v>2483154</v>
      </c>
    </row>
    <row r="2300" spans="1:9" ht="23">
      <c r="A2300" s="2" t="s">
        <v>3315</v>
      </c>
      <c r="B2300" s="9" t="s">
        <v>1221</v>
      </c>
      <c r="C2300" s="9" t="s">
        <v>24</v>
      </c>
      <c r="D2300" s="9" t="s">
        <v>11</v>
      </c>
      <c r="E2300" s="9">
        <v>129</v>
      </c>
      <c r="F2300" s="9">
        <v>6.5</v>
      </c>
      <c r="G2300" s="9">
        <v>19000000</v>
      </c>
      <c r="H2300" s="9">
        <v>8396942</v>
      </c>
      <c r="I2300" s="5">
        <f>IMDB_Movies!$H2300-IMDB_Movies!$G2300</f>
        <v>-10603058</v>
      </c>
    </row>
    <row r="2301" spans="1:9" ht="23">
      <c r="A2301" s="3" t="s">
        <v>3316</v>
      </c>
      <c r="B2301" s="10" t="s">
        <v>3317</v>
      </c>
      <c r="C2301" s="10" t="s">
        <v>138</v>
      </c>
      <c r="D2301" s="10" t="s">
        <v>11</v>
      </c>
      <c r="E2301" s="10">
        <v>100</v>
      </c>
      <c r="F2301" s="10">
        <v>6.4</v>
      </c>
      <c r="G2301" s="10">
        <v>19000000</v>
      </c>
      <c r="H2301" s="10">
        <v>12561</v>
      </c>
      <c r="I2301" s="5">
        <f>IMDB_Movies!$H2301-IMDB_Movies!$G2301</f>
        <v>-18987439</v>
      </c>
    </row>
    <row r="2302" spans="1:9" ht="23">
      <c r="A2302" s="2" t="s">
        <v>3318</v>
      </c>
      <c r="B2302" s="9" t="s">
        <v>3319</v>
      </c>
      <c r="C2302" s="9" t="s">
        <v>56</v>
      </c>
      <c r="D2302" s="9" t="s">
        <v>11</v>
      </c>
      <c r="E2302" s="9">
        <v>172</v>
      </c>
      <c r="F2302" s="9">
        <v>6.7</v>
      </c>
      <c r="G2302" s="9">
        <v>19000000</v>
      </c>
      <c r="H2302" s="9">
        <v>25078937</v>
      </c>
      <c r="I2302" s="5">
        <f>IMDB_Movies!$H2302-IMDB_Movies!$G2302</f>
        <v>6078937</v>
      </c>
    </row>
    <row r="2303" spans="1:9" ht="23">
      <c r="A2303" s="3" t="s">
        <v>3320</v>
      </c>
      <c r="B2303" s="10" t="s">
        <v>3321</v>
      </c>
      <c r="C2303" s="10" t="s">
        <v>138</v>
      </c>
      <c r="D2303" s="10" t="s">
        <v>11</v>
      </c>
      <c r="E2303" s="10">
        <v>97</v>
      </c>
      <c r="F2303" s="10">
        <v>6.3</v>
      </c>
      <c r="G2303" s="10">
        <v>23000000</v>
      </c>
      <c r="H2303" s="10">
        <v>6923891</v>
      </c>
      <c r="I2303" s="5">
        <f>IMDB_Movies!$H2303-IMDB_Movies!$G2303</f>
        <v>-16076109</v>
      </c>
    </row>
    <row r="2304" spans="1:9" ht="23">
      <c r="A2304" s="2" t="s">
        <v>3322</v>
      </c>
      <c r="B2304" s="9" t="s">
        <v>3323</v>
      </c>
      <c r="C2304" s="9" t="s">
        <v>56</v>
      </c>
      <c r="D2304" s="9" t="s">
        <v>11</v>
      </c>
      <c r="E2304" s="9">
        <v>121</v>
      </c>
      <c r="F2304" s="9">
        <v>6.4</v>
      </c>
      <c r="G2304" s="9">
        <v>20000000</v>
      </c>
      <c r="H2304" s="9">
        <v>5308553</v>
      </c>
      <c r="I2304" s="5">
        <f>IMDB_Movies!$H2304-IMDB_Movies!$G2304</f>
        <v>-14691447</v>
      </c>
    </row>
    <row r="2305" spans="1:9" ht="23">
      <c r="A2305" s="3" t="s">
        <v>3324</v>
      </c>
      <c r="B2305" s="10" t="s">
        <v>3325</v>
      </c>
      <c r="C2305" s="10" t="s">
        <v>3326</v>
      </c>
      <c r="D2305" s="10" t="s">
        <v>11</v>
      </c>
      <c r="E2305" s="10">
        <v>92</v>
      </c>
      <c r="F2305" s="10">
        <v>5.7</v>
      </c>
      <c r="G2305" s="10">
        <v>19000000</v>
      </c>
      <c r="H2305" s="10">
        <v>2119994</v>
      </c>
      <c r="I2305" s="5">
        <f>IMDB_Movies!$H2305-IMDB_Movies!$G2305</f>
        <v>-16880006</v>
      </c>
    </row>
    <row r="2306" spans="1:9" ht="23">
      <c r="A2306" s="2" t="s">
        <v>3327</v>
      </c>
      <c r="B2306" s="9" t="s">
        <v>3328</v>
      </c>
      <c r="C2306" s="9" t="s">
        <v>414</v>
      </c>
      <c r="D2306" s="9" t="s">
        <v>11</v>
      </c>
      <c r="E2306" s="9">
        <v>116</v>
      </c>
      <c r="F2306" s="9">
        <v>6.3</v>
      </c>
      <c r="G2306" s="9">
        <v>19000000</v>
      </c>
      <c r="H2306" s="9">
        <v>1292527</v>
      </c>
      <c r="I2306" s="5">
        <f>IMDB_Movies!$H2306-IMDB_Movies!$G2306</f>
        <v>-17707473</v>
      </c>
    </row>
    <row r="2307" spans="1:9" ht="23">
      <c r="A2307" s="3" t="s">
        <v>3329</v>
      </c>
      <c r="B2307" s="10" t="s">
        <v>3330</v>
      </c>
      <c r="C2307" s="10" t="s">
        <v>56</v>
      </c>
      <c r="D2307" s="10" t="s">
        <v>3331</v>
      </c>
      <c r="E2307" s="10">
        <v>110</v>
      </c>
      <c r="F2307" s="10">
        <v>7.8</v>
      </c>
      <c r="G2307" s="10">
        <v>20000000</v>
      </c>
      <c r="H2307" s="10">
        <v>560512</v>
      </c>
      <c r="I2307" s="5">
        <f>IMDB_Movies!$H2307-IMDB_Movies!$G2307</f>
        <v>-19439488</v>
      </c>
    </row>
    <row r="2308" spans="1:9" ht="23">
      <c r="A2308" s="2" t="s">
        <v>3332</v>
      </c>
      <c r="B2308" s="9" t="s">
        <v>3333</v>
      </c>
      <c r="C2308" s="9" t="s">
        <v>56</v>
      </c>
      <c r="D2308" s="9" t="s">
        <v>11</v>
      </c>
      <c r="E2308" s="9">
        <v>90</v>
      </c>
      <c r="F2308" s="9">
        <v>6</v>
      </c>
      <c r="G2308" s="9">
        <v>19000000</v>
      </c>
      <c r="H2308" s="9">
        <v>64255243</v>
      </c>
      <c r="I2308" s="5">
        <f>IMDB_Movies!$H2308-IMDB_Movies!$G2308</f>
        <v>45255243</v>
      </c>
    </row>
    <row r="2309" spans="1:9" ht="23">
      <c r="A2309" s="3" t="s">
        <v>3334</v>
      </c>
      <c r="B2309" s="10" t="s">
        <v>483</v>
      </c>
      <c r="C2309" s="10" t="s">
        <v>138</v>
      </c>
      <c r="D2309" s="10" t="s">
        <v>11</v>
      </c>
      <c r="E2309" s="10">
        <v>81</v>
      </c>
      <c r="F2309" s="10">
        <v>7.7</v>
      </c>
      <c r="G2309" s="10">
        <v>19000000</v>
      </c>
      <c r="H2309" s="10">
        <v>22245861</v>
      </c>
      <c r="I2309" s="5">
        <f>IMDB_Movies!$H2309-IMDB_Movies!$G2309</f>
        <v>3245861</v>
      </c>
    </row>
    <row r="2310" spans="1:9" ht="23">
      <c r="A2310" s="2" t="s">
        <v>3335</v>
      </c>
      <c r="B2310" s="9" t="s">
        <v>668</v>
      </c>
      <c r="C2310" s="9" t="s">
        <v>810</v>
      </c>
      <c r="D2310" s="9" t="s">
        <v>11</v>
      </c>
      <c r="E2310" s="9">
        <v>97</v>
      </c>
      <c r="F2310" s="9">
        <v>6.2</v>
      </c>
      <c r="G2310" s="9">
        <v>15000000</v>
      </c>
      <c r="H2310" s="9">
        <v>20433940</v>
      </c>
      <c r="I2310" s="5">
        <f>IMDB_Movies!$H2310-IMDB_Movies!$G2310</f>
        <v>5433940</v>
      </c>
    </row>
    <row r="2311" spans="1:9" ht="23">
      <c r="A2311" s="3" t="s">
        <v>3336</v>
      </c>
      <c r="B2311" s="10" t="s">
        <v>1639</v>
      </c>
      <c r="C2311" s="10" t="s">
        <v>10</v>
      </c>
      <c r="D2311" s="10" t="s">
        <v>3337</v>
      </c>
      <c r="E2311" s="10">
        <v>107</v>
      </c>
      <c r="F2311" s="10">
        <v>5.7</v>
      </c>
      <c r="G2311" s="10">
        <v>20000000</v>
      </c>
      <c r="H2311" s="10">
        <v>25078937</v>
      </c>
      <c r="I2311" s="5">
        <f>IMDB_Movies!$H2311-IMDB_Movies!$G2311</f>
        <v>5078937</v>
      </c>
    </row>
    <row r="2312" spans="1:9" ht="23">
      <c r="A2312" s="2" t="s">
        <v>3338</v>
      </c>
      <c r="B2312" s="9" t="s">
        <v>747</v>
      </c>
      <c r="C2312" s="9" t="s">
        <v>24</v>
      </c>
      <c r="D2312" s="9" t="s">
        <v>11</v>
      </c>
      <c r="E2312" s="9">
        <v>118</v>
      </c>
      <c r="F2312" s="9">
        <v>7.7</v>
      </c>
      <c r="G2312" s="9">
        <v>18500000</v>
      </c>
      <c r="H2312" s="9">
        <v>10562387</v>
      </c>
      <c r="I2312" s="5">
        <f>IMDB_Movies!$H2312-IMDB_Movies!$G2312</f>
        <v>-7937613</v>
      </c>
    </row>
    <row r="2313" spans="1:9" ht="23">
      <c r="A2313" s="3" t="s">
        <v>3339</v>
      </c>
      <c r="B2313" s="10" t="s">
        <v>3340</v>
      </c>
      <c r="C2313" s="10" t="s">
        <v>138</v>
      </c>
      <c r="D2313" s="10" t="s">
        <v>11</v>
      </c>
      <c r="E2313" s="10">
        <v>100</v>
      </c>
      <c r="F2313" s="10">
        <v>6.4</v>
      </c>
      <c r="G2313" s="10">
        <v>18500000</v>
      </c>
      <c r="H2313" s="10">
        <v>18439082</v>
      </c>
      <c r="I2313" s="5">
        <f>IMDB_Movies!$H2313-IMDB_Movies!$G2313</f>
        <v>-60918</v>
      </c>
    </row>
    <row r="2314" spans="1:9" ht="23">
      <c r="A2314" s="2" t="s">
        <v>3341</v>
      </c>
      <c r="B2314" s="9" t="s">
        <v>1767</v>
      </c>
      <c r="C2314" s="9" t="s">
        <v>138</v>
      </c>
      <c r="D2314" s="9" t="s">
        <v>11</v>
      </c>
      <c r="E2314" s="9">
        <v>97</v>
      </c>
      <c r="F2314" s="9">
        <v>6.4</v>
      </c>
      <c r="G2314" s="9">
        <v>18000000</v>
      </c>
      <c r="H2314" s="9">
        <v>150056505</v>
      </c>
      <c r="I2314" s="5">
        <f>IMDB_Movies!$H2314-IMDB_Movies!$G2314</f>
        <v>132056505</v>
      </c>
    </row>
    <row r="2315" spans="1:9" ht="23">
      <c r="A2315" s="3" t="s">
        <v>3342</v>
      </c>
      <c r="B2315" s="10" t="s">
        <v>470</v>
      </c>
      <c r="C2315" s="10" t="s">
        <v>10</v>
      </c>
      <c r="D2315" s="10" t="s">
        <v>11</v>
      </c>
      <c r="E2315" s="10">
        <v>114</v>
      </c>
      <c r="F2315" s="10">
        <v>6.9</v>
      </c>
      <c r="G2315" s="10">
        <v>18000000</v>
      </c>
      <c r="H2315" s="10">
        <v>119938730</v>
      </c>
      <c r="I2315" s="5">
        <f>IMDB_Movies!$H2315-IMDB_Movies!$G2315</f>
        <v>101938730</v>
      </c>
    </row>
    <row r="2316" spans="1:9" ht="23">
      <c r="A2316" s="2" t="s">
        <v>3343</v>
      </c>
      <c r="B2316" s="9" t="s">
        <v>1539</v>
      </c>
      <c r="C2316" s="9" t="s">
        <v>138</v>
      </c>
      <c r="D2316" s="9" t="s">
        <v>11</v>
      </c>
      <c r="E2316" s="9">
        <v>130</v>
      </c>
      <c r="F2316" s="9">
        <v>7.3</v>
      </c>
      <c r="G2316" s="9">
        <v>18000000</v>
      </c>
      <c r="H2316" s="9">
        <v>114968774</v>
      </c>
      <c r="I2316" s="5">
        <f>IMDB_Movies!$H2316-IMDB_Movies!$G2316</f>
        <v>96968774</v>
      </c>
    </row>
    <row r="2317" spans="1:9" ht="23">
      <c r="A2317" s="3" t="s">
        <v>3344</v>
      </c>
      <c r="B2317" s="10" t="s">
        <v>999</v>
      </c>
      <c r="C2317" s="10" t="s">
        <v>138</v>
      </c>
      <c r="D2317" s="10" t="s">
        <v>11</v>
      </c>
      <c r="E2317" s="10">
        <v>82</v>
      </c>
      <c r="F2317" s="10">
        <v>7.3</v>
      </c>
      <c r="G2317" s="10">
        <v>18000000</v>
      </c>
      <c r="H2317" s="10">
        <v>128505958</v>
      </c>
      <c r="I2317" s="5">
        <f>IMDB_Movies!$H2317-IMDB_Movies!$G2317</f>
        <v>110505958</v>
      </c>
    </row>
    <row r="2318" spans="1:9" ht="23">
      <c r="A2318" s="2" t="s">
        <v>3345</v>
      </c>
      <c r="B2318" s="9" t="s">
        <v>828</v>
      </c>
      <c r="C2318" s="9" t="s">
        <v>138</v>
      </c>
      <c r="D2318" s="9" t="s">
        <v>11</v>
      </c>
      <c r="E2318" s="9">
        <v>96</v>
      </c>
      <c r="F2318" s="9">
        <v>6.2</v>
      </c>
      <c r="G2318" s="9">
        <v>18000000</v>
      </c>
      <c r="H2318" s="9">
        <v>95001351</v>
      </c>
      <c r="I2318" s="5">
        <f>IMDB_Movies!$H2318-IMDB_Movies!$G2318</f>
        <v>77001351</v>
      </c>
    </row>
    <row r="2319" spans="1:9" ht="23">
      <c r="A2319" s="3" t="s">
        <v>3346</v>
      </c>
      <c r="B2319" s="10" t="s">
        <v>2844</v>
      </c>
      <c r="C2319" s="10" t="s">
        <v>10</v>
      </c>
      <c r="D2319" s="10" t="s">
        <v>11</v>
      </c>
      <c r="E2319" s="10">
        <v>105</v>
      </c>
      <c r="F2319" s="10">
        <v>6.6</v>
      </c>
      <c r="G2319" s="10">
        <v>17000000</v>
      </c>
      <c r="H2319" s="10">
        <v>76400000</v>
      </c>
      <c r="I2319" s="5">
        <f>IMDB_Movies!$H2319-IMDB_Movies!$G2319</f>
        <v>59400000</v>
      </c>
    </row>
    <row r="2320" spans="1:9" ht="23">
      <c r="A2320" s="2" t="s">
        <v>3347</v>
      </c>
      <c r="B2320" s="9" t="s">
        <v>718</v>
      </c>
      <c r="C2320" s="9" t="s">
        <v>56</v>
      </c>
      <c r="D2320" s="9" t="s">
        <v>11</v>
      </c>
      <c r="E2320" s="9">
        <v>122</v>
      </c>
      <c r="F2320" s="9">
        <v>6.7</v>
      </c>
      <c r="G2320" s="9">
        <v>20000000</v>
      </c>
      <c r="H2320" s="9">
        <v>75072454</v>
      </c>
      <c r="I2320" s="5">
        <f>IMDB_Movies!$H2320-IMDB_Movies!$G2320</f>
        <v>55072454</v>
      </c>
    </row>
    <row r="2321" spans="1:9" ht="23">
      <c r="A2321" s="3" t="s">
        <v>3348</v>
      </c>
      <c r="B2321" s="10" t="s">
        <v>160</v>
      </c>
      <c r="C2321" s="10" t="s">
        <v>138</v>
      </c>
      <c r="D2321" s="10" t="s">
        <v>11</v>
      </c>
      <c r="E2321" s="10">
        <v>88</v>
      </c>
      <c r="F2321" s="10">
        <v>5.7</v>
      </c>
      <c r="G2321" s="10">
        <v>17000000</v>
      </c>
      <c r="H2321" s="10">
        <v>65535067</v>
      </c>
      <c r="I2321" s="5">
        <f>IMDB_Movies!$H2321-IMDB_Movies!$G2321</f>
        <v>48535067</v>
      </c>
    </row>
    <row r="2322" spans="1:9" ht="23">
      <c r="A2322" s="2" t="s">
        <v>3349</v>
      </c>
      <c r="B2322" s="9" t="s">
        <v>3350</v>
      </c>
      <c r="C2322" s="9" t="s">
        <v>10</v>
      </c>
      <c r="D2322" s="9" t="s">
        <v>11</v>
      </c>
      <c r="E2322" s="9">
        <v>110</v>
      </c>
      <c r="F2322" s="9">
        <v>3.1</v>
      </c>
      <c r="G2322" s="9">
        <v>16000000</v>
      </c>
      <c r="H2322" s="9">
        <v>13998282</v>
      </c>
      <c r="I2322" s="5">
        <f>IMDB_Movies!$H2322-IMDB_Movies!$G2322</f>
        <v>-2001718</v>
      </c>
    </row>
    <row r="2323" spans="1:9" ht="23">
      <c r="A2323" s="3" t="s">
        <v>3351</v>
      </c>
      <c r="B2323" s="10" t="s">
        <v>3118</v>
      </c>
      <c r="C2323" s="10" t="s">
        <v>138</v>
      </c>
      <c r="D2323" s="10" t="s">
        <v>11</v>
      </c>
      <c r="E2323" s="10">
        <v>103</v>
      </c>
      <c r="F2323" s="10">
        <v>6.3</v>
      </c>
      <c r="G2323" s="10">
        <v>17000000</v>
      </c>
      <c r="H2323" s="10">
        <v>6061759</v>
      </c>
      <c r="I2323" s="5">
        <f>IMDB_Movies!$H2323-IMDB_Movies!$G2323</f>
        <v>-10938241</v>
      </c>
    </row>
    <row r="2324" spans="1:9" ht="23">
      <c r="A2324" s="2" t="s">
        <v>3352</v>
      </c>
      <c r="B2324" s="9" t="s">
        <v>2022</v>
      </c>
      <c r="C2324" s="9" t="s">
        <v>138</v>
      </c>
      <c r="D2324" s="9" t="s">
        <v>11</v>
      </c>
      <c r="E2324" s="9">
        <v>106</v>
      </c>
      <c r="F2324" s="9">
        <v>5.7</v>
      </c>
      <c r="G2324" s="9">
        <v>18000000</v>
      </c>
      <c r="H2324" s="9">
        <v>64955956</v>
      </c>
      <c r="I2324" s="5">
        <f>IMDB_Movies!$H2324-IMDB_Movies!$G2324</f>
        <v>46955956</v>
      </c>
    </row>
    <row r="2325" spans="1:9" ht="23">
      <c r="A2325" s="3" t="s">
        <v>3353</v>
      </c>
      <c r="B2325" s="10" t="s">
        <v>3354</v>
      </c>
      <c r="C2325" s="10" t="s">
        <v>138</v>
      </c>
      <c r="D2325" s="10" t="s">
        <v>11</v>
      </c>
      <c r="E2325" s="10">
        <v>98</v>
      </c>
      <c r="F2325" s="10">
        <v>7.1</v>
      </c>
      <c r="G2325" s="10">
        <v>18000000</v>
      </c>
      <c r="H2325" s="10">
        <v>60057639</v>
      </c>
      <c r="I2325" s="5">
        <f>IMDB_Movies!$H2325-IMDB_Movies!$G2325</f>
        <v>42057639</v>
      </c>
    </row>
    <row r="2326" spans="1:9" ht="23">
      <c r="A2326" s="2" t="s">
        <v>3355</v>
      </c>
      <c r="B2326" s="9" t="s">
        <v>528</v>
      </c>
      <c r="C2326" s="9" t="s">
        <v>138</v>
      </c>
      <c r="D2326" s="9" t="s">
        <v>11</v>
      </c>
      <c r="E2326" s="9">
        <v>68</v>
      </c>
      <c r="F2326" s="9">
        <v>7</v>
      </c>
      <c r="G2326" s="9">
        <v>17000000</v>
      </c>
      <c r="H2326" s="9">
        <v>53868030</v>
      </c>
      <c r="I2326" s="5">
        <f>IMDB_Movies!$H2326-IMDB_Movies!$G2326</f>
        <v>36868030</v>
      </c>
    </row>
    <row r="2327" spans="1:9" ht="23">
      <c r="A2327" s="3" t="s">
        <v>3356</v>
      </c>
      <c r="B2327" s="10" t="s">
        <v>1965</v>
      </c>
      <c r="C2327" s="10" t="s">
        <v>138</v>
      </c>
      <c r="D2327" s="10" t="s">
        <v>11</v>
      </c>
      <c r="E2327" s="10">
        <v>94</v>
      </c>
      <c r="F2327" s="10">
        <v>6.1</v>
      </c>
      <c r="G2327" s="10">
        <v>18000000</v>
      </c>
      <c r="H2327" s="10">
        <v>59573085</v>
      </c>
      <c r="I2327" s="5">
        <f>IMDB_Movies!$H2327-IMDB_Movies!$G2327</f>
        <v>41573085</v>
      </c>
    </row>
    <row r="2328" spans="1:9" ht="23">
      <c r="A2328" s="2" t="s">
        <v>3357</v>
      </c>
      <c r="B2328" s="9" t="s">
        <v>253</v>
      </c>
      <c r="C2328" s="9" t="s">
        <v>138</v>
      </c>
      <c r="D2328" s="9" t="s">
        <v>11</v>
      </c>
      <c r="E2328" s="9">
        <v>99</v>
      </c>
      <c r="F2328" s="9">
        <v>6.6</v>
      </c>
      <c r="G2328" s="9">
        <v>21000000</v>
      </c>
      <c r="H2328" s="9">
        <v>52691009</v>
      </c>
      <c r="I2328" s="5">
        <f>IMDB_Movies!$H2328-IMDB_Movies!$G2328</f>
        <v>31691009</v>
      </c>
    </row>
    <row r="2329" spans="1:9" ht="23">
      <c r="A2329" s="3" t="s">
        <v>3358</v>
      </c>
      <c r="B2329" s="10" t="s">
        <v>353</v>
      </c>
      <c r="C2329" s="10" t="s">
        <v>10</v>
      </c>
      <c r="D2329" s="10" t="s">
        <v>11</v>
      </c>
      <c r="E2329" s="10">
        <v>107</v>
      </c>
      <c r="F2329" s="10">
        <v>7.8</v>
      </c>
      <c r="G2329" s="10">
        <v>15000000</v>
      </c>
      <c r="H2329" s="10">
        <v>59735548</v>
      </c>
      <c r="I2329" s="5">
        <f>IMDB_Movies!$H2329-IMDB_Movies!$G2329</f>
        <v>44735548</v>
      </c>
    </row>
    <row r="2330" spans="1:9" ht="23">
      <c r="A2330" s="2" t="s">
        <v>3359</v>
      </c>
      <c r="B2330" s="9" t="s">
        <v>1344</v>
      </c>
      <c r="C2330" s="9" t="s">
        <v>418</v>
      </c>
      <c r="D2330" s="9" t="s">
        <v>11</v>
      </c>
      <c r="E2330" s="9">
        <v>180</v>
      </c>
      <c r="F2330" s="9">
        <v>8.3000000000000007</v>
      </c>
      <c r="G2330" s="9">
        <v>18000000</v>
      </c>
      <c r="H2330" s="9">
        <v>51600000</v>
      </c>
      <c r="I2330" s="5">
        <f>IMDB_Movies!$H2330-IMDB_Movies!$G2330</f>
        <v>33600000</v>
      </c>
    </row>
    <row r="2331" spans="1:9" ht="23">
      <c r="A2331" s="3" t="s">
        <v>3360</v>
      </c>
      <c r="B2331" s="10" t="s">
        <v>3100</v>
      </c>
      <c r="C2331" s="10" t="s">
        <v>810</v>
      </c>
      <c r="D2331" s="10" t="s">
        <v>11</v>
      </c>
      <c r="E2331" s="10">
        <v>89</v>
      </c>
      <c r="F2331" s="10">
        <v>3.9</v>
      </c>
      <c r="G2331" s="10">
        <v>20000000</v>
      </c>
      <c r="H2331" s="10">
        <v>43818159</v>
      </c>
      <c r="I2331" s="5">
        <f>IMDB_Movies!$H2331-IMDB_Movies!$G2331</f>
        <v>23818159</v>
      </c>
    </row>
    <row r="2332" spans="1:9" ht="23">
      <c r="A2332" s="2" t="s">
        <v>3361</v>
      </c>
      <c r="B2332" s="9" t="s">
        <v>550</v>
      </c>
      <c r="C2332" s="9" t="s">
        <v>138</v>
      </c>
      <c r="D2332" s="9" t="s">
        <v>11</v>
      </c>
      <c r="E2332" s="9">
        <v>97</v>
      </c>
      <c r="F2332" s="9">
        <v>7</v>
      </c>
      <c r="G2332" s="9">
        <v>17000000</v>
      </c>
      <c r="H2332" s="9">
        <v>86049418</v>
      </c>
      <c r="I2332" s="5">
        <f>IMDB_Movies!$H2332-IMDB_Movies!$G2332</f>
        <v>69049418</v>
      </c>
    </row>
    <row r="2333" spans="1:9" ht="23">
      <c r="A2333" s="3" t="s">
        <v>3362</v>
      </c>
      <c r="B2333" s="10" t="s">
        <v>3363</v>
      </c>
      <c r="C2333" s="10" t="s">
        <v>138</v>
      </c>
      <c r="D2333" s="10" t="s">
        <v>11</v>
      </c>
      <c r="E2333" s="10">
        <v>113</v>
      </c>
      <c r="F2333" s="10">
        <v>6.7</v>
      </c>
      <c r="G2333" s="10">
        <v>18000000</v>
      </c>
      <c r="H2333" s="10">
        <v>43601508</v>
      </c>
      <c r="I2333" s="5">
        <f>IMDB_Movies!$H2333-IMDB_Movies!$G2333</f>
        <v>25601508</v>
      </c>
    </row>
    <row r="2334" spans="1:9" ht="23">
      <c r="A2334" s="2" t="s">
        <v>3364</v>
      </c>
      <c r="B2334" s="9" t="s">
        <v>3328</v>
      </c>
      <c r="C2334" s="9" t="s">
        <v>56</v>
      </c>
      <c r="D2334" s="9" t="s">
        <v>11</v>
      </c>
      <c r="E2334" s="9">
        <v>131</v>
      </c>
      <c r="F2334" s="9">
        <v>7.3</v>
      </c>
      <c r="G2334" s="9">
        <v>19800000</v>
      </c>
      <c r="H2334" s="9">
        <v>41300105</v>
      </c>
      <c r="I2334" s="5">
        <f>IMDB_Movies!$H2334-IMDB_Movies!$G2334</f>
        <v>21500105</v>
      </c>
    </row>
    <row r="2335" spans="1:9" ht="23">
      <c r="A2335" s="3" t="s">
        <v>3365</v>
      </c>
      <c r="B2335" s="10" t="s">
        <v>1311</v>
      </c>
      <c r="C2335" s="10" t="s">
        <v>138</v>
      </c>
      <c r="D2335" s="10" t="s">
        <v>11</v>
      </c>
      <c r="E2335" s="10">
        <v>103</v>
      </c>
      <c r="F2335" s="10">
        <v>6.3</v>
      </c>
      <c r="G2335" s="10">
        <v>18000000</v>
      </c>
      <c r="H2335" s="10">
        <v>41382841</v>
      </c>
      <c r="I2335" s="5">
        <f>IMDB_Movies!$H2335-IMDB_Movies!$G2335</f>
        <v>23382841</v>
      </c>
    </row>
    <row r="2336" spans="1:9" ht="23">
      <c r="A2336" s="2" t="s">
        <v>3366</v>
      </c>
      <c r="B2336" s="9" t="s">
        <v>305</v>
      </c>
      <c r="C2336" s="9" t="s">
        <v>138</v>
      </c>
      <c r="D2336" s="9" t="s">
        <v>11</v>
      </c>
      <c r="E2336" s="9">
        <v>119</v>
      </c>
      <c r="F2336" s="9">
        <v>7.8</v>
      </c>
      <c r="G2336" s="9">
        <v>18000000</v>
      </c>
      <c r="H2336" s="9">
        <v>42335698</v>
      </c>
      <c r="I2336" s="5">
        <f>IMDB_Movies!$H2336-IMDB_Movies!$G2336</f>
        <v>24335698</v>
      </c>
    </row>
    <row r="2337" spans="1:9" ht="23">
      <c r="A2337" s="3" t="s">
        <v>3367</v>
      </c>
      <c r="B2337" s="10" t="s">
        <v>2304</v>
      </c>
      <c r="C2337" s="10" t="s">
        <v>56</v>
      </c>
      <c r="D2337" s="10" t="s">
        <v>11</v>
      </c>
      <c r="E2337" s="10">
        <v>98</v>
      </c>
      <c r="F2337" s="10">
        <v>7.3</v>
      </c>
      <c r="G2337" s="10">
        <v>18000000</v>
      </c>
      <c r="H2337" s="10">
        <v>33404871</v>
      </c>
      <c r="I2337" s="5">
        <f>IMDB_Movies!$H2337-IMDB_Movies!$G2337</f>
        <v>15404871</v>
      </c>
    </row>
    <row r="2338" spans="1:9" ht="23">
      <c r="A2338" s="2" t="s">
        <v>3368</v>
      </c>
      <c r="B2338" s="9" t="s">
        <v>311</v>
      </c>
      <c r="C2338" s="9" t="s">
        <v>56</v>
      </c>
      <c r="D2338" s="9" t="s">
        <v>11</v>
      </c>
      <c r="E2338" s="9">
        <v>111</v>
      </c>
      <c r="F2338" s="9">
        <v>7.6</v>
      </c>
      <c r="G2338" s="9">
        <v>15000000</v>
      </c>
      <c r="H2338" s="9">
        <v>31471430</v>
      </c>
      <c r="I2338" s="5">
        <f>IMDB_Movies!$H2338-IMDB_Movies!$G2338</f>
        <v>16471430</v>
      </c>
    </row>
    <row r="2339" spans="1:9" ht="23">
      <c r="A2339" s="3" t="s">
        <v>3369</v>
      </c>
      <c r="B2339" s="10" t="s">
        <v>2696</v>
      </c>
      <c r="C2339" s="10" t="s">
        <v>56</v>
      </c>
      <c r="D2339" s="10" t="s">
        <v>11</v>
      </c>
      <c r="E2339" s="10">
        <v>94</v>
      </c>
      <c r="F2339" s="10">
        <v>5.3</v>
      </c>
      <c r="G2339" s="10">
        <v>25000000</v>
      </c>
      <c r="H2339" s="10">
        <v>30222640</v>
      </c>
      <c r="I2339" s="5">
        <f>IMDB_Movies!$H2339-IMDB_Movies!$G2339</f>
        <v>5222640</v>
      </c>
    </row>
    <row r="2340" spans="1:9" ht="23">
      <c r="A2340" s="2" t="s">
        <v>3370</v>
      </c>
      <c r="B2340" s="9" t="s">
        <v>3371</v>
      </c>
      <c r="C2340" s="9" t="s">
        <v>10</v>
      </c>
      <c r="D2340" s="9" t="s">
        <v>11</v>
      </c>
      <c r="E2340" s="9">
        <v>81</v>
      </c>
      <c r="F2340" s="9">
        <v>5.3</v>
      </c>
      <c r="G2340" s="9">
        <v>18000000</v>
      </c>
      <c r="H2340" s="9">
        <v>26906039</v>
      </c>
      <c r="I2340" s="5">
        <f>IMDB_Movies!$H2340-IMDB_Movies!$G2340</f>
        <v>8906039</v>
      </c>
    </row>
    <row r="2341" spans="1:9" ht="23">
      <c r="A2341" s="3" t="s">
        <v>3372</v>
      </c>
      <c r="B2341" s="10" t="s">
        <v>1470</v>
      </c>
      <c r="C2341" s="10" t="s">
        <v>713</v>
      </c>
      <c r="D2341" s="10" t="s">
        <v>11</v>
      </c>
      <c r="E2341" s="10">
        <v>89</v>
      </c>
      <c r="F2341" s="10">
        <v>6.8</v>
      </c>
      <c r="G2341" s="10">
        <v>1000000</v>
      </c>
      <c r="H2341" s="10">
        <v>21378000</v>
      </c>
      <c r="I2341" s="5">
        <f>IMDB_Movies!$H2341-IMDB_Movies!$G2341</f>
        <v>20378000</v>
      </c>
    </row>
    <row r="2342" spans="1:9" ht="23">
      <c r="A2342" s="2" t="s">
        <v>3373</v>
      </c>
      <c r="B2342" s="9" t="s">
        <v>3374</v>
      </c>
      <c r="C2342" s="9" t="s">
        <v>418</v>
      </c>
      <c r="D2342" s="9" t="s">
        <v>11</v>
      </c>
      <c r="E2342" s="9">
        <v>106</v>
      </c>
      <c r="F2342" s="9">
        <v>7.1</v>
      </c>
      <c r="G2342" s="9">
        <v>18000000</v>
      </c>
      <c r="H2342" s="9">
        <v>43853424</v>
      </c>
      <c r="I2342" s="5">
        <f>IMDB_Movies!$H2342-IMDB_Movies!$G2342</f>
        <v>25853424</v>
      </c>
    </row>
    <row r="2343" spans="1:9" ht="23">
      <c r="A2343" s="3" t="s">
        <v>3375</v>
      </c>
      <c r="B2343" s="10" t="s">
        <v>819</v>
      </c>
      <c r="C2343" s="10" t="s">
        <v>138</v>
      </c>
      <c r="D2343" s="10" t="s">
        <v>11</v>
      </c>
      <c r="E2343" s="10">
        <v>122</v>
      </c>
      <c r="F2343" s="10">
        <v>7.2</v>
      </c>
      <c r="G2343" s="10">
        <v>18000000</v>
      </c>
      <c r="H2343" s="10">
        <v>25078937</v>
      </c>
      <c r="I2343" s="5">
        <f>IMDB_Movies!$H2343-IMDB_Movies!$G2343</f>
        <v>7078937</v>
      </c>
    </row>
    <row r="2344" spans="1:9" ht="23">
      <c r="A2344" s="2" t="s">
        <v>3376</v>
      </c>
      <c r="B2344" s="9" t="s">
        <v>3377</v>
      </c>
      <c r="C2344" s="9" t="s">
        <v>138</v>
      </c>
      <c r="D2344" s="9" t="s">
        <v>11</v>
      </c>
      <c r="E2344" s="9">
        <v>86</v>
      </c>
      <c r="F2344" s="9">
        <v>5.8</v>
      </c>
      <c r="G2344" s="9">
        <v>18000000</v>
      </c>
      <c r="H2344" s="9">
        <v>23993605</v>
      </c>
      <c r="I2344" s="5">
        <f>IMDB_Movies!$H2344-IMDB_Movies!$G2344</f>
        <v>5993605</v>
      </c>
    </row>
    <row r="2345" spans="1:9" ht="23">
      <c r="A2345" s="3" t="s">
        <v>3378</v>
      </c>
      <c r="B2345" s="10" t="s">
        <v>2718</v>
      </c>
      <c r="C2345" s="10" t="s">
        <v>10</v>
      </c>
      <c r="D2345" s="10" t="s">
        <v>11</v>
      </c>
      <c r="E2345" s="10">
        <v>103</v>
      </c>
      <c r="F2345" s="10">
        <v>5.8</v>
      </c>
      <c r="G2345" s="10">
        <v>18000000</v>
      </c>
      <c r="H2345" s="10">
        <v>26400000</v>
      </c>
      <c r="I2345" s="5">
        <f>IMDB_Movies!$H2345-IMDB_Movies!$G2345</f>
        <v>8400000</v>
      </c>
    </row>
    <row r="2346" spans="1:9" ht="23">
      <c r="A2346" s="2" t="s">
        <v>3379</v>
      </c>
      <c r="B2346" s="9" t="s">
        <v>130</v>
      </c>
      <c r="C2346" s="9" t="s">
        <v>418</v>
      </c>
      <c r="D2346" s="9" t="s">
        <v>11</v>
      </c>
      <c r="E2346" s="9">
        <v>121</v>
      </c>
      <c r="F2346" s="9">
        <v>8.3000000000000007</v>
      </c>
      <c r="G2346" s="9">
        <v>18000000</v>
      </c>
      <c r="H2346" s="9">
        <v>45250</v>
      </c>
      <c r="I2346" s="5">
        <f>IMDB_Movies!$H2346-IMDB_Movies!$G2346</f>
        <v>-17954750</v>
      </c>
    </row>
    <row r="2347" spans="1:9" ht="23">
      <c r="A2347" s="3" t="s">
        <v>3380</v>
      </c>
      <c r="B2347" s="10" t="s">
        <v>3381</v>
      </c>
      <c r="C2347" s="10" t="s">
        <v>56</v>
      </c>
      <c r="D2347" s="10" t="s">
        <v>11</v>
      </c>
      <c r="E2347" s="10">
        <v>109</v>
      </c>
      <c r="F2347" s="10">
        <v>5.6</v>
      </c>
      <c r="G2347" s="10">
        <v>18000000</v>
      </c>
      <c r="H2347" s="10">
        <v>22927390</v>
      </c>
      <c r="I2347" s="5">
        <f>IMDB_Movies!$H2347-IMDB_Movies!$G2347</f>
        <v>4927390</v>
      </c>
    </row>
    <row r="2348" spans="1:9" ht="23">
      <c r="A2348" s="2" t="s">
        <v>3382</v>
      </c>
      <c r="B2348" s="9" t="s">
        <v>834</v>
      </c>
      <c r="C2348" s="9" t="s">
        <v>24</v>
      </c>
      <c r="D2348" s="9" t="s">
        <v>11</v>
      </c>
      <c r="E2348" s="9">
        <v>109</v>
      </c>
      <c r="F2348" s="9">
        <v>6.8</v>
      </c>
      <c r="G2348" s="9">
        <v>18000000</v>
      </c>
      <c r="H2348" s="9">
        <v>4250320</v>
      </c>
      <c r="I2348" s="5">
        <f>IMDB_Movies!$H2348-IMDB_Movies!$G2348</f>
        <v>-13749680</v>
      </c>
    </row>
    <row r="2349" spans="1:9" ht="23">
      <c r="A2349" s="3" t="s">
        <v>3383</v>
      </c>
      <c r="B2349" s="10" t="s">
        <v>3384</v>
      </c>
      <c r="C2349" s="10" t="s">
        <v>138</v>
      </c>
      <c r="D2349" s="10" t="s">
        <v>11</v>
      </c>
      <c r="E2349" s="10">
        <v>123</v>
      </c>
      <c r="F2349" s="10">
        <v>5</v>
      </c>
      <c r="G2349" s="10">
        <v>18000000</v>
      </c>
      <c r="H2349" s="10">
        <v>22452209</v>
      </c>
      <c r="I2349" s="5">
        <f>IMDB_Movies!$H2349-IMDB_Movies!$G2349</f>
        <v>4452209</v>
      </c>
    </row>
    <row r="2350" spans="1:9" ht="23">
      <c r="A2350" s="2" t="s">
        <v>3385</v>
      </c>
      <c r="B2350" s="9" t="s">
        <v>1450</v>
      </c>
      <c r="C2350" s="9" t="s">
        <v>24</v>
      </c>
      <c r="D2350" s="9" t="s">
        <v>11</v>
      </c>
      <c r="E2350" s="9">
        <v>94</v>
      </c>
      <c r="F2350" s="9">
        <v>7.6</v>
      </c>
      <c r="G2350" s="9">
        <v>18000000</v>
      </c>
      <c r="H2350" s="9">
        <v>18329466</v>
      </c>
      <c r="I2350" s="5">
        <f>IMDB_Movies!$H2350-IMDB_Movies!$G2350</f>
        <v>329466</v>
      </c>
    </row>
    <row r="2351" spans="1:9" ht="23">
      <c r="A2351" s="3" t="s">
        <v>3386</v>
      </c>
      <c r="B2351" s="10" t="s">
        <v>2304</v>
      </c>
      <c r="C2351" s="10" t="s">
        <v>138</v>
      </c>
      <c r="D2351" s="10" t="s">
        <v>11</v>
      </c>
      <c r="E2351" s="10">
        <v>94</v>
      </c>
      <c r="F2351" s="10">
        <v>6.7</v>
      </c>
      <c r="G2351" s="10">
        <v>18000000</v>
      </c>
      <c r="H2351" s="10">
        <v>17071230</v>
      </c>
      <c r="I2351" s="5">
        <f>IMDB_Movies!$H2351-IMDB_Movies!$G2351</f>
        <v>-928770</v>
      </c>
    </row>
    <row r="2352" spans="1:9" ht="23">
      <c r="A2352" s="2" t="s">
        <v>3387</v>
      </c>
      <c r="B2352" s="9" t="s">
        <v>3388</v>
      </c>
      <c r="C2352" s="9" t="s">
        <v>56</v>
      </c>
      <c r="D2352" s="9" t="s">
        <v>11</v>
      </c>
      <c r="E2352" s="9">
        <v>115</v>
      </c>
      <c r="F2352" s="9">
        <v>6.7</v>
      </c>
      <c r="G2352" s="9">
        <v>18000000</v>
      </c>
      <c r="H2352" s="9">
        <v>17174870</v>
      </c>
      <c r="I2352" s="5">
        <f>IMDB_Movies!$H2352-IMDB_Movies!$G2352</f>
        <v>-825130</v>
      </c>
    </row>
    <row r="2353" spans="1:9" ht="23">
      <c r="A2353" s="3" t="s">
        <v>3389</v>
      </c>
      <c r="B2353" s="10" t="s">
        <v>2934</v>
      </c>
      <c r="C2353" s="10" t="s">
        <v>138</v>
      </c>
      <c r="D2353" s="10" t="s">
        <v>11</v>
      </c>
      <c r="E2353" s="10">
        <v>107</v>
      </c>
      <c r="F2353" s="10">
        <v>5.7</v>
      </c>
      <c r="G2353" s="10">
        <v>17000000</v>
      </c>
      <c r="H2353" s="10">
        <v>26284475</v>
      </c>
      <c r="I2353" s="5">
        <f>IMDB_Movies!$H2353-IMDB_Movies!$G2353</f>
        <v>9284475</v>
      </c>
    </row>
    <row r="2354" spans="1:9" ht="23">
      <c r="A2354" s="2" t="s">
        <v>3390</v>
      </c>
      <c r="B2354" s="9" t="s">
        <v>3391</v>
      </c>
      <c r="C2354" s="9" t="s">
        <v>138</v>
      </c>
      <c r="D2354" s="9" t="s">
        <v>11</v>
      </c>
      <c r="E2354" s="9">
        <v>91</v>
      </c>
      <c r="F2354" s="9">
        <v>5.2</v>
      </c>
      <c r="G2354" s="9">
        <v>18000000</v>
      </c>
      <c r="H2354" s="9">
        <v>16702864</v>
      </c>
      <c r="I2354" s="5">
        <f>IMDB_Movies!$H2354-IMDB_Movies!$G2354</f>
        <v>-1297136</v>
      </c>
    </row>
    <row r="2355" spans="1:9" ht="23">
      <c r="A2355" s="3" t="s">
        <v>3392</v>
      </c>
      <c r="B2355" s="10" t="s">
        <v>1845</v>
      </c>
      <c r="C2355" s="10" t="s">
        <v>56</v>
      </c>
      <c r="D2355" s="10" t="s">
        <v>11</v>
      </c>
      <c r="E2355" s="10">
        <v>125</v>
      </c>
      <c r="F2355" s="10">
        <v>7.5</v>
      </c>
      <c r="G2355" s="10">
        <v>18000000</v>
      </c>
      <c r="H2355" s="10">
        <v>15561627</v>
      </c>
      <c r="I2355" s="5">
        <f>IMDB_Movies!$H2355-IMDB_Movies!$G2355</f>
        <v>-2438373</v>
      </c>
    </row>
    <row r="2356" spans="1:9" ht="23">
      <c r="A2356" s="2" t="s">
        <v>3393</v>
      </c>
      <c r="B2356" s="9" t="s">
        <v>1450</v>
      </c>
      <c r="C2356" s="9" t="s">
        <v>418</v>
      </c>
      <c r="D2356" s="9" t="s">
        <v>11</v>
      </c>
      <c r="E2356" s="9">
        <v>122</v>
      </c>
      <c r="F2356" s="9">
        <v>7.2</v>
      </c>
      <c r="G2356" s="9">
        <v>30000000</v>
      </c>
      <c r="H2356" s="9">
        <v>17750583</v>
      </c>
      <c r="I2356" s="5">
        <f>IMDB_Movies!$H2356-IMDB_Movies!$G2356</f>
        <v>-12249417</v>
      </c>
    </row>
    <row r="2357" spans="1:9" ht="23">
      <c r="A2357" s="3" t="s">
        <v>3394</v>
      </c>
      <c r="B2357" s="10" t="s">
        <v>337</v>
      </c>
      <c r="C2357" s="10" t="s">
        <v>138</v>
      </c>
      <c r="D2357" s="10" t="s">
        <v>11</v>
      </c>
      <c r="E2357" s="10">
        <v>102</v>
      </c>
      <c r="F2357" s="10">
        <v>5.3</v>
      </c>
      <c r="G2357" s="10">
        <v>18000000</v>
      </c>
      <c r="H2357" s="10">
        <v>14793904</v>
      </c>
      <c r="I2357" s="5">
        <f>IMDB_Movies!$H2357-IMDB_Movies!$G2357</f>
        <v>-3206096</v>
      </c>
    </row>
    <row r="2358" spans="1:9" ht="23">
      <c r="A2358" s="2" t="s">
        <v>3395</v>
      </c>
      <c r="B2358" s="9" t="s">
        <v>2513</v>
      </c>
      <c r="C2358" s="9" t="s">
        <v>138</v>
      </c>
      <c r="D2358" s="9" t="s">
        <v>11</v>
      </c>
      <c r="E2358" s="9">
        <v>90</v>
      </c>
      <c r="F2358" s="9">
        <v>6.5</v>
      </c>
      <c r="G2358" s="9">
        <v>18000000</v>
      </c>
      <c r="H2358" s="9">
        <v>15281286</v>
      </c>
      <c r="I2358" s="5">
        <f>IMDB_Movies!$H2358-IMDB_Movies!$G2358</f>
        <v>-2718714</v>
      </c>
    </row>
    <row r="2359" spans="1:9" ht="23">
      <c r="A2359" s="3" t="s">
        <v>3396</v>
      </c>
      <c r="B2359" s="10" t="s">
        <v>3397</v>
      </c>
      <c r="C2359" s="10" t="s">
        <v>10</v>
      </c>
      <c r="D2359" s="10" t="s">
        <v>11</v>
      </c>
      <c r="E2359" s="10">
        <v>98</v>
      </c>
      <c r="F2359" s="10">
        <v>5</v>
      </c>
      <c r="G2359" s="10">
        <v>18000000</v>
      </c>
      <c r="H2359" s="10">
        <v>8000000</v>
      </c>
      <c r="I2359" s="5">
        <f>IMDB_Movies!$H2359-IMDB_Movies!$G2359</f>
        <v>-10000000</v>
      </c>
    </row>
    <row r="2360" spans="1:9" ht="23">
      <c r="A2360" s="2" t="s">
        <v>3398</v>
      </c>
      <c r="B2360" s="9" t="s">
        <v>3399</v>
      </c>
      <c r="C2360" s="9" t="s">
        <v>56</v>
      </c>
      <c r="D2360" s="9" t="s">
        <v>11</v>
      </c>
      <c r="E2360" s="9">
        <v>109</v>
      </c>
      <c r="F2360" s="9">
        <v>6.1</v>
      </c>
      <c r="G2360" s="9">
        <v>18000000</v>
      </c>
      <c r="H2360" s="9">
        <v>13491653</v>
      </c>
      <c r="I2360" s="5">
        <f>IMDB_Movies!$H2360-IMDB_Movies!$G2360</f>
        <v>-4508347</v>
      </c>
    </row>
    <row r="2361" spans="1:9" ht="23">
      <c r="A2361" s="3" t="s">
        <v>3400</v>
      </c>
      <c r="B2361" s="10" t="s">
        <v>600</v>
      </c>
      <c r="C2361" s="10" t="s">
        <v>228</v>
      </c>
      <c r="D2361" s="10" t="s">
        <v>11</v>
      </c>
      <c r="E2361" s="10">
        <v>107</v>
      </c>
      <c r="F2361" s="10">
        <v>7.4</v>
      </c>
      <c r="G2361" s="10">
        <v>18000000</v>
      </c>
      <c r="H2361" s="10">
        <v>25078937</v>
      </c>
      <c r="I2361" s="5">
        <f>IMDB_Movies!$H2361-IMDB_Movies!$G2361</f>
        <v>7078937</v>
      </c>
    </row>
    <row r="2362" spans="1:9" ht="23">
      <c r="A2362" s="2" t="s">
        <v>3401</v>
      </c>
      <c r="B2362" s="9" t="s">
        <v>3402</v>
      </c>
      <c r="C2362" s="9" t="s">
        <v>10</v>
      </c>
      <c r="D2362" s="9" t="s">
        <v>11</v>
      </c>
      <c r="E2362" s="9">
        <v>90</v>
      </c>
      <c r="F2362" s="9">
        <v>4.4000000000000004</v>
      </c>
      <c r="G2362" s="9">
        <v>18000000</v>
      </c>
      <c r="H2362" s="9">
        <v>10494494</v>
      </c>
      <c r="I2362" s="5">
        <f>IMDB_Movies!$H2362-IMDB_Movies!$G2362</f>
        <v>-7505506</v>
      </c>
    </row>
    <row r="2363" spans="1:9" ht="23">
      <c r="A2363" s="3" t="s">
        <v>3403</v>
      </c>
      <c r="B2363" s="10" t="s">
        <v>287</v>
      </c>
      <c r="C2363" s="10" t="s">
        <v>56</v>
      </c>
      <c r="D2363" s="10" t="s">
        <v>11</v>
      </c>
      <c r="E2363" s="10">
        <v>112</v>
      </c>
      <c r="F2363" s="10">
        <v>7.5</v>
      </c>
      <c r="G2363" s="10">
        <v>18000000</v>
      </c>
      <c r="H2363" s="10">
        <v>7837632</v>
      </c>
      <c r="I2363" s="5">
        <f>IMDB_Movies!$H2363-IMDB_Movies!$G2363</f>
        <v>-10162368</v>
      </c>
    </row>
    <row r="2364" spans="1:9" ht="23">
      <c r="A2364" s="2" t="s">
        <v>3404</v>
      </c>
      <c r="B2364" s="9" t="s">
        <v>1044</v>
      </c>
      <c r="C2364" s="9" t="s">
        <v>138</v>
      </c>
      <c r="D2364" s="9" t="s">
        <v>11</v>
      </c>
      <c r="E2364" s="9">
        <v>94</v>
      </c>
      <c r="F2364" s="9">
        <v>5.7</v>
      </c>
      <c r="G2364" s="9">
        <v>18000000</v>
      </c>
      <c r="H2364" s="9">
        <v>15155772</v>
      </c>
      <c r="I2364" s="5">
        <f>IMDB_Movies!$H2364-IMDB_Movies!$G2364</f>
        <v>-2844228</v>
      </c>
    </row>
    <row r="2365" spans="1:9" ht="23">
      <c r="A2365" s="3" t="s">
        <v>3405</v>
      </c>
      <c r="B2365" s="10" t="s">
        <v>3406</v>
      </c>
      <c r="C2365" s="10" t="s">
        <v>24</v>
      </c>
      <c r="D2365" s="10" t="s">
        <v>11</v>
      </c>
      <c r="E2365" s="10">
        <v>105</v>
      </c>
      <c r="F2365" s="10">
        <v>5.5</v>
      </c>
      <c r="G2365" s="10">
        <v>18000000</v>
      </c>
      <c r="H2365" s="10">
        <v>8508843</v>
      </c>
      <c r="I2365" s="5">
        <f>IMDB_Movies!$H2365-IMDB_Movies!$G2365</f>
        <v>-9491157</v>
      </c>
    </row>
    <row r="2366" spans="1:9" ht="23">
      <c r="A2366" s="2" t="s">
        <v>3407</v>
      </c>
      <c r="B2366" s="9" t="s">
        <v>3408</v>
      </c>
      <c r="C2366" s="9" t="s">
        <v>138</v>
      </c>
      <c r="D2366" s="9" t="s">
        <v>11</v>
      </c>
      <c r="E2366" s="9">
        <v>104</v>
      </c>
      <c r="F2366" s="9">
        <v>7.1</v>
      </c>
      <c r="G2366" s="9">
        <v>18000000</v>
      </c>
      <c r="H2366" s="9">
        <v>7739049</v>
      </c>
      <c r="I2366" s="5">
        <f>IMDB_Movies!$H2366-IMDB_Movies!$G2366</f>
        <v>-10260951</v>
      </c>
    </row>
    <row r="2367" spans="1:9" ht="23">
      <c r="A2367" s="3" t="s">
        <v>3409</v>
      </c>
      <c r="B2367" s="10" t="s">
        <v>1414</v>
      </c>
      <c r="C2367" s="10" t="s">
        <v>56</v>
      </c>
      <c r="D2367" s="10" t="s">
        <v>11</v>
      </c>
      <c r="E2367" s="10">
        <v>112</v>
      </c>
      <c r="F2367" s="10">
        <v>5.9</v>
      </c>
      <c r="G2367" s="10">
        <v>17000000</v>
      </c>
      <c r="H2367" s="10">
        <v>6734844</v>
      </c>
      <c r="I2367" s="5">
        <f>IMDB_Movies!$H2367-IMDB_Movies!$G2367</f>
        <v>-10265156</v>
      </c>
    </row>
    <row r="2368" spans="1:9" ht="23">
      <c r="A2368" s="2" t="s">
        <v>3410</v>
      </c>
      <c r="B2368" s="9" t="s">
        <v>3411</v>
      </c>
      <c r="C2368" s="9" t="s">
        <v>10</v>
      </c>
      <c r="D2368" s="9" t="s">
        <v>11</v>
      </c>
      <c r="E2368" s="9">
        <v>108</v>
      </c>
      <c r="F2368" s="9">
        <v>6.7</v>
      </c>
      <c r="G2368" s="9">
        <v>18000000</v>
      </c>
      <c r="H2368" s="9">
        <v>6000000</v>
      </c>
      <c r="I2368" s="5">
        <f>IMDB_Movies!$H2368-IMDB_Movies!$G2368</f>
        <v>-12000000</v>
      </c>
    </row>
    <row r="2369" spans="1:9" ht="23">
      <c r="A2369" s="3" t="s">
        <v>3412</v>
      </c>
      <c r="B2369" s="10" t="s">
        <v>2635</v>
      </c>
      <c r="C2369" s="10" t="s">
        <v>418</v>
      </c>
      <c r="D2369" s="10" t="s">
        <v>11</v>
      </c>
      <c r="E2369" s="10">
        <v>112</v>
      </c>
      <c r="F2369" s="10">
        <v>7</v>
      </c>
      <c r="G2369" s="10">
        <v>13000000</v>
      </c>
      <c r="H2369" s="10">
        <v>6615578</v>
      </c>
      <c r="I2369" s="5">
        <f>IMDB_Movies!$H2369-IMDB_Movies!$G2369</f>
        <v>-6384422</v>
      </c>
    </row>
    <row r="2370" spans="1:9" ht="23">
      <c r="A2370" s="2" t="s">
        <v>3413</v>
      </c>
      <c r="B2370" s="9" t="s">
        <v>68</v>
      </c>
      <c r="C2370" s="9" t="s">
        <v>418</v>
      </c>
      <c r="D2370" s="9" t="s">
        <v>11</v>
      </c>
      <c r="E2370" s="9">
        <v>127</v>
      </c>
      <c r="F2370" s="9">
        <v>7.9</v>
      </c>
      <c r="G2370" s="9">
        <v>18000000</v>
      </c>
      <c r="H2370" s="9">
        <v>5887457</v>
      </c>
      <c r="I2370" s="5">
        <f>IMDB_Movies!$H2370-IMDB_Movies!$G2370</f>
        <v>-12112543</v>
      </c>
    </row>
    <row r="2371" spans="1:9" ht="23">
      <c r="A2371" s="3" t="s">
        <v>3414</v>
      </c>
      <c r="B2371" s="10" t="s">
        <v>2283</v>
      </c>
      <c r="C2371" s="10" t="s">
        <v>56</v>
      </c>
      <c r="D2371" s="10" t="s">
        <v>11</v>
      </c>
      <c r="E2371" s="10">
        <v>111</v>
      </c>
      <c r="F2371" s="10">
        <v>6.9</v>
      </c>
      <c r="G2371" s="10">
        <v>18000000</v>
      </c>
      <c r="H2371" s="10">
        <v>13362308</v>
      </c>
      <c r="I2371" s="5">
        <f>IMDB_Movies!$H2371-IMDB_Movies!$G2371</f>
        <v>-4637692</v>
      </c>
    </row>
    <row r="2372" spans="1:9" ht="23">
      <c r="A2372" s="2" t="s">
        <v>3415</v>
      </c>
      <c r="B2372" s="9" t="s">
        <v>542</v>
      </c>
      <c r="C2372" s="9" t="s">
        <v>24</v>
      </c>
      <c r="D2372" s="9" t="s">
        <v>3416</v>
      </c>
      <c r="E2372" s="9">
        <v>126</v>
      </c>
      <c r="F2372" s="9">
        <v>7.3</v>
      </c>
      <c r="G2372" s="9">
        <v>20000000</v>
      </c>
      <c r="H2372" s="9">
        <v>5701643</v>
      </c>
      <c r="I2372" s="5">
        <f>IMDB_Movies!$H2372-IMDB_Movies!$G2372</f>
        <v>-14298357</v>
      </c>
    </row>
    <row r="2373" spans="1:9" ht="23">
      <c r="A2373" s="3" t="s">
        <v>3417</v>
      </c>
      <c r="B2373" s="10" t="s">
        <v>348</v>
      </c>
      <c r="C2373" s="10" t="s">
        <v>10</v>
      </c>
      <c r="D2373" s="10" t="s">
        <v>11</v>
      </c>
      <c r="E2373" s="10">
        <v>114</v>
      </c>
      <c r="F2373" s="10">
        <v>7.3</v>
      </c>
      <c r="G2373" s="10">
        <v>18000000</v>
      </c>
      <c r="H2373" s="10">
        <v>5694401</v>
      </c>
      <c r="I2373" s="5">
        <f>IMDB_Movies!$H2373-IMDB_Movies!$G2373</f>
        <v>-12305599</v>
      </c>
    </row>
    <row r="2374" spans="1:9" ht="23">
      <c r="A2374" s="2" t="s">
        <v>3418</v>
      </c>
      <c r="B2374" s="9" t="s">
        <v>3419</v>
      </c>
      <c r="C2374" s="9" t="s">
        <v>10</v>
      </c>
      <c r="D2374" s="9" t="s">
        <v>11</v>
      </c>
      <c r="E2374" s="9">
        <v>99</v>
      </c>
      <c r="F2374" s="9">
        <v>3.5</v>
      </c>
      <c r="G2374" s="9">
        <v>20000000</v>
      </c>
      <c r="H2374" s="9">
        <v>5333658</v>
      </c>
      <c r="I2374" s="5">
        <f>IMDB_Movies!$H2374-IMDB_Movies!$G2374</f>
        <v>-14666342</v>
      </c>
    </row>
    <row r="2375" spans="1:9" ht="23">
      <c r="A2375" s="3" t="s">
        <v>3420</v>
      </c>
      <c r="B2375" s="10" t="s">
        <v>230</v>
      </c>
      <c r="C2375" s="10" t="s">
        <v>56</v>
      </c>
      <c r="D2375" s="10" t="s">
        <v>11</v>
      </c>
      <c r="E2375" s="10">
        <v>150</v>
      </c>
      <c r="F2375" s="10">
        <v>7.8</v>
      </c>
      <c r="G2375" s="10">
        <v>18000000</v>
      </c>
      <c r="H2375" s="10">
        <v>4414535</v>
      </c>
      <c r="I2375" s="5">
        <f>IMDB_Movies!$H2375-IMDB_Movies!$G2375</f>
        <v>-13585465</v>
      </c>
    </row>
    <row r="2376" spans="1:9" ht="23">
      <c r="A2376" s="2" t="s">
        <v>3421</v>
      </c>
      <c r="B2376" s="9" t="s">
        <v>1723</v>
      </c>
      <c r="C2376" s="9" t="s">
        <v>418</v>
      </c>
      <c r="D2376" s="9" t="s">
        <v>11</v>
      </c>
      <c r="E2376" s="9">
        <v>117</v>
      </c>
      <c r="F2376" s="9">
        <v>7.4</v>
      </c>
      <c r="G2376" s="9">
        <v>20000000</v>
      </c>
      <c r="H2376" s="9">
        <v>4806750</v>
      </c>
      <c r="I2376" s="5">
        <f>IMDB_Movies!$H2376-IMDB_Movies!$G2376</f>
        <v>-15193250</v>
      </c>
    </row>
    <row r="2377" spans="1:9" ht="23">
      <c r="A2377" s="3" t="s">
        <v>3422</v>
      </c>
      <c r="B2377" s="10" t="s">
        <v>3423</v>
      </c>
      <c r="C2377" s="10" t="s">
        <v>24</v>
      </c>
      <c r="D2377" s="10" t="s">
        <v>11</v>
      </c>
      <c r="E2377" s="10">
        <v>112</v>
      </c>
      <c r="F2377" s="10">
        <v>6.7</v>
      </c>
      <c r="G2377" s="10">
        <v>18000000</v>
      </c>
      <c r="H2377" s="10">
        <v>3707794</v>
      </c>
      <c r="I2377" s="5">
        <f>IMDB_Movies!$H2377-IMDB_Movies!$G2377</f>
        <v>-14292206</v>
      </c>
    </row>
    <row r="2378" spans="1:9" ht="23">
      <c r="A2378" s="2" t="s">
        <v>3424</v>
      </c>
      <c r="B2378" s="9" t="s">
        <v>2304</v>
      </c>
      <c r="C2378" s="9" t="s">
        <v>138</v>
      </c>
      <c r="D2378" s="9" t="s">
        <v>11</v>
      </c>
      <c r="E2378" s="9">
        <v>108</v>
      </c>
      <c r="F2378" s="9">
        <v>6.4</v>
      </c>
      <c r="G2378" s="9">
        <v>18000000</v>
      </c>
      <c r="H2378" s="9">
        <v>3203044</v>
      </c>
      <c r="I2378" s="5">
        <f>IMDB_Movies!$H2378-IMDB_Movies!$G2378</f>
        <v>-14796956</v>
      </c>
    </row>
    <row r="2379" spans="1:9" ht="23">
      <c r="A2379" s="3" t="s">
        <v>3425</v>
      </c>
      <c r="B2379" s="10" t="s">
        <v>3426</v>
      </c>
      <c r="C2379" s="10" t="s">
        <v>418</v>
      </c>
      <c r="D2379" s="10" t="s">
        <v>11</v>
      </c>
      <c r="E2379" s="10">
        <v>116</v>
      </c>
      <c r="F2379" s="10">
        <v>7.1</v>
      </c>
      <c r="G2379" s="10">
        <v>18000000</v>
      </c>
      <c r="H2379" s="10">
        <v>4435083</v>
      </c>
      <c r="I2379" s="5">
        <f>IMDB_Movies!$H2379-IMDB_Movies!$G2379</f>
        <v>-13564917</v>
      </c>
    </row>
    <row r="2380" spans="1:9" ht="23">
      <c r="A2380" s="2" t="s">
        <v>3427</v>
      </c>
      <c r="B2380" s="9" t="s">
        <v>3428</v>
      </c>
      <c r="C2380" s="9" t="s">
        <v>56</v>
      </c>
      <c r="D2380" s="9" t="s">
        <v>2452</v>
      </c>
      <c r="E2380" s="9">
        <v>144</v>
      </c>
      <c r="F2380" s="9">
        <v>7.8</v>
      </c>
      <c r="G2380" s="9">
        <v>12000000</v>
      </c>
      <c r="H2380" s="9">
        <v>2222647</v>
      </c>
      <c r="I2380" s="5">
        <f>IMDB_Movies!$H2380-IMDB_Movies!$G2380</f>
        <v>-9777353</v>
      </c>
    </row>
    <row r="2381" spans="1:9" ht="23">
      <c r="A2381" s="3" t="s">
        <v>3429</v>
      </c>
      <c r="B2381" s="10" t="s">
        <v>3430</v>
      </c>
      <c r="C2381" s="10" t="s">
        <v>810</v>
      </c>
      <c r="D2381" s="10" t="s">
        <v>11</v>
      </c>
      <c r="E2381" s="10">
        <v>92</v>
      </c>
      <c r="F2381" s="10">
        <v>4</v>
      </c>
      <c r="G2381" s="10">
        <v>20000000</v>
      </c>
      <c r="H2381" s="10">
        <v>25078937</v>
      </c>
      <c r="I2381" s="5">
        <f>IMDB_Movies!$H2381-IMDB_Movies!$G2381</f>
        <v>5078937</v>
      </c>
    </row>
    <row r="2382" spans="1:9" ht="23">
      <c r="A2382" s="2" t="s">
        <v>3431</v>
      </c>
      <c r="B2382" s="9" t="s">
        <v>3432</v>
      </c>
      <c r="C2382" s="9" t="s">
        <v>10</v>
      </c>
      <c r="D2382" s="9" t="s">
        <v>11</v>
      </c>
      <c r="E2382" s="9">
        <v>93</v>
      </c>
      <c r="F2382" s="9">
        <v>5.9</v>
      </c>
      <c r="G2382" s="9">
        <v>2700000</v>
      </c>
      <c r="H2382" s="9">
        <v>3500000</v>
      </c>
      <c r="I2382" s="5">
        <f>IMDB_Movies!$H2382-IMDB_Movies!$G2382</f>
        <v>800000</v>
      </c>
    </row>
    <row r="2383" spans="1:9" ht="23">
      <c r="A2383" s="3" t="s">
        <v>3433</v>
      </c>
      <c r="B2383" s="10" t="s">
        <v>705</v>
      </c>
      <c r="C2383" s="10" t="s">
        <v>414</v>
      </c>
      <c r="D2383" s="10" t="s">
        <v>11</v>
      </c>
      <c r="E2383" s="10">
        <v>103</v>
      </c>
      <c r="F2383" s="10">
        <v>7.2</v>
      </c>
      <c r="G2383" s="10">
        <v>18000000</v>
      </c>
      <c r="H2383" s="10">
        <v>676698</v>
      </c>
      <c r="I2383" s="5">
        <f>IMDB_Movies!$H2383-IMDB_Movies!$G2383</f>
        <v>-17323302</v>
      </c>
    </row>
    <row r="2384" spans="1:9" ht="23">
      <c r="A2384" s="2" t="s">
        <v>3434</v>
      </c>
      <c r="B2384" s="9" t="s">
        <v>1783</v>
      </c>
      <c r="C2384" s="9" t="s">
        <v>3435</v>
      </c>
      <c r="D2384" s="9" t="s">
        <v>11</v>
      </c>
      <c r="E2384" s="9">
        <v>93</v>
      </c>
      <c r="F2384" s="9">
        <v>7.2</v>
      </c>
      <c r="G2384" s="9">
        <v>20000000</v>
      </c>
      <c r="H2384" s="9">
        <v>3419967</v>
      </c>
      <c r="I2384" s="5">
        <f>IMDB_Movies!$H2384-IMDB_Movies!$G2384</f>
        <v>-16580033</v>
      </c>
    </row>
    <row r="2385" spans="1:9" ht="23">
      <c r="A2385" s="3" t="s">
        <v>3436</v>
      </c>
      <c r="B2385" s="10" t="s">
        <v>3437</v>
      </c>
      <c r="C2385" s="10" t="s">
        <v>414</v>
      </c>
      <c r="D2385" s="10" t="s">
        <v>11</v>
      </c>
      <c r="E2385" s="10">
        <v>98</v>
      </c>
      <c r="F2385" s="10">
        <v>5.0999999999999996</v>
      </c>
      <c r="G2385" s="10">
        <v>18000000</v>
      </c>
      <c r="H2385" s="10">
        <v>25078937</v>
      </c>
      <c r="I2385" s="5">
        <f>IMDB_Movies!$H2385-IMDB_Movies!$G2385</f>
        <v>7078937</v>
      </c>
    </row>
    <row r="2386" spans="1:9" ht="23">
      <c r="A2386" s="2" t="s">
        <v>3438</v>
      </c>
      <c r="B2386" s="9" t="s">
        <v>3439</v>
      </c>
      <c r="C2386" s="9" t="s">
        <v>2945</v>
      </c>
      <c r="D2386" s="9" t="s">
        <v>11</v>
      </c>
      <c r="E2386" s="9">
        <v>114</v>
      </c>
      <c r="F2386" s="9">
        <v>5.5</v>
      </c>
      <c r="G2386" s="9">
        <v>18000000</v>
      </c>
      <c r="H2386" s="9">
        <v>25078937</v>
      </c>
      <c r="I2386" s="5">
        <f>IMDB_Movies!$H2386-IMDB_Movies!$G2386</f>
        <v>7078937</v>
      </c>
    </row>
    <row r="2387" spans="1:9" ht="23">
      <c r="A2387" s="3" t="s">
        <v>3440</v>
      </c>
      <c r="B2387" s="10" t="s">
        <v>3441</v>
      </c>
      <c r="C2387" s="10" t="s">
        <v>10</v>
      </c>
      <c r="D2387" s="10" t="s">
        <v>11</v>
      </c>
      <c r="E2387" s="10">
        <v>121</v>
      </c>
      <c r="F2387" s="10">
        <v>6.2</v>
      </c>
      <c r="G2387" s="10">
        <v>11350000</v>
      </c>
      <c r="H2387" s="10">
        <v>229311</v>
      </c>
      <c r="I2387" s="5">
        <f>IMDB_Movies!$H2387-IMDB_Movies!$G2387</f>
        <v>-11120689</v>
      </c>
    </row>
    <row r="2388" spans="1:9" ht="23">
      <c r="A2388" s="2" t="s">
        <v>3442</v>
      </c>
      <c r="B2388" s="9" t="s">
        <v>668</v>
      </c>
      <c r="C2388" s="9" t="s">
        <v>810</v>
      </c>
      <c r="D2388" s="9" t="s">
        <v>11</v>
      </c>
      <c r="E2388" s="9">
        <v>87</v>
      </c>
      <c r="F2388" s="9">
        <v>7.2</v>
      </c>
      <c r="G2388" s="9">
        <v>3500000</v>
      </c>
      <c r="H2388" s="9">
        <v>25078937</v>
      </c>
      <c r="I2388" s="5">
        <f>IMDB_Movies!$H2388-IMDB_Movies!$G2388</f>
        <v>21578937</v>
      </c>
    </row>
    <row r="2389" spans="1:9" ht="23">
      <c r="A2389" s="3" t="s">
        <v>3443</v>
      </c>
      <c r="B2389" s="10" t="s">
        <v>470</v>
      </c>
      <c r="C2389" s="10" t="s">
        <v>10</v>
      </c>
      <c r="D2389" s="10" t="s">
        <v>11</v>
      </c>
      <c r="E2389" s="10">
        <v>92</v>
      </c>
      <c r="F2389" s="10">
        <v>5.2</v>
      </c>
      <c r="G2389" s="10">
        <v>18000000</v>
      </c>
      <c r="H2389" s="10">
        <v>25078937</v>
      </c>
      <c r="I2389" s="5">
        <f>IMDB_Movies!$H2389-IMDB_Movies!$G2389</f>
        <v>7078937</v>
      </c>
    </row>
    <row r="2390" spans="1:9" ht="23">
      <c r="A2390" s="2" t="s">
        <v>3444</v>
      </c>
      <c r="B2390" s="9" t="s">
        <v>3445</v>
      </c>
      <c r="C2390" s="9" t="s">
        <v>10</v>
      </c>
      <c r="D2390" s="9" t="s">
        <v>11</v>
      </c>
      <c r="E2390" s="9">
        <v>105</v>
      </c>
      <c r="F2390" s="9">
        <v>6.7</v>
      </c>
      <c r="G2390" s="9">
        <v>14000000</v>
      </c>
      <c r="H2390" s="9">
        <v>63260</v>
      </c>
      <c r="I2390" s="5">
        <f>IMDB_Movies!$H2390-IMDB_Movies!$G2390</f>
        <v>-13936740</v>
      </c>
    </row>
    <row r="2391" spans="1:9" ht="23">
      <c r="A2391" s="3" t="s">
        <v>3446</v>
      </c>
      <c r="B2391" s="10" t="s">
        <v>2718</v>
      </c>
      <c r="C2391" s="10" t="s">
        <v>10</v>
      </c>
      <c r="D2391" s="10" t="s">
        <v>11</v>
      </c>
      <c r="E2391" s="10">
        <v>89</v>
      </c>
      <c r="F2391" s="10">
        <v>5</v>
      </c>
      <c r="G2391" s="10">
        <v>17900000</v>
      </c>
      <c r="H2391" s="10">
        <v>25078937</v>
      </c>
      <c r="I2391" s="5">
        <f>IMDB_Movies!$H2391-IMDB_Movies!$G2391</f>
        <v>7178937</v>
      </c>
    </row>
    <row r="2392" spans="1:9" ht="23">
      <c r="A2392" s="2" t="s">
        <v>3447</v>
      </c>
      <c r="B2392" s="9" t="s">
        <v>3448</v>
      </c>
      <c r="C2392" s="9" t="s">
        <v>56</v>
      </c>
      <c r="D2392" s="9" t="s">
        <v>11</v>
      </c>
      <c r="E2392" s="9">
        <v>114</v>
      </c>
      <c r="F2392" s="9">
        <v>6.2</v>
      </c>
      <c r="G2392" s="9">
        <v>14000000</v>
      </c>
      <c r="H2392" s="9">
        <v>25078937</v>
      </c>
      <c r="I2392" s="5">
        <f>IMDB_Movies!$H2392-IMDB_Movies!$G2392</f>
        <v>11078937</v>
      </c>
    </row>
    <row r="2393" spans="1:9" ht="23">
      <c r="A2393" s="3" t="s">
        <v>3449</v>
      </c>
      <c r="B2393" s="10" t="s">
        <v>1805</v>
      </c>
      <c r="C2393" s="10" t="s">
        <v>138</v>
      </c>
      <c r="D2393" s="10" t="s">
        <v>11</v>
      </c>
      <c r="E2393" s="10">
        <v>119</v>
      </c>
      <c r="F2393" s="10">
        <v>7.6</v>
      </c>
      <c r="G2393" s="10">
        <v>20000000</v>
      </c>
      <c r="H2393" s="10">
        <v>121463226</v>
      </c>
      <c r="I2393" s="5">
        <f>IMDB_Movies!$H2393-IMDB_Movies!$G2393</f>
        <v>101463226</v>
      </c>
    </row>
    <row r="2394" spans="1:9" ht="23">
      <c r="A2394" s="2" t="s">
        <v>3450</v>
      </c>
      <c r="B2394" s="9" t="s">
        <v>2669</v>
      </c>
      <c r="C2394" s="9" t="s">
        <v>138</v>
      </c>
      <c r="D2394" s="9" t="s">
        <v>11</v>
      </c>
      <c r="E2394" s="9">
        <v>103</v>
      </c>
      <c r="F2394" s="9">
        <v>4.0999999999999996</v>
      </c>
      <c r="G2394" s="9">
        <v>20000000</v>
      </c>
      <c r="H2394" s="9">
        <v>90485233</v>
      </c>
      <c r="I2394" s="5">
        <f>IMDB_Movies!$H2394-IMDB_Movies!$G2394</f>
        <v>70485233</v>
      </c>
    </row>
    <row r="2395" spans="1:9" ht="23">
      <c r="A2395" s="3" t="s">
        <v>3451</v>
      </c>
      <c r="B2395" s="10" t="s">
        <v>3452</v>
      </c>
      <c r="C2395" s="10" t="s">
        <v>10</v>
      </c>
      <c r="D2395" s="10" t="s">
        <v>11</v>
      </c>
      <c r="E2395" s="10">
        <v>91</v>
      </c>
      <c r="F2395" s="10">
        <v>5.3</v>
      </c>
      <c r="G2395" s="10">
        <v>18000000</v>
      </c>
      <c r="H2395" s="10">
        <v>25078937</v>
      </c>
      <c r="I2395" s="5">
        <f>IMDB_Movies!$H2395-IMDB_Movies!$G2395</f>
        <v>7078937</v>
      </c>
    </row>
    <row r="2396" spans="1:9" ht="23">
      <c r="A2396" s="2" t="s">
        <v>3453</v>
      </c>
      <c r="B2396" s="9" t="s">
        <v>289</v>
      </c>
      <c r="C2396" s="9" t="s">
        <v>56</v>
      </c>
      <c r="D2396" s="9" t="s">
        <v>11</v>
      </c>
      <c r="E2396" s="9">
        <v>98</v>
      </c>
      <c r="F2396" s="9">
        <v>6.2</v>
      </c>
      <c r="G2396" s="9">
        <v>23000000</v>
      </c>
      <c r="H2396" s="9">
        <v>58006147</v>
      </c>
      <c r="I2396" s="5">
        <f>IMDB_Movies!$H2396-IMDB_Movies!$G2396</f>
        <v>35006147</v>
      </c>
    </row>
    <row r="2397" spans="1:9" ht="23">
      <c r="A2397" s="3" t="s">
        <v>3454</v>
      </c>
      <c r="B2397" s="10" t="s">
        <v>3455</v>
      </c>
      <c r="C2397" s="10" t="s">
        <v>10</v>
      </c>
      <c r="D2397" s="10" t="s">
        <v>11</v>
      </c>
      <c r="E2397" s="10">
        <v>80</v>
      </c>
      <c r="F2397" s="10">
        <v>6.5</v>
      </c>
      <c r="G2397" s="10">
        <v>17500000</v>
      </c>
      <c r="H2397" s="10">
        <v>51053787</v>
      </c>
      <c r="I2397" s="5">
        <f>IMDB_Movies!$H2397-IMDB_Movies!$G2397</f>
        <v>33553787</v>
      </c>
    </row>
    <row r="2398" spans="1:9" ht="23">
      <c r="A2398" s="2" t="s">
        <v>3456</v>
      </c>
      <c r="B2398" s="9" t="s">
        <v>3457</v>
      </c>
      <c r="C2398" s="9" t="s">
        <v>56</v>
      </c>
      <c r="D2398" s="9" t="s">
        <v>11</v>
      </c>
      <c r="E2398" s="9">
        <v>121</v>
      </c>
      <c r="F2398" s="9">
        <v>8.1</v>
      </c>
      <c r="G2398" s="9">
        <v>17500000</v>
      </c>
      <c r="H2398" s="9">
        <v>23472900</v>
      </c>
      <c r="I2398" s="5">
        <f>IMDB_Movies!$H2398-IMDB_Movies!$G2398</f>
        <v>5972900</v>
      </c>
    </row>
    <row r="2399" spans="1:9" ht="23">
      <c r="A2399" s="3" t="s">
        <v>3458</v>
      </c>
      <c r="B2399" s="10" t="s">
        <v>3459</v>
      </c>
      <c r="C2399" s="10" t="s">
        <v>10</v>
      </c>
      <c r="D2399" s="10" t="s">
        <v>11</v>
      </c>
      <c r="E2399" s="10">
        <v>94</v>
      </c>
      <c r="F2399" s="10">
        <v>6.3</v>
      </c>
      <c r="G2399" s="10">
        <v>24000000</v>
      </c>
      <c r="H2399" s="10">
        <v>39687528</v>
      </c>
      <c r="I2399" s="5">
        <f>IMDB_Movies!$H2399-IMDB_Movies!$G2399</f>
        <v>15687528</v>
      </c>
    </row>
    <row r="2400" spans="1:9" ht="23">
      <c r="A2400" s="2" t="s">
        <v>3460</v>
      </c>
      <c r="B2400" s="9" t="s">
        <v>3461</v>
      </c>
      <c r="C2400" s="9" t="s">
        <v>56</v>
      </c>
      <c r="D2400" s="9" t="s">
        <v>11</v>
      </c>
      <c r="E2400" s="9">
        <v>93</v>
      </c>
      <c r="F2400" s="9">
        <v>4.4000000000000004</v>
      </c>
      <c r="G2400" s="9">
        <v>17500000</v>
      </c>
      <c r="H2400" s="9">
        <v>7017178</v>
      </c>
      <c r="I2400" s="5">
        <f>IMDB_Movies!$H2400-IMDB_Movies!$G2400</f>
        <v>-10482822</v>
      </c>
    </row>
    <row r="2401" spans="1:9" ht="23">
      <c r="A2401" s="3" t="s">
        <v>3462</v>
      </c>
      <c r="B2401" s="10" t="s">
        <v>3463</v>
      </c>
      <c r="C2401" s="10" t="s">
        <v>10</v>
      </c>
      <c r="D2401" s="10" t="s">
        <v>11</v>
      </c>
      <c r="E2401" s="10">
        <v>93</v>
      </c>
      <c r="F2401" s="10">
        <v>4.5999999999999996</v>
      </c>
      <c r="G2401" s="10">
        <v>18000000</v>
      </c>
      <c r="H2401" s="10">
        <v>25078937</v>
      </c>
      <c r="I2401" s="5">
        <f>IMDB_Movies!$H2401-IMDB_Movies!$G2401</f>
        <v>7078937</v>
      </c>
    </row>
    <row r="2402" spans="1:9" ht="23">
      <c r="A2402" s="2" t="s">
        <v>3464</v>
      </c>
      <c r="B2402" s="9" t="s">
        <v>3465</v>
      </c>
      <c r="C2402" s="9" t="s">
        <v>414</v>
      </c>
      <c r="D2402" s="9" t="s">
        <v>11</v>
      </c>
      <c r="E2402" s="9">
        <v>116</v>
      </c>
      <c r="F2402" s="9">
        <v>6</v>
      </c>
      <c r="G2402" s="9">
        <v>17500000</v>
      </c>
      <c r="H2402" s="9">
        <v>325491</v>
      </c>
      <c r="I2402" s="5">
        <f>IMDB_Movies!$H2402-IMDB_Movies!$G2402</f>
        <v>-17174509</v>
      </c>
    </row>
    <row r="2403" spans="1:9" ht="23">
      <c r="A2403" s="3" t="s">
        <v>3466</v>
      </c>
      <c r="B2403" s="10" t="s">
        <v>955</v>
      </c>
      <c r="C2403" s="10" t="s">
        <v>713</v>
      </c>
      <c r="D2403" s="10" t="s">
        <v>11</v>
      </c>
      <c r="E2403" s="10">
        <v>101</v>
      </c>
      <c r="F2403" s="10">
        <v>7.6</v>
      </c>
      <c r="G2403" s="10">
        <v>17000000</v>
      </c>
      <c r="H2403" s="10">
        <v>96471845</v>
      </c>
      <c r="I2403" s="5">
        <f>IMDB_Movies!$H2403-IMDB_Movies!$G2403</f>
        <v>79471845</v>
      </c>
    </row>
    <row r="2404" spans="1:9" ht="23">
      <c r="A2404" s="2" t="s">
        <v>3467</v>
      </c>
      <c r="B2404" s="9" t="s">
        <v>9</v>
      </c>
      <c r="C2404" s="9" t="s">
        <v>10</v>
      </c>
      <c r="D2404" s="9" t="s">
        <v>11</v>
      </c>
      <c r="E2404" s="9">
        <v>154</v>
      </c>
      <c r="F2404" s="9">
        <v>8.4</v>
      </c>
      <c r="G2404" s="9">
        <v>18500000</v>
      </c>
      <c r="H2404" s="9">
        <v>85200000</v>
      </c>
      <c r="I2404" s="5">
        <f>IMDB_Movies!$H2404-IMDB_Movies!$G2404</f>
        <v>66700000</v>
      </c>
    </row>
    <row r="2405" spans="1:9" ht="23">
      <c r="A2405" s="3" t="s">
        <v>3468</v>
      </c>
      <c r="B2405" s="10" t="s">
        <v>3469</v>
      </c>
      <c r="C2405" s="10" t="s">
        <v>56</v>
      </c>
      <c r="D2405" s="10" t="s">
        <v>11</v>
      </c>
      <c r="E2405" s="10">
        <v>170</v>
      </c>
      <c r="F2405" s="10">
        <v>7.9</v>
      </c>
      <c r="G2405" s="10">
        <v>17000000</v>
      </c>
      <c r="H2405" s="10">
        <v>72000000</v>
      </c>
      <c r="I2405" s="5">
        <f>IMDB_Movies!$H2405-IMDB_Movies!$G2405</f>
        <v>55000000</v>
      </c>
    </row>
    <row r="2406" spans="1:9" ht="23">
      <c r="A2406" s="2" t="s">
        <v>3470</v>
      </c>
      <c r="B2406" s="9" t="s">
        <v>1306</v>
      </c>
      <c r="C2406" s="9" t="s">
        <v>810</v>
      </c>
      <c r="D2406" s="9" t="s">
        <v>11</v>
      </c>
      <c r="E2406" s="9">
        <v>99</v>
      </c>
      <c r="F2406" s="9">
        <v>5.6</v>
      </c>
      <c r="G2406" s="9">
        <v>17000000</v>
      </c>
      <c r="H2406" s="9">
        <v>72219395</v>
      </c>
      <c r="I2406" s="5">
        <f>IMDB_Movies!$H2406-IMDB_Movies!$G2406</f>
        <v>55219395</v>
      </c>
    </row>
    <row r="2407" spans="1:9" ht="23">
      <c r="A2407" s="3" t="s">
        <v>3471</v>
      </c>
      <c r="B2407" s="10" t="s">
        <v>2058</v>
      </c>
      <c r="C2407" s="10" t="s">
        <v>138</v>
      </c>
      <c r="D2407" s="10" t="s">
        <v>11</v>
      </c>
      <c r="E2407" s="10">
        <v>104</v>
      </c>
      <c r="F2407" s="10">
        <v>6.5</v>
      </c>
      <c r="G2407" s="10">
        <v>17000000</v>
      </c>
      <c r="H2407" s="10">
        <v>82389560</v>
      </c>
      <c r="I2407" s="5">
        <f>IMDB_Movies!$H2407-IMDB_Movies!$G2407</f>
        <v>65389560</v>
      </c>
    </row>
    <row r="2408" spans="1:9" ht="23">
      <c r="A2408" s="2" t="s">
        <v>3472</v>
      </c>
      <c r="B2408" s="9" t="s">
        <v>2285</v>
      </c>
      <c r="C2408" s="9" t="s">
        <v>24</v>
      </c>
      <c r="D2408" s="9" t="s">
        <v>11</v>
      </c>
      <c r="E2408" s="9">
        <v>126</v>
      </c>
      <c r="F2408" s="9">
        <v>7.5</v>
      </c>
      <c r="G2408" s="9">
        <v>12000000</v>
      </c>
      <c r="H2408" s="9">
        <v>71502303</v>
      </c>
      <c r="I2408" s="5">
        <f>IMDB_Movies!$H2408-IMDB_Movies!$G2408</f>
        <v>59502303</v>
      </c>
    </row>
    <row r="2409" spans="1:9" ht="23">
      <c r="A2409" s="3" t="s">
        <v>3473</v>
      </c>
      <c r="B2409" s="10" t="s">
        <v>1338</v>
      </c>
      <c r="C2409" s="10" t="s">
        <v>138</v>
      </c>
      <c r="D2409" s="10" t="s">
        <v>11</v>
      </c>
      <c r="E2409" s="10">
        <v>110</v>
      </c>
      <c r="F2409" s="10">
        <v>6.3</v>
      </c>
      <c r="G2409" s="10">
        <v>17500000</v>
      </c>
      <c r="H2409" s="10">
        <v>19179969</v>
      </c>
      <c r="I2409" s="5">
        <f>IMDB_Movies!$H2409-IMDB_Movies!$G2409</f>
        <v>1679969</v>
      </c>
    </row>
    <row r="2410" spans="1:9" ht="23">
      <c r="A2410" s="2" t="s">
        <v>3474</v>
      </c>
      <c r="B2410" s="9" t="s">
        <v>1470</v>
      </c>
      <c r="C2410" s="9" t="s">
        <v>810</v>
      </c>
      <c r="D2410" s="9" t="s">
        <v>11</v>
      </c>
      <c r="E2410" s="9">
        <v>101</v>
      </c>
      <c r="F2410" s="9">
        <v>7.9</v>
      </c>
      <c r="G2410" s="9">
        <v>300000</v>
      </c>
      <c r="H2410" s="9">
        <v>47000000</v>
      </c>
      <c r="I2410" s="5">
        <f>IMDB_Movies!$H2410-IMDB_Movies!$G2410</f>
        <v>46700000</v>
      </c>
    </row>
    <row r="2411" spans="1:9" ht="23">
      <c r="A2411" s="3" t="s">
        <v>3475</v>
      </c>
      <c r="B2411" s="10" t="s">
        <v>3476</v>
      </c>
      <c r="C2411" s="10" t="s">
        <v>138</v>
      </c>
      <c r="D2411" s="10" t="s">
        <v>11</v>
      </c>
      <c r="E2411" s="10">
        <v>87</v>
      </c>
      <c r="F2411" s="10">
        <v>5.0999999999999996</v>
      </c>
      <c r="G2411" s="10">
        <v>17000000</v>
      </c>
      <c r="H2411" s="10">
        <v>37566230</v>
      </c>
      <c r="I2411" s="5">
        <f>IMDB_Movies!$H2411-IMDB_Movies!$G2411</f>
        <v>20566230</v>
      </c>
    </row>
    <row r="2412" spans="1:9" ht="23">
      <c r="A2412" s="2" t="s">
        <v>3477</v>
      </c>
      <c r="B2412" s="9" t="s">
        <v>1875</v>
      </c>
      <c r="C2412" s="9" t="s">
        <v>138</v>
      </c>
      <c r="D2412" s="9" t="s">
        <v>11</v>
      </c>
      <c r="E2412" s="9">
        <v>123</v>
      </c>
      <c r="F2412" s="9">
        <v>6.7</v>
      </c>
      <c r="G2412" s="9">
        <v>17000000</v>
      </c>
      <c r="H2412" s="9">
        <v>70492685</v>
      </c>
      <c r="I2412" s="5">
        <f>IMDB_Movies!$H2412-IMDB_Movies!$G2412</f>
        <v>53492685</v>
      </c>
    </row>
    <row r="2413" spans="1:9" ht="23">
      <c r="A2413" s="3" t="s">
        <v>3478</v>
      </c>
      <c r="B2413" s="10" t="s">
        <v>2671</v>
      </c>
      <c r="C2413" s="10" t="s">
        <v>10</v>
      </c>
      <c r="D2413" s="10" t="s">
        <v>11</v>
      </c>
      <c r="E2413" s="10">
        <v>109</v>
      </c>
      <c r="F2413" s="10">
        <v>6.7</v>
      </c>
      <c r="G2413" s="10">
        <v>17000000</v>
      </c>
      <c r="H2413" s="10">
        <v>35635046</v>
      </c>
      <c r="I2413" s="5">
        <f>IMDB_Movies!$H2413-IMDB_Movies!$G2413</f>
        <v>18635046</v>
      </c>
    </row>
    <row r="2414" spans="1:9" ht="23">
      <c r="A2414" s="2" t="s">
        <v>3479</v>
      </c>
      <c r="B2414" s="9" t="s">
        <v>3480</v>
      </c>
      <c r="C2414" s="9" t="s">
        <v>810</v>
      </c>
      <c r="D2414" s="9" t="s">
        <v>11</v>
      </c>
      <c r="E2414" s="9">
        <v>90</v>
      </c>
      <c r="F2414" s="9">
        <v>5.6</v>
      </c>
      <c r="G2414" s="9">
        <v>20000000</v>
      </c>
      <c r="H2414" s="9">
        <v>45670855</v>
      </c>
      <c r="I2414" s="5">
        <f>IMDB_Movies!$H2414-IMDB_Movies!$G2414</f>
        <v>25670855</v>
      </c>
    </row>
    <row r="2415" spans="1:9" ht="23">
      <c r="A2415" s="3" t="s">
        <v>3481</v>
      </c>
      <c r="B2415" s="10" t="s">
        <v>1020</v>
      </c>
      <c r="C2415" s="10" t="s">
        <v>138</v>
      </c>
      <c r="D2415" s="10" t="s">
        <v>11</v>
      </c>
      <c r="E2415" s="10">
        <v>96</v>
      </c>
      <c r="F2415" s="10">
        <v>5.6</v>
      </c>
      <c r="G2415" s="10">
        <v>17000000</v>
      </c>
      <c r="H2415" s="10">
        <v>37939782</v>
      </c>
      <c r="I2415" s="5">
        <f>IMDB_Movies!$H2415-IMDB_Movies!$G2415</f>
        <v>20939782</v>
      </c>
    </row>
    <row r="2416" spans="1:9" ht="23">
      <c r="A2416" s="2" t="s">
        <v>3482</v>
      </c>
      <c r="B2416" s="9" t="s">
        <v>3483</v>
      </c>
      <c r="C2416" s="9" t="s">
        <v>138</v>
      </c>
      <c r="D2416" s="9" t="s">
        <v>11</v>
      </c>
      <c r="E2416" s="9">
        <v>82</v>
      </c>
      <c r="F2416" s="9">
        <v>6.2</v>
      </c>
      <c r="G2416" s="9">
        <v>17000000</v>
      </c>
      <c r="H2416" s="9">
        <v>30324946</v>
      </c>
      <c r="I2416" s="5">
        <f>IMDB_Movies!$H2416-IMDB_Movies!$G2416</f>
        <v>13324946</v>
      </c>
    </row>
    <row r="2417" spans="1:9" ht="23">
      <c r="A2417" s="3" t="s">
        <v>3484</v>
      </c>
      <c r="B2417" s="10" t="s">
        <v>3323</v>
      </c>
      <c r="C2417" s="10" t="s">
        <v>56</v>
      </c>
      <c r="D2417" s="10" t="s">
        <v>11</v>
      </c>
      <c r="E2417" s="10">
        <v>86</v>
      </c>
      <c r="F2417" s="10">
        <v>5.6</v>
      </c>
      <c r="G2417" s="10">
        <v>17000000</v>
      </c>
      <c r="H2417" s="10">
        <v>27854896</v>
      </c>
      <c r="I2417" s="5">
        <f>IMDB_Movies!$H2417-IMDB_Movies!$G2417</f>
        <v>10854896</v>
      </c>
    </row>
    <row r="2418" spans="1:9" ht="23">
      <c r="A2418" s="2" t="s">
        <v>3485</v>
      </c>
      <c r="B2418" s="9" t="s">
        <v>2071</v>
      </c>
      <c r="C2418" s="9" t="s">
        <v>810</v>
      </c>
      <c r="D2418" s="9" t="s">
        <v>11</v>
      </c>
      <c r="E2418" s="9">
        <v>108</v>
      </c>
      <c r="F2418" s="9">
        <v>6.4</v>
      </c>
      <c r="G2418" s="9">
        <v>15000000</v>
      </c>
      <c r="H2418" s="9">
        <v>41777564</v>
      </c>
      <c r="I2418" s="5">
        <f>IMDB_Movies!$H2418-IMDB_Movies!$G2418</f>
        <v>26777564</v>
      </c>
    </row>
    <row r="2419" spans="1:9" ht="23">
      <c r="A2419" s="3" t="s">
        <v>3486</v>
      </c>
      <c r="B2419" s="10" t="s">
        <v>1240</v>
      </c>
      <c r="C2419" s="10" t="s">
        <v>138</v>
      </c>
      <c r="D2419" s="10" t="s">
        <v>11</v>
      </c>
      <c r="E2419" s="10">
        <v>98</v>
      </c>
      <c r="F2419" s="10">
        <v>5.6</v>
      </c>
      <c r="G2419" s="10">
        <v>17000000</v>
      </c>
      <c r="H2419" s="10">
        <v>22734486</v>
      </c>
      <c r="I2419" s="5">
        <f>IMDB_Movies!$H2419-IMDB_Movies!$G2419</f>
        <v>5734486</v>
      </c>
    </row>
    <row r="2420" spans="1:9" ht="23">
      <c r="A2420" s="2" t="s">
        <v>3487</v>
      </c>
      <c r="B2420" s="9" t="s">
        <v>2395</v>
      </c>
      <c r="C2420" s="9" t="s">
        <v>418</v>
      </c>
      <c r="D2420" s="9" t="s">
        <v>11</v>
      </c>
      <c r="E2420" s="9">
        <v>129</v>
      </c>
      <c r="F2420" s="9">
        <v>7.4</v>
      </c>
      <c r="G2420" s="9">
        <v>17000000</v>
      </c>
      <c r="H2420" s="9">
        <v>44469602</v>
      </c>
      <c r="I2420" s="5">
        <f>IMDB_Movies!$H2420-IMDB_Movies!$G2420</f>
        <v>27469602</v>
      </c>
    </row>
    <row r="2421" spans="1:9" ht="23">
      <c r="A2421" s="3" t="s">
        <v>3488</v>
      </c>
      <c r="B2421" s="10" t="s">
        <v>3489</v>
      </c>
      <c r="C2421" s="10" t="s">
        <v>138</v>
      </c>
      <c r="D2421" s="10" t="s">
        <v>11</v>
      </c>
      <c r="E2421" s="10">
        <v>99</v>
      </c>
      <c r="F2421" s="10">
        <v>4.9000000000000004</v>
      </c>
      <c r="G2421" s="10">
        <v>20000000</v>
      </c>
      <c r="H2421" s="10">
        <v>24708699</v>
      </c>
      <c r="I2421" s="5">
        <f>IMDB_Movies!$H2421-IMDB_Movies!$G2421</f>
        <v>4708699</v>
      </c>
    </row>
    <row r="2422" spans="1:9" ht="23">
      <c r="A2422" s="2" t="s">
        <v>3490</v>
      </c>
      <c r="B2422" s="9" t="s">
        <v>3491</v>
      </c>
      <c r="C2422" s="9" t="s">
        <v>138</v>
      </c>
      <c r="D2422" s="9" t="s">
        <v>11</v>
      </c>
      <c r="E2422" s="9">
        <v>105</v>
      </c>
      <c r="F2422" s="9">
        <v>6</v>
      </c>
      <c r="G2422" s="9">
        <v>20000000</v>
      </c>
      <c r="H2422" s="9">
        <v>21160089</v>
      </c>
      <c r="I2422" s="5">
        <f>IMDB_Movies!$H2422-IMDB_Movies!$G2422</f>
        <v>1160089</v>
      </c>
    </row>
    <row r="2423" spans="1:9" ht="23">
      <c r="A2423" s="3" t="s">
        <v>3492</v>
      </c>
      <c r="B2423" s="10" t="s">
        <v>3493</v>
      </c>
      <c r="C2423" s="10" t="s">
        <v>138</v>
      </c>
      <c r="D2423" s="10" t="s">
        <v>11</v>
      </c>
      <c r="E2423" s="10">
        <v>112</v>
      </c>
      <c r="F2423" s="10">
        <v>7.2</v>
      </c>
      <c r="G2423" s="10">
        <v>17000000</v>
      </c>
      <c r="H2423" s="10">
        <v>64998368</v>
      </c>
      <c r="I2423" s="5">
        <f>IMDB_Movies!$H2423-IMDB_Movies!$G2423</f>
        <v>47998368</v>
      </c>
    </row>
    <row r="2424" spans="1:9" ht="23">
      <c r="A2424" s="2" t="s">
        <v>3494</v>
      </c>
      <c r="B2424" s="9" t="s">
        <v>2035</v>
      </c>
      <c r="C2424" s="9" t="s">
        <v>138</v>
      </c>
      <c r="D2424" s="9" t="s">
        <v>11</v>
      </c>
      <c r="E2424" s="9">
        <v>108</v>
      </c>
      <c r="F2424" s="9">
        <v>4.9000000000000004</v>
      </c>
      <c r="G2424" s="9">
        <v>34000000</v>
      </c>
      <c r="H2424" s="9">
        <v>19693891</v>
      </c>
      <c r="I2424" s="5">
        <f>IMDB_Movies!$H2424-IMDB_Movies!$G2424</f>
        <v>-14306109</v>
      </c>
    </row>
    <row r="2425" spans="1:9" ht="23">
      <c r="A2425" s="3" t="s">
        <v>3495</v>
      </c>
      <c r="B2425" s="10" t="s">
        <v>21</v>
      </c>
      <c r="C2425" s="10" t="s">
        <v>414</v>
      </c>
      <c r="D2425" s="10" t="s">
        <v>11</v>
      </c>
      <c r="E2425" s="10">
        <v>121</v>
      </c>
      <c r="F2425" s="10">
        <v>7.5</v>
      </c>
      <c r="G2425" s="10">
        <v>17000000</v>
      </c>
      <c r="H2425" s="10">
        <v>16311763</v>
      </c>
      <c r="I2425" s="5">
        <f>IMDB_Movies!$H2425-IMDB_Movies!$G2425</f>
        <v>-688237</v>
      </c>
    </row>
    <row r="2426" spans="1:9" ht="23">
      <c r="A2426" s="2" t="s">
        <v>3496</v>
      </c>
      <c r="B2426" s="9" t="s">
        <v>3497</v>
      </c>
      <c r="C2426" s="9" t="s">
        <v>810</v>
      </c>
      <c r="D2426" s="9" t="s">
        <v>11</v>
      </c>
      <c r="E2426" s="9">
        <v>89</v>
      </c>
      <c r="F2426" s="9">
        <v>4.8</v>
      </c>
      <c r="G2426" s="9">
        <v>17000000</v>
      </c>
      <c r="H2426" s="9">
        <v>12693621</v>
      </c>
      <c r="I2426" s="5">
        <f>IMDB_Movies!$H2426-IMDB_Movies!$G2426</f>
        <v>-4306379</v>
      </c>
    </row>
    <row r="2427" spans="1:9" ht="23">
      <c r="A2427" s="3" t="s">
        <v>3498</v>
      </c>
      <c r="B2427" s="10" t="s">
        <v>3499</v>
      </c>
      <c r="C2427" s="10" t="s">
        <v>138</v>
      </c>
      <c r="D2427" s="10" t="s">
        <v>11</v>
      </c>
      <c r="E2427" s="10">
        <v>89</v>
      </c>
      <c r="F2427" s="10">
        <v>3.1</v>
      </c>
      <c r="G2427" s="10">
        <v>4000000</v>
      </c>
      <c r="H2427" s="10">
        <v>15655665</v>
      </c>
      <c r="I2427" s="5">
        <f>IMDB_Movies!$H2427-IMDB_Movies!$G2427</f>
        <v>11655665</v>
      </c>
    </row>
    <row r="2428" spans="1:9" ht="23">
      <c r="A2428" s="2" t="s">
        <v>3500</v>
      </c>
      <c r="B2428" s="9" t="s">
        <v>3501</v>
      </c>
      <c r="C2428" s="9" t="s">
        <v>24</v>
      </c>
      <c r="D2428" s="9" t="s">
        <v>11</v>
      </c>
      <c r="E2428" s="9">
        <v>73</v>
      </c>
      <c r="F2428" s="9">
        <v>5.8</v>
      </c>
      <c r="G2428" s="9">
        <v>17000000</v>
      </c>
      <c r="H2428" s="9">
        <v>11634458</v>
      </c>
      <c r="I2428" s="5">
        <f>IMDB_Movies!$H2428-IMDB_Movies!$G2428</f>
        <v>-5365542</v>
      </c>
    </row>
    <row r="2429" spans="1:9" ht="23">
      <c r="A2429" s="3" t="s">
        <v>3502</v>
      </c>
      <c r="B2429" s="10" t="s">
        <v>826</v>
      </c>
      <c r="C2429" s="10" t="s">
        <v>414</v>
      </c>
      <c r="D2429" s="10" t="s">
        <v>11</v>
      </c>
      <c r="E2429" s="10">
        <v>132</v>
      </c>
      <c r="F2429" s="10">
        <v>6.7</v>
      </c>
      <c r="G2429" s="10">
        <v>17000000</v>
      </c>
      <c r="H2429" s="10">
        <v>27154426</v>
      </c>
      <c r="I2429" s="5">
        <f>IMDB_Movies!$H2429-IMDB_Movies!$G2429</f>
        <v>10154426</v>
      </c>
    </row>
    <row r="2430" spans="1:9" ht="23">
      <c r="A2430" s="2" t="s">
        <v>3503</v>
      </c>
      <c r="B2430" s="9" t="s">
        <v>3504</v>
      </c>
      <c r="C2430" s="9" t="s">
        <v>10</v>
      </c>
      <c r="D2430" s="9" t="s">
        <v>11</v>
      </c>
      <c r="E2430" s="9">
        <v>154</v>
      </c>
      <c r="F2430" s="9">
        <v>6.8</v>
      </c>
      <c r="G2430" s="9">
        <v>9000000</v>
      </c>
      <c r="H2430" s="9">
        <v>25078937</v>
      </c>
      <c r="I2430" s="5">
        <f>IMDB_Movies!$H2430-IMDB_Movies!$G2430</f>
        <v>16078937</v>
      </c>
    </row>
    <row r="2431" spans="1:9" ht="23">
      <c r="A2431" s="3" t="s">
        <v>3505</v>
      </c>
      <c r="B2431" s="10" t="s">
        <v>3506</v>
      </c>
      <c r="C2431" s="10" t="s">
        <v>810</v>
      </c>
      <c r="D2431" s="10" t="s">
        <v>11</v>
      </c>
      <c r="E2431" s="10">
        <v>96</v>
      </c>
      <c r="F2431" s="10">
        <v>6.5</v>
      </c>
      <c r="G2431" s="10">
        <v>17000000</v>
      </c>
      <c r="H2431" s="10">
        <v>54239856</v>
      </c>
      <c r="I2431" s="5">
        <f>IMDB_Movies!$H2431-IMDB_Movies!$G2431</f>
        <v>37239856</v>
      </c>
    </row>
    <row r="2432" spans="1:9" ht="23">
      <c r="A2432" s="2" t="s">
        <v>3507</v>
      </c>
      <c r="B2432" s="9" t="s">
        <v>1147</v>
      </c>
      <c r="C2432" s="9" t="s">
        <v>138</v>
      </c>
      <c r="D2432" s="9" t="s">
        <v>11</v>
      </c>
      <c r="E2432" s="9">
        <v>98</v>
      </c>
      <c r="F2432" s="9">
        <v>5.9</v>
      </c>
      <c r="G2432" s="9">
        <v>17000000</v>
      </c>
      <c r="H2432" s="9">
        <v>8662318</v>
      </c>
      <c r="I2432" s="5">
        <f>IMDB_Movies!$H2432-IMDB_Movies!$G2432</f>
        <v>-8337682</v>
      </c>
    </row>
    <row r="2433" spans="1:9" ht="23">
      <c r="A2433" s="3" t="s">
        <v>3508</v>
      </c>
      <c r="B2433" s="10" t="s">
        <v>466</v>
      </c>
      <c r="C2433" s="10" t="s">
        <v>138</v>
      </c>
      <c r="D2433" s="10" t="s">
        <v>11</v>
      </c>
      <c r="E2433" s="10">
        <v>107</v>
      </c>
      <c r="F2433" s="10">
        <v>5.5</v>
      </c>
      <c r="G2433" s="10">
        <v>19000000</v>
      </c>
      <c r="H2433" s="10">
        <v>7156725</v>
      </c>
      <c r="I2433" s="5">
        <f>IMDB_Movies!$H2433-IMDB_Movies!$G2433</f>
        <v>-11843275</v>
      </c>
    </row>
    <row r="2434" spans="1:9" ht="23">
      <c r="A2434" s="2" t="s">
        <v>3509</v>
      </c>
      <c r="B2434" s="9" t="s">
        <v>3510</v>
      </c>
      <c r="C2434" s="9" t="s">
        <v>10</v>
      </c>
      <c r="D2434" s="9" t="s">
        <v>11</v>
      </c>
      <c r="E2434" s="9">
        <v>134</v>
      </c>
      <c r="F2434" s="9">
        <v>3.6</v>
      </c>
      <c r="G2434" s="9">
        <v>17000000</v>
      </c>
      <c r="H2434" s="9">
        <v>15681020</v>
      </c>
      <c r="I2434" s="5">
        <f>IMDB_Movies!$H2434-IMDB_Movies!$G2434</f>
        <v>-1318980</v>
      </c>
    </row>
    <row r="2435" spans="1:9" ht="23">
      <c r="A2435" s="3" t="s">
        <v>3511</v>
      </c>
      <c r="B2435" s="10" t="s">
        <v>3512</v>
      </c>
      <c r="C2435" s="10" t="s">
        <v>56</v>
      </c>
      <c r="D2435" s="10" t="s">
        <v>11</v>
      </c>
      <c r="E2435" s="10">
        <v>94</v>
      </c>
      <c r="F2435" s="10">
        <v>3.3</v>
      </c>
      <c r="G2435" s="10">
        <v>20000000</v>
      </c>
      <c r="H2435" s="10">
        <v>7070459</v>
      </c>
      <c r="I2435" s="5">
        <f>IMDB_Movies!$H2435-IMDB_Movies!$G2435</f>
        <v>-12929541</v>
      </c>
    </row>
    <row r="2436" spans="1:9" ht="23">
      <c r="A2436" s="2" t="s">
        <v>3513</v>
      </c>
      <c r="B2436" s="9" t="s">
        <v>3514</v>
      </c>
      <c r="C2436" s="9" t="s">
        <v>10</v>
      </c>
      <c r="D2436" s="9" t="s">
        <v>11</v>
      </c>
      <c r="E2436" s="9">
        <v>122</v>
      </c>
      <c r="F2436" s="9">
        <v>7.4</v>
      </c>
      <c r="G2436" s="9">
        <v>17000000</v>
      </c>
      <c r="H2436" s="9">
        <v>6855137</v>
      </c>
      <c r="I2436" s="5">
        <f>IMDB_Movies!$H2436-IMDB_Movies!$G2436</f>
        <v>-10144863</v>
      </c>
    </row>
    <row r="2437" spans="1:9" ht="23">
      <c r="A2437" s="3" t="s">
        <v>3515</v>
      </c>
      <c r="B2437" s="10" t="s">
        <v>3516</v>
      </c>
      <c r="C2437" s="10" t="s">
        <v>418</v>
      </c>
      <c r="D2437" s="10" t="s">
        <v>11</v>
      </c>
      <c r="E2437" s="10">
        <v>128</v>
      </c>
      <c r="F2437" s="10">
        <v>6.7</v>
      </c>
      <c r="G2437" s="10">
        <v>20000000</v>
      </c>
      <c r="H2437" s="10">
        <v>2694071</v>
      </c>
      <c r="I2437" s="5">
        <f>IMDB_Movies!$H2437-IMDB_Movies!$G2437</f>
        <v>-17305929</v>
      </c>
    </row>
    <row r="2438" spans="1:9" ht="23">
      <c r="A2438" s="2" t="s">
        <v>3517</v>
      </c>
      <c r="B2438" s="9" t="s">
        <v>3518</v>
      </c>
      <c r="C2438" s="9" t="s">
        <v>24</v>
      </c>
      <c r="D2438" s="9" t="s">
        <v>11</v>
      </c>
      <c r="E2438" s="9">
        <v>97</v>
      </c>
      <c r="F2438" s="9">
        <v>3</v>
      </c>
      <c r="G2438" s="9">
        <v>17000000</v>
      </c>
      <c r="H2438" s="9">
        <v>2315683</v>
      </c>
      <c r="I2438" s="5">
        <f>IMDB_Movies!$H2438-IMDB_Movies!$G2438</f>
        <v>-14684317</v>
      </c>
    </row>
    <row r="2439" spans="1:9" ht="23">
      <c r="A2439" s="3" t="s">
        <v>3519</v>
      </c>
      <c r="B2439" s="10" t="s">
        <v>640</v>
      </c>
      <c r="C2439" s="10" t="s">
        <v>56</v>
      </c>
      <c r="D2439" s="10" t="s">
        <v>11</v>
      </c>
      <c r="E2439" s="10">
        <v>110</v>
      </c>
      <c r="F2439" s="10">
        <v>7.6</v>
      </c>
      <c r="G2439" s="10">
        <v>16000000</v>
      </c>
      <c r="H2439" s="10">
        <v>39825798</v>
      </c>
      <c r="I2439" s="5">
        <f>IMDB_Movies!$H2439-IMDB_Movies!$G2439</f>
        <v>23825798</v>
      </c>
    </row>
    <row r="2440" spans="1:9" ht="23">
      <c r="A2440" s="2" t="s">
        <v>3520</v>
      </c>
      <c r="B2440" s="9" t="s">
        <v>3521</v>
      </c>
      <c r="C2440" s="9" t="s">
        <v>24</v>
      </c>
      <c r="D2440" s="9" t="s">
        <v>11</v>
      </c>
      <c r="E2440" s="9">
        <v>102</v>
      </c>
      <c r="F2440" s="9">
        <v>6.4</v>
      </c>
      <c r="G2440" s="9">
        <v>17000000</v>
      </c>
      <c r="H2440" s="9">
        <v>2000000</v>
      </c>
      <c r="I2440" s="5">
        <f>IMDB_Movies!$H2440-IMDB_Movies!$G2440</f>
        <v>-15000000</v>
      </c>
    </row>
    <row r="2441" spans="1:9" ht="23">
      <c r="A2441" s="3" t="s">
        <v>3522</v>
      </c>
      <c r="B2441" s="10" t="s">
        <v>357</v>
      </c>
      <c r="C2441" s="10" t="s">
        <v>418</v>
      </c>
      <c r="D2441" s="10" t="s">
        <v>11</v>
      </c>
      <c r="E2441" s="10">
        <v>98</v>
      </c>
      <c r="F2441" s="10">
        <v>6.9</v>
      </c>
      <c r="G2441" s="10">
        <v>17000000</v>
      </c>
      <c r="H2441" s="10">
        <v>1569918</v>
      </c>
      <c r="I2441" s="5">
        <f>IMDB_Movies!$H2441-IMDB_Movies!$G2441</f>
        <v>-15430082</v>
      </c>
    </row>
    <row r="2442" spans="1:9" ht="23">
      <c r="A2442" s="2" t="s">
        <v>3523</v>
      </c>
      <c r="B2442" s="9" t="s">
        <v>3524</v>
      </c>
      <c r="C2442" s="9" t="s">
        <v>414</v>
      </c>
      <c r="D2442" s="9" t="s">
        <v>11</v>
      </c>
      <c r="E2442" s="9">
        <v>120</v>
      </c>
      <c r="F2442" s="9">
        <v>6.6</v>
      </c>
      <c r="G2442" s="9">
        <v>17000000</v>
      </c>
      <c r="H2442" s="9">
        <v>106869</v>
      </c>
      <c r="I2442" s="5">
        <f>IMDB_Movies!$H2442-IMDB_Movies!$G2442</f>
        <v>-16893131</v>
      </c>
    </row>
    <row r="2443" spans="1:9" ht="23">
      <c r="A2443" s="3" t="s">
        <v>3525</v>
      </c>
      <c r="B2443" s="10" t="s">
        <v>2760</v>
      </c>
      <c r="C2443" s="10" t="s">
        <v>138</v>
      </c>
      <c r="D2443" s="10" t="s">
        <v>11</v>
      </c>
      <c r="E2443" s="10">
        <v>160</v>
      </c>
      <c r="F2443" s="10">
        <v>5.5</v>
      </c>
      <c r="G2443" s="10">
        <v>17000000</v>
      </c>
      <c r="H2443" s="10">
        <v>273420</v>
      </c>
      <c r="I2443" s="5">
        <f>IMDB_Movies!$H2443-IMDB_Movies!$G2443</f>
        <v>-16726580</v>
      </c>
    </row>
    <row r="2444" spans="1:9" ht="23">
      <c r="A2444" s="2" t="s">
        <v>3526</v>
      </c>
      <c r="B2444" s="9" t="s">
        <v>3527</v>
      </c>
      <c r="C2444" s="9" t="s">
        <v>24</v>
      </c>
      <c r="D2444" s="9" t="s">
        <v>394</v>
      </c>
      <c r="E2444" s="9">
        <v>80</v>
      </c>
      <c r="F2444" s="9">
        <v>6.6</v>
      </c>
      <c r="G2444" s="9">
        <v>11000000</v>
      </c>
      <c r="H2444" s="9">
        <v>25078937</v>
      </c>
      <c r="I2444" s="5">
        <f>IMDB_Movies!$H2444-IMDB_Movies!$G2444</f>
        <v>14078937</v>
      </c>
    </row>
    <row r="2445" spans="1:9" ht="23">
      <c r="A2445" s="3" t="s">
        <v>3528</v>
      </c>
      <c r="B2445" s="10" t="s">
        <v>3529</v>
      </c>
      <c r="C2445" s="10" t="s">
        <v>790</v>
      </c>
      <c r="D2445" s="10" t="s">
        <v>11</v>
      </c>
      <c r="E2445" s="10">
        <v>91</v>
      </c>
      <c r="F2445" s="10">
        <v>5.2</v>
      </c>
      <c r="G2445" s="10">
        <v>17000000</v>
      </c>
      <c r="H2445" s="10">
        <v>25078937</v>
      </c>
      <c r="I2445" s="5">
        <f>IMDB_Movies!$H2445-IMDB_Movies!$G2445</f>
        <v>8078937</v>
      </c>
    </row>
    <row r="2446" spans="1:9" ht="23">
      <c r="A2446" s="2" t="s">
        <v>3530</v>
      </c>
      <c r="B2446" s="9" t="s">
        <v>3531</v>
      </c>
      <c r="C2446" s="9" t="s">
        <v>810</v>
      </c>
      <c r="D2446" s="9" t="s">
        <v>11</v>
      </c>
      <c r="E2446" s="9">
        <v>83</v>
      </c>
      <c r="F2446" s="9">
        <v>4.0999999999999996</v>
      </c>
      <c r="G2446" s="9">
        <v>17000000</v>
      </c>
      <c r="H2446" s="9">
        <v>4930798</v>
      </c>
      <c r="I2446" s="5">
        <f>IMDB_Movies!$H2446-IMDB_Movies!$G2446</f>
        <v>-12069202</v>
      </c>
    </row>
    <row r="2447" spans="1:9" ht="23">
      <c r="A2447" s="3" t="s">
        <v>3532</v>
      </c>
      <c r="B2447" s="10" t="s">
        <v>3533</v>
      </c>
      <c r="C2447" s="10" t="s">
        <v>138</v>
      </c>
      <c r="D2447" s="10" t="s">
        <v>11</v>
      </c>
      <c r="E2447" s="10">
        <v>102</v>
      </c>
      <c r="F2447" s="10">
        <v>6.8</v>
      </c>
      <c r="G2447" s="10">
        <v>16500000</v>
      </c>
      <c r="H2447" s="10">
        <v>59847242</v>
      </c>
      <c r="I2447" s="5">
        <f>IMDB_Movies!$H2447-IMDB_Movies!$G2447</f>
        <v>43347242</v>
      </c>
    </row>
    <row r="2448" spans="1:9" ht="23">
      <c r="A2448" s="2" t="s">
        <v>3534</v>
      </c>
      <c r="B2448" s="9" t="s">
        <v>3535</v>
      </c>
      <c r="C2448" s="9" t="s">
        <v>418</v>
      </c>
      <c r="D2448" s="9" t="s">
        <v>11</v>
      </c>
      <c r="E2448" s="9">
        <v>122</v>
      </c>
      <c r="F2448" s="9">
        <v>6.5</v>
      </c>
      <c r="G2448" s="9">
        <v>16800000</v>
      </c>
      <c r="H2448" s="9">
        <v>220914</v>
      </c>
      <c r="I2448" s="5">
        <f>IMDB_Movies!$H2448-IMDB_Movies!$G2448</f>
        <v>-16579086</v>
      </c>
    </row>
    <row r="2449" spans="1:9" ht="23">
      <c r="A2449" s="3" t="s">
        <v>3536</v>
      </c>
      <c r="B2449" s="10" t="s">
        <v>205</v>
      </c>
      <c r="C2449" s="10" t="s">
        <v>414</v>
      </c>
      <c r="D2449" s="10" t="s">
        <v>11</v>
      </c>
      <c r="E2449" s="10">
        <v>126</v>
      </c>
      <c r="F2449" s="10">
        <v>7.4</v>
      </c>
      <c r="G2449" s="10">
        <v>15000000</v>
      </c>
      <c r="H2449" s="10">
        <v>43848100</v>
      </c>
      <c r="I2449" s="5">
        <f>IMDB_Movies!$H2449-IMDB_Movies!$G2449</f>
        <v>28848100</v>
      </c>
    </row>
    <row r="2450" spans="1:9" ht="23">
      <c r="A2450" s="2" t="s">
        <v>3537</v>
      </c>
      <c r="B2450" s="9" t="s">
        <v>287</v>
      </c>
      <c r="C2450" s="9" t="s">
        <v>56</v>
      </c>
      <c r="D2450" s="9" t="s">
        <v>11</v>
      </c>
      <c r="E2450" s="9">
        <v>136</v>
      </c>
      <c r="F2450" s="9">
        <v>7.7</v>
      </c>
      <c r="G2450" s="9">
        <v>16500000</v>
      </c>
      <c r="H2450" s="9">
        <v>42700000</v>
      </c>
      <c r="I2450" s="5">
        <f>IMDB_Movies!$H2450-IMDB_Movies!$G2450</f>
        <v>26200000</v>
      </c>
    </row>
    <row r="2451" spans="1:9" ht="23">
      <c r="A2451" s="3" t="s">
        <v>3538</v>
      </c>
      <c r="B2451" s="10" t="s">
        <v>3539</v>
      </c>
      <c r="C2451" s="10" t="s">
        <v>418</v>
      </c>
      <c r="D2451" s="10" t="s">
        <v>11</v>
      </c>
      <c r="E2451" s="10">
        <v>120</v>
      </c>
      <c r="F2451" s="10">
        <v>7.1</v>
      </c>
      <c r="G2451" s="10">
        <v>16500000</v>
      </c>
      <c r="H2451" s="10">
        <v>18663911</v>
      </c>
      <c r="I2451" s="5">
        <f>IMDB_Movies!$H2451-IMDB_Movies!$G2451</f>
        <v>2163911</v>
      </c>
    </row>
    <row r="2452" spans="1:9" ht="23">
      <c r="A2452" s="2" t="s">
        <v>3540</v>
      </c>
      <c r="B2452" s="9" t="s">
        <v>3541</v>
      </c>
      <c r="C2452" s="9" t="s">
        <v>138</v>
      </c>
      <c r="D2452" s="9" t="s">
        <v>11</v>
      </c>
      <c r="E2452" s="9">
        <v>108</v>
      </c>
      <c r="F2452" s="9">
        <v>6.3</v>
      </c>
      <c r="G2452" s="9">
        <v>16500000</v>
      </c>
      <c r="H2452" s="9">
        <v>11702090</v>
      </c>
      <c r="I2452" s="5">
        <f>IMDB_Movies!$H2452-IMDB_Movies!$G2452</f>
        <v>-4797910</v>
      </c>
    </row>
    <row r="2453" spans="1:9" ht="23">
      <c r="A2453" s="3" t="s">
        <v>3542</v>
      </c>
      <c r="B2453" s="10" t="s">
        <v>3543</v>
      </c>
      <c r="C2453" s="10" t="s">
        <v>56</v>
      </c>
      <c r="D2453" s="10" t="s">
        <v>11</v>
      </c>
      <c r="E2453" s="10">
        <v>126</v>
      </c>
      <c r="F2453" s="10">
        <v>7.6</v>
      </c>
      <c r="G2453" s="10">
        <v>15000000</v>
      </c>
      <c r="H2453" s="10">
        <v>13005485</v>
      </c>
      <c r="I2453" s="5">
        <f>IMDB_Movies!$H2453-IMDB_Movies!$G2453</f>
        <v>-1994515</v>
      </c>
    </row>
    <row r="2454" spans="1:9" ht="23">
      <c r="A2454" s="2" t="s">
        <v>3544</v>
      </c>
      <c r="B2454" s="9" t="s">
        <v>297</v>
      </c>
      <c r="C2454" s="9" t="s">
        <v>138</v>
      </c>
      <c r="D2454" s="9" t="s">
        <v>11</v>
      </c>
      <c r="E2454" s="9">
        <v>128</v>
      </c>
      <c r="F2454" s="9">
        <v>8</v>
      </c>
      <c r="G2454" s="9">
        <v>16400000</v>
      </c>
      <c r="H2454" s="9">
        <v>95860116</v>
      </c>
      <c r="I2454" s="5">
        <f>IMDB_Movies!$H2454-IMDB_Movies!$G2454</f>
        <v>79460116</v>
      </c>
    </row>
    <row r="2455" spans="1:9" ht="23">
      <c r="A2455" s="3" t="s">
        <v>3545</v>
      </c>
      <c r="B2455" s="10" t="s">
        <v>3546</v>
      </c>
      <c r="C2455" s="10" t="s">
        <v>138</v>
      </c>
      <c r="D2455" s="10" t="s">
        <v>11</v>
      </c>
      <c r="E2455" s="10">
        <v>113</v>
      </c>
      <c r="F2455" s="10">
        <v>7.3</v>
      </c>
      <c r="G2455" s="10">
        <v>16000000</v>
      </c>
      <c r="H2455" s="10">
        <v>127175354</v>
      </c>
      <c r="I2455" s="5">
        <f>IMDB_Movies!$H2455-IMDB_Movies!$G2455</f>
        <v>111175354</v>
      </c>
    </row>
    <row r="2456" spans="1:9" ht="23">
      <c r="A2456" s="2" t="s">
        <v>3547</v>
      </c>
      <c r="B2456" s="9" t="s">
        <v>1044</v>
      </c>
      <c r="C2456" s="9" t="s">
        <v>138</v>
      </c>
      <c r="D2456" s="9" t="s">
        <v>11</v>
      </c>
      <c r="E2456" s="9">
        <v>89</v>
      </c>
      <c r="F2456" s="9">
        <v>7.6</v>
      </c>
      <c r="G2456" s="9">
        <v>16000000</v>
      </c>
      <c r="H2456" s="9">
        <v>92823600</v>
      </c>
      <c r="I2456" s="5">
        <f>IMDB_Movies!$H2456-IMDB_Movies!$G2456</f>
        <v>76823600</v>
      </c>
    </row>
    <row r="2457" spans="1:9" ht="23">
      <c r="A2457" s="3" t="s">
        <v>3548</v>
      </c>
      <c r="B2457" s="10" t="s">
        <v>2868</v>
      </c>
      <c r="C2457" s="10" t="s">
        <v>56</v>
      </c>
      <c r="D2457" s="10" t="s">
        <v>11</v>
      </c>
      <c r="E2457" s="10">
        <v>129</v>
      </c>
      <c r="F2457" s="10">
        <v>7.8</v>
      </c>
      <c r="G2457" s="10">
        <v>16000000</v>
      </c>
      <c r="H2457" s="10">
        <v>54000000</v>
      </c>
      <c r="I2457" s="5">
        <f>IMDB_Movies!$H2457-IMDB_Movies!$G2457</f>
        <v>38000000</v>
      </c>
    </row>
    <row r="2458" spans="1:9" ht="23">
      <c r="A2458" s="2" t="s">
        <v>3549</v>
      </c>
      <c r="B2458" s="9" t="s">
        <v>680</v>
      </c>
      <c r="C2458" s="9" t="s">
        <v>138</v>
      </c>
      <c r="D2458" s="9" t="s">
        <v>11</v>
      </c>
      <c r="E2458" s="9">
        <v>94</v>
      </c>
      <c r="F2458" s="9">
        <v>6.5</v>
      </c>
      <c r="G2458" s="9">
        <v>15600000</v>
      </c>
      <c r="H2458" s="9">
        <v>68525609</v>
      </c>
      <c r="I2458" s="5">
        <f>IMDB_Movies!$H2458-IMDB_Movies!$G2458</f>
        <v>52925609</v>
      </c>
    </row>
    <row r="2459" spans="1:9" ht="23">
      <c r="A2459" s="3" t="s">
        <v>3550</v>
      </c>
      <c r="B2459" s="10" t="s">
        <v>1103</v>
      </c>
      <c r="C2459" s="10" t="s">
        <v>138</v>
      </c>
      <c r="D2459" s="10" t="s">
        <v>11</v>
      </c>
      <c r="E2459" s="10">
        <v>106</v>
      </c>
      <c r="F2459" s="10">
        <v>6.4</v>
      </c>
      <c r="G2459" s="10">
        <v>16000000</v>
      </c>
      <c r="H2459" s="10">
        <v>52885587</v>
      </c>
      <c r="I2459" s="5">
        <f>IMDB_Movies!$H2459-IMDB_Movies!$G2459</f>
        <v>36885587</v>
      </c>
    </row>
    <row r="2460" spans="1:9" ht="23">
      <c r="A2460" s="2" t="s">
        <v>3551</v>
      </c>
      <c r="B2460" s="9" t="s">
        <v>3552</v>
      </c>
      <c r="C2460" s="9" t="s">
        <v>138</v>
      </c>
      <c r="D2460" s="9" t="s">
        <v>11</v>
      </c>
      <c r="E2460" s="9">
        <v>100</v>
      </c>
      <c r="F2460" s="9">
        <v>8</v>
      </c>
      <c r="G2460" s="9">
        <v>15000000</v>
      </c>
      <c r="H2460" s="9">
        <v>44667095</v>
      </c>
      <c r="I2460" s="5">
        <f>IMDB_Movies!$H2460-IMDB_Movies!$G2460</f>
        <v>29667095</v>
      </c>
    </row>
    <row r="2461" spans="1:9" ht="23">
      <c r="A2461" s="3" t="s">
        <v>3553</v>
      </c>
      <c r="B2461" s="10" t="s">
        <v>1008</v>
      </c>
      <c r="C2461" s="10" t="s">
        <v>56</v>
      </c>
      <c r="D2461" s="10" t="s">
        <v>11</v>
      </c>
      <c r="E2461" s="10">
        <v>89</v>
      </c>
      <c r="F2461" s="10">
        <v>4.8</v>
      </c>
      <c r="G2461" s="10">
        <v>16000000</v>
      </c>
      <c r="H2461" s="10">
        <v>42638165</v>
      </c>
      <c r="I2461" s="5">
        <f>IMDB_Movies!$H2461-IMDB_Movies!$G2461</f>
        <v>26638165</v>
      </c>
    </row>
    <row r="2462" spans="1:9" ht="23">
      <c r="A2462" s="2" t="s">
        <v>3554</v>
      </c>
      <c r="B2462" s="9" t="s">
        <v>1473</v>
      </c>
      <c r="C2462" s="9" t="s">
        <v>24</v>
      </c>
      <c r="D2462" s="9" t="s">
        <v>11</v>
      </c>
      <c r="E2462" s="9">
        <v>94</v>
      </c>
      <c r="F2462" s="9">
        <v>7.8</v>
      </c>
      <c r="G2462" s="9">
        <v>16000000</v>
      </c>
      <c r="H2462" s="9">
        <v>45507053</v>
      </c>
      <c r="I2462" s="5">
        <f>IMDB_Movies!$H2462-IMDB_Movies!$G2462</f>
        <v>29507053</v>
      </c>
    </row>
    <row r="2463" spans="1:9" ht="23">
      <c r="A2463" s="3" t="s">
        <v>3555</v>
      </c>
      <c r="B2463" s="10" t="s">
        <v>236</v>
      </c>
      <c r="C2463" s="10" t="s">
        <v>810</v>
      </c>
      <c r="D2463" s="10" t="s">
        <v>11</v>
      </c>
      <c r="E2463" s="10">
        <v>83</v>
      </c>
      <c r="F2463" s="10">
        <v>5.9</v>
      </c>
      <c r="G2463" s="10">
        <v>16000000</v>
      </c>
      <c r="H2463" s="10">
        <v>39511038</v>
      </c>
      <c r="I2463" s="5">
        <f>IMDB_Movies!$H2463-IMDB_Movies!$G2463</f>
        <v>23511038</v>
      </c>
    </row>
    <row r="2464" spans="1:9" ht="23">
      <c r="A2464" s="2" t="s">
        <v>3556</v>
      </c>
      <c r="B2464" s="9" t="s">
        <v>3557</v>
      </c>
      <c r="C2464" s="9" t="s">
        <v>56</v>
      </c>
      <c r="D2464" s="9" t="s">
        <v>11</v>
      </c>
      <c r="E2464" s="9">
        <v>111</v>
      </c>
      <c r="F2464" s="9">
        <v>5.4</v>
      </c>
      <c r="G2464" s="9">
        <v>18500000</v>
      </c>
      <c r="H2464" s="9">
        <v>6462576</v>
      </c>
      <c r="I2464" s="5">
        <f>IMDB_Movies!$H2464-IMDB_Movies!$G2464</f>
        <v>-12037424</v>
      </c>
    </row>
    <row r="2465" spans="1:9" ht="23">
      <c r="A2465" s="3" t="s">
        <v>3558</v>
      </c>
      <c r="B2465" s="10" t="s">
        <v>3559</v>
      </c>
      <c r="C2465" s="10" t="s">
        <v>138</v>
      </c>
      <c r="D2465" s="10" t="s">
        <v>11</v>
      </c>
      <c r="E2465" s="10">
        <v>80</v>
      </c>
      <c r="F2465" s="10">
        <v>3.3</v>
      </c>
      <c r="G2465" s="10">
        <v>16000000</v>
      </c>
      <c r="H2465" s="10">
        <v>40363530</v>
      </c>
      <c r="I2465" s="5">
        <f>IMDB_Movies!$H2465-IMDB_Movies!$G2465</f>
        <v>24363530</v>
      </c>
    </row>
    <row r="2466" spans="1:9" ht="23">
      <c r="A2466" s="2" t="s">
        <v>3560</v>
      </c>
      <c r="B2466" s="9" t="s">
        <v>100</v>
      </c>
      <c r="C2466" s="9" t="s">
        <v>56</v>
      </c>
      <c r="D2466" s="9" t="s">
        <v>741</v>
      </c>
      <c r="E2466" s="9">
        <v>112</v>
      </c>
      <c r="F2466" s="9">
        <v>8.1999999999999993</v>
      </c>
      <c r="G2466" s="9">
        <v>13500000</v>
      </c>
      <c r="H2466" s="9">
        <v>37623143</v>
      </c>
      <c r="I2466" s="5">
        <f>IMDB_Movies!$H2466-IMDB_Movies!$G2466</f>
        <v>24123143</v>
      </c>
    </row>
    <row r="2467" spans="1:9" ht="23">
      <c r="A2467" s="3" t="s">
        <v>3561</v>
      </c>
      <c r="B2467" s="10" t="s">
        <v>1354</v>
      </c>
      <c r="C2467" s="10" t="s">
        <v>10</v>
      </c>
      <c r="D2467" s="10" t="s">
        <v>11</v>
      </c>
      <c r="E2467" s="10">
        <v>94</v>
      </c>
      <c r="F2467" s="10">
        <v>5.4</v>
      </c>
      <c r="G2467" s="10">
        <v>35000000</v>
      </c>
      <c r="H2467" s="10">
        <v>33357476</v>
      </c>
      <c r="I2467" s="5">
        <f>IMDB_Movies!$H2467-IMDB_Movies!$G2467</f>
        <v>-1642524</v>
      </c>
    </row>
    <row r="2468" spans="1:9" ht="23">
      <c r="A2468" s="2" t="s">
        <v>3562</v>
      </c>
      <c r="B2468" s="9" t="s">
        <v>786</v>
      </c>
      <c r="C2468" s="9" t="s">
        <v>414</v>
      </c>
      <c r="D2468" s="9" t="s">
        <v>11</v>
      </c>
      <c r="E2468" s="9">
        <v>130</v>
      </c>
      <c r="F2468" s="9">
        <v>6.4</v>
      </c>
      <c r="G2468" s="9">
        <v>16000000</v>
      </c>
      <c r="H2468" s="9">
        <v>28734552</v>
      </c>
      <c r="I2468" s="5">
        <f>IMDB_Movies!$H2468-IMDB_Movies!$G2468</f>
        <v>12734552</v>
      </c>
    </row>
    <row r="2469" spans="1:9" ht="23">
      <c r="A2469" s="3" t="s">
        <v>3563</v>
      </c>
      <c r="B2469" s="10" t="s">
        <v>3564</v>
      </c>
      <c r="C2469" s="10" t="s">
        <v>56</v>
      </c>
      <c r="D2469" s="10" t="s">
        <v>11</v>
      </c>
      <c r="E2469" s="10">
        <v>91</v>
      </c>
      <c r="F2469" s="10">
        <v>4.8</v>
      </c>
      <c r="G2469" s="10">
        <v>16000000</v>
      </c>
      <c r="H2469" s="10">
        <v>37300107</v>
      </c>
      <c r="I2469" s="5">
        <f>IMDB_Movies!$H2469-IMDB_Movies!$G2469</f>
        <v>21300107</v>
      </c>
    </row>
    <row r="2470" spans="1:9" ht="23">
      <c r="A2470" s="2" t="s">
        <v>3565</v>
      </c>
      <c r="B2470" s="9" t="s">
        <v>1864</v>
      </c>
      <c r="C2470" s="9" t="s">
        <v>24</v>
      </c>
      <c r="D2470" s="9" t="s">
        <v>11</v>
      </c>
      <c r="E2470" s="9">
        <v>91</v>
      </c>
      <c r="F2470" s="9">
        <v>5.9</v>
      </c>
      <c r="G2470" s="9">
        <v>17700000</v>
      </c>
      <c r="H2470" s="9">
        <v>27087695</v>
      </c>
      <c r="I2470" s="5">
        <f>IMDB_Movies!$H2470-IMDB_Movies!$G2470</f>
        <v>9387695</v>
      </c>
    </row>
    <row r="2471" spans="1:9" ht="23">
      <c r="A2471" s="3" t="s">
        <v>3566</v>
      </c>
      <c r="B2471" s="10" t="s">
        <v>3567</v>
      </c>
      <c r="C2471" s="10" t="s">
        <v>10</v>
      </c>
      <c r="D2471" s="10" t="s">
        <v>11</v>
      </c>
      <c r="E2471" s="10">
        <v>110</v>
      </c>
      <c r="F2471" s="10">
        <v>5.5</v>
      </c>
      <c r="G2471" s="10">
        <v>15000000</v>
      </c>
      <c r="H2471" s="10">
        <v>30102717</v>
      </c>
      <c r="I2471" s="5">
        <f>IMDB_Movies!$H2471-IMDB_Movies!$G2471</f>
        <v>15102717</v>
      </c>
    </row>
    <row r="2472" spans="1:9" ht="23">
      <c r="A2472" s="2" t="s">
        <v>3568</v>
      </c>
      <c r="B2472" s="9" t="s">
        <v>658</v>
      </c>
      <c r="C2472" s="9" t="s">
        <v>10</v>
      </c>
      <c r="D2472" s="9" t="s">
        <v>11</v>
      </c>
      <c r="E2472" s="9">
        <v>121</v>
      </c>
      <c r="F2472" s="9">
        <v>7.9</v>
      </c>
      <c r="G2472" s="9">
        <v>8000000</v>
      </c>
      <c r="H2472" s="9">
        <v>23618786</v>
      </c>
      <c r="I2472" s="5">
        <f>IMDB_Movies!$H2472-IMDB_Movies!$G2472</f>
        <v>15618786</v>
      </c>
    </row>
    <row r="2473" spans="1:9" ht="23">
      <c r="A2473" s="3" t="s">
        <v>3569</v>
      </c>
      <c r="B2473" s="10" t="s">
        <v>3570</v>
      </c>
      <c r="C2473" s="10" t="s">
        <v>138</v>
      </c>
      <c r="D2473" s="10" t="s">
        <v>11</v>
      </c>
      <c r="E2473" s="10">
        <v>114</v>
      </c>
      <c r="F2473" s="10">
        <v>4.9000000000000004</v>
      </c>
      <c r="G2473" s="10">
        <v>16500000</v>
      </c>
      <c r="H2473" s="10">
        <v>26896744</v>
      </c>
      <c r="I2473" s="5">
        <f>IMDB_Movies!$H2473-IMDB_Movies!$G2473</f>
        <v>10396744</v>
      </c>
    </row>
    <row r="2474" spans="1:9" ht="23">
      <c r="A2474" s="2" t="s">
        <v>3571</v>
      </c>
      <c r="B2474" s="9" t="s">
        <v>2304</v>
      </c>
      <c r="C2474" s="9" t="s">
        <v>56</v>
      </c>
      <c r="D2474" s="9" t="s">
        <v>11</v>
      </c>
      <c r="E2474" s="9">
        <v>96</v>
      </c>
      <c r="F2474" s="9">
        <v>7.2</v>
      </c>
      <c r="G2474" s="9">
        <v>15500000</v>
      </c>
      <c r="H2474" s="9">
        <v>23213577</v>
      </c>
      <c r="I2474" s="5">
        <f>IMDB_Movies!$H2474-IMDB_Movies!$G2474</f>
        <v>7713577</v>
      </c>
    </row>
    <row r="2475" spans="1:9" ht="23">
      <c r="A2475" s="3" t="s">
        <v>3572</v>
      </c>
      <c r="B2475" s="10" t="s">
        <v>3573</v>
      </c>
      <c r="C2475" s="10" t="s">
        <v>10</v>
      </c>
      <c r="D2475" s="10" t="s">
        <v>3574</v>
      </c>
      <c r="E2475" s="10">
        <v>270</v>
      </c>
      <c r="F2475" s="10">
        <v>6.6</v>
      </c>
      <c r="G2475" s="10">
        <v>25000000</v>
      </c>
      <c r="H2475" s="10">
        <v>25078937</v>
      </c>
      <c r="I2475" s="5">
        <f>IMDB_Movies!$H2475-IMDB_Movies!$G2475</f>
        <v>78937</v>
      </c>
    </row>
    <row r="2476" spans="1:9" ht="23">
      <c r="A2476" s="2" t="s">
        <v>3575</v>
      </c>
      <c r="B2476" s="9" t="s">
        <v>3576</v>
      </c>
      <c r="C2476" s="9" t="s">
        <v>138</v>
      </c>
      <c r="D2476" s="9" t="s">
        <v>11</v>
      </c>
      <c r="E2476" s="9">
        <v>94</v>
      </c>
      <c r="F2476" s="9">
        <v>5.3</v>
      </c>
      <c r="G2476" s="9">
        <v>16000000</v>
      </c>
      <c r="H2476" s="9">
        <v>20627372</v>
      </c>
      <c r="I2476" s="5">
        <f>IMDB_Movies!$H2476-IMDB_Movies!$G2476</f>
        <v>4627372</v>
      </c>
    </row>
    <row r="2477" spans="1:9" ht="23">
      <c r="A2477" s="3" t="s">
        <v>3577</v>
      </c>
      <c r="B2477" s="10" t="s">
        <v>3578</v>
      </c>
      <c r="C2477" s="10" t="s">
        <v>56</v>
      </c>
      <c r="D2477" s="10" t="s">
        <v>11</v>
      </c>
      <c r="E2477" s="10">
        <v>109</v>
      </c>
      <c r="F2477" s="10">
        <v>7.2</v>
      </c>
      <c r="G2477" s="10">
        <v>16000000</v>
      </c>
      <c r="H2477" s="10">
        <v>16346122</v>
      </c>
      <c r="I2477" s="5">
        <f>IMDB_Movies!$H2477-IMDB_Movies!$G2477</f>
        <v>346122</v>
      </c>
    </row>
    <row r="2478" spans="1:9" ht="23">
      <c r="A2478" s="2" t="s">
        <v>3579</v>
      </c>
      <c r="B2478" s="9" t="s">
        <v>1292</v>
      </c>
      <c r="C2478" s="9" t="s">
        <v>138</v>
      </c>
      <c r="D2478" s="9" t="s">
        <v>11</v>
      </c>
      <c r="E2478" s="9">
        <v>107</v>
      </c>
      <c r="F2478" s="9">
        <v>5.0999999999999996</v>
      </c>
      <c r="G2478" s="9">
        <v>16000000</v>
      </c>
      <c r="H2478" s="9">
        <v>16204793</v>
      </c>
      <c r="I2478" s="5">
        <f>IMDB_Movies!$H2478-IMDB_Movies!$G2478</f>
        <v>204793</v>
      </c>
    </row>
    <row r="2479" spans="1:9" ht="23">
      <c r="A2479" s="3" t="s">
        <v>3580</v>
      </c>
      <c r="B2479" s="10" t="s">
        <v>3581</v>
      </c>
      <c r="C2479" s="10" t="s">
        <v>138</v>
      </c>
      <c r="D2479" s="10" t="s">
        <v>11</v>
      </c>
      <c r="E2479" s="10">
        <v>96</v>
      </c>
      <c r="F2479" s="10">
        <v>5.6</v>
      </c>
      <c r="G2479" s="10">
        <v>16000000</v>
      </c>
      <c r="H2479" s="10">
        <v>15427192</v>
      </c>
      <c r="I2479" s="5">
        <f>IMDB_Movies!$H2479-IMDB_Movies!$G2479</f>
        <v>-572808</v>
      </c>
    </row>
    <row r="2480" spans="1:9" ht="23">
      <c r="A2480" s="2" t="s">
        <v>3582</v>
      </c>
      <c r="B2480" s="9" t="s">
        <v>2304</v>
      </c>
      <c r="C2480" s="9" t="s">
        <v>138</v>
      </c>
      <c r="D2480" s="9" t="s">
        <v>11</v>
      </c>
      <c r="E2480" s="9">
        <v>88</v>
      </c>
      <c r="F2480" s="9">
        <v>7.6</v>
      </c>
      <c r="G2480" s="9">
        <v>16000000</v>
      </c>
      <c r="H2480" s="9">
        <v>14792779</v>
      </c>
      <c r="I2480" s="5">
        <f>IMDB_Movies!$H2480-IMDB_Movies!$G2480</f>
        <v>-1207221</v>
      </c>
    </row>
    <row r="2481" spans="1:9" ht="23">
      <c r="A2481" s="3" t="s">
        <v>3583</v>
      </c>
      <c r="B2481" s="10" t="s">
        <v>3584</v>
      </c>
      <c r="C2481" s="10" t="s">
        <v>56</v>
      </c>
      <c r="D2481" s="10" t="s">
        <v>11</v>
      </c>
      <c r="E2481" s="10">
        <v>113</v>
      </c>
      <c r="F2481" s="10">
        <v>7.2</v>
      </c>
      <c r="G2481" s="10">
        <v>16000000</v>
      </c>
      <c r="H2481" s="10">
        <v>19057024</v>
      </c>
      <c r="I2481" s="5">
        <f>IMDB_Movies!$H2481-IMDB_Movies!$G2481</f>
        <v>3057024</v>
      </c>
    </row>
    <row r="2482" spans="1:9" ht="23">
      <c r="A2482" s="2" t="s">
        <v>3585</v>
      </c>
      <c r="B2482" s="9" t="s">
        <v>3586</v>
      </c>
      <c r="C2482" s="9" t="s">
        <v>138</v>
      </c>
      <c r="D2482" s="9" t="s">
        <v>11</v>
      </c>
      <c r="E2482" s="9">
        <v>101</v>
      </c>
      <c r="F2482" s="9">
        <v>5.7</v>
      </c>
      <c r="G2482" s="9">
        <v>16000000</v>
      </c>
      <c r="H2482" s="9">
        <v>14108518</v>
      </c>
      <c r="I2482" s="5">
        <f>IMDB_Movies!$H2482-IMDB_Movies!$G2482</f>
        <v>-1891482</v>
      </c>
    </row>
    <row r="2483" spans="1:9" ht="23">
      <c r="A2483" s="3" t="s">
        <v>3587</v>
      </c>
      <c r="B2483" s="10" t="s">
        <v>2794</v>
      </c>
      <c r="C2483" s="10" t="s">
        <v>138</v>
      </c>
      <c r="D2483" s="10" t="s">
        <v>11</v>
      </c>
      <c r="E2483" s="10">
        <v>105</v>
      </c>
      <c r="F2483" s="10">
        <v>5.2</v>
      </c>
      <c r="G2483" s="10">
        <v>20000000</v>
      </c>
      <c r="H2483" s="10">
        <v>13854000</v>
      </c>
      <c r="I2483" s="5">
        <f>IMDB_Movies!$H2483-IMDB_Movies!$G2483</f>
        <v>-6146000</v>
      </c>
    </row>
    <row r="2484" spans="1:9" ht="23">
      <c r="A2484" s="2" t="s">
        <v>3588</v>
      </c>
      <c r="B2484" s="9" t="s">
        <v>731</v>
      </c>
      <c r="C2484" s="9" t="s">
        <v>56</v>
      </c>
      <c r="D2484" s="9" t="s">
        <v>11</v>
      </c>
      <c r="E2484" s="9">
        <v>125</v>
      </c>
      <c r="F2484" s="9">
        <v>7.7</v>
      </c>
      <c r="G2484" s="9">
        <v>26000000</v>
      </c>
      <c r="H2484" s="9">
        <v>77324422</v>
      </c>
      <c r="I2484" s="5">
        <f>IMDB_Movies!$H2484-IMDB_Movies!$G2484</f>
        <v>51324422</v>
      </c>
    </row>
    <row r="2485" spans="1:9" ht="23">
      <c r="A2485" s="3" t="s">
        <v>3589</v>
      </c>
      <c r="B2485" s="10" t="s">
        <v>3590</v>
      </c>
      <c r="C2485" s="10" t="s">
        <v>228</v>
      </c>
      <c r="D2485" s="10" t="s">
        <v>11</v>
      </c>
      <c r="E2485" s="10">
        <v>100</v>
      </c>
      <c r="F2485" s="10">
        <v>7</v>
      </c>
      <c r="G2485" s="10">
        <v>16000000</v>
      </c>
      <c r="H2485" s="10">
        <v>15500000</v>
      </c>
      <c r="I2485" s="5">
        <f>IMDB_Movies!$H2485-IMDB_Movies!$G2485</f>
        <v>-500000</v>
      </c>
    </row>
    <row r="2486" spans="1:9" ht="23">
      <c r="A2486" s="2" t="s">
        <v>3591</v>
      </c>
      <c r="B2486" s="9" t="s">
        <v>3592</v>
      </c>
      <c r="C2486" s="9" t="s">
        <v>138</v>
      </c>
      <c r="D2486" s="9" t="s">
        <v>11</v>
      </c>
      <c r="E2486" s="9">
        <v>97</v>
      </c>
      <c r="F2486" s="9">
        <v>3.6</v>
      </c>
      <c r="G2486" s="9">
        <v>20000000</v>
      </c>
      <c r="H2486" s="9">
        <v>11540112</v>
      </c>
      <c r="I2486" s="5">
        <f>IMDB_Movies!$H2486-IMDB_Movies!$G2486</f>
        <v>-8459888</v>
      </c>
    </row>
    <row r="2487" spans="1:9" ht="23">
      <c r="A2487" s="3" t="s">
        <v>3593</v>
      </c>
      <c r="B2487" s="10" t="s">
        <v>3594</v>
      </c>
      <c r="C2487" s="10" t="s">
        <v>10</v>
      </c>
      <c r="D2487" s="10" t="s">
        <v>11</v>
      </c>
      <c r="E2487" s="10">
        <v>108</v>
      </c>
      <c r="F2487" s="10">
        <v>4.9000000000000004</v>
      </c>
      <c r="G2487" s="10">
        <v>16000000</v>
      </c>
      <c r="H2487" s="10">
        <v>25078937</v>
      </c>
      <c r="I2487" s="5">
        <f>IMDB_Movies!$H2487-IMDB_Movies!$G2487</f>
        <v>9078937</v>
      </c>
    </row>
    <row r="2488" spans="1:9" ht="23">
      <c r="A2488" s="2" t="s">
        <v>3595</v>
      </c>
      <c r="B2488" s="9" t="s">
        <v>3596</v>
      </c>
      <c r="C2488" s="9" t="s">
        <v>138</v>
      </c>
      <c r="D2488" s="9" t="s">
        <v>11</v>
      </c>
      <c r="E2488" s="9">
        <v>112</v>
      </c>
      <c r="F2488" s="9">
        <v>6</v>
      </c>
      <c r="G2488" s="9">
        <v>15000000</v>
      </c>
      <c r="H2488" s="9">
        <v>4734235</v>
      </c>
      <c r="I2488" s="5">
        <f>IMDB_Movies!$H2488-IMDB_Movies!$G2488</f>
        <v>-10265765</v>
      </c>
    </row>
    <row r="2489" spans="1:9" ht="23">
      <c r="A2489" s="3" t="s">
        <v>3597</v>
      </c>
      <c r="B2489" s="10" t="s">
        <v>2304</v>
      </c>
      <c r="C2489" s="10" t="s">
        <v>138</v>
      </c>
      <c r="D2489" s="10" t="s">
        <v>11</v>
      </c>
      <c r="E2489" s="10">
        <v>112</v>
      </c>
      <c r="F2489" s="10">
        <v>6.6</v>
      </c>
      <c r="G2489" s="10">
        <v>16000000</v>
      </c>
      <c r="H2489" s="10">
        <v>4839383</v>
      </c>
      <c r="I2489" s="5">
        <f>IMDB_Movies!$H2489-IMDB_Movies!$G2489</f>
        <v>-11160617</v>
      </c>
    </row>
    <row r="2490" spans="1:9" ht="23">
      <c r="A2490" s="2" t="s">
        <v>3598</v>
      </c>
      <c r="B2490" s="9" t="s">
        <v>3599</v>
      </c>
      <c r="C2490" s="9" t="s">
        <v>138</v>
      </c>
      <c r="D2490" s="9" t="s">
        <v>11</v>
      </c>
      <c r="E2490" s="9">
        <v>95</v>
      </c>
      <c r="F2490" s="9">
        <v>6.8</v>
      </c>
      <c r="G2490" s="9">
        <v>15000000</v>
      </c>
      <c r="H2490" s="9">
        <v>4193025</v>
      </c>
      <c r="I2490" s="5">
        <f>IMDB_Movies!$H2490-IMDB_Movies!$G2490</f>
        <v>-10806975</v>
      </c>
    </row>
    <row r="2491" spans="1:9" ht="23">
      <c r="A2491" s="3" t="s">
        <v>3600</v>
      </c>
      <c r="B2491" s="10" t="s">
        <v>1600</v>
      </c>
      <c r="C2491" s="10" t="s">
        <v>10</v>
      </c>
      <c r="D2491" s="10" t="s">
        <v>11</v>
      </c>
      <c r="E2491" s="10">
        <v>110</v>
      </c>
      <c r="F2491" s="10">
        <v>7.2</v>
      </c>
      <c r="G2491" s="10">
        <v>16000000</v>
      </c>
      <c r="H2491" s="10">
        <v>5900000</v>
      </c>
      <c r="I2491" s="5">
        <f>IMDB_Movies!$H2491-IMDB_Movies!$G2491</f>
        <v>-10100000</v>
      </c>
    </row>
    <row r="2492" spans="1:9" ht="23">
      <c r="A2492" s="2" t="s">
        <v>3601</v>
      </c>
      <c r="B2492" s="9" t="s">
        <v>3602</v>
      </c>
      <c r="C2492" s="9" t="s">
        <v>56</v>
      </c>
      <c r="D2492" s="9" t="s">
        <v>11</v>
      </c>
      <c r="E2492" s="9">
        <v>118</v>
      </c>
      <c r="F2492" s="9">
        <v>7.2</v>
      </c>
      <c r="G2492" s="9">
        <v>16000000</v>
      </c>
      <c r="H2492" s="9">
        <v>2849142</v>
      </c>
      <c r="I2492" s="5">
        <f>IMDB_Movies!$H2492-IMDB_Movies!$G2492</f>
        <v>-13150858</v>
      </c>
    </row>
    <row r="2493" spans="1:9" ht="23">
      <c r="A2493" s="3" t="s">
        <v>3603</v>
      </c>
      <c r="B2493" s="10" t="s">
        <v>3604</v>
      </c>
      <c r="C2493" s="10" t="s">
        <v>10</v>
      </c>
      <c r="D2493" s="10" t="s">
        <v>11</v>
      </c>
      <c r="E2493" s="10">
        <v>97</v>
      </c>
      <c r="F2493" s="10">
        <v>2.8</v>
      </c>
      <c r="G2493" s="10">
        <v>16000000</v>
      </c>
      <c r="H2493" s="10">
        <v>1686429</v>
      </c>
      <c r="I2493" s="5">
        <f>IMDB_Movies!$H2493-IMDB_Movies!$G2493</f>
        <v>-14313571</v>
      </c>
    </row>
    <row r="2494" spans="1:9" ht="23">
      <c r="A2494" s="2" t="s">
        <v>3605</v>
      </c>
      <c r="B2494" s="9" t="s">
        <v>2519</v>
      </c>
      <c r="C2494" s="9" t="s">
        <v>56</v>
      </c>
      <c r="D2494" s="9" t="s">
        <v>11</v>
      </c>
      <c r="E2494" s="9">
        <v>120</v>
      </c>
      <c r="F2494" s="9">
        <v>6.6</v>
      </c>
      <c r="G2494" s="9">
        <v>16000000</v>
      </c>
      <c r="H2494" s="9">
        <v>1984743</v>
      </c>
      <c r="I2494" s="5">
        <f>IMDB_Movies!$H2494-IMDB_Movies!$G2494</f>
        <v>-14015257</v>
      </c>
    </row>
    <row r="2495" spans="1:9" ht="23">
      <c r="A2495" s="3" t="s">
        <v>3606</v>
      </c>
      <c r="B2495" s="10" t="s">
        <v>3607</v>
      </c>
      <c r="C2495" s="10" t="s">
        <v>56</v>
      </c>
      <c r="D2495" s="10" t="s">
        <v>11</v>
      </c>
      <c r="E2495" s="10">
        <v>135</v>
      </c>
      <c r="F2495" s="10">
        <v>6.7</v>
      </c>
      <c r="G2495" s="10">
        <v>16000000</v>
      </c>
      <c r="H2495" s="10">
        <v>1666262</v>
      </c>
      <c r="I2495" s="5">
        <f>IMDB_Movies!$H2495-IMDB_Movies!$G2495</f>
        <v>-14333738</v>
      </c>
    </row>
    <row r="2496" spans="1:9" ht="23">
      <c r="A2496" s="2" t="s">
        <v>3608</v>
      </c>
      <c r="B2496" s="9" t="s">
        <v>1450</v>
      </c>
      <c r="C2496" s="9" t="s">
        <v>414</v>
      </c>
      <c r="D2496" s="9" t="s">
        <v>11</v>
      </c>
      <c r="E2496" s="9">
        <v>101</v>
      </c>
      <c r="F2496" s="9">
        <v>7</v>
      </c>
      <c r="G2496" s="9">
        <v>20000000</v>
      </c>
      <c r="H2496" s="9">
        <v>2319187</v>
      </c>
      <c r="I2496" s="5">
        <f>IMDB_Movies!$H2496-IMDB_Movies!$G2496</f>
        <v>-17680813</v>
      </c>
    </row>
    <row r="2497" spans="1:9" ht="23">
      <c r="A2497" s="3" t="s">
        <v>3609</v>
      </c>
      <c r="B2497" s="10" t="s">
        <v>3610</v>
      </c>
      <c r="C2497" s="10" t="s">
        <v>138</v>
      </c>
      <c r="D2497" s="10" t="s">
        <v>11</v>
      </c>
      <c r="E2497" s="10">
        <v>92</v>
      </c>
      <c r="F2497" s="10">
        <v>4.4000000000000004</v>
      </c>
      <c r="G2497" s="10">
        <v>16000000</v>
      </c>
      <c r="H2497" s="10">
        <v>13922211</v>
      </c>
      <c r="I2497" s="5">
        <f>IMDB_Movies!$H2497-IMDB_Movies!$G2497</f>
        <v>-2077789</v>
      </c>
    </row>
    <row r="2498" spans="1:9" ht="23">
      <c r="A2498" s="2" t="s">
        <v>3611</v>
      </c>
      <c r="B2498" s="9" t="s">
        <v>3612</v>
      </c>
      <c r="C2498" s="9" t="s">
        <v>138</v>
      </c>
      <c r="D2498" s="9" t="s">
        <v>394</v>
      </c>
      <c r="E2498" s="9">
        <v>106</v>
      </c>
      <c r="F2498" s="9">
        <v>7.1</v>
      </c>
      <c r="G2498" s="9">
        <v>11000000</v>
      </c>
      <c r="H2498" s="9">
        <v>25078937</v>
      </c>
      <c r="I2498" s="5">
        <f>IMDB_Movies!$H2498-IMDB_Movies!$G2498</f>
        <v>14078937</v>
      </c>
    </row>
    <row r="2499" spans="1:9" ht="23">
      <c r="A2499" s="3" t="s">
        <v>3613</v>
      </c>
      <c r="B2499" s="10" t="s">
        <v>3614</v>
      </c>
      <c r="C2499" s="10" t="s">
        <v>56</v>
      </c>
      <c r="D2499" s="10" t="s">
        <v>11</v>
      </c>
      <c r="E2499" s="10">
        <v>92</v>
      </c>
      <c r="F2499" s="10">
        <v>6.2</v>
      </c>
      <c r="G2499" s="10">
        <v>15000000</v>
      </c>
      <c r="H2499" s="10">
        <v>23091</v>
      </c>
      <c r="I2499" s="5">
        <f>IMDB_Movies!$H2499-IMDB_Movies!$G2499</f>
        <v>-14976909</v>
      </c>
    </row>
    <row r="2500" spans="1:9" ht="23">
      <c r="A2500" s="2" t="s">
        <v>3615</v>
      </c>
      <c r="B2500" s="9" t="s">
        <v>3616</v>
      </c>
      <c r="C2500" s="9" t="s">
        <v>56</v>
      </c>
      <c r="D2500" s="9" t="s">
        <v>11</v>
      </c>
      <c r="E2500" s="9">
        <v>161</v>
      </c>
      <c r="F2500" s="9">
        <v>7.3</v>
      </c>
      <c r="G2500" s="9">
        <v>13000000</v>
      </c>
      <c r="H2500" s="9">
        <v>336467</v>
      </c>
      <c r="I2500" s="5">
        <f>IMDB_Movies!$H2500-IMDB_Movies!$G2500</f>
        <v>-12663533</v>
      </c>
    </row>
    <row r="2501" spans="1:9" ht="23">
      <c r="A2501" s="3" t="s">
        <v>3617</v>
      </c>
      <c r="B2501" s="10" t="s">
        <v>3166</v>
      </c>
      <c r="C2501" s="10" t="s">
        <v>138</v>
      </c>
      <c r="D2501" s="10" t="s">
        <v>11</v>
      </c>
      <c r="E2501" s="10">
        <v>92</v>
      </c>
      <c r="F2501" s="10">
        <v>5.0999999999999996</v>
      </c>
      <c r="G2501" s="10">
        <v>16000000</v>
      </c>
      <c r="H2501" s="10">
        <v>2964</v>
      </c>
      <c r="I2501" s="5">
        <f>IMDB_Movies!$H2501-IMDB_Movies!$G2501</f>
        <v>-15997036</v>
      </c>
    </row>
    <row r="2502" spans="1:9" ht="23">
      <c r="A2502" s="2" t="s">
        <v>3618</v>
      </c>
      <c r="B2502" s="9" t="s">
        <v>2117</v>
      </c>
      <c r="C2502" s="9" t="s">
        <v>56</v>
      </c>
      <c r="D2502" s="9" t="s">
        <v>11</v>
      </c>
      <c r="E2502" s="9">
        <v>93</v>
      </c>
      <c r="F2502" s="9">
        <v>8.1</v>
      </c>
      <c r="G2502" s="9">
        <v>16000000</v>
      </c>
      <c r="H2502" s="9">
        <v>25078937</v>
      </c>
      <c r="I2502" s="5">
        <f>IMDB_Movies!$H2502-IMDB_Movies!$G2502</f>
        <v>9078937</v>
      </c>
    </row>
    <row r="2503" spans="1:9" ht="23">
      <c r="A2503" s="3" t="s">
        <v>3619</v>
      </c>
      <c r="B2503" s="10" t="s">
        <v>3620</v>
      </c>
      <c r="C2503" s="10" t="s">
        <v>414</v>
      </c>
      <c r="D2503" s="10" t="s">
        <v>11</v>
      </c>
      <c r="E2503" s="10">
        <v>110</v>
      </c>
      <c r="F2503" s="10">
        <v>6.7</v>
      </c>
      <c r="G2503" s="10">
        <v>16000000</v>
      </c>
      <c r="H2503" s="10">
        <v>25078937</v>
      </c>
      <c r="I2503" s="5">
        <f>IMDB_Movies!$H2503-IMDB_Movies!$G2503</f>
        <v>9078937</v>
      </c>
    </row>
    <row r="2504" spans="1:9" ht="23">
      <c r="A2504" s="2" t="s">
        <v>3621</v>
      </c>
      <c r="B2504" s="9" t="s">
        <v>3622</v>
      </c>
      <c r="C2504" s="9" t="s">
        <v>56</v>
      </c>
      <c r="D2504" s="9" t="s">
        <v>11</v>
      </c>
      <c r="E2504" s="9">
        <v>122</v>
      </c>
      <c r="F2504" s="9">
        <v>6.6</v>
      </c>
      <c r="G2504" s="9">
        <v>16000000</v>
      </c>
      <c r="H2504" s="9">
        <v>2428883</v>
      </c>
      <c r="I2504" s="5">
        <f>IMDB_Movies!$H2504-IMDB_Movies!$G2504</f>
        <v>-13571117</v>
      </c>
    </row>
    <row r="2505" spans="1:9" ht="23">
      <c r="A2505" s="3" t="s">
        <v>3623</v>
      </c>
      <c r="B2505" s="10" t="s">
        <v>3624</v>
      </c>
      <c r="C2505" s="10" t="s">
        <v>138</v>
      </c>
      <c r="D2505" s="10" t="s">
        <v>11</v>
      </c>
      <c r="E2505" s="10">
        <v>91</v>
      </c>
      <c r="F2505" s="10">
        <v>4.5</v>
      </c>
      <c r="G2505" s="10">
        <v>15600000</v>
      </c>
      <c r="H2505" s="10">
        <v>13571817</v>
      </c>
      <c r="I2505" s="5">
        <f>IMDB_Movies!$H2505-IMDB_Movies!$G2505</f>
        <v>-2028183</v>
      </c>
    </row>
    <row r="2506" spans="1:9" ht="23">
      <c r="A2506" s="2" t="s">
        <v>3625</v>
      </c>
      <c r="B2506" s="9" t="s">
        <v>2815</v>
      </c>
      <c r="C2506" s="9" t="s">
        <v>56</v>
      </c>
      <c r="D2506" s="9" t="s">
        <v>11</v>
      </c>
      <c r="E2506" s="9">
        <v>115</v>
      </c>
      <c r="F2506" s="9">
        <v>6.6</v>
      </c>
      <c r="G2506" s="9">
        <v>20000000</v>
      </c>
      <c r="H2506" s="9">
        <v>1554566</v>
      </c>
      <c r="I2506" s="5">
        <f>IMDB_Movies!$H2506-IMDB_Movies!$G2506</f>
        <v>-18445434</v>
      </c>
    </row>
    <row r="2507" spans="1:9" ht="23">
      <c r="A2507" s="3" t="s">
        <v>3626</v>
      </c>
      <c r="B2507" s="10" t="s">
        <v>3627</v>
      </c>
      <c r="C2507" s="10" t="s">
        <v>56</v>
      </c>
      <c r="D2507" s="10" t="s">
        <v>11</v>
      </c>
      <c r="E2507" s="10">
        <v>94</v>
      </c>
      <c r="F2507" s="10">
        <v>6.5</v>
      </c>
      <c r="G2507" s="10">
        <v>20000000</v>
      </c>
      <c r="H2507" s="10">
        <v>508867</v>
      </c>
      <c r="I2507" s="5">
        <f>IMDB_Movies!$H2507-IMDB_Movies!$G2507</f>
        <v>-19491133</v>
      </c>
    </row>
    <row r="2508" spans="1:9" ht="23">
      <c r="A2508" s="2" t="s">
        <v>3628</v>
      </c>
      <c r="B2508" s="9" t="s">
        <v>3629</v>
      </c>
      <c r="C2508" s="9" t="s">
        <v>56</v>
      </c>
      <c r="D2508" s="9" t="s">
        <v>11</v>
      </c>
      <c r="E2508" s="9">
        <v>93</v>
      </c>
      <c r="F2508" s="9">
        <v>5.9</v>
      </c>
      <c r="G2508" s="9">
        <v>15500000</v>
      </c>
      <c r="H2508" s="9">
        <v>1181197</v>
      </c>
      <c r="I2508" s="5">
        <f>IMDB_Movies!$H2508-IMDB_Movies!$G2508</f>
        <v>-14318803</v>
      </c>
    </row>
    <row r="2509" spans="1:9" ht="23">
      <c r="A2509" s="3" t="s">
        <v>3630</v>
      </c>
      <c r="B2509" s="10" t="s">
        <v>3631</v>
      </c>
      <c r="C2509" s="10" t="s">
        <v>10</v>
      </c>
      <c r="D2509" s="10" t="s">
        <v>394</v>
      </c>
      <c r="E2509" s="10">
        <v>94</v>
      </c>
      <c r="F2509" s="10">
        <v>6.6</v>
      </c>
      <c r="G2509" s="10">
        <v>15300000</v>
      </c>
      <c r="H2509" s="10">
        <v>81525</v>
      </c>
      <c r="I2509" s="5">
        <f>IMDB_Movies!$H2509-IMDB_Movies!$G2509</f>
        <v>-15218475</v>
      </c>
    </row>
    <row r="2510" spans="1:9" ht="23">
      <c r="A2510" s="2" t="s">
        <v>3632</v>
      </c>
      <c r="B2510" s="9" t="s">
        <v>174</v>
      </c>
      <c r="C2510" s="9" t="s">
        <v>138</v>
      </c>
      <c r="D2510" s="9" t="s">
        <v>11</v>
      </c>
      <c r="E2510" s="9">
        <v>95</v>
      </c>
      <c r="F2510" s="9">
        <v>6.5</v>
      </c>
      <c r="G2510" s="9">
        <v>15500000</v>
      </c>
      <c r="H2510" s="9">
        <v>7774730</v>
      </c>
      <c r="I2510" s="5">
        <f>IMDB_Movies!$H2510-IMDB_Movies!$G2510</f>
        <v>-7725270</v>
      </c>
    </row>
    <row r="2511" spans="1:9" ht="23">
      <c r="A2511" s="3" t="s">
        <v>3633</v>
      </c>
      <c r="B2511" s="10" t="s">
        <v>650</v>
      </c>
      <c r="C2511" s="10" t="s">
        <v>10</v>
      </c>
      <c r="D2511" s="10" t="s">
        <v>11</v>
      </c>
      <c r="E2511" s="10">
        <v>105</v>
      </c>
      <c r="F2511" s="10">
        <v>7.3</v>
      </c>
      <c r="G2511" s="10">
        <v>14000000</v>
      </c>
      <c r="H2511" s="10">
        <v>234760500</v>
      </c>
      <c r="I2511" s="5">
        <f>IMDB_Movies!$H2511-IMDB_Movies!$G2511</f>
        <v>220760500</v>
      </c>
    </row>
    <row r="2512" spans="1:9" ht="23">
      <c r="A2512" s="2" t="s">
        <v>3634</v>
      </c>
      <c r="B2512" s="9" t="s">
        <v>337</v>
      </c>
      <c r="C2512" s="9" t="s">
        <v>138</v>
      </c>
      <c r="D2512" s="9" t="s">
        <v>11</v>
      </c>
      <c r="E2512" s="9">
        <v>103</v>
      </c>
      <c r="F2512" s="9">
        <v>7.5</v>
      </c>
      <c r="G2512" s="9">
        <v>18000000</v>
      </c>
      <c r="H2512" s="9">
        <v>285761243</v>
      </c>
      <c r="I2512" s="5">
        <f>IMDB_Movies!$H2512-IMDB_Movies!$G2512</f>
        <v>267761243</v>
      </c>
    </row>
    <row r="2513" spans="1:9" ht="23">
      <c r="A2513" s="3" t="s">
        <v>3635</v>
      </c>
      <c r="B2513" s="10" t="s">
        <v>2844</v>
      </c>
      <c r="C2513" s="10" t="s">
        <v>138</v>
      </c>
      <c r="D2513" s="10" t="s">
        <v>11</v>
      </c>
      <c r="E2513" s="10">
        <v>102</v>
      </c>
      <c r="F2513" s="10">
        <v>5.9</v>
      </c>
      <c r="G2513" s="10">
        <v>11000000</v>
      </c>
      <c r="H2513" s="10">
        <v>167780960</v>
      </c>
      <c r="I2513" s="5">
        <f>IMDB_Movies!$H2513-IMDB_Movies!$G2513</f>
        <v>156780960</v>
      </c>
    </row>
    <row r="2514" spans="1:9" ht="23">
      <c r="A2514" s="2" t="s">
        <v>3636</v>
      </c>
      <c r="B2514" s="9" t="s">
        <v>591</v>
      </c>
      <c r="C2514" s="9" t="s">
        <v>138</v>
      </c>
      <c r="D2514" s="9" t="s">
        <v>11</v>
      </c>
      <c r="E2514" s="9">
        <v>116</v>
      </c>
      <c r="F2514" s="9">
        <v>7.4</v>
      </c>
      <c r="G2514" s="9">
        <v>22000000</v>
      </c>
      <c r="H2514" s="9">
        <v>177200000</v>
      </c>
      <c r="I2514" s="5">
        <f>IMDB_Movies!$H2514-IMDB_Movies!$G2514</f>
        <v>155200000</v>
      </c>
    </row>
    <row r="2515" spans="1:9" ht="23">
      <c r="A2515" s="3" t="s">
        <v>3637</v>
      </c>
      <c r="B2515" s="10" t="s">
        <v>464</v>
      </c>
      <c r="C2515" s="10" t="s">
        <v>10</v>
      </c>
      <c r="D2515" s="10" t="s">
        <v>11</v>
      </c>
      <c r="E2515" s="10">
        <v>110</v>
      </c>
      <c r="F2515" s="10">
        <v>6.9</v>
      </c>
      <c r="G2515" s="10">
        <v>15000000</v>
      </c>
      <c r="H2515" s="10">
        <v>176781728</v>
      </c>
      <c r="I2515" s="5">
        <f>IMDB_Movies!$H2515-IMDB_Movies!$G2515</f>
        <v>161781728</v>
      </c>
    </row>
    <row r="2516" spans="1:9" ht="23">
      <c r="A2516" s="2" t="s">
        <v>3638</v>
      </c>
      <c r="B2516" s="9" t="s">
        <v>287</v>
      </c>
      <c r="C2516" s="9" t="s">
        <v>10</v>
      </c>
      <c r="D2516" s="9" t="s">
        <v>521</v>
      </c>
      <c r="E2516" s="9">
        <v>120</v>
      </c>
      <c r="F2516" s="9">
        <v>7.9</v>
      </c>
      <c r="G2516" s="9">
        <v>15000000</v>
      </c>
      <c r="H2516" s="9">
        <v>128067808</v>
      </c>
      <c r="I2516" s="5">
        <f>IMDB_Movies!$H2516-IMDB_Movies!$G2516</f>
        <v>113067808</v>
      </c>
    </row>
    <row r="2517" spans="1:9" ht="23">
      <c r="A2517" s="3" t="s">
        <v>3639</v>
      </c>
      <c r="B2517" s="10" t="s">
        <v>15</v>
      </c>
      <c r="C2517" s="10" t="s">
        <v>56</v>
      </c>
      <c r="D2517" s="10" t="s">
        <v>11</v>
      </c>
      <c r="E2517" s="10">
        <v>122</v>
      </c>
      <c r="F2517" s="10">
        <v>8.4</v>
      </c>
      <c r="G2517" s="10">
        <v>15000000</v>
      </c>
      <c r="H2517" s="10">
        <v>130058047</v>
      </c>
      <c r="I2517" s="5">
        <f>IMDB_Movies!$H2517-IMDB_Movies!$G2517</f>
        <v>115058047</v>
      </c>
    </row>
    <row r="2518" spans="1:9" ht="23">
      <c r="A2518" s="2" t="s">
        <v>3640</v>
      </c>
      <c r="B2518" s="9" t="s">
        <v>983</v>
      </c>
      <c r="C2518" s="9" t="s">
        <v>418</v>
      </c>
      <c r="D2518" s="9" t="s">
        <v>11</v>
      </c>
      <c r="E2518" s="9">
        <v>118</v>
      </c>
      <c r="F2518" s="9">
        <v>8</v>
      </c>
      <c r="G2518" s="9">
        <v>15000000</v>
      </c>
      <c r="H2518" s="9">
        <v>138795342</v>
      </c>
      <c r="I2518" s="5">
        <f>IMDB_Movies!$H2518-IMDB_Movies!$G2518</f>
        <v>123795342</v>
      </c>
    </row>
    <row r="2519" spans="1:9" ht="23">
      <c r="A2519" s="3" t="s">
        <v>3641</v>
      </c>
      <c r="B2519" s="10" t="s">
        <v>722</v>
      </c>
      <c r="C2519" s="10" t="s">
        <v>138</v>
      </c>
      <c r="D2519" s="10" t="s">
        <v>11</v>
      </c>
      <c r="E2519" s="10">
        <v>107</v>
      </c>
      <c r="F2519" s="10">
        <v>6</v>
      </c>
      <c r="G2519" s="10">
        <v>15000000</v>
      </c>
      <c r="H2519" s="10">
        <v>111936400</v>
      </c>
      <c r="I2519" s="5">
        <f>IMDB_Movies!$H2519-IMDB_Movies!$G2519</f>
        <v>96936400</v>
      </c>
    </row>
    <row r="2520" spans="1:9" ht="23">
      <c r="A2520" s="2" t="s">
        <v>3642</v>
      </c>
      <c r="B2520" s="9" t="s">
        <v>3643</v>
      </c>
      <c r="C2520" s="9" t="s">
        <v>56</v>
      </c>
      <c r="D2520" s="9" t="s">
        <v>11</v>
      </c>
      <c r="E2520" s="9">
        <v>102</v>
      </c>
      <c r="F2520" s="9">
        <v>6.8</v>
      </c>
      <c r="G2520" s="9">
        <v>15500000</v>
      </c>
      <c r="H2520" s="9">
        <v>317040</v>
      </c>
      <c r="I2520" s="5">
        <f>IMDB_Movies!$H2520-IMDB_Movies!$G2520</f>
        <v>-15182960</v>
      </c>
    </row>
    <row r="2521" spans="1:9" ht="23">
      <c r="A2521" s="3" t="s">
        <v>3644</v>
      </c>
      <c r="B2521" s="10" t="s">
        <v>103</v>
      </c>
      <c r="C2521" s="10" t="s">
        <v>56</v>
      </c>
      <c r="D2521" s="10" t="s">
        <v>11</v>
      </c>
      <c r="E2521" s="10">
        <v>154</v>
      </c>
      <c r="F2521" s="10">
        <v>7.8</v>
      </c>
      <c r="G2521" s="10">
        <v>15000000</v>
      </c>
      <c r="H2521" s="10">
        <v>94175854</v>
      </c>
      <c r="I2521" s="5">
        <f>IMDB_Movies!$H2521-IMDB_Movies!$G2521</f>
        <v>79175854</v>
      </c>
    </row>
    <row r="2522" spans="1:9" ht="23">
      <c r="A2522" s="2" t="s">
        <v>3645</v>
      </c>
      <c r="B2522" s="9" t="s">
        <v>3646</v>
      </c>
      <c r="C2522" s="9" t="s">
        <v>10</v>
      </c>
      <c r="D2522" s="9" t="s">
        <v>3647</v>
      </c>
      <c r="E2522" s="9">
        <v>103</v>
      </c>
      <c r="F2522" s="9">
        <v>5.7</v>
      </c>
      <c r="G2522" s="9">
        <v>20000000</v>
      </c>
      <c r="H2522" s="9">
        <v>25078937</v>
      </c>
      <c r="I2522" s="5">
        <f>IMDB_Movies!$H2522-IMDB_Movies!$G2522</f>
        <v>5078937</v>
      </c>
    </row>
    <row r="2523" spans="1:9" ht="23">
      <c r="A2523" s="3" t="s">
        <v>3648</v>
      </c>
      <c r="B2523" s="10" t="s">
        <v>3649</v>
      </c>
      <c r="C2523" s="10" t="s">
        <v>418</v>
      </c>
      <c r="D2523" s="10" t="s">
        <v>11</v>
      </c>
      <c r="E2523" s="10">
        <v>114</v>
      </c>
      <c r="F2523" s="10">
        <v>8.1</v>
      </c>
      <c r="G2523" s="10">
        <v>14000000</v>
      </c>
      <c r="H2523" s="10">
        <v>91121452</v>
      </c>
      <c r="I2523" s="5">
        <f>IMDB_Movies!$H2523-IMDB_Movies!$G2523</f>
        <v>77121452</v>
      </c>
    </row>
    <row r="2524" spans="1:9" ht="23">
      <c r="A2524" s="2" t="s">
        <v>3650</v>
      </c>
      <c r="B2524" s="9" t="s">
        <v>3533</v>
      </c>
      <c r="C2524" s="9" t="s">
        <v>138</v>
      </c>
      <c r="D2524" s="9" t="s">
        <v>11</v>
      </c>
      <c r="E2524" s="9">
        <v>109</v>
      </c>
      <c r="F2524" s="9">
        <v>6.1</v>
      </c>
      <c r="G2524" s="9">
        <v>10000000</v>
      </c>
      <c r="H2524" s="9">
        <v>69800000</v>
      </c>
      <c r="I2524" s="5">
        <f>IMDB_Movies!$H2524-IMDB_Movies!$G2524</f>
        <v>59800000</v>
      </c>
    </row>
    <row r="2525" spans="1:9" ht="23">
      <c r="A2525" s="3" t="s">
        <v>3651</v>
      </c>
      <c r="B2525" s="10" t="s">
        <v>201</v>
      </c>
      <c r="C2525" s="10" t="s">
        <v>418</v>
      </c>
      <c r="D2525" s="10" t="s">
        <v>11</v>
      </c>
      <c r="E2525" s="10">
        <v>124</v>
      </c>
      <c r="F2525" s="10">
        <v>7.5</v>
      </c>
      <c r="G2525" s="10">
        <v>20000000</v>
      </c>
      <c r="H2525" s="10">
        <v>79900000</v>
      </c>
      <c r="I2525" s="5">
        <f>IMDB_Movies!$H2525-IMDB_Movies!$G2525</f>
        <v>59900000</v>
      </c>
    </row>
    <row r="2526" spans="1:9" ht="23">
      <c r="A2526" s="2" t="s">
        <v>3652</v>
      </c>
      <c r="B2526" s="9" t="s">
        <v>594</v>
      </c>
      <c r="C2526" s="9" t="s">
        <v>138</v>
      </c>
      <c r="D2526" s="9" t="s">
        <v>11</v>
      </c>
      <c r="E2526" s="9">
        <v>94</v>
      </c>
      <c r="F2526" s="9">
        <v>6.2</v>
      </c>
      <c r="G2526" s="9">
        <v>15000000</v>
      </c>
      <c r="H2526" s="9">
        <v>64001297</v>
      </c>
      <c r="I2526" s="5">
        <f>IMDB_Movies!$H2526-IMDB_Movies!$G2526</f>
        <v>49001297</v>
      </c>
    </row>
    <row r="2527" spans="1:9" ht="23">
      <c r="A2527" s="3" t="s">
        <v>3653</v>
      </c>
      <c r="B2527" s="10" t="s">
        <v>3654</v>
      </c>
      <c r="C2527" s="10" t="s">
        <v>713</v>
      </c>
      <c r="D2527" s="10" t="s">
        <v>11</v>
      </c>
      <c r="E2527" s="10">
        <v>100</v>
      </c>
      <c r="F2527" s="10">
        <v>6.2</v>
      </c>
      <c r="G2527" s="10">
        <v>20000000</v>
      </c>
      <c r="H2527" s="10">
        <v>71588220</v>
      </c>
      <c r="I2527" s="5">
        <f>IMDB_Movies!$H2527-IMDB_Movies!$G2527</f>
        <v>51588220</v>
      </c>
    </row>
    <row r="2528" spans="1:9" ht="23">
      <c r="A2528" s="2" t="s">
        <v>3655</v>
      </c>
      <c r="B2528" s="9" t="s">
        <v>1141</v>
      </c>
      <c r="C2528" s="9" t="s">
        <v>24</v>
      </c>
      <c r="D2528" s="9" t="s">
        <v>11</v>
      </c>
      <c r="E2528" s="9">
        <v>98</v>
      </c>
      <c r="F2528" s="9">
        <v>7.4</v>
      </c>
      <c r="G2528" s="9">
        <v>15000000</v>
      </c>
      <c r="H2528" s="9">
        <v>61400000</v>
      </c>
      <c r="I2528" s="5">
        <f>IMDB_Movies!$H2528-IMDB_Movies!$G2528</f>
        <v>46400000</v>
      </c>
    </row>
    <row r="2529" spans="1:9" ht="23">
      <c r="A2529" s="3" t="s">
        <v>3656</v>
      </c>
      <c r="B2529" s="10" t="s">
        <v>3026</v>
      </c>
      <c r="C2529" s="10" t="s">
        <v>138</v>
      </c>
      <c r="D2529" s="10" t="s">
        <v>11</v>
      </c>
      <c r="E2529" s="10">
        <v>102</v>
      </c>
      <c r="F2529" s="10">
        <v>6.6</v>
      </c>
      <c r="G2529" s="10">
        <v>15000000</v>
      </c>
      <c r="H2529" s="10">
        <v>101978840</v>
      </c>
      <c r="I2529" s="5">
        <f>IMDB_Movies!$H2529-IMDB_Movies!$G2529</f>
        <v>86978840</v>
      </c>
    </row>
    <row r="2530" spans="1:9" ht="23">
      <c r="A2530" s="2" t="s">
        <v>3657</v>
      </c>
      <c r="B2530" s="9" t="s">
        <v>1548</v>
      </c>
      <c r="C2530" s="9" t="s">
        <v>418</v>
      </c>
      <c r="D2530" s="9" t="s">
        <v>11</v>
      </c>
      <c r="E2530" s="9">
        <v>94</v>
      </c>
      <c r="F2530" s="9">
        <v>7.3</v>
      </c>
      <c r="G2530" s="9">
        <v>9800000</v>
      </c>
      <c r="H2530" s="9">
        <v>56437947</v>
      </c>
      <c r="I2530" s="5">
        <f>IMDB_Movies!$H2530-IMDB_Movies!$G2530</f>
        <v>46637947</v>
      </c>
    </row>
    <row r="2531" spans="1:9" ht="23">
      <c r="A2531" s="3" t="s">
        <v>3658</v>
      </c>
      <c r="B2531" s="10" t="s">
        <v>68</v>
      </c>
      <c r="C2531" s="10" t="s">
        <v>138</v>
      </c>
      <c r="D2531" s="10" t="s">
        <v>11</v>
      </c>
      <c r="E2531" s="10">
        <v>92</v>
      </c>
      <c r="F2531" s="10">
        <v>7.5</v>
      </c>
      <c r="G2531" s="10">
        <v>15000000</v>
      </c>
      <c r="H2531" s="10">
        <v>73326666</v>
      </c>
      <c r="I2531" s="5">
        <f>IMDB_Movies!$H2531-IMDB_Movies!$G2531</f>
        <v>58326666</v>
      </c>
    </row>
    <row r="2532" spans="1:9" ht="23">
      <c r="A2532" s="2" t="s">
        <v>3659</v>
      </c>
      <c r="B2532" s="9" t="s">
        <v>2669</v>
      </c>
      <c r="C2532" s="9" t="s">
        <v>138</v>
      </c>
      <c r="D2532" s="9" t="s">
        <v>11</v>
      </c>
      <c r="E2532" s="9">
        <v>113</v>
      </c>
      <c r="F2532" s="9">
        <v>5.6</v>
      </c>
      <c r="G2532" s="9">
        <v>15000000</v>
      </c>
      <c r="H2532" s="9">
        <v>55184721</v>
      </c>
      <c r="I2532" s="5">
        <f>IMDB_Movies!$H2532-IMDB_Movies!$G2532</f>
        <v>40184721</v>
      </c>
    </row>
    <row r="2533" spans="1:9" ht="23">
      <c r="A2533" s="3" t="s">
        <v>3660</v>
      </c>
      <c r="B2533" s="10" t="s">
        <v>3661</v>
      </c>
      <c r="C2533" s="10" t="s">
        <v>56</v>
      </c>
      <c r="D2533" s="10" t="s">
        <v>11</v>
      </c>
      <c r="E2533" s="10">
        <v>115</v>
      </c>
      <c r="F2533" s="10">
        <v>7.3</v>
      </c>
      <c r="G2533" s="10">
        <v>15000000</v>
      </c>
      <c r="H2533" s="10">
        <v>50003300</v>
      </c>
      <c r="I2533" s="5">
        <f>IMDB_Movies!$H2533-IMDB_Movies!$G2533</f>
        <v>35003300</v>
      </c>
    </row>
    <row r="2534" spans="1:9" ht="23">
      <c r="A2534" s="2" t="s">
        <v>3662</v>
      </c>
      <c r="B2534" s="9" t="s">
        <v>3663</v>
      </c>
      <c r="C2534" s="9" t="s">
        <v>56</v>
      </c>
      <c r="D2534" s="9" t="s">
        <v>11</v>
      </c>
      <c r="E2534" s="9">
        <v>95</v>
      </c>
      <c r="F2534" s="9">
        <v>6.4</v>
      </c>
      <c r="G2534" s="9">
        <v>17000000</v>
      </c>
      <c r="H2534" s="9">
        <v>54322273</v>
      </c>
      <c r="I2534" s="5">
        <f>IMDB_Movies!$H2534-IMDB_Movies!$G2534</f>
        <v>37322273</v>
      </c>
    </row>
    <row r="2535" spans="1:9" ht="23">
      <c r="A2535" s="3" t="s">
        <v>3664</v>
      </c>
      <c r="B2535" s="10" t="s">
        <v>478</v>
      </c>
      <c r="C2535" s="10" t="s">
        <v>810</v>
      </c>
      <c r="D2535" s="10" t="s">
        <v>11</v>
      </c>
      <c r="E2535" s="10">
        <v>87</v>
      </c>
      <c r="F2535" s="10">
        <v>5</v>
      </c>
      <c r="G2535" s="10">
        <v>15000000</v>
      </c>
      <c r="H2535" s="10">
        <v>47860214</v>
      </c>
      <c r="I2535" s="5">
        <f>IMDB_Movies!$H2535-IMDB_Movies!$G2535</f>
        <v>32860214</v>
      </c>
    </row>
    <row r="2536" spans="1:9" ht="23">
      <c r="A2536" s="2" t="s">
        <v>3665</v>
      </c>
      <c r="B2536" s="9" t="s">
        <v>216</v>
      </c>
      <c r="C2536" s="9" t="s">
        <v>24</v>
      </c>
      <c r="D2536" s="9" t="s">
        <v>11</v>
      </c>
      <c r="E2536" s="9">
        <v>88</v>
      </c>
      <c r="F2536" s="9">
        <v>5.4</v>
      </c>
      <c r="G2536" s="9">
        <v>15000000</v>
      </c>
      <c r="H2536" s="9">
        <v>47811275</v>
      </c>
      <c r="I2536" s="5">
        <f>IMDB_Movies!$H2536-IMDB_Movies!$G2536</f>
        <v>32811275</v>
      </c>
    </row>
    <row r="2537" spans="1:9" ht="23">
      <c r="A2537" s="3" t="s">
        <v>3666</v>
      </c>
      <c r="B2537" s="10" t="s">
        <v>1659</v>
      </c>
      <c r="C2537" s="10" t="s">
        <v>56</v>
      </c>
      <c r="D2537" s="10" t="s">
        <v>11</v>
      </c>
      <c r="E2537" s="10">
        <v>183</v>
      </c>
      <c r="F2537" s="10">
        <v>8.1999999999999993</v>
      </c>
      <c r="G2537" s="10">
        <v>15000000</v>
      </c>
      <c r="H2537" s="10">
        <v>25078937</v>
      </c>
      <c r="I2537" s="5">
        <f>IMDB_Movies!$H2537-IMDB_Movies!$G2537</f>
        <v>10078937</v>
      </c>
    </row>
    <row r="2538" spans="1:9" ht="23">
      <c r="A2538" s="2" t="s">
        <v>3667</v>
      </c>
      <c r="B2538" s="9" t="s">
        <v>834</v>
      </c>
      <c r="C2538" s="9" t="s">
        <v>138</v>
      </c>
      <c r="D2538" s="9" t="s">
        <v>11</v>
      </c>
      <c r="E2538" s="9">
        <v>97</v>
      </c>
      <c r="F2538" s="9">
        <v>7.1</v>
      </c>
      <c r="G2538" s="9">
        <v>15000000</v>
      </c>
      <c r="H2538" s="9">
        <v>43022524</v>
      </c>
      <c r="I2538" s="5">
        <f>IMDB_Movies!$H2538-IMDB_Movies!$G2538</f>
        <v>28022524</v>
      </c>
    </row>
    <row r="2539" spans="1:9" ht="23">
      <c r="A2539" s="3" t="s">
        <v>3668</v>
      </c>
      <c r="B2539" s="10" t="s">
        <v>3669</v>
      </c>
      <c r="C2539" s="10" t="s">
        <v>24</v>
      </c>
      <c r="D2539" s="10" t="s">
        <v>11</v>
      </c>
      <c r="E2539" s="10">
        <v>94</v>
      </c>
      <c r="F2539" s="10">
        <v>5.3</v>
      </c>
      <c r="G2539" s="10">
        <v>17000000</v>
      </c>
      <c r="H2539" s="10">
        <v>42672630</v>
      </c>
      <c r="I2539" s="5">
        <f>IMDB_Movies!$H2539-IMDB_Movies!$G2539</f>
        <v>25672630</v>
      </c>
    </row>
    <row r="2540" spans="1:9" ht="23">
      <c r="A2540" s="2" t="s">
        <v>3670</v>
      </c>
      <c r="B2540" s="9" t="s">
        <v>3671</v>
      </c>
      <c r="C2540" s="9" t="s">
        <v>10</v>
      </c>
      <c r="D2540" s="9" t="s">
        <v>11</v>
      </c>
      <c r="E2540" s="9">
        <v>112</v>
      </c>
      <c r="F2540" s="9">
        <v>6.5</v>
      </c>
      <c r="G2540" s="9">
        <v>15000000</v>
      </c>
      <c r="H2540" s="9">
        <v>42919096</v>
      </c>
      <c r="I2540" s="5">
        <f>IMDB_Movies!$H2540-IMDB_Movies!$G2540</f>
        <v>27919096</v>
      </c>
    </row>
    <row r="2541" spans="1:9" ht="23">
      <c r="A2541" s="3" t="s">
        <v>3672</v>
      </c>
      <c r="B2541" s="10" t="s">
        <v>3673</v>
      </c>
      <c r="C2541" s="10" t="s">
        <v>138</v>
      </c>
      <c r="D2541" s="10" t="s">
        <v>11</v>
      </c>
      <c r="E2541" s="10">
        <v>98</v>
      </c>
      <c r="F2541" s="10">
        <v>6.2</v>
      </c>
      <c r="G2541" s="10">
        <v>15000000</v>
      </c>
      <c r="H2541" s="10">
        <v>42592530</v>
      </c>
      <c r="I2541" s="5">
        <f>IMDB_Movies!$H2541-IMDB_Movies!$G2541</f>
        <v>27592530</v>
      </c>
    </row>
    <row r="2542" spans="1:9" ht="23">
      <c r="A2542" s="2" t="s">
        <v>3674</v>
      </c>
      <c r="B2542" s="9" t="s">
        <v>1327</v>
      </c>
      <c r="C2542" s="9" t="s">
        <v>810</v>
      </c>
      <c r="D2542" s="9" t="s">
        <v>11</v>
      </c>
      <c r="E2542" s="9">
        <v>104</v>
      </c>
      <c r="F2542" s="9">
        <v>6.4</v>
      </c>
      <c r="G2542" s="9">
        <v>15000000</v>
      </c>
      <c r="H2542" s="9">
        <v>40064955</v>
      </c>
      <c r="I2542" s="5">
        <f>IMDB_Movies!$H2542-IMDB_Movies!$G2542</f>
        <v>25064955</v>
      </c>
    </row>
    <row r="2543" spans="1:9" ht="23">
      <c r="A2543" s="3" t="s">
        <v>3675</v>
      </c>
      <c r="B2543" s="10" t="s">
        <v>1655</v>
      </c>
      <c r="C2543" s="10" t="s">
        <v>418</v>
      </c>
      <c r="D2543" s="10" t="s">
        <v>11</v>
      </c>
      <c r="E2543" s="10">
        <v>118</v>
      </c>
      <c r="F2543" s="10">
        <v>7.2</v>
      </c>
      <c r="G2543" s="10">
        <v>20000000</v>
      </c>
      <c r="H2543" s="10">
        <v>39100956</v>
      </c>
      <c r="I2543" s="5">
        <f>IMDB_Movies!$H2543-IMDB_Movies!$G2543</f>
        <v>19100956</v>
      </c>
    </row>
    <row r="2544" spans="1:9" ht="23">
      <c r="A2544" s="2" t="s">
        <v>3676</v>
      </c>
      <c r="B2544" s="9" t="s">
        <v>382</v>
      </c>
      <c r="C2544" s="9" t="s">
        <v>414</v>
      </c>
      <c r="D2544" s="9" t="s">
        <v>11</v>
      </c>
      <c r="E2544" s="9">
        <v>120</v>
      </c>
      <c r="F2544" s="9">
        <v>6.9</v>
      </c>
      <c r="G2544" s="9">
        <v>10000000</v>
      </c>
      <c r="H2544" s="9">
        <v>44886089</v>
      </c>
      <c r="I2544" s="5">
        <f>IMDB_Movies!$H2544-IMDB_Movies!$G2544</f>
        <v>34886089</v>
      </c>
    </row>
    <row r="2545" spans="1:9" ht="23">
      <c r="A2545" s="3" t="s">
        <v>3677</v>
      </c>
      <c r="B2545" s="10" t="s">
        <v>3678</v>
      </c>
      <c r="C2545" s="10" t="s">
        <v>138</v>
      </c>
      <c r="D2545" s="10" t="s">
        <v>11</v>
      </c>
      <c r="E2545" s="10">
        <v>99</v>
      </c>
      <c r="F2545" s="10">
        <v>5.7</v>
      </c>
      <c r="G2545" s="10">
        <v>16000000</v>
      </c>
      <c r="H2545" s="10">
        <v>37882551</v>
      </c>
      <c r="I2545" s="5">
        <f>IMDB_Movies!$H2545-IMDB_Movies!$G2545</f>
        <v>21882551</v>
      </c>
    </row>
    <row r="2546" spans="1:9" ht="23">
      <c r="A2546" s="2" t="s">
        <v>3679</v>
      </c>
      <c r="B2546" s="9" t="s">
        <v>135</v>
      </c>
      <c r="C2546" s="9" t="s">
        <v>414</v>
      </c>
      <c r="D2546" s="9" t="s">
        <v>11</v>
      </c>
      <c r="E2546" s="9">
        <v>109</v>
      </c>
      <c r="F2546" s="9">
        <v>7.7</v>
      </c>
      <c r="G2546" s="9">
        <v>7000000</v>
      </c>
      <c r="H2546" s="9">
        <v>40983001</v>
      </c>
      <c r="I2546" s="5">
        <f>IMDB_Movies!$H2546-IMDB_Movies!$G2546</f>
        <v>33983001</v>
      </c>
    </row>
    <row r="2547" spans="1:9" ht="23">
      <c r="A2547" s="3" t="s">
        <v>3680</v>
      </c>
      <c r="B2547" s="10" t="s">
        <v>133</v>
      </c>
      <c r="C2547" s="10" t="s">
        <v>10</v>
      </c>
      <c r="D2547" s="10" t="s">
        <v>11</v>
      </c>
      <c r="E2547" s="10">
        <v>106</v>
      </c>
      <c r="F2547" s="10">
        <v>5.6</v>
      </c>
      <c r="G2547" s="10">
        <v>15000000</v>
      </c>
      <c r="H2547" s="10">
        <v>35007180</v>
      </c>
      <c r="I2547" s="5">
        <f>IMDB_Movies!$H2547-IMDB_Movies!$G2547</f>
        <v>20007180</v>
      </c>
    </row>
    <row r="2548" spans="1:9" ht="23">
      <c r="A2548" s="2" t="s">
        <v>3681</v>
      </c>
      <c r="B2548" s="9" t="s">
        <v>3682</v>
      </c>
      <c r="C2548" s="9" t="s">
        <v>418</v>
      </c>
      <c r="D2548" s="9" t="s">
        <v>11</v>
      </c>
      <c r="E2548" s="9">
        <v>123</v>
      </c>
      <c r="F2548" s="9">
        <v>7.7</v>
      </c>
      <c r="G2548" s="9">
        <v>15000000</v>
      </c>
      <c r="H2548" s="9">
        <v>35887263</v>
      </c>
      <c r="I2548" s="5">
        <f>IMDB_Movies!$H2548-IMDB_Movies!$G2548</f>
        <v>20887263</v>
      </c>
    </row>
    <row r="2549" spans="1:9" ht="23">
      <c r="A2549" s="3" t="s">
        <v>3683</v>
      </c>
      <c r="B2549" s="10" t="s">
        <v>1354</v>
      </c>
      <c r="C2549" s="10" t="s">
        <v>138</v>
      </c>
      <c r="D2549" s="10" t="s">
        <v>11</v>
      </c>
      <c r="E2549" s="10">
        <v>86</v>
      </c>
      <c r="F2549" s="10">
        <v>5.0999999999999996</v>
      </c>
      <c r="G2549" s="10">
        <v>16000000</v>
      </c>
      <c r="H2549" s="10">
        <v>34308901</v>
      </c>
      <c r="I2549" s="5">
        <f>IMDB_Movies!$H2549-IMDB_Movies!$G2549</f>
        <v>18308901</v>
      </c>
    </row>
    <row r="2550" spans="1:9" ht="23">
      <c r="A2550" s="2" t="s">
        <v>3684</v>
      </c>
      <c r="B2550" s="9" t="s">
        <v>3685</v>
      </c>
      <c r="C2550" s="9" t="s">
        <v>138</v>
      </c>
      <c r="D2550" s="9" t="s">
        <v>11</v>
      </c>
      <c r="E2550" s="9">
        <v>120</v>
      </c>
      <c r="F2550" s="9">
        <v>6.8</v>
      </c>
      <c r="G2550" s="9">
        <v>15000000</v>
      </c>
      <c r="H2550" s="9">
        <v>33771174</v>
      </c>
      <c r="I2550" s="5">
        <f>IMDB_Movies!$H2550-IMDB_Movies!$G2550</f>
        <v>18771174</v>
      </c>
    </row>
    <row r="2551" spans="1:9" ht="23">
      <c r="A2551" s="3" t="s">
        <v>3686</v>
      </c>
      <c r="B2551" s="10" t="s">
        <v>2544</v>
      </c>
      <c r="C2551" s="10" t="s">
        <v>24</v>
      </c>
      <c r="D2551" s="10" t="s">
        <v>11</v>
      </c>
      <c r="E2551" s="10">
        <v>227</v>
      </c>
      <c r="F2551" s="10">
        <v>8.4</v>
      </c>
      <c r="G2551" s="10">
        <v>15000000</v>
      </c>
      <c r="H2551" s="10">
        <v>6000000</v>
      </c>
      <c r="I2551" s="5">
        <f>IMDB_Movies!$H2551-IMDB_Movies!$G2551</f>
        <v>-9000000</v>
      </c>
    </row>
    <row r="2552" spans="1:9" ht="23">
      <c r="A2552" s="2" t="s">
        <v>3687</v>
      </c>
      <c r="B2552" s="9" t="s">
        <v>3688</v>
      </c>
      <c r="C2552" s="9" t="s">
        <v>810</v>
      </c>
      <c r="D2552" s="9" t="s">
        <v>11</v>
      </c>
      <c r="E2552" s="9">
        <v>119</v>
      </c>
      <c r="F2552" s="9">
        <v>4.9000000000000004</v>
      </c>
      <c r="G2552" s="9">
        <v>15000000</v>
      </c>
      <c r="H2552" s="9">
        <v>33386128</v>
      </c>
      <c r="I2552" s="5">
        <f>IMDB_Movies!$H2552-IMDB_Movies!$G2552</f>
        <v>18386128</v>
      </c>
    </row>
    <row r="2553" spans="1:9" ht="23">
      <c r="A2553" s="3" t="s">
        <v>3689</v>
      </c>
      <c r="B2553" s="10" t="s">
        <v>2120</v>
      </c>
      <c r="C2553" s="10" t="s">
        <v>24</v>
      </c>
      <c r="D2553" s="10" t="s">
        <v>11</v>
      </c>
      <c r="E2553" s="10">
        <v>115</v>
      </c>
      <c r="F2553" s="10">
        <v>7.1</v>
      </c>
      <c r="G2553" s="10">
        <v>15000000</v>
      </c>
      <c r="H2553" s="10">
        <v>37877959</v>
      </c>
      <c r="I2553" s="5">
        <f>IMDB_Movies!$H2553-IMDB_Movies!$G2553</f>
        <v>22877959</v>
      </c>
    </row>
    <row r="2554" spans="1:9" ht="23">
      <c r="A2554" s="2" t="s">
        <v>3690</v>
      </c>
      <c r="B2554" s="9" t="s">
        <v>3691</v>
      </c>
      <c r="C2554" s="9" t="s">
        <v>414</v>
      </c>
      <c r="D2554" s="9" t="s">
        <v>11</v>
      </c>
      <c r="E2554" s="9">
        <v>114</v>
      </c>
      <c r="F2554" s="9">
        <v>6.6</v>
      </c>
      <c r="G2554" s="9">
        <v>15000000</v>
      </c>
      <c r="H2554" s="9">
        <v>32721635</v>
      </c>
      <c r="I2554" s="5">
        <f>IMDB_Movies!$H2554-IMDB_Movies!$G2554</f>
        <v>17721635</v>
      </c>
    </row>
    <row r="2555" spans="1:9" ht="23">
      <c r="A2555" s="3" t="s">
        <v>3692</v>
      </c>
      <c r="B2555" s="10" t="s">
        <v>3586</v>
      </c>
      <c r="C2555" s="10" t="s">
        <v>138</v>
      </c>
      <c r="D2555" s="10" t="s">
        <v>11</v>
      </c>
      <c r="E2555" s="10">
        <v>90</v>
      </c>
      <c r="F2555" s="10">
        <v>6.1</v>
      </c>
      <c r="G2555" s="10">
        <v>15000000</v>
      </c>
      <c r="H2555" s="10">
        <v>31585300</v>
      </c>
      <c r="I2555" s="5">
        <f>IMDB_Movies!$H2555-IMDB_Movies!$G2555</f>
        <v>16585300</v>
      </c>
    </row>
    <row r="2556" spans="1:9" ht="23">
      <c r="A2556" s="2" t="s">
        <v>3693</v>
      </c>
      <c r="B2556" s="9" t="s">
        <v>3694</v>
      </c>
      <c r="C2556" s="9" t="s">
        <v>138</v>
      </c>
      <c r="D2556" s="9" t="s">
        <v>11</v>
      </c>
      <c r="E2556" s="9">
        <v>94</v>
      </c>
      <c r="F2556" s="9">
        <v>4.0999999999999996</v>
      </c>
      <c r="G2556" s="9">
        <v>15000000</v>
      </c>
      <c r="H2556" s="9">
        <v>30259652</v>
      </c>
      <c r="I2556" s="5">
        <f>IMDB_Movies!$H2556-IMDB_Movies!$G2556</f>
        <v>15259652</v>
      </c>
    </row>
    <row r="2557" spans="1:9" ht="23">
      <c r="A2557" s="3" t="s">
        <v>3695</v>
      </c>
      <c r="B2557" s="10" t="s">
        <v>1044</v>
      </c>
      <c r="C2557" s="10" t="s">
        <v>24</v>
      </c>
      <c r="D2557" s="10" t="s">
        <v>11</v>
      </c>
      <c r="E2557" s="10">
        <v>98</v>
      </c>
      <c r="F2557" s="10">
        <v>8.1</v>
      </c>
      <c r="G2557" s="10">
        <v>16000000</v>
      </c>
      <c r="H2557" s="10">
        <v>30857814</v>
      </c>
      <c r="I2557" s="5">
        <f>IMDB_Movies!$H2557-IMDB_Movies!$G2557</f>
        <v>14857814</v>
      </c>
    </row>
    <row r="2558" spans="1:9" ht="23">
      <c r="A2558" s="2" t="s">
        <v>3696</v>
      </c>
      <c r="B2558" s="9" t="s">
        <v>3697</v>
      </c>
      <c r="C2558" s="9" t="s">
        <v>418</v>
      </c>
      <c r="D2558" s="9" t="s">
        <v>11</v>
      </c>
      <c r="E2558" s="9">
        <v>126</v>
      </c>
      <c r="F2558" s="9">
        <v>7.6</v>
      </c>
      <c r="G2558" s="9">
        <v>15000000</v>
      </c>
      <c r="H2558" s="9">
        <v>30226144</v>
      </c>
      <c r="I2558" s="5">
        <f>IMDB_Movies!$H2558-IMDB_Movies!$G2558</f>
        <v>15226144</v>
      </c>
    </row>
    <row r="2559" spans="1:9" ht="23">
      <c r="A2559" s="3" t="s">
        <v>3698</v>
      </c>
      <c r="B2559" s="10" t="s">
        <v>3699</v>
      </c>
      <c r="C2559" s="10" t="s">
        <v>414</v>
      </c>
      <c r="D2559" s="10" t="s">
        <v>11</v>
      </c>
      <c r="E2559" s="10">
        <v>100</v>
      </c>
      <c r="F2559" s="10">
        <v>7.8</v>
      </c>
      <c r="G2559" s="10">
        <v>15000000</v>
      </c>
      <c r="H2559" s="10">
        <v>35054909</v>
      </c>
      <c r="I2559" s="5">
        <f>IMDB_Movies!$H2559-IMDB_Movies!$G2559</f>
        <v>20054909</v>
      </c>
    </row>
    <row r="2560" spans="1:9" ht="23">
      <c r="A2560" s="2" t="s">
        <v>3700</v>
      </c>
      <c r="B2560" s="9" t="s">
        <v>3701</v>
      </c>
      <c r="C2560" s="9" t="s">
        <v>138</v>
      </c>
      <c r="D2560" s="9" t="s">
        <v>11</v>
      </c>
      <c r="E2560" s="9">
        <v>89</v>
      </c>
      <c r="F2560" s="9">
        <v>4.5999999999999996</v>
      </c>
      <c r="G2560" s="9">
        <v>15000000</v>
      </c>
      <c r="H2560" s="9">
        <v>29302097</v>
      </c>
      <c r="I2560" s="5">
        <f>IMDB_Movies!$H2560-IMDB_Movies!$G2560</f>
        <v>14302097</v>
      </c>
    </row>
    <row r="2561" spans="1:9" ht="23">
      <c r="A2561" s="3" t="s">
        <v>3702</v>
      </c>
      <c r="B2561" s="10" t="s">
        <v>3388</v>
      </c>
      <c r="C2561" s="10" t="s">
        <v>138</v>
      </c>
      <c r="D2561" s="10" t="s">
        <v>11</v>
      </c>
      <c r="E2561" s="10">
        <v>111</v>
      </c>
      <c r="F2561" s="10">
        <v>6</v>
      </c>
      <c r="G2561" s="10">
        <v>15000000</v>
      </c>
      <c r="H2561" s="10">
        <v>29106737</v>
      </c>
      <c r="I2561" s="5">
        <f>IMDB_Movies!$H2561-IMDB_Movies!$G2561</f>
        <v>14106737</v>
      </c>
    </row>
    <row r="2562" spans="1:9" ht="23">
      <c r="A2562" s="2" t="s">
        <v>3703</v>
      </c>
      <c r="B2562" s="9" t="s">
        <v>3704</v>
      </c>
      <c r="C2562" s="9" t="s">
        <v>56</v>
      </c>
      <c r="D2562" s="9" t="s">
        <v>11</v>
      </c>
      <c r="E2562" s="9">
        <v>100</v>
      </c>
      <c r="F2562" s="9">
        <v>7</v>
      </c>
      <c r="G2562" s="9">
        <v>15000000</v>
      </c>
      <c r="H2562" s="9">
        <v>28637507</v>
      </c>
      <c r="I2562" s="5">
        <f>IMDB_Movies!$H2562-IMDB_Movies!$G2562</f>
        <v>13637507</v>
      </c>
    </row>
    <row r="2563" spans="1:9" ht="23">
      <c r="A2563" s="3" t="s">
        <v>3705</v>
      </c>
      <c r="B2563" s="10" t="s">
        <v>1581</v>
      </c>
      <c r="C2563" s="10" t="s">
        <v>56</v>
      </c>
      <c r="D2563" s="10" t="s">
        <v>11</v>
      </c>
      <c r="E2563" s="10">
        <v>115</v>
      </c>
      <c r="F2563" s="10">
        <v>6.7</v>
      </c>
      <c r="G2563" s="10">
        <v>15000000</v>
      </c>
      <c r="H2563" s="10">
        <v>30127963</v>
      </c>
      <c r="I2563" s="5">
        <f>IMDB_Movies!$H2563-IMDB_Movies!$G2563</f>
        <v>15127963</v>
      </c>
    </row>
    <row r="2564" spans="1:9" ht="23">
      <c r="A2564" s="2" t="s">
        <v>3706</v>
      </c>
      <c r="B2564" s="9" t="s">
        <v>1248</v>
      </c>
      <c r="C2564" s="9" t="s">
        <v>138</v>
      </c>
      <c r="D2564" s="9" t="s">
        <v>11</v>
      </c>
      <c r="E2564" s="9">
        <v>106</v>
      </c>
      <c r="F2564" s="9">
        <v>6.4</v>
      </c>
      <c r="G2564" s="9">
        <v>14000000</v>
      </c>
      <c r="H2564" s="9">
        <v>32645546</v>
      </c>
      <c r="I2564" s="5">
        <f>IMDB_Movies!$H2564-IMDB_Movies!$G2564</f>
        <v>18645546</v>
      </c>
    </row>
    <row r="2565" spans="1:9" ht="23">
      <c r="A2565" s="3" t="s">
        <v>3707</v>
      </c>
      <c r="B2565" s="10" t="s">
        <v>3708</v>
      </c>
      <c r="C2565" s="10" t="s">
        <v>56</v>
      </c>
      <c r="D2565" s="10" t="s">
        <v>11</v>
      </c>
      <c r="E2565" s="10">
        <v>124</v>
      </c>
      <c r="F2565" s="10">
        <v>7.2</v>
      </c>
      <c r="G2565" s="10">
        <v>15000000</v>
      </c>
      <c r="H2565" s="10">
        <v>27441122</v>
      </c>
      <c r="I2565" s="5">
        <f>IMDB_Movies!$H2565-IMDB_Movies!$G2565</f>
        <v>12441122</v>
      </c>
    </row>
    <row r="2566" spans="1:9" ht="23">
      <c r="A2566" s="2" t="s">
        <v>3709</v>
      </c>
      <c r="B2566" s="9" t="s">
        <v>1502</v>
      </c>
      <c r="C2566" s="9" t="s">
        <v>10</v>
      </c>
      <c r="D2566" s="9" t="s">
        <v>11</v>
      </c>
      <c r="E2566" s="9">
        <v>107</v>
      </c>
      <c r="F2566" s="9">
        <v>7.4</v>
      </c>
      <c r="G2566" s="9">
        <v>15000000</v>
      </c>
      <c r="H2566" s="9">
        <v>28014536</v>
      </c>
      <c r="I2566" s="5">
        <f>IMDB_Movies!$H2566-IMDB_Movies!$G2566</f>
        <v>13014536</v>
      </c>
    </row>
    <row r="2567" spans="1:9" ht="23">
      <c r="A2567" s="3" t="s">
        <v>3710</v>
      </c>
      <c r="B2567" s="10" t="s">
        <v>3711</v>
      </c>
      <c r="C2567" s="10" t="s">
        <v>138</v>
      </c>
      <c r="D2567" s="10" t="s">
        <v>11</v>
      </c>
      <c r="E2567" s="10">
        <v>99</v>
      </c>
      <c r="F2567" s="10">
        <v>4.8</v>
      </c>
      <c r="G2567" s="10">
        <v>15000000</v>
      </c>
      <c r="H2567" s="10">
        <v>33860010</v>
      </c>
      <c r="I2567" s="5">
        <f>IMDB_Movies!$H2567-IMDB_Movies!$G2567</f>
        <v>18860010</v>
      </c>
    </row>
    <row r="2568" spans="1:9" ht="23">
      <c r="A2568" s="2" t="s">
        <v>3712</v>
      </c>
      <c r="B2568" s="9" t="s">
        <v>3713</v>
      </c>
      <c r="C2568" s="9" t="s">
        <v>24</v>
      </c>
      <c r="D2568" s="9" t="s">
        <v>11</v>
      </c>
      <c r="E2568" s="9">
        <v>90</v>
      </c>
      <c r="F2568" s="9">
        <v>4</v>
      </c>
      <c r="G2568" s="9">
        <v>15000000</v>
      </c>
      <c r="H2568" s="9">
        <v>26421314</v>
      </c>
      <c r="I2568" s="5">
        <f>IMDB_Movies!$H2568-IMDB_Movies!$G2568</f>
        <v>11421314</v>
      </c>
    </row>
    <row r="2569" spans="1:9" ht="23">
      <c r="A2569" s="3" t="s">
        <v>3714</v>
      </c>
      <c r="B2569" s="10" t="s">
        <v>3112</v>
      </c>
      <c r="C2569" s="10" t="s">
        <v>56</v>
      </c>
      <c r="D2569" s="10" t="s">
        <v>11</v>
      </c>
      <c r="E2569" s="10">
        <v>101</v>
      </c>
      <c r="F2569" s="10">
        <v>6.2</v>
      </c>
      <c r="G2569" s="10">
        <v>15000000</v>
      </c>
      <c r="H2569" s="10">
        <v>24881000</v>
      </c>
      <c r="I2569" s="5">
        <f>IMDB_Movies!$H2569-IMDB_Movies!$G2569</f>
        <v>9881000</v>
      </c>
    </row>
    <row r="2570" spans="1:9" ht="23">
      <c r="A2570" s="2" t="s">
        <v>3715</v>
      </c>
      <c r="B2570" s="9" t="s">
        <v>2304</v>
      </c>
      <c r="C2570" s="9" t="s">
        <v>56</v>
      </c>
      <c r="D2570" s="9" t="s">
        <v>11</v>
      </c>
      <c r="E2570" s="9">
        <v>119</v>
      </c>
      <c r="F2570" s="9">
        <v>7.7</v>
      </c>
      <c r="G2570" s="9">
        <v>15000000</v>
      </c>
      <c r="H2570" s="9">
        <v>23089926</v>
      </c>
      <c r="I2570" s="5">
        <f>IMDB_Movies!$H2570-IMDB_Movies!$G2570</f>
        <v>8089926</v>
      </c>
    </row>
    <row r="2571" spans="1:9" ht="23">
      <c r="A2571" s="3" t="s">
        <v>3716</v>
      </c>
      <c r="B2571" s="10" t="s">
        <v>3717</v>
      </c>
      <c r="C2571" s="10" t="s">
        <v>24</v>
      </c>
      <c r="D2571" s="10" t="s">
        <v>11</v>
      </c>
      <c r="E2571" s="10">
        <v>103</v>
      </c>
      <c r="F2571" s="10">
        <v>6.7</v>
      </c>
      <c r="G2571" s="10">
        <v>15000000</v>
      </c>
      <c r="H2571" s="10">
        <v>26161406</v>
      </c>
      <c r="I2571" s="5">
        <f>IMDB_Movies!$H2571-IMDB_Movies!$G2571</f>
        <v>11161406</v>
      </c>
    </row>
    <row r="2572" spans="1:9" ht="23">
      <c r="A2572" s="2" t="s">
        <v>3718</v>
      </c>
      <c r="B2572" s="9" t="s">
        <v>3607</v>
      </c>
      <c r="C2572" s="9" t="s">
        <v>56</v>
      </c>
      <c r="D2572" s="9" t="s">
        <v>11</v>
      </c>
      <c r="E2572" s="9">
        <v>134</v>
      </c>
      <c r="F2572" s="9">
        <v>7.9</v>
      </c>
      <c r="G2572" s="9">
        <v>11500000</v>
      </c>
      <c r="H2572" s="9">
        <v>22954968</v>
      </c>
      <c r="I2572" s="5">
        <f>IMDB_Movies!$H2572-IMDB_Movies!$G2572</f>
        <v>11454968</v>
      </c>
    </row>
    <row r="2573" spans="1:9" ht="23">
      <c r="A2573" s="3" t="s">
        <v>3719</v>
      </c>
      <c r="B2573" s="10" t="s">
        <v>1955</v>
      </c>
      <c r="C2573" s="10" t="s">
        <v>56</v>
      </c>
      <c r="D2573" s="10" t="s">
        <v>11</v>
      </c>
      <c r="E2573" s="10">
        <v>155</v>
      </c>
      <c r="F2573" s="10">
        <v>7.9</v>
      </c>
      <c r="G2573" s="10">
        <v>15000000</v>
      </c>
      <c r="H2573" s="10">
        <v>26384919</v>
      </c>
      <c r="I2573" s="5">
        <f>IMDB_Movies!$H2573-IMDB_Movies!$G2573</f>
        <v>11384919</v>
      </c>
    </row>
    <row r="2574" spans="1:9" ht="23">
      <c r="A2574" s="2" t="s">
        <v>3720</v>
      </c>
      <c r="B2574" s="9" t="s">
        <v>3497</v>
      </c>
      <c r="C2574" s="9" t="s">
        <v>10</v>
      </c>
      <c r="D2574" s="9" t="s">
        <v>11</v>
      </c>
      <c r="E2574" s="9">
        <v>94</v>
      </c>
      <c r="F2574" s="9">
        <v>5.5</v>
      </c>
      <c r="G2574" s="9">
        <v>15000000</v>
      </c>
      <c r="H2574" s="9">
        <v>22189039</v>
      </c>
      <c r="I2574" s="5">
        <f>IMDB_Movies!$H2574-IMDB_Movies!$G2574</f>
        <v>7189039</v>
      </c>
    </row>
    <row r="2575" spans="1:9" ht="23">
      <c r="A2575" s="3" t="s">
        <v>3721</v>
      </c>
      <c r="B2575" s="10" t="s">
        <v>3722</v>
      </c>
      <c r="C2575" s="10" t="s">
        <v>24</v>
      </c>
      <c r="D2575" s="10" t="s">
        <v>11</v>
      </c>
      <c r="E2575" s="10">
        <v>95</v>
      </c>
      <c r="F2575" s="10">
        <v>6.2</v>
      </c>
      <c r="G2575" s="10">
        <v>15000000</v>
      </c>
      <c r="H2575" s="10">
        <v>20998709</v>
      </c>
      <c r="I2575" s="5">
        <f>IMDB_Movies!$H2575-IMDB_Movies!$G2575</f>
        <v>5998709</v>
      </c>
    </row>
    <row r="2576" spans="1:9" ht="23">
      <c r="A2576" s="2" t="s">
        <v>3723</v>
      </c>
      <c r="B2576" s="9" t="s">
        <v>3724</v>
      </c>
      <c r="C2576" s="9" t="s">
        <v>810</v>
      </c>
      <c r="D2576" s="9" t="s">
        <v>11</v>
      </c>
      <c r="E2576" s="9">
        <v>89</v>
      </c>
      <c r="F2576" s="9">
        <v>5.0999999999999996</v>
      </c>
      <c r="G2576" s="9">
        <v>15000000</v>
      </c>
      <c r="H2576" s="9">
        <v>20801344</v>
      </c>
      <c r="I2576" s="5">
        <f>IMDB_Movies!$H2576-IMDB_Movies!$G2576</f>
        <v>5801344</v>
      </c>
    </row>
    <row r="2577" spans="1:9" ht="23">
      <c r="A2577" s="3" t="s">
        <v>3725</v>
      </c>
      <c r="B2577" s="10" t="s">
        <v>3726</v>
      </c>
      <c r="C2577" s="10" t="s">
        <v>810</v>
      </c>
      <c r="D2577" s="10" t="s">
        <v>11</v>
      </c>
      <c r="E2577" s="10">
        <v>97</v>
      </c>
      <c r="F2577" s="10">
        <v>4.0999999999999996</v>
      </c>
      <c r="G2577" s="10">
        <v>14000000</v>
      </c>
      <c r="H2577" s="10">
        <v>21468807</v>
      </c>
      <c r="I2577" s="5">
        <f>IMDB_Movies!$H2577-IMDB_Movies!$G2577</f>
        <v>7468807</v>
      </c>
    </row>
    <row r="2578" spans="1:9" ht="23">
      <c r="A2578" s="2" t="s">
        <v>3727</v>
      </c>
      <c r="B2578" s="9" t="s">
        <v>1091</v>
      </c>
      <c r="C2578" s="9" t="s">
        <v>56</v>
      </c>
      <c r="D2578" s="9" t="s">
        <v>11</v>
      </c>
      <c r="E2578" s="9">
        <v>90</v>
      </c>
      <c r="F2578" s="9">
        <v>6.7</v>
      </c>
      <c r="G2578" s="9">
        <v>15000000</v>
      </c>
      <c r="H2578" s="9">
        <v>19158074</v>
      </c>
      <c r="I2578" s="5">
        <f>IMDB_Movies!$H2578-IMDB_Movies!$G2578</f>
        <v>4158074</v>
      </c>
    </row>
    <row r="2579" spans="1:9" ht="23">
      <c r="A2579" s="3" t="s">
        <v>3728</v>
      </c>
      <c r="B2579" s="10" t="s">
        <v>3729</v>
      </c>
      <c r="C2579" s="10" t="s">
        <v>10</v>
      </c>
      <c r="D2579" s="10" t="s">
        <v>11</v>
      </c>
      <c r="E2579" s="10">
        <v>92</v>
      </c>
      <c r="F2579" s="10">
        <v>4.7</v>
      </c>
      <c r="G2579" s="10">
        <v>20000000</v>
      </c>
      <c r="H2579" s="10">
        <v>18843314</v>
      </c>
      <c r="I2579" s="5">
        <f>IMDB_Movies!$H2579-IMDB_Movies!$G2579</f>
        <v>-1156686</v>
      </c>
    </row>
    <row r="2580" spans="1:9" ht="23">
      <c r="A2580" s="2" t="s">
        <v>3730</v>
      </c>
      <c r="B2580" s="9" t="s">
        <v>3731</v>
      </c>
      <c r="C2580" s="9" t="s">
        <v>10</v>
      </c>
      <c r="D2580" s="9" t="s">
        <v>11</v>
      </c>
      <c r="E2580" s="9">
        <v>100</v>
      </c>
      <c r="F2580" s="9">
        <v>6.4</v>
      </c>
      <c r="G2580" s="9">
        <v>15000000</v>
      </c>
      <c r="H2580" s="9">
        <v>20566327</v>
      </c>
      <c r="I2580" s="5">
        <f>IMDB_Movies!$H2580-IMDB_Movies!$G2580</f>
        <v>5566327</v>
      </c>
    </row>
    <row r="2581" spans="1:9" ht="23">
      <c r="A2581" s="3" t="s">
        <v>3732</v>
      </c>
      <c r="B2581" s="10" t="s">
        <v>3138</v>
      </c>
      <c r="C2581" s="10" t="s">
        <v>56</v>
      </c>
      <c r="D2581" s="10" t="s">
        <v>11</v>
      </c>
      <c r="E2581" s="10">
        <v>117</v>
      </c>
      <c r="F2581" s="10">
        <v>6.3</v>
      </c>
      <c r="G2581" s="10">
        <v>15000000</v>
      </c>
      <c r="H2581" s="10">
        <v>20218921</v>
      </c>
      <c r="I2581" s="5">
        <f>IMDB_Movies!$H2581-IMDB_Movies!$G2581</f>
        <v>5218921</v>
      </c>
    </row>
    <row r="2582" spans="1:9" ht="23">
      <c r="A2582" s="2" t="s">
        <v>3733</v>
      </c>
      <c r="B2582" s="9" t="s">
        <v>3734</v>
      </c>
      <c r="C2582" s="9" t="s">
        <v>810</v>
      </c>
      <c r="D2582" s="9" t="s">
        <v>11</v>
      </c>
      <c r="E2582" s="9">
        <v>84</v>
      </c>
      <c r="F2582" s="9">
        <v>5.5</v>
      </c>
      <c r="G2582" s="9">
        <v>15000000</v>
      </c>
      <c r="H2582" s="9">
        <v>17411331</v>
      </c>
      <c r="I2582" s="5">
        <f>IMDB_Movies!$H2582-IMDB_Movies!$G2582</f>
        <v>2411331</v>
      </c>
    </row>
    <row r="2583" spans="1:9" ht="23">
      <c r="A2583" s="3" t="s">
        <v>3735</v>
      </c>
      <c r="B2583" s="10" t="s">
        <v>3736</v>
      </c>
      <c r="C2583" s="10" t="s">
        <v>414</v>
      </c>
      <c r="D2583" s="10" t="s">
        <v>11</v>
      </c>
      <c r="E2583" s="10">
        <v>140</v>
      </c>
      <c r="F2583" s="10">
        <v>7.3</v>
      </c>
      <c r="G2583" s="10">
        <v>15000000</v>
      </c>
      <c r="H2583" s="10">
        <v>21383298</v>
      </c>
      <c r="I2583" s="5">
        <f>IMDB_Movies!$H2583-IMDB_Movies!$G2583</f>
        <v>6383298</v>
      </c>
    </row>
    <row r="2584" spans="1:9" ht="23">
      <c r="A2584" s="2" t="s">
        <v>3737</v>
      </c>
      <c r="B2584" s="9" t="s">
        <v>401</v>
      </c>
      <c r="C2584" s="9" t="s">
        <v>10</v>
      </c>
      <c r="D2584" s="9" t="s">
        <v>11</v>
      </c>
      <c r="E2584" s="9">
        <v>108</v>
      </c>
      <c r="F2584" s="9">
        <v>6.3</v>
      </c>
      <c r="G2584" s="9">
        <v>15000000</v>
      </c>
      <c r="H2584" s="9">
        <v>24984868</v>
      </c>
      <c r="I2584" s="5">
        <f>IMDB_Movies!$H2584-IMDB_Movies!$G2584</f>
        <v>9984868</v>
      </c>
    </row>
    <row r="2585" spans="1:9" ht="23">
      <c r="A2585" s="3" t="s">
        <v>3738</v>
      </c>
      <c r="B2585" s="10" t="s">
        <v>3739</v>
      </c>
      <c r="C2585" s="10" t="s">
        <v>56</v>
      </c>
      <c r="D2585" s="10" t="s">
        <v>11</v>
      </c>
      <c r="E2585" s="10">
        <v>109</v>
      </c>
      <c r="F2585" s="10">
        <v>4.9000000000000004</v>
      </c>
      <c r="G2585" s="10">
        <v>15000000</v>
      </c>
      <c r="H2585" s="10">
        <v>16459004</v>
      </c>
      <c r="I2585" s="5">
        <f>IMDB_Movies!$H2585-IMDB_Movies!$G2585</f>
        <v>1459004</v>
      </c>
    </row>
    <row r="2586" spans="1:9" ht="23">
      <c r="A2586" s="2" t="s">
        <v>3740</v>
      </c>
      <c r="B2586" s="9" t="s">
        <v>608</v>
      </c>
      <c r="C2586" s="9" t="s">
        <v>56</v>
      </c>
      <c r="D2586" s="9" t="s">
        <v>11</v>
      </c>
      <c r="E2586" s="9">
        <v>131</v>
      </c>
      <c r="F2586" s="9">
        <v>7.6</v>
      </c>
      <c r="G2586" s="9">
        <v>15000000</v>
      </c>
      <c r="H2586" s="9">
        <v>15700000</v>
      </c>
      <c r="I2586" s="5">
        <f>IMDB_Movies!$H2586-IMDB_Movies!$G2586</f>
        <v>700000</v>
      </c>
    </row>
    <row r="2587" spans="1:9" ht="23">
      <c r="A2587" s="3" t="s">
        <v>3741</v>
      </c>
      <c r="B2587" s="10" t="s">
        <v>3742</v>
      </c>
      <c r="C2587" s="10" t="s">
        <v>10</v>
      </c>
      <c r="D2587" s="10" t="s">
        <v>11</v>
      </c>
      <c r="E2587" s="10">
        <v>114</v>
      </c>
      <c r="F2587" s="10">
        <v>6</v>
      </c>
      <c r="G2587" s="10">
        <v>15000000</v>
      </c>
      <c r="H2587" s="10">
        <v>15100000</v>
      </c>
      <c r="I2587" s="5">
        <f>IMDB_Movies!$H2587-IMDB_Movies!$G2587</f>
        <v>100000</v>
      </c>
    </row>
    <row r="2588" spans="1:9" ht="23">
      <c r="A2588" s="2" t="s">
        <v>3743</v>
      </c>
      <c r="B2588" s="9" t="s">
        <v>2443</v>
      </c>
      <c r="C2588" s="9" t="s">
        <v>414</v>
      </c>
      <c r="D2588" s="9" t="s">
        <v>11</v>
      </c>
      <c r="E2588" s="9">
        <v>97</v>
      </c>
      <c r="F2588" s="9">
        <v>6.2</v>
      </c>
      <c r="G2588" s="9">
        <v>15000000</v>
      </c>
      <c r="H2588" s="9">
        <v>14938570</v>
      </c>
      <c r="I2588" s="5">
        <f>IMDB_Movies!$H2588-IMDB_Movies!$G2588</f>
        <v>-61430</v>
      </c>
    </row>
    <row r="2589" spans="1:9" ht="23">
      <c r="A2589" s="3" t="s">
        <v>3744</v>
      </c>
      <c r="B2589" s="10" t="s">
        <v>3077</v>
      </c>
      <c r="C2589" s="10" t="s">
        <v>414</v>
      </c>
      <c r="D2589" s="10" t="s">
        <v>11</v>
      </c>
      <c r="E2589" s="10">
        <v>122</v>
      </c>
      <c r="F2589" s="10">
        <v>6.8</v>
      </c>
      <c r="G2589" s="10">
        <v>15000000</v>
      </c>
      <c r="H2589" s="10">
        <v>17237244</v>
      </c>
      <c r="I2589" s="5">
        <f>IMDB_Movies!$H2589-IMDB_Movies!$G2589</f>
        <v>2237244</v>
      </c>
    </row>
    <row r="2590" spans="1:9" ht="23">
      <c r="A2590" s="2" t="s">
        <v>3745</v>
      </c>
      <c r="B2590" s="9" t="s">
        <v>3746</v>
      </c>
      <c r="C2590" s="9" t="s">
        <v>138</v>
      </c>
      <c r="D2590" s="9" t="s">
        <v>11</v>
      </c>
      <c r="E2590" s="9">
        <v>87</v>
      </c>
      <c r="F2590" s="9">
        <v>4.5</v>
      </c>
      <c r="G2590" s="9">
        <v>15000000</v>
      </c>
      <c r="H2590" s="9">
        <v>14249005</v>
      </c>
      <c r="I2590" s="5">
        <f>IMDB_Movies!$H2590-IMDB_Movies!$G2590</f>
        <v>-750995</v>
      </c>
    </row>
    <row r="2591" spans="1:9" ht="23">
      <c r="A2591" s="3" t="s">
        <v>3747</v>
      </c>
      <c r="B2591" s="10" t="s">
        <v>3748</v>
      </c>
      <c r="C2591" s="10" t="s">
        <v>24</v>
      </c>
      <c r="D2591" s="10" t="s">
        <v>11</v>
      </c>
      <c r="E2591" s="10">
        <v>85</v>
      </c>
      <c r="F2591" s="10">
        <v>5.7</v>
      </c>
      <c r="G2591" s="10">
        <v>15000000</v>
      </c>
      <c r="H2591" s="10">
        <v>12701880</v>
      </c>
      <c r="I2591" s="5">
        <f>IMDB_Movies!$H2591-IMDB_Movies!$G2591</f>
        <v>-2298120</v>
      </c>
    </row>
    <row r="2592" spans="1:9" ht="23">
      <c r="A2592" s="2" t="s">
        <v>3749</v>
      </c>
      <c r="B2592" s="9" t="s">
        <v>3750</v>
      </c>
      <c r="C2592" s="9" t="s">
        <v>772</v>
      </c>
      <c r="D2592" s="9" t="s">
        <v>11</v>
      </c>
      <c r="E2592" s="9">
        <v>85</v>
      </c>
      <c r="F2592" s="9">
        <v>8.4</v>
      </c>
      <c r="G2592" s="9">
        <v>20000000</v>
      </c>
      <c r="H2592" s="9">
        <v>10353690</v>
      </c>
      <c r="I2592" s="5">
        <f>IMDB_Movies!$H2592-IMDB_Movies!$G2592</f>
        <v>-9646310</v>
      </c>
    </row>
    <row r="2593" spans="1:9" ht="23">
      <c r="A2593" s="3" t="s">
        <v>3751</v>
      </c>
      <c r="B2593" s="10" t="s">
        <v>3752</v>
      </c>
      <c r="C2593" s="10" t="s">
        <v>10</v>
      </c>
      <c r="D2593" s="10" t="s">
        <v>11</v>
      </c>
      <c r="E2593" s="10">
        <v>101</v>
      </c>
      <c r="F2593" s="10">
        <v>4.5999999999999996</v>
      </c>
      <c r="G2593" s="10">
        <v>15000000</v>
      </c>
      <c r="H2593" s="10">
        <v>12801190</v>
      </c>
      <c r="I2593" s="5">
        <f>IMDB_Movies!$H2593-IMDB_Movies!$G2593</f>
        <v>-2198810</v>
      </c>
    </row>
    <row r="2594" spans="1:9" ht="23">
      <c r="A2594" s="2" t="s">
        <v>3753</v>
      </c>
      <c r="B2594" s="9" t="s">
        <v>3754</v>
      </c>
      <c r="C2594" s="9" t="s">
        <v>414</v>
      </c>
      <c r="D2594" s="9" t="s">
        <v>11</v>
      </c>
      <c r="E2594" s="9">
        <v>121</v>
      </c>
      <c r="F2594" s="9">
        <v>6.2</v>
      </c>
      <c r="G2594" s="9">
        <v>15000000</v>
      </c>
      <c r="H2594" s="9">
        <v>12549485</v>
      </c>
      <c r="I2594" s="5">
        <f>IMDB_Movies!$H2594-IMDB_Movies!$G2594</f>
        <v>-2450515</v>
      </c>
    </row>
    <row r="2595" spans="1:9" ht="23">
      <c r="A2595" s="3" t="s">
        <v>3755</v>
      </c>
      <c r="B2595" s="10" t="s">
        <v>3756</v>
      </c>
      <c r="C2595" s="10" t="s">
        <v>56</v>
      </c>
      <c r="D2595" s="10" t="s">
        <v>11</v>
      </c>
      <c r="E2595" s="10">
        <v>107</v>
      </c>
      <c r="F2595" s="10">
        <v>7</v>
      </c>
      <c r="G2595" s="10">
        <v>15000000</v>
      </c>
      <c r="H2595" s="10">
        <v>13766014</v>
      </c>
      <c r="I2595" s="5">
        <f>IMDB_Movies!$H2595-IMDB_Movies!$G2595</f>
        <v>-1233986</v>
      </c>
    </row>
    <row r="2596" spans="1:9" ht="23">
      <c r="A2596" s="2" t="s">
        <v>3757</v>
      </c>
      <c r="B2596" s="9" t="s">
        <v>3758</v>
      </c>
      <c r="C2596" s="9" t="s">
        <v>56</v>
      </c>
      <c r="D2596" s="9" t="s">
        <v>11</v>
      </c>
      <c r="E2596" s="9">
        <v>111</v>
      </c>
      <c r="F2596" s="9">
        <v>6.9</v>
      </c>
      <c r="G2596" s="9">
        <v>15000000</v>
      </c>
      <c r="H2596" s="9">
        <v>13034417</v>
      </c>
      <c r="I2596" s="5">
        <f>IMDB_Movies!$H2596-IMDB_Movies!$G2596</f>
        <v>-1965583</v>
      </c>
    </row>
    <row r="2597" spans="1:9" ht="23">
      <c r="A2597" s="3" t="s">
        <v>3759</v>
      </c>
      <c r="B2597" s="10" t="s">
        <v>3760</v>
      </c>
      <c r="C2597" s="10" t="s">
        <v>414</v>
      </c>
      <c r="D2597" s="10" t="s">
        <v>11</v>
      </c>
      <c r="E2597" s="10">
        <v>92</v>
      </c>
      <c r="F2597" s="10">
        <v>6.1</v>
      </c>
      <c r="G2597" s="10">
        <v>20000000</v>
      </c>
      <c r="H2597" s="10">
        <v>11632420</v>
      </c>
      <c r="I2597" s="5">
        <f>IMDB_Movies!$H2597-IMDB_Movies!$G2597</f>
        <v>-8367580</v>
      </c>
    </row>
    <row r="2598" spans="1:9" ht="23">
      <c r="A2598" s="2" t="s">
        <v>3761</v>
      </c>
      <c r="B2598" s="9" t="s">
        <v>3762</v>
      </c>
      <c r="C2598" s="9" t="s">
        <v>414</v>
      </c>
      <c r="D2598" s="9" t="s">
        <v>11</v>
      </c>
      <c r="E2598" s="9">
        <v>97</v>
      </c>
      <c r="F2598" s="9">
        <v>6.7</v>
      </c>
      <c r="G2598" s="9">
        <v>15000000</v>
      </c>
      <c r="H2598" s="9">
        <v>12212417</v>
      </c>
      <c r="I2598" s="5">
        <f>IMDB_Movies!$H2598-IMDB_Movies!$G2598</f>
        <v>-2787583</v>
      </c>
    </row>
    <row r="2599" spans="1:9" ht="23">
      <c r="A2599" s="3" t="s">
        <v>3763</v>
      </c>
      <c r="B2599" s="10" t="s">
        <v>3764</v>
      </c>
      <c r="C2599" s="10" t="s">
        <v>138</v>
      </c>
      <c r="D2599" s="10" t="s">
        <v>11</v>
      </c>
      <c r="E2599" s="10">
        <v>97</v>
      </c>
      <c r="F2599" s="10">
        <v>5.6</v>
      </c>
      <c r="G2599" s="10">
        <v>15000000</v>
      </c>
      <c r="H2599" s="10">
        <v>11614236</v>
      </c>
      <c r="I2599" s="5">
        <f>IMDB_Movies!$H2599-IMDB_Movies!$G2599</f>
        <v>-3385764</v>
      </c>
    </row>
    <row r="2600" spans="1:9" ht="23">
      <c r="A2600" s="2" t="s">
        <v>3765</v>
      </c>
      <c r="B2600" s="9" t="s">
        <v>1845</v>
      </c>
      <c r="C2600" s="9" t="s">
        <v>418</v>
      </c>
      <c r="D2600" s="9" t="s">
        <v>11</v>
      </c>
      <c r="E2600" s="9">
        <v>125</v>
      </c>
      <c r="F2600" s="9">
        <v>6.6</v>
      </c>
      <c r="G2600" s="9">
        <v>20000000</v>
      </c>
      <c r="H2600" s="9">
        <v>13337299</v>
      </c>
      <c r="I2600" s="5">
        <f>IMDB_Movies!$H2600-IMDB_Movies!$G2600</f>
        <v>-6662701</v>
      </c>
    </row>
    <row r="2601" spans="1:9" ht="23">
      <c r="A2601" s="3" t="s">
        <v>3766</v>
      </c>
      <c r="B2601" s="10" t="s">
        <v>2304</v>
      </c>
      <c r="C2601" s="10" t="s">
        <v>138</v>
      </c>
      <c r="D2601" s="10" t="s">
        <v>11</v>
      </c>
      <c r="E2601" s="10">
        <v>124</v>
      </c>
      <c r="F2601" s="10">
        <v>6.4</v>
      </c>
      <c r="G2601" s="10">
        <v>15000000</v>
      </c>
      <c r="H2601" s="10">
        <v>10763469</v>
      </c>
      <c r="I2601" s="5">
        <f>IMDB_Movies!$H2601-IMDB_Movies!$G2601</f>
        <v>-4236531</v>
      </c>
    </row>
    <row r="2602" spans="1:9" ht="23">
      <c r="A2602" s="2" t="s">
        <v>3767</v>
      </c>
      <c r="B2602" s="9" t="s">
        <v>3768</v>
      </c>
      <c r="C2602" s="9" t="s">
        <v>24</v>
      </c>
      <c r="D2602" s="9" t="s">
        <v>11</v>
      </c>
      <c r="E2602" s="9">
        <v>76</v>
      </c>
      <c r="F2602" s="9">
        <v>2.8</v>
      </c>
      <c r="G2602" s="9">
        <v>15000000</v>
      </c>
      <c r="H2602" s="9">
        <v>11144518</v>
      </c>
      <c r="I2602" s="5">
        <f>IMDB_Movies!$H2602-IMDB_Movies!$G2602</f>
        <v>-3855482</v>
      </c>
    </row>
    <row r="2603" spans="1:9" ht="23">
      <c r="A2603" s="3" t="s">
        <v>3769</v>
      </c>
      <c r="B2603" s="10" t="s">
        <v>3770</v>
      </c>
      <c r="C2603" s="10" t="s">
        <v>10</v>
      </c>
      <c r="D2603" s="10" t="s">
        <v>11</v>
      </c>
      <c r="E2603" s="10">
        <v>107</v>
      </c>
      <c r="F2603" s="10">
        <v>5.4</v>
      </c>
      <c r="G2603" s="10">
        <v>15000000</v>
      </c>
      <c r="H2603" s="10">
        <v>15608545</v>
      </c>
      <c r="I2603" s="5">
        <f>IMDB_Movies!$H2603-IMDB_Movies!$G2603</f>
        <v>608545</v>
      </c>
    </row>
    <row r="2604" spans="1:9" ht="23">
      <c r="A2604" s="2" t="s">
        <v>3771</v>
      </c>
      <c r="B2604" s="9" t="s">
        <v>273</v>
      </c>
      <c r="C2604" s="9" t="s">
        <v>138</v>
      </c>
      <c r="D2604" s="9" t="s">
        <v>11</v>
      </c>
      <c r="E2604" s="9">
        <v>91</v>
      </c>
      <c r="F2604" s="9">
        <v>5</v>
      </c>
      <c r="G2604" s="9">
        <v>15000000</v>
      </c>
      <c r="H2604" s="9">
        <v>10443316</v>
      </c>
      <c r="I2604" s="5">
        <f>IMDB_Movies!$H2604-IMDB_Movies!$G2604</f>
        <v>-4556684</v>
      </c>
    </row>
    <row r="2605" spans="1:9" ht="23">
      <c r="A2605" s="3" t="s">
        <v>3772</v>
      </c>
      <c r="B2605" s="10" t="s">
        <v>3773</v>
      </c>
      <c r="C2605" s="10" t="s">
        <v>56</v>
      </c>
      <c r="D2605" s="10" t="s">
        <v>11</v>
      </c>
      <c r="E2605" s="10">
        <v>96</v>
      </c>
      <c r="F2605" s="10">
        <v>5.0999999999999996</v>
      </c>
      <c r="G2605" s="10">
        <v>15000000</v>
      </c>
      <c r="H2605" s="10">
        <v>10494147</v>
      </c>
      <c r="I2605" s="5">
        <f>IMDB_Movies!$H2605-IMDB_Movies!$G2605</f>
        <v>-4505853</v>
      </c>
    </row>
    <row r="2606" spans="1:9" ht="23">
      <c r="A2606" s="2" t="s">
        <v>3774</v>
      </c>
      <c r="B2606" s="9" t="s">
        <v>747</v>
      </c>
      <c r="C2606" s="9" t="s">
        <v>56</v>
      </c>
      <c r="D2606" s="9" t="s">
        <v>11</v>
      </c>
      <c r="E2606" s="9">
        <v>142</v>
      </c>
      <c r="F2606" s="9">
        <v>8</v>
      </c>
      <c r="G2606" s="9">
        <v>15000000</v>
      </c>
      <c r="H2606" s="9">
        <v>9929000</v>
      </c>
      <c r="I2606" s="5">
        <f>IMDB_Movies!$H2606-IMDB_Movies!$G2606</f>
        <v>-5071000</v>
      </c>
    </row>
    <row r="2607" spans="1:9" ht="23">
      <c r="A2607" s="3" t="s">
        <v>3775</v>
      </c>
      <c r="B2607" s="10" t="s">
        <v>3374</v>
      </c>
      <c r="C2607" s="10" t="s">
        <v>3326</v>
      </c>
      <c r="D2607" s="10" t="s">
        <v>11</v>
      </c>
      <c r="E2607" s="10">
        <v>103</v>
      </c>
      <c r="F2607" s="10">
        <v>5.9</v>
      </c>
      <c r="G2607" s="10">
        <v>15000000</v>
      </c>
      <c r="H2607" s="10">
        <v>10411980</v>
      </c>
      <c r="I2607" s="5">
        <f>IMDB_Movies!$H2607-IMDB_Movies!$G2607</f>
        <v>-4588020</v>
      </c>
    </row>
    <row r="2608" spans="1:9" ht="23">
      <c r="A2608" s="2" t="s">
        <v>3776</v>
      </c>
      <c r="B2608" s="9" t="s">
        <v>1154</v>
      </c>
      <c r="C2608" s="9" t="s">
        <v>138</v>
      </c>
      <c r="D2608" s="9" t="s">
        <v>11</v>
      </c>
      <c r="E2608" s="9">
        <v>117</v>
      </c>
      <c r="F2608" s="9">
        <v>8.1999999999999993</v>
      </c>
      <c r="G2608" s="9">
        <v>15000000</v>
      </c>
      <c r="H2608" s="9">
        <v>17439163</v>
      </c>
      <c r="I2608" s="5">
        <f>IMDB_Movies!$H2608-IMDB_Movies!$G2608</f>
        <v>2439163</v>
      </c>
    </row>
    <row r="2609" spans="1:9" ht="23">
      <c r="A2609" s="3" t="s">
        <v>3777</v>
      </c>
      <c r="B2609" s="10" t="s">
        <v>3778</v>
      </c>
      <c r="C2609" s="10" t="s">
        <v>56</v>
      </c>
      <c r="D2609" s="10" t="s">
        <v>11</v>
      </c>
      <c r="E2609" s="10">
        <v>116</v>
      </c>
      <c r="F2609" s="10">
        <v>7</v>
      </c>
      <c r="G2609" s="10">
        <v>15000000</v>
      </c>
      <c r="H2609" s="10">
        <v>9396487</v>
      </c>
      <c r="I2609" s="5">
        <f>IMDB_Movies!$H2609-IMDB_Movies!$G2609</f>
        <v>-5603513</v>
      </c>
    </row>
    <row r="2610" spans="1:9" ht="23">
      <c r="A2610" s="2" t="s">
        <v>3779</v>
      </c>
      <c r="B2610" s="9" t="s">
        <v>845</v>
      </c>
      <c r="C2610" s="9" t="s">
        <v>414</v>
      </c>
      <c r="D2610" s="9" t="s">
        <v>11</v>
      </c>
      <c r="E2610" s="9">
        <v>118</v>
      </c>
      <c r="F2610" s="9">
        <v>6.6</v>
      </c>
      <c r="G2610" s="9">
        <v>15000000</v>
      </c>
      <c r="H2610" s="9">
        <v>9059588</v>
      </c>
      <c r="I2610" s="5">
        <f>IMDB_Movies!$H2610-IMDB_Movies!$G2610</f>
        <v>-5940412</v>
      </c>
    </row>
    <row r="2611" spans="1:9" ht="23">
      <c r="A2611" s="3" t="s">
        <v>3780</v>
      </c>
      <c r="B2611" s="10" t="s">
        <v>2645</v>
      </c>
      <c r="C2611" s="10" t="s">
        <v>418</v>
      </c>
      <c r="D2611" s="10" t="s">
        <v>11</v>
      </c>
      <c r="E2611" s="10">
        <v>108</v>
      </c>
      <c r="F2611" s="10">
        <v>6.7</v>
      </c>
      <c r="G2611" s="10">
        <v>16000000</v>
      </c>
      <c r="H2611" s="10">
        <v>9172810</v>
      </c>
      <c r="I2611" s="5">
        <f>IMDB_Movies!$H2611-IMDB_Movies!$G2611</f>
        <v>-6827190</v>
      </c>
    </row>
    <row r="2612" spans="1:9" ht="23">
      <c r="A2612" s="2" t="s">
        <v>3781</v>
      </c>
      <c r="B2612" s="9" t="s">
        <v>3782</v>
      </c>
      <c r="C2612" s="9" t="s">
        <v>138</v>
      </c>
      <c r="D2612" s="9" t="s">
        <v>11</v>
      </c>
      <c r="E2612" s="9">
        <v>94</v>
      </c>
      <c r="F2612" s="9">
        <v>5.5</v>
      </c>
      <c r="G2612" s="9">
        <v>15000000</v>
      </c>
      <c r="H2612" s="9">
        <v>8735529</v>
      </c>
      <c r="I2612" s="5">
        <f>IMDB_Movies!$H2612-IMDB_Movies!$G2612</f>
        <v>-6264471</v>
      </c>
    </row>
    <row r="2613" spans="1:9" ht="23">
      <c r="A2613" s="3" t="s">
        <v>3783</v>
      </c>
      <c r="B2613" s="10" t="s">
        <v>3784</v>
      </c>
      <c r="C2613" s="10" t="s">
        <v>138</v>
      </c>
      <c r="D2613" s="10" t="s">
        <v>11</v>
      </c>
      <c r="E2613" s="10">
        <v>97</v>
      </c>
      <c r="F2613" s="10">
        <v>4.9000000000000004</v>
      </c>
      <c r="G2613" s="10">
        <v>20000000</v>
      </c>
      <c r="H2613" s="10">
        <v>8586376</v>
      </c>
      <c r="I2613" s="5">
        <f>IMDB_Movies!$H2613-IMDB_Movies!$G2613</f>
        <v>-11413624</v>
      </c>
    </row>
    <row r="2614" spans="1:9" ht="23">
      <c r="A2614" s="2" t="s">
        <v>3785</v>
      </c>
      <c r="B2614" s="9" t="s">
        <v>1645</v>
      </c>
      <c r="C2614" s="9" t="s">
        <v>138</v>
      </c>
      <c r="D2614" s="9" t="s">
        <v>11</v>
      </c>
      <c r="E2614" s="9">
        <v>97</v>
      </c>
      <c r="F2614" s="9">
        <v>6.9</v>
      </c>
      <c r="G2614" s="9">
        <v>15000000</v>
      </c>
      <c r="H2614" s="9">
        <v>8378141</v>
      </c>
      <c r="I2614" s="5">
        <f>IMDB_Movies!$H2614-IMDB_Movies!$G2614</f>
        <v>-6621859</v>
      </c>
    </row>
    <row r="2615" spans="1:9" ht="23">
      <c r="A2615" s="3" t="s">
        <v>3786</v>
      </c>
      <c r="B2615" s="10" t="s">
        <v>3787</v>
      </c>
      <c r="C2615" s="10" t="s">
        <v>713</v>
      </c>
      <c r="D2615" s="10" t="s">
        <v>11</v>
      </c>
      <c r="E2615" s="10">
        <v>99</v>
      </c>
      <c r="F2615" s="10">
        <v>7.4</v>
      </c>
      <c r="G2615" s="10">
        <v>20000000</v>
      </c>
      <c r="H2615" s="10">
        <v>25078937</v>
      </c>
      <c r="I2615" s="5">
        <f>IMDB_Movies!$H2615-IMDB_Movies!$G2615</f>
        <v>5078937</v>
      </c>
    </row>
    <row r="2616" spans="1:9" ht="23">
      <c r="A2616" s="2" t="s">
        <v>3788</v>
      </c>
      <c r="B2616" s="9" t="s">
        <v>3789</v>
      </c>
      <c r="C2616" s="9" t="s">
        <v>24</v>
      </c>
      <c r="D2616" s="9" t="s">
        <v>11</v>
      </c>
      <c r="E2616" s="9">
        <v>91</v>
      </c>
      <c r="F2616" s="9">
        <v>5.6</v>
      </c>
      <c r="G2616" s="9">
        <v>15000000</v>
      </c>
      <c r="H2616" s="9">
        <v>8080116</v>
      </c>
      <c r="I2616" s="5">
        <f>IMDB_Movies!$H2616-IMDB_Movies!$G2616</f>
        <v>-6919884</v>
      </c>
    </row>
    <row r="2617" spans="1:9" ht="23">
      <c r="A2617" s="3" t="s">
        <v>3790</v>
      </c>
      <c r="B2617" s="10" t="s">
        <v>3791</v>
      </c>
      <c r="C2617" s="10" t="s">
        <v>138</v>
      </c>
      <c r="D2617" s="10" t="s">
        <v>11</v>
      </c>
      <c r="E2617" s="10">
        <v>107</v>
      </c>
      <c r="F2617" s="10">
        <v>8</v>
      </c>
      <c r="G2617" s="10">
        <v>15000000</v>
      </c>
      <c r="H2617" s="10">
        <v>7757130</v>
      </c>
      <c r="I2617" s="5">
        <f>IMDB_Movies!$H2617-IMDB_Movies!$G2617</f>
        <v>-7242870</v>
      </c>
    </row>
    <row r="2618" spans="1:9" ht="23">
      <c r="A2618" s="2" t="s">
        <v>3792</v>
      </c>
      <c r="B2618" s="9" t="s">
        <v>3793</v>
      </c>
      <c r="C2618" s="9" t="s">
        <v>138</v>
      </c>
      <c r="D2618" s="9" t="s">
        <v>11</v>
      </c>
      <c r="E2618" s="9">
        <v>95</v>
      </c>
      <c r="F2618" s="9">
        <v>5.3</v>
      </c>
      <c r="G2618" s="9">
        <v>15000000</v>
      </c>
      <c r="H2618" s="9">
        <v>9123834</v>
      </c>
      <c r="I2618" s="5">
        <f>IMDB_Movies!$H2618-IMDB_Movies!$G2618</f>
        <v>-5876166</v>
      </c>
    </row>
    <row r="2619" spans="1:9" ht="23">
      <c r="A2619" s="3" t="s">
        <v>3794</v>
      </c>
      <c r="B2619" s="10" t="s">
        <v>3795</v>
      </c>
      <c r="C2619" s="10" t="s">
        <v>138</v>
      </c>
      <c r="D2619" s="10" t="s">
        <v>11</v>
      </c>
      <c r="E2619" s="10">
        <v>102</v>
      </c>
      <c r="F2619" s="10">
        <v>6.2</v>
      </c>
      <c r="G2619" s="10">
        <v>15000000</v>
      </c>
      <c r="H2619" s="10">
        <v>6409206</v>
      </c>
      <c r="I2619" s="5">
        <f>IMDB_Movies!$H2619-IMDB_Movies!$G2619</f>
        <v>-8590794</v>
      </c>
    </row>
    <row r="2620" spans="1:9" ht="23">
      <c r="A2620" s="2" t="s">
        <v>3796</v>
      </c>
      <c r="B2620" s="9" t="s">
        <v>3797</v>
      </c>
      <c r="C2620" s="9" t="s">
        <v>138</v>
      </c>
      <c r="D2620" s="9" t="s">
        <v>11</v>
      </c>
      <c r="E2620" s="9">
        <v>88</v>
      </c>
      <c r="F2620" s="9">
        <v>5.3</v>
      </c>
      <c r="G2620" s="9">
        <v>15000000</v>
      </c>
      <c r="H2620" s="9">
        <v>6373693</v>
      </c>
      <c r="I2620" s="5">
        <f>IMDB_Movies!$H2620-IMDB_Movies!$G2620</f>
        <v>-8626307</v>
      </c>
    </row>
    <row r="2621" spans="1:9" ht="23">
      <c r="A2621" s="3" t="s">
        <v>3798</v>
      </c>
      <c r="B2621" s="10" t="s">
        <v>1664</v>
      </c>
      <c r="C2621" s="10" t="s">
        <v>56</v>
      </c>
      <c r="D2621" s="10" t="s">
        <v>11</v>
      </c>
      <c r="E2621" s="10">
        <v>106</v>
      </c>
      <c r="F2621" s="10">
        <v>6.6</v>
      </c>
      <c r="G2621" s="10">
        <v>15000000</v>
      </c>
      <c r="H2621" s="10">
        <v>7556708</v>
      </c>
      <c r="I2621" s="5">
        <f>IMDB_Movies!$H2621-IMDB_Movies!$G2621</f>
        <v>-7443292</v>
      </c>
    </row>
    <row r="2622" spans="1:9" ht="23">
      <c r="A2622" s="2" t="s">
        <v>3799</v>
      </c>
      <c r="B2622" s="9" t="s">
        <v>2304</v>
      </c>
      <c r="C2622" s="9" t="s">
        <v>138</v>
      </c>
      <c r="D2622" s="9" t="s">
        <v>11</v>
      </c>
      <c r="E2622" s="9">
        <v>92</v>
      </c>
      <c r="F2622" s="9">
        <v>7.2</v>
      </c>
      <c r="G2622" s="9">
        <v>15000000</v>
      </c>
      <c r="H2622" s="9">
        <v>5306447</v>
      </c>
      <c r="I2622" s="5">
        <f>IMDB_Movies!$H2622-IMDB_Movies!$G2622</f>
        <v>-9693553</v>
      </c>
    </row>
    <row r="2623" spans="1:9" ht="23">
      <c r="A2623" s="3" t="s">
        <v>3800</v>
      </c>
      <c r="B2623" s="10" t="s">
        <v>3801</v>
      </c>
      <c r="C2623" s="10" t="s">
        <v>56</v>
      </c>
      <c r="D2623" s="10" t="s">
        <v>11</v>
      </c>
      <c r="E2623" s="10">
        <v>105</v>
      </c>
      <c r="F2623" s="10">
        <v>4.5999999999999996</v>
      </c>
      <c r="G2623" s="10">
        <v>15000000</v>
      </c>
      <c r="H2623" s="10">
        <v>5217498</v>
      </c>
      <c r="I2623" s="5">
        <f>IMDB_Movies!$H2623-IMDB_Movies!$G2623</f>
        <v>-9782502</v>
      </c>
    </row>
    <row r="2624" spans="1:9" ht="23">
      <c r="A2624" s="2" t="s">
        <v>3802</v>
      </c>
      <c r="B2624" s="9" t="s">
        <v>3622</v>
      </c>
      <c r="C2624" s="9" t="s">
        <v>24</v>
      </c>
      <c r="D2624" s="9" t="s">
        <v>11</v>
      </c>
      <c r="E2624" s="9">
        <v>107</v>
      </c>
      <c r="F2624" s="9">
        <v>7.5</v>
      </c>
      <c r="G2624" s="9">
        <v>15000000</v>
      </c>
      <c r="H2624" s="9">
        <v>5023275</v>
      </c>
      <c r="I2624" s="5">
        <f>IMDB_Movies!$H2624-IMDB_Movies!$G2624</f>
        <v>-9976725</v>
      </c>
    </row>
    <row r="2625" spans="1:9" ht="23">
      <c r="A2625" s="3" t="s">
        <v>3803</v>
      </c>
      <c r="B2625" s="10" t="s">
        <v>3804</v>
      </c>
      <c r="C2625" s="10" t="s">
        <v>56</v>
      </c>
      <c r="D2625" s="10" t="s">
        <v>11</v>
      </c>
      <c r="E2625" s="10">
        <v>120</v>
      </c>
      <c r="F2625" s="10">
        <v>6.5</v>
      </c>
      <c r="G2625" s="10">
        <v>15000000</v>
      </c>
      <c r="H2625" s="10">
        <v>4956401</v>
      </c>
      <c r="I2625" s="5">
        <f>IMDB_Movies!$H2625-IMDB_Movies!$G2625</f>
        <v>-10043599</v>
      </c>
    </row>
    <row r="2626" spans="1:9" ht="23">
      <c r="A2626" s="2" t="s">
        <v>3805</v>
      </c>
      <c r="B2626" s="9" t="s">
        <v>66</v>
      </c>
      <c r="C2626" s="9" t="s">
        <v>138</v>
      </c>
      <c r="D2626" s="9" t="s">
        <v>11</v>
      </c>
      <c r="E2626" s="9">
        <v>103</v>
      </c>
      <c r="F2626" s="9">
        <v>7.6</v>
      </c>
      <c r="G2626" s="9">
        <v>15000000</v>
      </c>
      <c r="H2626" s="9">
        <v>4235837</v>
      </c>
      <c r="I2626" s="5">
        <f>IMDB_Movies!$H2626-IMDB_Movies!$G2626</f>
        <v>-10764163</v>
      </c>
    </row>
    <row r="2627" spans="1:9" ht="23">
      <c r="A2627" s="3" t="s">
        <v>3806</v>
      </c>
      <c r="B2627" s="10" t="s">
        <v>3807</v>
      </c>
      <c r="C2627" s="10" t="s">
        <v>138</v>
      </c>
      <c r="D2627" s="10" t="s">
        <v>11</v>
      </c>
      <c r="E2627" s="10">
        <v>92</v>
      </c>
      <c r="F2627" s="10">
        <v>6.2</v>
      </c>
      <c r="G2627" s="10">
        <v>20000000</v>
      </c>
      <c r="H2627" s="10">
        <v>4002955</v>
      </c>
      <c r="I2627" s="5">
        <f>IMDB_Movies!$H2627-IMDB_Movies!$G2627</f>
        <v>-15997045</v>
      </c>
    </row>
    <row r="2628" spans="1:9" ht="23">
      <c r="A2628" s="2" t="s">
        <v>3808</v>
      </c>
      <c r="B2628" s="9" t="s">
        <v>1613</v>
      </c>
      <c r="C2628" s="9" t="s">
        <v>56</v>
      </c>
      <c r="D2628" s="9" t="s">
        <v>11</v>
      </c>
      <c r="E2628" s="9">
        <v>147</v>
      </c>
      <c r="F2628" s="9">
        <v>8</v>
      </c>
      <c r="G2628" s="9">
        <v>15000000</v>
      </c>
      <c r="H2628" s="9">
        <v>7219578</v>
      </c>
      <c r="I2628" s="5">
        <f>IMDB_Movies!$H2628-IMDB_Movies!$G2628</f>
        <v>-7780422</v>
      </c>
    </row>
    <row r="2629" spans="1:9" ht="23">
      <c r="A2629" s="3" t="s">
        <v>3809</v>
      </c>
      <c r="B2629" s="10" t="s">
        <v>3810</v>
      </c>
      <c r="C2629" s="10" t="s">
        <v>56</v>
      </c>
      <c r="D2629" s="10" t="s">
        <v>11</v>
      </c>
      <c r="E2629" s="10">
        <v>98</v>
      </c>
      <c r="F2629" s="10">
        <v>5.5</v>
      </c>
      <c r="G2629" s="10">
        <v>20000000</v>
      </c>
      <c r="H2629" s="10">
        <v>3525161</v>
      </c>
      <c r="I2629" s="5">
        <f>IMDB_Movies!$H2629-IMDB_Movies!$G2629</f>
        <v>-16474839</v>
      </c>
    </row>
    <row r="2630" spans="1:9" ht="23">
      <c r="A2630" s="2" t="s">
        <v>3811</v>
      </c>
      <c r="B2630" s="9" t="s">
        <v>2304</v>
      </c>
      <c r="C2630" s="9" t="s">
        <v>138</v>
      </c>
      <c r="D2630" s="9" t="s">
        <v>11</v>
      </c>
      <c r="E2630" s="9">
        <v>98</v>
      </c>
      <c r="F2630" s="9">
        <v>6.3</v>
      </c>
      <c r="G2630" s="9">
        <v>22000000</v>
      </c>
      <c r="H2630" s="9">
        <v>3247816</v>
      </c>
      <c r="I2630" s="5">
        <f>IMDB_Movies!$H2630-IMDB_Movies!$G2630</f>
        <v>-18752184</v>
      </c>
    </row>
    <row r="2631" spans="1:9" ht="23">
      <c r="A2631" s="3" t="s">
        <v>3812</v>
      </c>
      <c r="B2631" s="10" t="s">
        <v>3813</v>
      </c>
      <c r="C2631" s="10" t="s">
        <v>56</v>
      </c>
      <c r="D2631" s="10" t="s">
        <v>11</v>
      </c>
      <c r="E2631" s="10">
        <v>103</v>
      </c>
      <c r="F2631" s="10">
        <v>7.2</v>
      </c>
      <c r="G2631" s="10">
        <v>15000000</v>
      </c>
      <c r="H2631" s="10">
        <v>2412045</v>
      </c>
      <c r="I2631" s="5">
        <f>IMDB_Movies!$H2631-IMDB_Movies!$G2631</f>
        <v>-12587955</v>
      </c>
    </row>
    <row r="2632" spans="1:9" ht="23">
      <c r="A2632" s="2" t="s">
        <v>3814</v>
      </c>
      <c r="B2632" s="9" t="s">
        <v>3815</v>
      </c>
      <c r="C2632" s="9" t="s">
        <v>414</v>
      </c>
      <c r="D2632" s="9" t="s">
        <v>11</v>
      </c>
      <c r="E2632" s="9">
        <v>111</v>
      </c>
      <c r="F2632" s="9">
        <v>6.7</v>
      </c>
      <c r="G2632" s="9">
        <v>15000000</v>
      </c>
      <c r="H2632" s="9">
        <v>2203641</v>
      </c>
      <c r="I2632" s="5">
        <f>IMDB_Movies!$H2632-IMDB_Movies!$G2632</f>
        <v>-12796359</v>
      </c>
    </row>
    <row r="2633" spans="1:9" ht="23">
      <c r="A2633" s="3" t="s">
        <v>3816</v>
      </c>
      <c r="B2633" s="10" t="s">
        <v>3817</v>
      </c>
      <c r="C2633" s="10" t="s">
        <v>24</v>
      </c>
      <c r="D2633" s="10" t="s">
        <v>11</v>
      </c>
      <c r="E2633" s="10">
        <v>98</v>
      </c>
      <c r="F2633" s="10">
        <v>5.3</v>
      </c>
      <c r="G2633" s="10">
        <v>15000000</v>
      </c>
      <c r="H2633" s="10">
        <v>1953732</v>
      </c>
      <c r="I2633" s="5">
        <f>IMDB_Movies!$H2633-IMDB_Movies!$G2633</f>
        <v>-13046268</v>
      </c>
    </row>
    <row r="2634" spans="1:9" ht="23">
      <c r="A2634" s="2" t="s">
        <v>3818</v>
      </c>
      <c r="B2634" s="9" t="s">
        <v>3819</v>
      </c>
      <c r="C2634" s="9" t="s">
        <v>138</v>
      </c>
      <c r="D2634" s="9" t="s">
        <v>11</v>
      </c>
      <c r="E2634" s="9">
        <v>111</v>
      </c>
      <c r="F2634" s="9">
        <v>6.3</v>
      </c>
      <c r="G2634" s="9">
        <v>15000000</v>
      </c>
      <c r="H2634" s="9">
        <v>1954202</v>
      </c>
      <c r="I2634" s="5">
        <f>IMDB_Movies!$H2634-IMDB_Movies!$G2634</f>
        <v>-13045798</v>
      </c>
    </row>
    <row r="2635" spans="1:9" ht="23">
      <c r="A2635" s="3" t="s">
        <v>3820</v>
      </c>
      <c r="B2635" s="10" t="s">
        <v>3428</v>
      </c>
      <c r="C2635" s="10" t="s">
        <v>414</v>
      </c>
      <c r="D2635" s="10" t="s">
        <v>11</v>
      </c>
      <c r="E2635" s="10">
        <v>111</v>
      </c>
      <c r="F2635" s="10">
        <v>6.5</v>
      </c>
      <c r="G2635" s="10">
        <v>15000000</v>
      </c>
      <c r="H2635" s="10">
        <v>1294640</v>
      </c>
      <c r="I2635" s="5">
        <f>IMDB_Movies!$H2635-IMDB_Movies!$G2635</f>
        <v>-13705360</v>
      </c>
    </row>
    <row r="2636" spans="1:9" ht="23">
      <c r="A2636" s="2" t="s">
        <v>3821</v>
      </c>
      <c r="B2636" s="9" t="s">
        <v>3822</v>
      </c>
      <c r="C2636" s="9" t="s">
        <v>56</v>
      </c>
      <c r="D2636" s="9" t="s">
        <v>11</v>
      </c>
      <c r="E2636" s="9">
        <v>100</v>
      </c>
      <c r="F2636" s="9">
        <v>5.6</v>
      </c>
      <c r="G2636" s="9">
        <v>20000000</v>
      </c>
      <c r="H2636" s="9">
        <v>25078937</v>
      </c>
      <c r="I2636" s="5">
        <f>IMDB_Movies!$H2636-IMDB_Movies!$G2636</f>
        <v>5078937</v>
      </c>
    </row>
    <row r="2637" spans="1:9" ht="23">
      <c r="A2637" s="3" t="s">
        <v>3823</v>
      </c>
      <c r="B2637" s="10" t="s">
        <v>2815</v>
      </c>
      <c r="C2637" s="10" t="s">
        <v>56</v>
      </c>
      <c r="D2637" s="10" t="s">
        <v>11</v>
      </c>
      <c r="E2637" s="10">
        <v>116</v>
      </c>
      <c r="F2637" s="10">
        <v>7</v>
      </c>
      <c r="G2637" s="10">
        <v>20000000</v>
      </c>
      <c r="H2637" s="10">
        <v>819852</v>
      </c>
      <c r="I2637" s="5">
        <f>IMDB_Movies!$H2637-IMDB_Movies!$G2637</f>
        <v>-19180148</v>
      </c>
    </row>
    <row r="2638" spans="1:9" ht="23">
      <c r="A2638" s="2" t="s">
        <v>3824</v>
      </c>
      <c r="B2638" s="9" t="s">
        <v>3825</v>
      </c>
      <c r="C2638" s="9" t="s">
        <v>56</v>
      </c>
      <c r="D2638" s="9" t="s">
        <v>2452</v>
      </c>
      <c r="E2638" s="9">
        <v>145</v>
      </c>
      <c r="F2638" s="9">
        <v>8.3000000000000007</v>
      </c>
      <c r="G2638" s="9">
        <v>6000000</v>
      </c>
      <c r="H2638" s="9">
        <v>26435</v>
      </c>
      <c r="I2638" s="5">
        <f>IMDB_Movies!$H2638-IMDB_Movies!$G2638</f>
        <v>-5973565</v>
      </c>
    </row>
    <row r="2639" spans="1:9" ht="23">
      <c r="A2639" s="3" t="s">
        <v>3826</v>
      </c>
      <c r="B2639" s="10" t="s">
        <v>1347</v>
      </c>
      <c r="C2639" s="10" t="s">
        <v>10</v>
      </c>
      <c r="D2639" s="10" t="s">
        <v>394</v>
      </c>
      <c r="E2639" s="10">
        <v>84</v>
      </c>
      <c r="F2639" s="10">
        <v>7.2</v>
      </c>
      <c r="G2639" s="10">
        <v>12000000</v>
      </c>
      <c r="H2639" s="10">
        <v>1197786</v>
      </c>
      <c r="I2639" s="5">
        <f>IMDB_Movies!$H2639-IMDB_Movies!$G2639</f>
        <v>-10802214</v>
      </c>
    </row>
    <row r="2640" spans="1:9" ht="23">
      <c r="A2640" s="2" t="s">
        <v>3827</v>
      </c>
      <c r="B2640" s="9" t="s">
        <v>1410</v>
      </c>
      <c r="C2640" s="9" t="s">
        <v>414</v>
      </c>
      <c r="D2640" s="9" t="s">
        <v>11</v>
      </c>
      <c r="E2640" s="9">
        <v>115</v>
      </c>
      <c r="F2640" s="9">
        <v>6.8</v>
      </c>
      <c r="G2640" s="9">
        <v>7000000</v>
      </c>
      <c r="H2640" s="9">
        <v>529766</v>
      </c>
      <c r="I2640" s="5">
        <f>IMDB_Movies!$H2640-IMDB_Movies!$G2640</f>
        <v>-6470234</v>
      </c>
    </row>
    <row r="2641" spans="1:9" ht="23">
      <c r="A2641" s="3" t="s">
        <v>3828</v>
      </c>
      <c r="B2641" s="10" t="s">
        <v>3829</v>
      </c>
      <c r="C2641" s="10" t="s">
        <v>10</v>
      </c>
      <c r="D2641" s="10" t="s">
        <v>521</v>
      </c>
      <c r="E2641" s="10">
        <v>105</v>
      </c>
      <c r="F2641" s="10">
        <v>6.4</v>
      </c>
      <c r="G2641" s="10">
        <v>15000000</v>
      </c>
      <c r="H2641" s="10">
        <v>613556</v>
      </c>
      <c r="I2641" s="5">
        <f>IMDB_Movies!$H2641-IMDB_Movies!$G2641</f>
        <v>-14386444</v>
      </c>
    </row>
    <row r="2642" spans="1:9" ht="23">
      <c r="A2642" s="2" t="s">
        <v>3830</v>
      </c>
      <c r="B2642" s="9" t="s">
        <v>3437</v>
      </c>
      <c r="C2642" s="9" t="s">
        <v>138</v>
      </c>
      <c r="D2642" s="9" t="s">
        <v>11</v>
      </c>
      <c r="E2642" s="9">
        <v>98</v>
      </c>
      <c r="F2642" s="9">
        <v>6.9</v>
      </c>
      <c r="G2642" s="9">
        <v>15000000</v>
      </c>
      <c r="H2642" s="9">
        <v>353743</v>
      </c>
      <c r="I2642" s="5">
        <f>IMDB_Movies!$H2642-IMDB_Movies!$G2642</f>
        <v>-14646257</v>
      </c>
    </row>
    <row r="2643" spans="1:9" ht="23">
      <c r="A2643" s="3" t="s">
        <v>3831</v>
      </c>
      <c r="B2643" s="10" t="s">
        <v>3832</v>
      </c>
      <c r="C2643" s="10" t="s">
        <v>56</v>
      </c>
      <c r="D2643" s="10" t="s">
        <v>1544</v>
      </c>
      <c r="E2643" s="10">
        <v>99</v>
      </c>
      <c r="F2643" s="10">
        <v>8</v>
      </c>
      <c r="G2643" s="10">
        <v>20000000</v>
      </c>
      <c r="H2643" s="10">
        <v>502028</v>
      </c>
      <c r="I2643" s="5">
        <f>IMDB_Movies!$H2643-IMDB_Movies!$G2643</f>
        <v>-19497972</v>
      </c>
    </row>
    <row r="2644" spans="1:9" ht="23">
      <c r="A2644" s="2" t="s">
        <v>3833</v>
      </c>
      <c r="B2644" s="9" t="s">
        <v>3834</v>
      </c>
      <c r="C2644" s="9" t="s">
        <v>10</v>
      </c>
      <c r="D2644" s="9" t="s">
        <v>3835</v>
      </c>
      <c r="E2644" s="9">
        <v>110</v>
      </c>
      <c r="F2644" s="9">
        <v>6.2</v>
      </c>
      <c r="G2644" s="9">
        <v>300000000</v>
      </c>
      <c r="H2644" s="9">
        <v>102055</v>
      </c>
      <c r="I2644" s="5">
        <f>IMDB_Movies!$H2644-IMDB_Movies!$G2644</f>
        <v>-299897945</v>
      </c>
    </row>
    <row r="2645" spans="1:9" ht="23">
      <c r="A2645" s="3" t="s">
        <v>3836</v>
      </c>
      <c r="B2645" s="10" t="s">
        <v>2188</v>
      </c>
      <c r="C2645" s="10" t="s">
        <v>10</v>
      </c>
      <c r="D2645" s="10" t="s">
        <v>11</v>
      </c>
      <c r="E2645" s="10">
        <v>97</v>
      </c>
      <c r="F2645" s="10">
        <v>6.4</v>
      </c>
      <c r="G2645" s="10">
        <v>20000000</v>
      </c>
      <c r="H2645" s="10">
        <v>122288</v>
      </c>
      <c r="I2645" s="5">
        <f>IMDB_Movies!$H2645-IMDB_Movies!$G2645</f>
        <v>-19877712</v>
      </c>
    </row>
    <row r="2646" spans="1:9" ht="23">
      <c r="A2646" s="2" t="s">
        <v>3837</v>
      </c>
      <c r="B2646" s="9" t="s">
        <v>1600</v>
      </c>
      <c r="C2646" s="9" t="s">
        <v>10</v>
      </c>
      <c r="D2646" s="9" t="s">
        <v>11</v>
      </c>
      <c r="E2646" s="9">
        <v>88</v>
      </c>
      <c r="F2646" s="9">
        <v>5.6</v>
      </c>
      <c r="G2646" s="9">
        <v>9000000</v>
      </c>
      <c r="H2646" s="9">
        <v>25078937</v>
      </c>
      <c r="I2646" s="5">
        <f>IMDB_Movies!$H2646-IMDB_Movies!$G2646</f>
        <v>16078937</v>
      </c>
    </row>
    <row r="2647" spans="1:9" ht="23">
      <c r="A2647" s="3" t="s">
        <v>3838</v>
      </c>
      <c r="B2647" s="10" t="s">
        <v>3839</v>
      </c>
      <c r="C2647" s="10" t="s">
        <v>713</v>
      </c>
      <c r="D2647" s="10" t="s">
        <v>11</v>
      </c>
      <c r="E2647" s="10">
        <v>103</v>
      </c>
      <c r="F2647" s="10">
        <v>6.1</v>
      </c>
      <c r="G2647" s="10">
        <v>15000000</v>
      </c>
      <c r="H2647" s="10">
        <v>73548</v>
      </c>
      <c r="I2647" s="5">
        <f>IMDB_Movies!$H2647-IMDB_Movies!$G2647</f>
        <v>-14926452</v>
      </c>
    </row>
    <row r="2648" spans="1:9" ht="23">
      <c r="A2648" s="2" t="s">
        <v>3840</v>
      </c>
      <c r="B2648" s="9" t="s">
        <v>3841</v>
      </c>
      <c r="C2648" s="9" t="s">
        <v>418</v>
      </c>
      <c r="D2648" s="9" t="s">
        <v>11</v>
      </c>
      <c r="E2648" s="9">
        <v>104</v>
      </c>
      <c r="F2648" s="9">
        <v>6</v>
      </c>
      <c r="G2648" s="9">
        <v>15000000</v>
      </c>
      <c r="H2648" s="9">
        <v>25078937</v>
      </c>
      <c r="I2648" s="5">
        <f>IMDB_Movies!$H2648-IMDB_Movies!$G2648</f>
        <v>10078937</v>
      </c>
    </row>
    <row r="2649" spans="1:9" ht="23">
      <c r="A2649" s="3" t="s">
        <v>3842</v>
      </c>
      <c r="B2649" s="10" t="s">
        <v>3843</v>
      </c>
      <c r="C2649" s="10" t="s">
        <v>414</v>
      </c>
      <c r="D2649" s="10" t="s">
        <v>11</v>
      </c>
      <c r="E2649" s="10">
        <v>90</v>
      </c>
      <c r="F2649" s="10">
        <v>5.0999999999999996</v>
      </c>
      <c r="G2649" s="10">
        <v>15000000</v>
      </c>
      <c r="H2649" s="10">
        <v>28870</v>
      </c>
      <c r="I2649" s="5">
        <f>IMDB_Movies!$H2649-IMDB_Movies!$G2649</f>
        <v>-14971130</v>
      </c>
    </row>
    <row r="2650" spans="1:9" ht="23">
      <c r="A2650" s="2" t="s">
        <v>3844</v>
      </c>
      <c r="B2650" s="9" t="s">
        <v>3845</v>
      </c>
      <c r="C2650" s="9" t="s">
        <v>10</v>
      </c>
      <c r="D2650" s="9" t="s">
        <v>11</v>
      </c>
      <c r="E2650" s="9">
        <v>105</v>
      </c>
      <c r="F2650" s="9">
        <v>4.5</v>
      </c>
      <c r="G2650" s="9">
        <v>25000000</v>
      </c>
      <c r="H2650" s="9">
        <v>22723</v>
      </c>
      <c r="I2650" s="5">
        <f>IMDB_Movies!$H2650-IMDB_Movies!$G2650</f>
        <v>-24977277</v>
      </c>
    </row>
    <row r="2651" spans="1:9" ht="23">
      <c r="A2651" s="3" t="s">
        <v>3846</v>
      </c>
      <c r="B2651" s="10" t="s">
        <v>3847</v>
      </c>
      <c r="C2651" s="10" t="s">
        <v>138</v>
      </c>
      <c r="D2651" s="10" t="s">
        <v>11</v>
      </c>
      <c r="E2651" s="10">
        <v>93</v>
      </c>
      <c r="F2651" s="10">
        <v>5.9</v>
      </c>
      <c r="G2651" s="10">
        <v>15000000</v>
      </c>
      <c r="H2651" s="10">
        <v>20380</v>
      </c>
      <c r="I2651" s="5">
        <f>IMDB_Movies!$H2651-IMDB_Movies!$G2651</f>
        <v>-14979620</v>
      </c>
    </row>
    <row r="2652" spans="1:9" ht="23">
      <c r="A2652" s="2" t="s">
        <v>3848</v>
      </c>
      <c r="B2652" s="9" t="s">
        <v>3849</v>
      </c>
      <c r="C2652" s="9" t="s">
        <v>418</v>
      </c>
      <c r="D2652" s="9" t="s">
        <v>11</v>
      </c>
      <c r="E2652" s="9">
        <v>141</v>
      </c>
      <c r="F2652" s="9">
        <v>6</v>
      </c>
      <c r="G2652" s="9">
        <v>20000000</v>
      </c>
      <c r="H2652" s="9">
        <v>25078937</v>
      </c>
      <c r="I2652" s="5">
        <f>IMDB_Movies!$H2652-IMDB_Movies!$G2652</f>
        <v>5078937</v>
      </c>
    </row>
    <row r="2653" spans="1:9" ht="23">
      <c r="A2653" s="3" t="s">
        <v>3850</v>
      </c>
      <c r="B2653" s="10" t="s">
        <v>3851</v>
      </c>
      <c r="C2653" s="10" t="s">
        <v>24</v>
      </c>
      <c r="D2653" s="10" t="s">
        <v>11</v>
      </c>
      <c r="E2653" s="10">
        <v>85</v>
      </c>
      <c r="F2653" s="10">
        <v>5.8</v>
      </c>
      <c r="G2653" s="10">
        <v>20000000</v>
      </c>
      <c r="H2653" s="10">
        <v>25078937</v>
      </c>
      <c r="I2653" s="5">
        <f>IMDB_Movies!$H2653-IMDB_Movies!$G2653</f>
        <v>5078937</v>
      </c>
    </row>
    <row r="2654" spans="1:9" ht="23">
      <c r="A2654" s="2" t="s">
        <v>3852</v>
      </c>
      <c r="B2654" s="9" t="s">
        <v>3853</v>
      </c>
      <c r="C2654" s="9" t="s">
        <v>10</v>
      </c>
      <c r="D2654" s="9" t="s">
        <v>11</v>
      </c>
      <c r="E2654" s="9">
        <v>109</v>
      </c>
      <c r="F2654" s="9">
        <v>6.1</v>
      </c>
      <c r="G2654" s="9">
        <v>7000000</v>
      </c>
      <c r="H2654" s="9">
        <v>25078937</v>
      </c>
      <c r="I2654" s="5">
        <f>IMDB_Movies!$H2654-IMDB_Movies!$G2654</f>
        <v>18078937</v>
      </c>
    </row>
    <row r="2655" spans="1:9" ht="23">
      <c r="A2655" s="3" t="s">
        <v>3854</v>
      </c>
      <c r="B2655" s="10" t="s">
        <v>3855</v>
      </c>
      <c r="C2655" s="10" t="s">
        <v>10</v>
      </c>
      <c r="D2655" s="10" t="s">
        <v>11</v>
      </c>
      <c r="E2655" s="10">
        <v>105</v>
      </c>
      <c r="F2655" s="10">
        <v>4.9000000000000004</v>
      </c>
      <c r="G2655" s="10">
        <v>15000000</v>
      </c>
      <c r="H2655" s="10">
        <v>25078937</v>
      </c>
      <c r="I2655" s="5">
        <f>IMDB_Movies!$H2655-IMDB_Movies!$G2655</f>
        <v>10078937</v>
      </c>
    </row>
    <row r="2656" spans="1:9" ht="23">
      <c r="A2656" s="2" t="s">
        <v>3856</v>
      </c>
      <c r="B2656" s="9" t="s">
        <v>3857</v>
      </c>
      <c r="C2656" s="9" t="s">
        <v>418</v>
      </c>
      <c r="D2656" s="9" t="s">
        <v>741</v>
      </c>
      <c r="E2656" s="9">
        <v>98</v>
      </c>
      <c r="F2656" s="9">
        <v>5.7</v>
      </c>
      <c r="G2656" s="9">
        <v>15000000</v>
      </c>
      <c r="H2656" s="9">
        <v>25078937</v>
      </c>
      <c r="I2656" s="5">
        <f>IMDB_Movies!$H2656-IMDB_Movies!$G2656</f>
        <v>10078937</v>
      </c>
    </row>
    <row r="2657" spans="1:9" ht="23">
      <c r="A2657" s="3" t="s">
        <v>3858</v>
      </c>
      <c r="B2657" s="10" t="s">
        <v>3859</v>
      </c>
      <c r="C2657" s="10" t="s">
        <v>10</v>
      </c>
      <c r="D2657" s="10" t="s">
        <v>521</v>
      </c>
      <c r="E2657" s="10">
        <v>119</v>
      </c>
      <c r="F2657" s="10">
        <v>7.1</v>
      </c>
      <c r="G2657" s="10">
        <v>15000000</v>
      </c>
      <c r="H2657" s="10">
        <v>25078937</v>
      </c>
      <c r="I2657" s="5">
        <f>IMDB_Movies!$H2657-IMDB_Movies!$G2657</f>
        <v>10078937</v>
      </c>
    </row>
    <row r="2658" spans="1:9" ht="23">
      <c r="A2658" s="2" t="s">
        <v>3860</v>
      </c>
      <c r="B2658" s="9" t="s">
        <v>3861</v>
      </c>
      <c r="C2658" s="9" t="s">
        <v>418</v>
      </c>
      <c r="D2658" s="9" t="s">
        <v>11</v>
      </c>
      <c r="E2658" s="9">
        <v>124</v>
      </c>
      <c r="F2658" s="9">
        <v>6.6</v>
      </c>
      <c r="G2658" s="9">
        <v>15000000</v>
      </c>
      <c r="H2658" s="9">
        <v>25078937</v>
      </c>
      <c r="I2658" s="5">
        <f>IMDB_Movies!$H2658-IMDB_Movies!$G2658</f>
        <v>10078937</v>
      </c>
    </row>
    <row r="2659" spans="1:9" ht="23">
      <c r="A2659" s="3" t="s">
        <v>3862</v>
      </c>
      <c r="B2659" s="10" t="s">
        <v>1141</v>
      </c>
      <c r="C2659" s="10" t="s">
        <v>138</v>
      </c>
      <c r="D2659" s="10" t="s">
        <v>11</v>
      </c>
      <c r="E2659" s="10">
        <v>101</v>
      </c>
      <c r="F2659" s="10">
        <v>8.1</v>
      </c>
      <c r="G2659" s="10">
        <v>14600000</v>
      </c>
      <c r="H2659" s="10">
        <v>70906973</v>
      </c>
      <c r="I2659" s="5">
        <f>IMDB_Movies!$H2659-IMDB_Movies!$G2659</f>
        <v>56306973</v>
      </c>
    </row>
    <row r="2660" spans="1:9" ht="23">
      <c r="A2660" s="2" t="s">
        <v>3863</v>
      </c>
      <c r="B2660" s="9" t="s">
        <v>3864</v>
      </c>
      <c r="C2660" s="9" t="s">
        <v>138</v>
      </c>
      <c r="D2660" s="9" t="s">
        <v>11</v>
      </c>
      <c r="E2660" s="9">
        <v>115</v>
      </c>
      <c r="F2660" s="9">
        <v>5.7</v>
      </c>
      <c r="G2660" s="9">
        <v>14800000</v>
      </c>
      <c r="H2660" s="9">
        <v>66009973</v>
      </c>
      <c r="I2660" s="5">
        <f>IMDB_Movies!$H2660-IMDB_Movies!$G2660</f>
        <v>51209973</v>
      </c>
    </row>
    <row r="2661" spans="1:9" ht="23">
      <c r="A2661" s="3" t="s">
        <v>3865</v>
      </c>
      <c r="B2661" s="10" t="s">
        <v>96</v>
      </c>
      <c r="C2661" s="10" t="s">
        <v>56</v>
      </c>
      <c r="D2661" s="10" t="s">
        <v>11</v>
      </c>
      <c r="E2661" s="10">
        <v>120</v>
      </c>
      <c r="F2661" s="10">
        <v>6.8</v>
      </c>
      <c r="G2661" s="10">
        <v>14500000</v>
      </c>
      <c r="H2661" s="10">
        <v>46338728</v>
      </c>
      <c r="I2661" s="5">
        <f>IMDB_Movies!$H2661-IMDB_Movies!$G2661</f>
        <v>31838728</v>
      </c>
    </row>
    <row r="2662" spans="1:9" ht="23">
      <c r="A2662" s="2" t="s">
        <v>3866</v>
      </c>
      <c r="B2662" s="9" t="s">
        <v>3867</v>
      </c>
      <c r="C2662" s="9" t="s">
        <v>56</v>
      </c>
      <c r="D2662" s="9" t="s">
        <v>394</v>
      </c>
      <c r="E2662" s="9">
        <v>111</v>
      </c>
      <c r="F2662" s="9">
        <v>7.5</v>
      </c>
      <c r="G2662" s="9">
        <v>10000000</v>
      </c>
      <c r="H2662" s="9">
        <v>7691700</v>
      </c>
      <c r="I2662" s="5">
        <f>IMDB_Movies!$H2662-IMDB_Movies!$G2662</f>
        <v>-2308300</v>
      </c>
    </row>
    <row r="2663" spans="1:9" ht="23">
      <c r="A2663" s="3" t="s">
        <v>3868</v>
      </c>
      <c r="B2663" s="10" t="s">
        <v>3869</v>
      </c>
      <c r="C2663" s="10" t="s">
        <v>56</v>
      </c>
      <c r="D2663" s="10" t="s">
        <v>11</v>
      </c>
      <c r="E2663" s="10">
        <v>94</v>
      </c>
      <c r="F2663" s="10">
        <v>6.2</v>
      </c>
      <c r="G2663" s="10">
        <v>14500000</v>
      </c>
      <c r="H2663" s="10">
        <v>25078937</v>
      </c>
      <c r="I2663" s="5">
        <f>IMDB_Movies!$H2663-IMDB_Movies!$G2663</f>
        <v>10578937</v>
      </c>
    </row>
    <row r="2664" spans="1:9" ht="23">
      <c r="A2664" s="2" t="s">
        <v>3870</v>
      </c>
      <c r="B2664" s="9" t="s">
        <v>992</v>
      </c>
      <c r="C2664" s="9" t="s">
        <v>56</v>
      </c>
      <c r="D2664" s="9" t="s">
        <v>11</v>
      </c>
      <c r="E2664" s="9">
        <v>131</v>
      </c>
      <c r="F2664" s="9">
        <v>8.3000000000000007</v>
      </c>
      <c r="G2664" s="9">
        <v>14400000</v>
      </c>
      <c r="H2664" s="9">
        <v>101157447</v>
      </c>
      <c r="I2664" s="5">
        <f>IMDB_Movies!$H2664-IMDB_Movies!$G2664</f>
        <v>86757447</v>
      </c>
    </row>
    <row r="2665" spans="1:9" ht="23">
      <c r="A2665" s="3" t="s">
        <v>3871</v>
      </c>
      <c r="B2665" s="10" t="s">
        <v>3872</v>
      </c>
      <c r="C2665" s="10" t="s">
        <v>56</v>
      </c>
      <c r="D2665" s="10" t="s">
        <v>11</v>
      </c>
      <c r="E2665" s="10">
        <v>139</v>
      </c>
      <c r="F2665" s="10">
        <v>7.4</v>
      </c>
      <c r="G2665" s="10">
        <v>14200000</v>
      </c>
      <c r="H2665" s="10">
        <v>74205</v>
      </c>
      <c r="I2665" s="5">
        <f>IMDB_Movies!$H2665-IMDB_Movies!$G2665</f>
        <v>-14125795</v>
      </c>
    </row>
    <row r="2666" spans="1:9" ht="23">
      <c r="A2666" s="2" t="s">
        <v>3873</v>
      </c>
      <c r="B2666" s="9" t="s">
        <v>1450</v>
      </c>
      <c r="C2666" s="9" t="s">
        <v>56</v>
      </c>
      <c r="D2666" s="9" t="s">
        <v>11</v>
      </c>
      <c r="E2666" s="9">
        <v>120</v>
      </c>
      <c r="F2666" s="9">
        <v>8</v>
      </c>
      <c r="G2666" s="9">
        <v>15000000</v>
      </c>
      <c r="H2666" s="9">
        <v>141319195</v>
      </c>
      <c r="I2666" s="5">
        <f>IMDB_Movies!$H2666-IMDB_Movies!$G2666</f>
        <v>126319195</v>
      </c>
    </row>
    <row r="2667" spans="1:9" ht="23">
      <c r="A2667" s="3" t="s">
        <v>3874</v>
      </c>
      <c r="B2667" s="10" t="s">
        <v>1414</v>
      </c>
      <c r="C2667" s="10" t="s">
        <v>56</v>
      </c>
      <c r="D2667" s="10" t="s">
        <v>11</v>
      </c>
      <c r="E2667" s="10">
        <v>119</v>
      </c>
      <c r="F2667" s="10">
        <v>6.9</v>
      </c>
      <c r="G2667" s="10">
        <v>14000000</v>
      </c>
      <c r="H2667" s="10">
        <v>156645693</v>
      </c>
      <c r="I2667" s="5">
        <f>IMDB_Movies!$H2667-IMDB_Movies!$G2667</f>
        <v>142645693</v>
      </c>
    </row>
    <row r="2668" spans="1:9" ht="23">
      <c r="A2668" s="2" t="s">
        <v>3875</v>
      </c>
      <c r="B2668" s="9" t="s">
        <v>883</v>
      </c>
      <c r="C2668" s="9" t="s">
        <v>138</v>
      </c>
      <c r="D2668" s="9" t="s">
        <v>11</v>
      </c>
      <c r="E2668" s="9">
        <v>125</v>
      </c>
      <c r="F2668" s="9">
        <v>6.9</v>
      </c>
      <c r="G2668" s="9">
        <v>14000000</v>
      </c>
      <c r="H2668" s="9">
        <v>178406268</v>
      </c>
      <c r="I2668" s="5">
        <f>IMDB_Movies!$H2668-IMDB_Movies!$G2668</f>
        <v>164406268</v>
      </c>
    </row>
    <row r="2669" spans="1:9" ht="23">
      <c r="A2669" s="3" t="s">
        <v>3876</v>
      </c>
      <c r="B2669" s="10" t="s">
        <v>3877</v>
      </c>
      <c r="C2669" s="10" t="s">
        <v>138</v>
      </c>
      <c r="D2669" s="10" t="s">
        <v>11</v>
      </c>
      <c r="E2669" s="10">
        <v>65</v>
      </c>
      <c r="F2669" s="10">
        <v>9.5</v>
      </c>
      <c r="G2669" s="10">
        <v>20000000</v>
      </c>
      <c r="H2669" s="10">
        <v>25078937</v>
      </c>
      <c r="I2669" s="5">
        <f>IMDB_Movies!$H2669-IMDB_Movies!$G2669</f>
        <v>5078937</v>
      </c>
    </row>
    <row r="2670" spans="1:9" ht="23">
      <c r="A2670" s="2" t="s">
        <v>3878</v>
      </c>
      <c r="B2670" s="9" t="s">
        <v>3879</v>
      </c>
      <c r="C2670" s="9" t="s">
        <v>10</v>
      </c>
      <c r="D2670" s="9" t="s">
        <v>11</v>
      </c>
      <c r="E2670" s="9">
        <v>108</v>
      </c>
      <c r="F2670" s="9">
        <v>5.5</v>
      </c>
      <c r="G2670" s="9">
        <v>15800000</v>
      </c>
      <c r="H2670" s="9">
        <v>109306210</v>
      </c>
      <c r="I2670" s="5">
        <f>IMDB_Movies!$H2670-IMDB_Movies!$G2670</f>
        <v>93506210</v>
      </c>
    </row>
    <row r="2671" spans="1:9" ht="23">
      <c r="A2671" s="3" t="s">
        <v>3880</v>
      </c>
      <c r="B2671" s="10" t="s">
        <v>3881</v>
      </c>
      <c r="C2671" s="10" t="s">
        <v>10</v>
      </c>
      <c r="D2671" s="10" t="s">
        <v>11</v>
      </c>
      <c r="E2671" s="10">
        <v>101</v>
      </c>
      <c r="F2671" s="10">
        <v>5.7</v>
      </c>
      <c r="G2671" s="10">
        <v>15000000</v>
      </c>
      <c r="H2671" s="10">
        <v>25078937</v>
      </c>
      <c r="I2671" s="5">
        <f>IMDB_Movies!$H2671-IMDB_Movies!$G2671</f>
        <v>10078937</v>
      </c>
    </row>
    <row r="2672" spans="1:9" ht="23">
      <c r="A2672" s="2" t="s">
        <v>3882</v>
      </c>
      <c r="B2672" s="9" t="s">
        <v>205</v>
      </c>
      <c r="C2672" s="9" t="s">
        <v>418</v>
      </c>
      <c r="D2672" s="9" t="s">
        <v>11</v>
      </c>
      <c r="E2672" s="9">
        <v>145</v>
      </c>
      <c r="F2672" s="9">
        <v>7.2</v>
      </c>
      <c r="G2672" s="9">
        <v>14000000</v>
      </c>
      <c r="H2672" s="9">
        <v>70001698</v>
      </c>
      <c r="I2672" s="5">
        <f>IMDB_Movies!$H2672-IMDB_Movies!$G2672</f>
        <v>56001698</v>
      </c>
    </row>
    <row r="2673" spans="1:9" ht="23">
      <c r="A2673" s="3" t="s">
        <v>3883</v>
      </c>
      <c r="B2673" s="10" t="s">
        <v>189</v>
      </c>
      <c r="C2673" s="10" t="s">
        <v>24</v>
      </c>
      <c r="D2673" s="10" t="s">
        <v>11</v>
      </c>
      <c r="E2673" s="10">
        <v>98</v>
      </c>
      <c r="F2673" s="10">
        <v>6.9</v>
      </c>
      <c r="G2673" s="10">
        <v>15000000</v>
      </c>
      <c r="H2673" s="10">
        <v>68856263</v>
      </c>
      <c r="I2673" s="5">
        <f>IMDB_Movies!$H2673-IMDB_Movies!$G2673</f>
        <v>53856263</v>
      </c>
    </row>
    <row r="2674" spans="1:9" ht="23">
      <c r="A2674" s="2" t="s">
        <v>3884</v>
      </c>
      <c r="B2674" s="9" t="s">
        <v>1505</v>
      </c>
      <c r="C2674" s="9" t="s">
        <v>810</v>
      </c>
      <c r="D2674" s="9" t="s">
        <v>11</v>
      </c>
      <c r="E2674" s="9">
        <v>101</v>
      </c>
      <c r="F2674" s="9">
        <v>5.5</v>
      </c>
      <c r="G2674" s="9">
        <v>15000000</v>
      </c>
      <c r="H2674" s="9">
        <v>51527787</v>
      </c>
      <c r="I2674" s="5">
        <f>IMDB_Movies!$H2674-IMDB_Movies!$G2674</f>
        <v>36527787</v>
      </c>
    </row>
    <row r="2675" spans="1:9" ht="23">
      <c r="A2675" s="3" t="s">
        <v>3885</v>
      </c>
      <c r="B2675" s="10" t="s">
        <v>2741</v>
      </c>
      <c r="C2675" s="10" t="s">
        <v>56</v>
      </c>
      <c r="D2675" s="10" t="s">
        <v>11</v>
      </c>
      <c r="E2675" s="10">
        <v>109</v>
      </c>
      <c r="F2675" s="10">
        <v>5.2</v>
      </c>
      <c r="G2675" s="10">
        <v>14000000</v>
      </c>
      <c r="H2675" s="10">
        <v>61356221</v>
      </c>
      <c r="I2675" s="5">
        <f>IMDB_Movies!$H2675-IMDB_Movies!$G2675</f>
        <v>47356221</v>
      </c>
    </row>
    <row r="2676" spans="1:9" ht="23">
      <c r="A2676" s="2" t="s">
        <v>3886</v>
      </c>
      <c r="B2676" s="9" t="s">
        <v>2242</v>
      </c>
      <c r="C2676" s="9" t="s">
        <v>10</v>
      </c>
      <c r="D2676" s="9" t="s">
        <v>11</v>
      </c>
      <c r="E2676" s="9">
        <v>123</v>
      </c>
      <c r="F2676" s="9">
        <v>7.1</v>
      </c>
      <c r="G2676" s="9">
        <v>14000000</v>
      </c>
      <c r="H2676" s="9">
        <v>46800000</v>
      </c>
      <c r="I2676" s="5">
        <f>IMDB_Movies!$H2676-IMDB_Movies!$G2676</f>
        <v>32800000</v>
      </c>
    </row>
    <row r="2677" spans="1:9" ht="23">
      <c r="A2677" s="3" t="s">
        <v>3887</v>
      </c>
      <c r="B2677" s="10" t="s">
        <v>3888</v>
      </c>
      <c r="C2677" s="10" t="s">
        <v>810</v>
      </c>
      <c r="D2677" s="10" t="s">
        <v>11</v>
      </c>
      <c r="E2677" s="10">
        <v>99</v>
      </c>
      <c r="F2677" s="10">
        <v>5.5</v>
      </c>
      <c r="G2677" s="10">
        <v>14000000</v>
      </c>
      <c r="H2677" s="10">
        <v>38048637</v>
      </c>
      <c r="I2677" s="5">
        <f>IMDB_Movies!$H2677-IMDB_Movies!$G2677</f>
        <v>24048637</v>
      </c>
    </row>
    <row r="2678" spans="1:9" ht="23">
      <c r="A2678" s="2" t="s">
        <v>3889</v>
      </c>
      <c r="B2678" s="9" t="s">
        <v>2669</v>
      </c>
      <c r="C2678" s="9" t="s">
        <v>138</v>
      </c>
      <c r="D2678" s="9" t="s">
        <v>11</v>
      </c>
      <c r="E2678" s="9">
        <v>110</v>
      </c>
      <c r="F2678" s="9">
        <v>5.4</v>
      </c>
      <c r="G2678" s="9">
        <v>20000000</v>
      </c>
      <c r="H2678" s="9">
        <v>35010192</v>
      </c>
      <c r="I2678" s="5">
        <f>IMDB_Movies!$H2678-IMDB_Movies!$G2678</f>
        <v>15010192</v>
      </c>
    </row>
    <row r="2679" spans="1:9" ht="23">
      <c r="A2679" s="3" t="s">
        <v>3890</v>
      </c>
      <c r="B2679" s="10" t="s">
        <v>3891</v>
      </c>
      <c r="C2679" s="10" t="s">
        <v>24</v>
      </c>
      <c r="D2679" s="10" t="s">
        <v>11</v>
      </c>
      <c r="E2679" s="10">
        <v>107</v>
      </c>
      <c r="F2679" s="10">
        <v>6.7</v>
      </c>
      <c r="G2679" s="10">
        <v>14000000</v>
      </c>
      <c r="H2679" s="10">
        <v>34793160</v>
      </c>
      <c r="I2679" s="5">
        <f>IMDB_Movies!$H2679-IMDB_Movies!$G2679</f>
        <v>20793160</v>
      </c>
    </row>
    <row r="2680" spans="1:9" ht="23">
      <c r="A2680" s="2" t="s">
        <v>3892</v>
      </c>
      <c r="B2680" s="9" t="s">
        <v>2770</v>
      </c>
      <c r="C2680" s="9" t="s">
        <v>138</v>
      </c>
      <c r="D2680" s="9" t="s">
        <v>11</v>
      </c>
      <c r="E2680" s="9">
        <v>81</v>
      </c>
      <c r="F2680" s="9">
        <v>5</v>
      </c>
      <c r="G2680" s="9">
        <v>14000000</v>
      </c>
      <c r="H2680" s="9">
        <v>30628981</v>
      </c>
      <c r="I2680" s="5">
        <f>IMDB_Movies!$H2680-IMDB_Movies!$G2680</f>
        <v>16628981</v>
      </c>
    </row>
    <row r="2681" spans="1:9" ht="23">
      <c r="A2681" s="3" t="s">
        <v>3893</v>
      </c>
      <c r="B2681" s="10" t="s">
        <v>1335</v>
      </c>
      <c r="C2681" s="10" t="s">
        <v>418</v>
      </c>
      <c r="D2681" s="10" t="s">
        <v>11</v>
      </c>
      <c r="E2681" s="10">
        <v>105</v>
      </c>
      <c r="F2681" s="10">
        <v>6.4</v>
      </c>
      <c r="G2681" s="10">
        <v>13000000</v>
      </c>
      <c r="H2681" s="10">
        <v>29959436</v>
      </c>
      <c r="I2681" s="5">
        <f>IMDB_Movies!$H2681-IMDB_Movies!$G2681</f>
        <v>16959436</v>
      </c>
    </row>
    <row r="2682" spans="1:9" ht="23">
      <c r="A2682" s="2" t="s">
        <v>3894</v>
      </c>
      <c r="B2682" s="9" t="s">
        <v>3748</v>
      </c>
      <c r="C2682" s="9" t="s">
        <v>24</v>
      </c>
      <c r="D2682" s="9" t="s">
        <v>11</v>
      </c>
      <c r="E2682" s="9">
        <v>82</v>
      </c>
      <c r="F2682" s="9">
        <v>6.6</v>
      </c>
      <c r="G2682" s="9">
        <v>14000000</v>
      </c>
      <c r="H2682" s="9">
        <v>25571351</v>
      </c>
      <c r="I2682" s="5">
        <f>IMDB_Movies!$H2682-IMDB_Movies!$G2682</f>
        <v>11571351</v>
      </c>
    </row>
    <row r="2683" spans="1:9" ht="23">
      <c r="A2683" s="3" t="s">
        <v>3895</v>
      </c>
      <c r="B2683" s="10" t="s">
        <v>786</v>
      </c>
      <c r="C2683" s="10" t="s">
        <v>56</v>
      </c>
      <c r="D2683" s="10" t="s">
        <v>11</v>
      </c>
      <c r="E2683" s="10">
        <v>109</v>
      </c>
      <c r="F2683" s="10">
        <v>5.9</v>
      </c>
      <c r="G2683" s="10">
        <v>14000000</v>
      </c>
      <c r="H2683" s="10">
        <v>27515786</v>
      </c>
      <c r="I2683" s="5">
        <f>IMDB_Movies!$H2683-IMDB_Movies!$G2683</f>
        <v>13515786</v>
      </c>
    </row>
    <row r="2684" spans="1:9" ht="23">
      <c r="A2684" s="2" t="s">
        <v>3896</v>
      </c>
      <c r="B2684" s="9" t="s">
        <v>1230</v>
      </c>
      <c r="C2684" s="9" t="s">
        <v>10</v>
      </c>
      <c r="D2684" s="9" t="s">
        <v>11</v>
      </c>
      <c r="E2684" s="9">
        <v>95</v>
      </c>
      <c r="F2684" s="9">
        <v>5.7</v>
      </c>
      <c r="G2684" s="9">
        <v>14000000</v>
      </c>
      <c r="H2684" s="9">
        <v>25482931</v>
      </c>
      <c r="I2684" s="5">
        <f>IMDB_Movies!$H2684-IMDB_Movies!$G2684</f>
        <v>11482931</v>
      </c>
    </row>
    <row r="2685" spans="1:9" ht="23">
      <c r="A2685" s="3" t="s">
        <v>3897</v>
      </c>
      <c r="B2685" s="10" t="s">
        <v>1739</v>
      </c>
      <c r="C2685" s="10" t="s">
        <v>138</v>
      </c>
      <c r="D2685" s="10" t="s">
        <v>11</v>
      </c>
      <c r="E2685" s="10">
        <v>100</v>
      </c>
      <c r="F2685" s="10">
        <v>4.5</v>
      </c>
      <c r="G2685" s="10">
        <v>20000000</v>
      </c>
      <c r="H2685" s="10">
        <v>19900000</v>
      </c>
      <c r="I2685" s="5">
        <f>IMDB_Movies!$H2685-IMDB_Movies!$G2685</f>
        <v>-100000</v>
      </c>
    </row>
    <row r="2686" spans="1:9" ht="23">
      <c r="A2686" s="2" t="s">
        <v>3898</v>
      </c>
      <c r="B2686" s="9" t="s">
        <v>3399</v>
      </c>
      <c r="C2686" s="9" t="s">
        <v>810</v>
      </c>
      <c r="D2686" s="9" t="s">
        <v>11</v>
      </c>
      <c r="E2686" s="9">
        <v>118</v>
      </c>
      <c r="F2686" s="9">
        <v>3.7</v>
      </c>
      <c r="G2686" s="9">
        <v>14000000</v>
      </c>
      <c r="H2686" s="9">
        <v>25078937</v>
      </c>
      <c r="I2686" s="5">
        <f>IMDB_Movies!$H2686-IMDB_Movies!$G2686</f>
        <v>11078937</v>
      </c>
    </row>
    <row r="2687" spans="1:9" ht="23">
      <c r="A2687" s="3" t="s">
        <v>3899</v>
      </c>
      <c r="B2687" s="10" t="s">
        <v>3402</v>
      </c>
      <c r="C2687" s="10" t="s">
        <v>810</v>
      </c>
      <c r="D2687" s="10" t="s">
        <v>11</v>
      </c>
      <c r="E2687" s="10">
        <v>91</v>
      </c>
      <c r="F2687" s="10">
        <v>5</v>
      </c>
      <c r="G2687" s="10">
        <v>14000000</v>
      </c>
      <c r="H2687" s="10">
        <v>16298046</v>
      </c>
      <c r="I2687" s="5">
        <f>IMDB_Movies!$H2687-IMDB_Movies!$G2687</f>
        <v>2298046</v>
      </c>
    </row>
    <row r="2688" spans="1:9" ht="23">
      <c r="A2688" s="2" t="s">
        <v>3900</v>
      </c>
      <c r="B2688" s="9" t="s">
        <v>1564</v>
      </c>
      <c r="C2688" s="9" t="s">
        <v>138</v>
      </c>
      <c r="D2688" s="9" t="s">
        <v>11</v>
      </c>
      <c r="E2688" s="9">
        <v>90</v>
      </c>
      <c r="F2688" s="9">
        <v>4.5999999999999996</v>
      </c>
      <c r="G2688" s="9">
        <v>14000000</v>
      </c>
      <c r="H2688" s="9">
        <v>15549702</v>
      </c>
      <c r="I2688" s="5">
        <f>IMDB_Movies!$H2688-IMDB_Movies!$G2688</f>
        <v>1549702</v>
      </c>
    </row>
    <row r="2689" spans="1:9" ht="23">
      <c r="A2689" s="3" t="s">
        <v>3901</v>
      </c>
      <c r="B2689" s="10" t="s">
        <v>375</v>
      </c>
      <c r="C2689" s="10" t="s">
        <v>24</v>
      </c>
      <c r="D2689" s="10" t="s">
        <v>11</v>
      </c>
      <c r="E2689" s="10">
        <v>108</v>
      </c>
      <c r="F2689" s="10">
        <v>6.5</v>
      </c>
      <c r="G2689" s="10">
        <v>14000000</v>
      </c>
      <c r="H2689" s="10">
        <v>15483540</v>
      </c>
      <c r="I2689" s="5">
        <f>IMDB_Movies!$H2689-IMDB_Movies!$G2689</f>
        <v>1483540</v>
      </c>
    </row>
    <row r="2690" spans="1:9" ht="23">
      <c r="A2690" s="2" t="s">
        <v>3902</v>
      </c>
      <c r="B2690" s="9" t="s">
        <v>3903</v>
      </c>
      <c r="C2690" s="9" t="s">
        <v>138</v>
      </c>
      <c r="D2690" s="9" t="s">
        <v>11</v>
      </c>
      <c r="E2690" s="9">
        <v>103</v>
      </c>
      <c r="F2690" s="9">
        <v>4.9000000000000004</v>
      </c>
      <c r="G2690" s="9">
        <v>14000000</v>
      </c>
      <c r="H2690" s="9">
        <v>20246959</v>
      </c>
      <c r="I2690" s="5">
        <f>IMDB_Movies!$H2690-IMDB_Movies!$G2690</f>
        <v>6246959</v>
      </c>
    </row>
    <row r="2691" spans="1:9" ht="23">
      <c r="A2691" s="3" t="s">
        <v>3904</v>
      </c>
      <c r="B2691" s="10" t="s">
        <v>3905</v>
      </c>
      <c r="C2691" s="10" t="s">
        <v>138</v>
      </c>
      <c r="D2691" s="10" t="s">
        <v>11</v>
      </c>
      <c r="E2691" s="10">
        <v>96</v>
      </c>
      <c r="F2691" s="10">
        <v>6</v>
      </c>
      <c r="G2691" s="10">
        <v>14000000</v>
      </c>
      <c r="H2691" s="10">
        <v>15062898</v>
      </c>
      <c r="I2691" s="5">
        <f>IMDB_Movies!$H2691-IMDB_Movies!$G2691</f>
        <v>1062898</v>
      </c>
    </row>
    <row r="2692" spans="1:9" ht="23">
      <c r="A2692" s="2" t="s">
        <v>3906</v>
      </c>
      <c r="B2692" s="9" t="s">
        <v>3907</v>
      </c>
      <c r="C2692" s="9" t="s">
        <v>138</v>
      </c>
      <c r="D2692" s="9" t="s">
        <v>11</v>
      </c>
      <c r="E2692" s="9">
        <v>117</v>
      </c>
      <c r="F2692" s="9">
        <v>6.9</v>
      </c>
      <c r="G2692" s="9">
        <v>12000000</v>
      </c>
      <c r="H2692" s="9">
        <v>14348123</v>
      </c>
      <c r="I2692" s="5">
        <f>IMDB_Movies!$H2692-IMDB_Movies!$G2692</f>
        <v>2348123</v>
      </c>
    </row>
    <row r="2693" spans="1:9" ht="23">
      <c r="A2693" s="3" t="s">
        <v>3908</v>
      </c>
      <c r="B2693" s="10" t="s">
        <v>3909</v>
      </c>
      <c r="C2693" s="10" t="s">
        <v>713</v>
      </c>
      <c r="D2693" s="10" t="s">
        <v>11</v>
      </c>
      <c r="E2693" s="10">
        <v>93</v>
      </c>
      <c r="F2693" s="10">
        <v>5.7</v>
      </c>
      <c r="G2693" s="10">
        <v>8500000</v>
      </c>
      <c r="H2693" s="10">
        <v>15171475</v>
      </c>
      <c r="I2693" s="5">
        <f>IMDB_Movies!$H2693-IMDB_Movies!$G2693</f>
        <v>6671475</v>
      </c>
    </row>
    <row r="2694" spans="1:9" ht="23">
      <c r="A2694" s="2" t="s">
        <v>3910</v>
      </c>
      <c r="B2694" s="9" t="s">
        <v>130</v>
      </c>
      <c r="C2694" s="9" t="s">
        <v>56</v>
      </c>
      <c r="D2694" s="9" t="s">
        <v>11</v>
      </c>
      <c r="E2694" s="9">
        <v>136</v>
      </c>
      <c r="F2694" s="9">
        <v>6.7</v>
      </c>
      <c r="G2694" s="9">
        <v>14000000</v>
      </c>
      <c r="H2694" s="9">
        <v>25078937</v>
      </c>
      <c r="I2694" s="5">
        <f>IMDB_Movies!$H2694-IMDB_Movies!$G2694</f>
        <v>11078937</v>
      </c>
    </row>
    <row r="2695" spans="1:9" ht="23">
      <c r="A2695" s="3" t="s">
        <v>3911</v>
      </c>
      <c r="B2695" s="10" t="s">
        <v>1380</v>
      </c>
      <c r="C2695" s="10" t="s">
        <v>138</v>
      </c>
      <c r="D2695" s="10" t="s">
        <v>11</v>
      </c>
      <c r="E2695" s="10">
        <v>115</v>
      </c>
      <c r="F2695" s="10">
        <v>6.9</v>
      </c>
      <c r="G2695" s="10">
        <v>14000000</v>
      </c>
      <c r="H2695" s="10">
        <v>13640000</v>
      </c>
      <c r="I2695" s="5">
        <f>IMDB_Movies!$H2695-IMDB_Movies!$G2695</f>
        <v>-360000</v>
      </c>
    </row>
    <row r="2696" spans="1:9" ht="23">
      <c r="A2696" s="2" t="s">
        <v>3912</v>
      </c>
      <c r="B2696" s="9" t="s">
        <v>2001</v>
      </c>
      <c r="C2696" s="9" t="s">
        <v>138</v>
      </c>
      <c r="D2696" s="9" t="s">
        <v>11</v>
      </c>
      <c r="E2696" s="9">
        <v>94</v>
      </c>
      <c r="F2696" s="9">
        <v>5.5</v>
      </c>
      <c r="G2696" s="9">
        <v>20000000</v>
      </c>
      <c r="H2696" s="9">
        <v>12550242</v>
      </c>
      <c r="I2696" s="5">
        <f>IMDB_Movies!$H2696-IMDB_Movies!$G2696</f>
        <v>-7449758</v>
      </c>
    </row>
    <row r="2697" spans="1:9" ht="23">
      <c r="A2697" s="3" t="s">
        <v>3913</v>
      </c>
      <c r="B2697" s="10" t="s">
        <v>3914</v>
      </c>
      <c r="C2697" s="10" t="s">
        <v>10</v>
      </c>
      <c r="D2697" s="10" t="s">
        <v>11</v>
      </c>
      <c r="E2697" s="10">
        <v>85</v>
      </c>
      <c r="F2697" s="10">
        <v>4.4000000000000004</v>
      </c>
      <c r="G2697" s="10">
        <v>11000000</v>
      </c>
      <c r="H2697" s="10">
        <v>12610731</v>
      </c>
      <c r="I2697" s="5">
        <f>IMDB_Movies!$H2697-IMDB_Movies!$G2697</f>
        <v>1610731</v>
      </c>
    </row>
    <row r="2698" spans="1:9" ht="23">
      <c r="A2698" s="2" t="s">
        <v>3915</v>
      </c>
      <c r="B2698" s="9" t="s">
        <v>3916</v>
      </c>
      <c r="C2698" s="9" t="s">
        <v>56</v>
      </c>
      <c r="D2698" s="9" t="s">
        <v>11</v>
      </c>
      <c r="E2698" s="9">
        <v>112</v>
      </c>
      <c r="F2698" s="9">
        <v>7</v>
      </c>
      <c r="G2698" s="9">
        <v>14000000</v>
      </c>
      <c r="H2698" s="9">
        <v>11204499</v>
      </c>
      <c r="I2698" s="5">
        <f>IMDB_Movies!$H2698-IMDB_Movies!$G2698</f>
        <v>-2795501</v>
      </c>
    </row>
    <row r="2699" spans="1:9" ht="23">
      <c r="A2699" s="3" t="s">
        <v>3917</v>
      </c>
      <c r="B2699" s="10" t="s">
        <v>550</v>
      </c>
      <c r="C2699" s="10" t="s">
        <v>138</v>
      </c>
      <c r="D2699" s="10" t="s">
        <v>11</v>
      </c>
      <c r="E2699" s="10">
        <v>86</v>
      </c>
      <c r="F2699" s="10">
        <v>5.4</v>
      </c>
      <c r="G2699" s="10">
        <v>14000000</v>
      </c>
      <c r="H2699" s="10">
        <v>10397365</v>
      </c>
      <c r="I2699" s="5">
        <f>IMDB_Movies!$H2699-IMDB_Movies!$G2699</f>
        <v>-3602635</v>
      </c>
    </row>
    <row r="2700" spans="1:9" ht="23">
      <c r="A2700" s="2" t="s">
        <v>3918</v>
      </c>
      <c r="B2700" s="9" t="s">
        <v>3919</v>
      </c>
      <c r="C2700" s="9" t="s">
        <v>24</v>
      </c>
      <c r="D2700" s="9" t="s">
        <v>11</v>
      </c>
      <c r="E2700" s="9">
        <v>86</v>
      </c>
      <c r="F2700" s="9">
        <v>5.4</v>
      </c>
      <c r="G2700" s="9">
        <v>14000000</v>
      </c>
      <c r="H2700" s="9">
        <v>9402410</v>
      </c>
      <c r="I2700" s="5">
        <f>IMDB_Movies!$H2700-IMDB_Movies!$G2700</f>
        <v>-4597590</v>
      </c>
    </row>
    <row r="2701" spans="1:9" ht="23">
      <c r="A2701" s="3" t="s">
        <v>3920</v>
      </c>
      <c r="B2701" s="10" t="s">
        <v>3921</v>
      </c>
      <c r="C2701" s="10" t="s">
        <v>418</v>
      </c>
      <c r="D2701" s="10" t="s">
        <v>394</v>
      </c>
      <c r="E2701" s="10">
        <v>112</v>
      </c>
      <c r="F2701" s="10">
        <v>8</v>
      </c>
      <c r="G2701" s="10">
        <v>20000000</v>
      </c>
      <c r="H2701" s="10">
        <v>5990075</v>
      </c>
      <c r="I2701" s="5">
        <f>IMDB_Movies!$H2701-IMDB_Movies!$G2701</f>
        <v>-14009925</v>
      </c>
    </row>
    <row r="2702" spans="1:9" ht="23">
      <c r="A2702" s="2" t="s">
        <v>3922</v>
      </c>
      <c r="B2702" s="9" t="s">
        <v>3923</v>
      </c>
      <c r="C2702" s="9" t="s">
        <v>56</v>
      </c>
      <c r="D2702" s="9" t="s">
        <v>11</v>
      </c>
      <c r="E2702" s="9">
        <v>137</v>
      </c>
      <c r="F2702" s="9">
        <v>7.6</v>
      </c>
      <c r="G2702" s="9">
        <v>26000000</v>
      </c>
      <c r="H2702" s="9">
        <v>5459824</v>
      </c>
      <c r="I2702" s="5">
        <f>IMDB_Movies!$H2702-IMDB_Movies!$G2702</f>
        <v>-20540176</v>
      </c>
    </row>
    <row r="2703" spans="1:9" ht="23">
      <c r="A2703" s="3" t="s">
        <v>3924</v>
      </c>
      <c r="B2703" s="10" t="s">
        <v>3925</v>
      </c>
      <c r="C2703" s="10" t="s">
        <v>56</v>
      </c>
      <c r="D2703" s="10" t="s">
        <v>11</v>
      </c>
      <c r="E2703" s="10">
        <v>90</v>
      </c>
      <c r="F2703" s="10">
        <v>5.9</v>
      </c>
      <c r="G2703" s="10">
        <v>24000000</v>
      </c>
      <c r="H2703" s="10">
        <v>5108820</v>
      </c>
      <c r="I2703" s="5">
        <f>IMDB_Movies!$H2703-IMDB_Movies!$G2703</f>
        <v>-18891180</v>
      </c>
    </row>
    <row r="2704" spans="1:9" ht="23">
      <c r="A2704" s="2" t="s">
        <v>3926</v>
      </c>
      <c r="B2704" s="9" t="s">
        <v>2892</v>
      </c>
      <c r="C2704" s="9" t="s">
        <v>56</v>
      </c>
      <c r="D2704" s="9" t="s">
        <v>11</v>
      </c>
      <c r="E2704" s="9">
        <v>107</v>
      </c>
      <c r="F2704" s="9">
        <v>6.6</v>
      </c>
      <c r="G2704" s="9">
        <v>14000000</v>
      </c>
      <c r="H2704" s="9">
        <v>4741987</v>
      </c>
      <c r="I2704" s="5">
        <f>IMDB_Movies!$H2704-IMDB_Movies!$G2704</f>
        <v>-9258013</v>
      </c>
    </row>
    <row r="2705" spans="1:9" ht="23">
      <c r="A2705" s="3" t="s">
        <v>3927</v>
      </c>
      <c r="B2705" s="10" t="s">
        <v>323</v>
      </c>
      <c r="C2705" s="10" t="s">
        <v>418</v>
      </c>
      <c r="D2705" s="10" t="s">
        <v>11</v>
      </c>
      <c r="E2705" s="10">
        <v>98</v>
      </c>
      <c r="F2705" s="10">
        <v>6.7</v>
      </c>
      <c r="G2705" s="10">
        <v>14000000</v>
      </c>
      <c r="H2705" s="10">
        <v>4291965</v>
      </c>
      <c r="I2705" s="5">
        <f>IMDB_Movies!$H2705-IMDB_Movies!$G2705</f>
        <v>-9708035</v>
      </c>
    </row>
    <row r="2706" spans="1:9" ht="23">
      <c r="A2706" s="2" t="s">
        <v>3928</v>
      </c>
      <c r="B2706" s="9" t="s">
        <v>3929</v>
      </c>
      <c r="C2706" s="9" t="s">
        <v>56</v>
      </c>
      <c r="D2706" s="9" t="s">
        <v>11</v>
      </c>
      <c r="E2706" s="9">
        <v>84</v>
      </c>
      <c r="F2706" s="9">
        <v>3.9</v>
      </c>
      <c r="G2706" s="9">
        <v>14000000</v>
      </c>
      <c r="H2706" s="9">
        <v>3100650</v>
      </c>
      <c r="I2706" s="5">
        <f>IMDB_Movies!$H2706-IMDB_Movies!$G2706</f>
        <v>-10899350</v>
      </c>
    </row>
    <row r="2707" spans="1:9" ht="23">
      <c r="A2707" s="3" t="s">
        <v>3930</v>
      </c>
      <c r="B2707" s="10" t="s">
        <v>3607</v>
      </c>
      <c r="C2707" s="10" t="s">
        <v>418</v>
      </c>
      <c r="D2707" s="10" t="s">
        <v>11</v>
      </c>
      <c r="E2707" s="10">
        <v>139</v>
      </c>
      <c r="F2707" s="10">
        <v>5.7</v>
      </c>
      <c r="G2707" s="10">
        <v>14000000</v>
      </c>
      <c r="H2707" s="10">
        <v>2474000</v>
      </c>
      <c r="I2707" s="5">
        <f>IMDB_Movies!$H2707-IMDB_Movies!$G2707</f>
        <v>-11526000</v>
      </c>
    </row>
    <row r="2708" spans="1:9" ht="23">
      <c r="A2708" s="2" t="s">
        <v>3931</v>
      </c>
      <c r="B2708" s="9" t="s">
        <v>3739</v>
      </c>
      <c r="C2708" s="9" t="s">
        <v>138</v>
      </c>
      <c r="D2708" s="9" t="s">
        <v>11</v>
      </c>
      <c r="E2708" s="9">
        <v>97</v>
      </c>
      <c r="F2708" s="9">
        <v>6.7</v>
      </c>
      <c r="G2708" s="9">
        <v>20000000</v>
      </c>
      <c r="H2708" s="9">
        <v>2656324</v>
      </c>
      <c r="I2708" s="5">
        <f>IMDB_Movies!$H2708-IMDB_Movies!$G2708</f>
        <v>-17343676</v>
      </c>
    </row>
    <row r="2709" spans="1:9" ht="23">
      <c r="A2709" s="3" t="s">
        <v>3932</v>
      </c>
      <c r="B2709" s="10" t="s">
        <v>3933</v>
      </c>
      <c r="C2709" s="10" t="s">
        <v>10</v>
      </c>
      <c r="D2709" s="10" t="s">
        <v>11</v>
      </c>
      <c r="E2709" s="10">
        <v>127</v>
      </c>
      <c r="F2709" s="10">
        <v>6.5</v>
      </c>
      <c r="G2709" s="10">
        <v>14000000</v>
      </c>
      <c r="H2709" s="10">
        <v>1000000</v>
      </c>
      <c r="I2709" s="5">
        <f>IMDB_Movies!$H2709-IMDB_Movies!$G2709</f>
        <v>-13000000</v>
      </c>
    </row>
    <row r="2710" spans="1:9" ht="23">
      <c r="A2710" s="2" t="s">
        <v>3934</v>
      </c>
      <c r="B2710" s="9" t="s">
        <v>3221</v>
      </c>
      <c r="C2710" s="9" t="s">
        <v>418</v>
      </c>
      <c r="D2710" s="9" t="s">
        <v>11</v>
      </c>
      <c r="E2710" s="9">
        <v>150</v>
      </c>
      <c r="F2710" s="9">
        <v>6.8</v>
      </c>
      <c r="G2710" s="9">
        <v>8200000</v>
      </c>
      <c r="H2710" s="9">
        <v>3958500</v>
      </c>
      <c r="I2710" s="5">
        <f>IMDB_Movies!$H2710-IMDB_Movies!$G2710</f>
        <v>-4241500</v>
      </c>
    </row>
    <row r="2711" spans="1:9" ht="23">
      <c r="A2711" s="3" t="s">
        <v>3935</v>
      </c>
      <c r="B2711" s="10" t="s">
        <v>3936</v>
      </c>
      <c r="C2711" s="10" t="s">
        <v>56</v>
      </c>
      <c r="D2711" s="10" t="s">
        <v>394</v>
      </c>
      <c r="E2711" s="10">
        <v>104</v>
      </c>
      <c r="F2711" s="10">
        <v>6.3</v>
      </c>
      <c r="G2711" s="10">
        <v>20000000</v>
      </c>
      <c r="H2711" s="10">
        <v>403649</v>
      </c>
      <c r="I2711" s="5">
        <f>IMDB_Movies!$H2711-IMDB_Movies!$G2711</f>
        <v>-19596351</v>
      </c>
    </row>
    <row r="2712" spans="1:9" ht="23">
      <c r="A2712" s="2" t="s">
        <v>3937</v>
      </c>
      <c r="B2712" s="9" t="s">
        <v>1488</v>
      </c>
      <c r="C2712" s="9" t="s">
        <v>418</v>
      </c>
      <c r="D2712" s="9" t="s">
        <v>11</v>
      </c>
      <c r="E2712" s="9">
        <v>132</v>
      </c>
      <c r="F2712" s="9">
        <v>7.3</v>
      </c>
      <c r="G2712" s="9">
        <v>103000000</v>
      </c>
      <c r="H2712" s="9">
        <v>274299</v>
      </c>
      <c r="I2712" s="5">
        <f>IMDB_Movies!$H2712-IMDB_Movies!$G2712</f>
        <v>-102725701</v>
      </c>
    </row>
    <row r="2713" spans="1:9" ht="23">
      <c r="A2713" s="3" t="s">
        <v>3938</v>
      </c>
      <c r="B2713" s="10" t="s">
        <v>3939</v>
      </c>
      <c r="C2713" s="10" t="s">
        <v>10</v>
      </c>
      <c r="D2713" s="10" t="s">
        <v>521</v>
      </c>
      <c r="E2713" s="10">
        <v>117</v>
      </c>
      <c r="F2713" s="10">
        <v>6.9</v>
      </c>
      <c r="G2713" s="10">
        <v>12000000</v>
      </c>
      <c r="H2713" s="10">
        <v>25078937</v>
      </c>
      <c r="I2713" s="5">
        <f>IMDB_Movies!$H2713-IMDB_Movies!$G2713</f>
        <v>13078937</v>
      </c>
    </row>
    <row r="2714" spans="1:9" ht="23">
      <c r="A2714" s="2" t="s">
        <v>3940</v>
      </c>
      <c r="B2714" s="9" t="s">
        <v>640</v>
      </c>
      <c r="C2714" s="9" t="s">
        <v>138</v>
      </c>
      <c r="D2714" s="9" t="s">
        <v>11</v>
      </c>
      <c r="E2714" s="9">
        <v>115</v>
      </c>
      <c r="F2714" s="9">
        <v>7</v>
      </c>
      <c r="G2714" s="9">
        <v>15000000</v>
      </c>
      <c r="H2714" s="9">
        <v>183088</v>
      </c>
      <c r="I2714" s="5">
        <f>IMDB_Movies!$H2714-IMDB_Movies!$G2714</f>
        <v>-14816912</v>
      </c>
    </row>
    <row r="2715" spans="1:9" ht="23">
      <c r="A2715" s="3" t="s">
        <v>3941</v>
      </c>
      <c r="B2715" s="10" t="s">
        <v>3942</v>
      </c>
      <c r="C2715" s="10" t="s">
        <v>56</v>
      </c>
      <c r="D2715" s="10" t="s">
        <v>11</v>
      </c>
      <c r="E2715" s="10">
        <v>186</v>
      </c>
      <c r="F2715" s="10">
        <v>6.5</v>
      </c>
      <c r="G2715" s="10">
        <v>14000000</v>
      </c>
      <c r="H2715" s="10">
        <v>46495</v>
      </c>
      <c r="I2715" s="5">
        <f>IMDB_Movies!$H2715-IMDB_Movies!$G2715</f>
        <v>-13953505</v>
      </c>
    </row>
    <row r="2716" spans="1:9" ht="23">
      <c r="A2716" s="2" t="s">
        <v>3943</v>
      </c>
      <c r="B2716" s="9" t="s">
        <v>3944</v>
      </c>
      <c r="C2716" s="9" t="s">
        <v>138</v>
      </c>
      <c r="D2716" s="9" t="s">
        <v>11</v>
      </c>
      <c r="E2716" s="9">
        <v>90</v>
      </c>
      <c r="F2716" s="9">
        <v>3.6</v>
      </c>
      <c r="G2716" s="9">
        <v>20000000</v>
      </c>
      <c r="H2716" s="9">
        <v>25078937</v>
      </c>
      <c r="I2716" s="5">
        <f>IMDB_Movies!$H2716-IMDB_Movies!$G2716</f>
        <v>5078937</v>
      </c>
    </row>
    <row r="2717" spans="1:9" ht="23">
      <c r="A2717" s="3" t="s">
        <v>3945</v>
      </c>
      <c r="B2717" s="10" t="s">
        <v>1044</v>
      </c>
      <c r="C2717" s="10" t="s">
        <v>138</v>
      </c>
      <c r="D2717" s="10" t="s">
        <v>11</v>
      </c>
      <c r="E2717" s="10">
        <v>90</v>
      </c>
      <c r="F2717" s="10">
        <v>7.7</v>
      </c>
      <c r="G2717" s="10">
        <v>14000000</v>
      </c>
      <c r="H2717" s="10">
        <v>1752214</v>
      </c>
      <c r="I2717" s="5">
        <f>IMDB_Movies!$H2717-IMDB_Movies!$G2717</f>
        <v>-12247786</v>
      </c>
    </row>
    <row r="2718" spans="1:9" ht="23">
      <c r="A2718" s="2" t="s">
        <v>3946</v>
      </c>
      <c r="B2718" s="9" t="s">
        <v>287</v>
      </c>
      <c r="C2718" s="9" t="s">
        <v>56</v>
      </c>
      <c r="D2718" s="9" t="s">
        <v>11</v>
      </c>
      <c r="E2718" s="9">
        <v>134</v>
      </c>
      <c r="F2718" s="9">
        <v>7.7</v>
      </c>
      <c r="G2718" s="9">
        <v>14000000</v>
      </c>
      <c r="H2718" s="9">
        <v>83025853</v>
      </c>
      <c r="I2718" s="5">
        <f>IMDB_Movies!$H2718-IMDB_Movies!$G2718</f>
        <v>69025853</v>
      </c>
    </row>
    <row r="2719" spans="1:9" ht="23">
      <c r="A2719" s="3" t="s">
        <v>3947</v>
      </c>
      <c r="B2719" s="10" t="s">
        <v>3166</v>
      </c>
      <c r="C2719" s="10" t="s">
        <v>138</v>
      </c>
      <c r="D2719" s="10" t="s">
        <v>11</v>
      </c>
      <c r="E2719" s="10">
        <v>97</v>
      </c>
      <c r="F2719" s="10">
        <v>6.8</v>
      </c>
      <c r="G2719" s="10">
        <v>12000000</v>
      </c>
      <c r="H2719" s="10">
        <v>56631572</v>
      </c>
      <c r="I2719" s="5">
        <f>IMDB_Movies!$H2719-IMDB_Movies!$G2719</f>
        <v>44631572</v>
      </c>
    </row>
    <row r="2720" spans="1:9" ht="23">
      <c r="A2720" s="2" t="s">
        <v>3948</v>
      </c>
      <c r="B2720" s="9" t="s">
        <v>3238</v>
      </c>
      <c r="C2720" s="9" t="s">
        <v>56</v>
      </c>
      <c r="D2720" s="9" t="s">
        <v>11</v>
      </c>
      <c r="E2720" s="9">
        <v>107</v>
      </c>
      <c r="F2720" s="9">
        <v>7.4</v>
      </c>
      <c r="G2720" s="9">
        <v>13500000</v>
      </c>
      <c r="H2720" s="9">
        <v>15854988</v>
      </c>
      <c r="I2720" s="5">
        <f>IMDB_Movies!$H2720-IMDB_Movies!$G2720</f>
        <v>2354988</v>
      </c>
    </row>
    <row r="2721" spans="1:9" ht="23">
      <c r="A2721" s="3" t="s">
        <v>3949</v>
      </c>
      <c r="B2721" s="10" t="s">
        <v>1988</v>
      </c>
      <c r="C2721" s="10" t="s">
        <v>138</v>
      </c>
      <c r="D2721" s="10" t="s">
        <v>11</v>
      </c>
      <c r="E2721" s="10">
        <v>99</v>
      </c>
      <c r="F2721" s="10">
        <v>5.0999999999999996</v>
      </c>
      <c r="G2721" s="10">
        <v>14000000</v>
      </c>
      <c r="H2721" s="10">
        <v>12282677</v>
      </c>
      <c r="I2721" s="5">
        <f>IMDB_Movies!$H2721-IMDB_Movies!$G2721</f>
        <v>-1717323</v>
      </c>
    </row>
    <row r="2722" spans="1:9" ht="23">
      <c r="A2722" s="2" t="s">
        <v>3950</v>
      </c>
      <c r="B2722" s="9" t="s">
        <v>2562</v>
      </c>
      <c r="C2722" s="9" t="s">
        <v>418</v>
      </c>
      <c r="D2722" s="9" t="s">
        <v>11</v>
      </c>
      <c r="E2722" s="9">
        <v>124</v>
      </c>
      <c r="F2722" s="9">
        <v>7.4</v>
      </c>
      <c r="G2722" s="9">
        <v>13500000</v>
      </c>
      <c r="H2722" s="9">
        <v>7060876</v>
      </c>
      <c r="I2722" s="5">
        <f>IMDB_Movies!$H2722-IMDB_Movies!$G2722</f>
        <v>-6439124</v>
      </c>
    </row>
    <row r="2723" spans="1:9" ht="23">
      <c r="A2723" s="3" t="s">
        <v>3951</v>
      </c>
      <c r="B2723" s="10" t="s">
        <v>3791</v>
      </c>
      <c r="C2723" s="10" t="s">
        <v>138</v>
      </c>
      <c r="D2723" s="10" t="s">
        <v>11</v>
      </c>
      <c r="E2723" s="10">
        <v>110</v>
      </c>
      <c r="F2723" s="10">
        <v>7.2</v>
      </c>
      <c r="G2723" s="10">
        <v>15000000</v>
      </c>
      <c r="H2723" s="10">
        <v>14989761</v>
      </c>
      <c r="I2723" s="5">
        <f>IMDB_Movies!$H2723-IMDB_Movies!$G2723</f>
        <v>-10239</v>
      </c>
    </row>
    <row r="2724" spans="1:9" ht="23">
      <c r="A2724" s="2" t="s">
        <v>3952</v>
      </c>
      <c r="B2724" s="9" t="s">
        <v>3461</v>
      </c>
      <c r="C2724" s="9" t="s">
        <v>414</v>
      </c>
      <c r="D2724" s="9" t="s">
        <v>11</v>
      </c>
      <c r="E2724" s="9">
        <v>105</v>
      </c>
      <c r="F2724" s="9">
        <v>6</v>
      </c>
      <c r="G2724" s="9">
        <v>20000000</v>
      </c>
      <c r="H2724" s="9">
        <v>687081</v>
      </c>
      <c r="I2724" s="5">
        <f>IMDB_Movies!$H2724-IMDB_Movies!$G2724</f>
        <v>-19312919</v>
      </c>
    </row>
    <row r="2725" spans="1:9" ht="23">
      <c r="A2725" s="3" t="s">
        <v>3953</v>
      </c>
      <c r="B2725" s="10" t="s">
        <v>789</v>
      </c>
      <c r="C2725" s="10" t="s">
        <v>418</v>
      </c>
      <c r="D2725" s="10" t="s">
        <v>2452</v>
      </c>
      <c r="E2725" s="10">
        <v>178</v>
      </c>
      <c r="F2725" s="10">
        <v>8.3000000000000007</v>
      </c>
      <c r="G2725" s="10">
        <v>13500000</v>
      </c>
      <c r="H2725" s="10">
        <v>5501940</v>
      </c>
      <c r="I2725" s="5">
        <f>IMDB_Movies!$H2725-IMDB_Movies!$G2725</f>
        <v>-7998060</v>
      </c>
    </row>
    <row r="2726" spans="1:9" ht="23">
      <c r="A2726" s="2" t="s">
        <v>3954</v>
      </c>
      <c r="B2726" s="9" t="s">
        <v>955</v>
      </c>
      <c r="C2726" s="9" t="s">
        <v>418</v>
      </c>
      <c r="D2726" s="9" t="s">
        <v>741</v>
      </c>
      <c r="E2726" s="9">
        <v>125</v>
      </c>
      <c r="F2726" s="9">
        <v>8.1</v>
      </c>
      <c r="G2726" s="9">
        <v>10000000</v>
      </c>
      <c r="H2726" s="9">
        <v>2086345</v>
      </c>
      <c r="I2726" s="5">
        <f>IMDB_Movies!$H2726-IMDB_Movies!$G2726</f>
        <v>-7913655</v>
      </c>
    </row>
    <row r="2727" spans="1:9" ht="23">
      <c r="A2727" s="3" t="s">
        <v>3955</v>
      </c>
      <c r="B2727" s="10" t="s">
        <v>3230</v>
      </c>
      <c r="C2727" s="10" t="s">
        <v>56</v>
      </c>
      <c r="D2727" s="10" t="s">
        <v>11</v>
      </c>
      <c r="E2727" s="10">
        <v>108</v>
      </c>
      <c r="F2727" s="10">
        <v>6.3</v>
      </c>
      <c r="G2727" s="10">
        <v>20000000</v>
      </c>
      <c r="H2727" s="10">
        <v>2605039</v>
      </c>
      <c r="I2727" s="5">
        <f>IMDB_Movies!$H2727-IMDB_Movies!$G2727</f>
        <v>-17394961</v>
      </c>
    </row>
    <row r="2728" spans="1:9" ht="23">
      <c r="A2728" s="2" t="s">
        <v>3956</v>
      </c>
      <c r="B2728" s="9" t="s">
        <v>834</v>
      </c>
      <c r="C2728" s="9" t="s">
        <v>418</v>
      </c>
      <c r="D2728" s="9" t="s">
        <v>11</v>
      </c>
      <c r="E2728" s="9">
        <v>121</v>
      </c>
      <c r="F2728" s="9">
        <v>7.3</v>
      </c>
      <c r="G2728" s="9">
        <v>13000000</v>
      </c>
      <c r="H2728" s="9">
        <v>123922370</v>
      </c>
      <c r="I2728" s="5">
        <f>IMDB_Movies!$H2728-IMDB_Movies!$G2728</f>
        <v>110922370</v>
      </c>
    </row>
    <row r="2729" spans="1:9" ht="23">
      <c r="A2729" s="3" t="s">
        <v>3957</v>
      </c>
      <c r="B2729" s="10" t="s">
        <v>2223</v>
      </c>
      <c r="C2729" s="10" t="s">
        <v>138</v>
      </c>
      <c r="D2729" s="10" t="s">
        <v>11</v>
      </c>
      <c r="E2729" s="10">
        <v>100</v>
      </c>
      <c r="F2729" s="10">
        <v>3.6</v>
      </c>
      <c r="G2729" s="10">
        <v>13400000</v>
      </c>
      <c r="H2729" s="10">
        <v>163591</v>
      </c>
      <c r="I2729" s="5">
        <f>IMDB_Movies!$H2729-IMDB_Movies!$G2729</f>
        <v>-13236409</v>
      </c>
    </row>
    <row r="2730" spans="1:9" ht="23">
      <c r="A2730" s="2" t="s">
        <v>3958</v>
      </c>
      <c r="B2730" s="9" t="s">
        <v>289</v>
      </c>
      <c r="C2730" s="9" t="s">
        <v>772</v>
      </c>
      <c r="D2730" s="9" t="s">
        <v>11</v>
      </c>
      <c r="E2730" s="9">
        <v>115</v>
      </c>
      <c r="F2730" s="9">
        <v>1.6</v>
      </c>
      <c r="G2730" s="9">
        <v>13000000</v>
      </c>
      <c r="H2730" s="9">
        <v>73000942</v>
      </c>
      <c r="I2730" s="5">
        <f>IMDB_Movies!$H2730-IMDB_Movies!$G2730</f>
        <v>60000942</v>
      </c>
    </row>
    <row r="2731" spans="1:9" ht="23">
      <c r="A2731" s="3" t="s">
        <v>3959</v>
      </c>
      <c r="B2731" s="10" t="s">
        <v>325</v>
      </c>
      <c r="C2731" s="10" t="s">
        <v>56</v>
      </c>
      <c r="D2731" s="10" t="s">
        <v>11</v>
      </c>
      <c r="E2731" s="10">
        <v>108</v>
      </c>
      <c r="F2731" s="10">
        <v>8</v>
      </c>
      <c r="G2731" s="10">
        <v>13000000</v>
      </c>
      <c r="H2731" s="10">
        <v>106952327</v>
      </c>
      <c r="I2731" s="5">
        <f>IMDB_Movies!$H2731-IMDB_Movies!$G2731</f>
        <v>93952327</v>
      </c>
    </row>
    <row r="2732" spans="1:9" ht="23">
      <c r="A2732" s="2" t="s">
        <v>3960</v>
      </c>
      <c r="B2732" s="9" t="s">
        <v>1311</v>
      </c>
      <c r="C2732" s="9" t="s">
        <v>414</v>
      </c>
      <c r="D2732" s="9" t="s">
        <v>11</v>
      </c>
      <c r="E2732" s="9">
        <v>220</v>
      </c>
      <c r="F2732" s="9">
        <v>9</v>
      </c>
      <c r="G2732" s="9">
        <v>13000000</v>
      </c>
      <c r="H2732" s="9">
        <v>57300000</v>
      </c>
      <c r="I2732" s="5">
        <f>IMDB_Movies!$H2732-IMDB_Movies!$G2732</f>
        <v>44300000</v>
      </c>
    </row>
    <row r="2733" spans="1:9" ht="23">
      <c r="A2733" s="3" t="s">
        <v>3961</v>
      </c>
      <c r="B2733" s="10" t="s">
        <v>1581</v>
      </c>
      <c r="C2733" s="10" t="s">
        <v>56</v>
      </c>
      <c r="D2733" s="10" t="s">
        <v>11</v>
      </c>
      <c r="E2733" s="10">
        <v>112</v>
      </c>
      <c r="F2733" s="10">
        <v>6.1</v>
      </c>
      <c r="G2733" s="10">
        <v>13000000</v>
      </c>
      <c r="H2733" s="10">
        <v>91038276</v>
      </c>
      <c r="I2733" s="5">
        <f>IMDB_Movies!$H2733-IMDB_Movies!$G2733</f>
        <v>78038276</v>
      </c>
    </row>
    <row r="2734" spans="1:9" ht="23">
      <c r="A2734" s="2" t="s">
        <v>3962</v>
      </c>
      <c r="B2734" s="9" t="s">
        <v>557</v>
      </c>
      <c r="C2734" s="9" t="s">
        <v>713</v>
      </c>
      <c r="D2734" s="9" t="s">
        <v>11</v>
      </c>
      <c r="E2734" s="9">
        <v>99</v>
      </c>
      <c r="F2734" s="9">
        <v>5.7</v>
      </c>
      <c r="G2734" s="9">
        <v>7000000</v>
      </c>
      <c r="H2734" s="9">
        <v>49369900</v>
      </c>
      <c r="I2734" s="5">
        <f>IMDB_Movies!$H2734-IMDB_Movies!$G2734</f>
        <v>42369900</v>
      </c>
    </row>
    <row r="2735" spans="1:9" ht="23">
      <c r="A2735" s="3" t="s">
        <v>3963</v>
      </c>
      <c r="B2735" s="10" t="s">
        <v>2780</v>
      </c>
      <c r="C2735" s="10" t="s">
        <v>56</v>
      </c>
      <c r="D2735" s="10" t="s">
        <v>11</v>
      </c>
      <c r="E2735" s="10">
        <v>109</v>
      </c>
      <c r="F2735" s="10">
        <v>6.8</v>
      </c>
      <c r="G2735" s="10">
        <v>13000000</v>
      </c>
      <c r="H2735" s="10">
        <v>61693523</v>
      </c>
      <c r="I2735" s="5">
        <f>IMDB_Movies!$H2735-IMDB_Movies!$G2735</f>
        <v>48693523</v>
      </c>
    </row>
    <row r="2736" spans="1:9" ht="23">
      <c r="A2736" s="2" t="s">
        <v>3964</v>
      </c>
      <c r="B2736" s="9" t="s">
        <v>3965</v>
      </c>
      <c r="C2736" s="9" t="s">
        <v>138</v>
      </c>
      <c r="D2736" s="9" t="s">
        <v>11</v>
      </c>
      <c r="E2736" s="9">
        <v>83</v>
      </c>
      <c r="F2736" s="9">
        <v>5.5</v>
      </c>
      <c r="G2736" s="9">
        <v>13000000</v>
      </c>
      <c r="H2736" s="9">
        <v>46729374</v>
      </c>
      <c r="I2736" s="5">
        <f>IMDB_Movies!$H2736-IMDB_Movies!$G2736</f>
        <v>33729374</v>
      </c>
    </row>
    <row r="2737" spans="1:9" ht="23">
      <c r="A2737" s="3" t="s">
        <v>3966</v>
      </c>
      <c r="B2737" s="10" t="s">
        <v>3967</v>
      </c>
      <c r="C2737" s="10" t="s">
        <v>10</v>
      </c>
      <c r="D2737" s="10" t="s">
        <v>11</v>
      </c>
      <c r="E2737" s="10">
        <v>107</v>
      </c>
      <c r="F2737" s="10">
        <v>6.8</v>
      </c>
      <c r="G2737" s="10">
        <v>13000000</v>
      </c>
      <c r="H2737" s="10">
        <v>44726644</v>
      </c>
      <c r="I2737" s="5">
        <f>IMDB_Movies!$H2737-IMDB_Movies!$G2737</f>
        <v>31726644</v>
      </c>
    </row>
    <row r="2738" spans="1:9" ht="23">
      <c r="A2738" s="2" t="s">
        <v>3968</v>
      </c>
      <c r="B2738" s="9" t="s">
        <v>3969</v>
      </c>
      <c r="C2738" s="9" t="s">
        <v>138</v>
      </c>
      <c r="D2738" s="9" t="s">
        <v>11</v>
      </c>
      <c r="E2738" s="9">
        <v>102</v>
      </c>
      <c r="F2738" s="9">
        <v>7.3</v>
      </c>
      <c r="G2738" s="9">
        <v>13000000</v>
      </c>
      <c r="H2738" s="9">
        <v>44134898</v>
      </c>
      <c r="I2738" s="5">
        <f>IMDB_Movies!$H2738-IMDB_Movies!$G2738</f>
        <v>31134898</v>
      </c>
    </row>
    <row r="2739" spans="1:9" ht="23">
      <c r="A2739" s="3" t="s">
        <v>3970</v>
      </c>
      <c r="B2739" s="10" t="s">
        <v>1988</v>
      </c>
      <c r="C2739" s="10" t="s">
        <v>138</v>
      </c>
      <c r="D2739" s="10" t="s">
        <v>11</v>
      </c>
      <c r="E2739" s="10">
        <v>100</v>
      </c>
      <c r="F2739" s="10">
        <v>6.1</v>
      </c>
      <c r="G2739" s="10">
        <v>12500000</v>
      </c>
      <c r="H2739" s="10">
        <v>48637684</v>
      </c>
      <c r="I2739" s="5">
        <f>IMDB_Movies!$H2739-IMDB_Movies!$G2739</f>
        <v>36137684</v>
      </c>
    </row>
    <row r="2740" spans="1:9" ht="23">
      <c r="A2740" s="2" t="s">
        <v>3971</v>
      </c>
      <c r="B2740" s="9" t="s">
        <v>2060</v>
      </c>
      <c r="C2740" s="9" t="s">
        <v>138</v>
      </c>
      <c r="D2740" s="9" t="s">
        <v>11</v>
      </c>
      <c r="E2740" s="9">
        <v>97</v>
      </c>
      <c r="F2740" s="9">
        <v>7.2</v>
      </c>
      <c r="G2740" s="9">
        <v>16000000</v>
      </c>
      <c r="H2740" s="9">
        <v>38176108</v>
      </c>
      <c r="I2740" s="5">
        <f>IMDB_Movies!$H2740-IMDB_Movies!$G2740</f>
        <v>22176108</v>
      </c>
    </row>
    <row r="2741" spans="1:9" ht="23">
      <c r="A2741" s="3" t="s">
        <v>3972</v>
      </c>
      <c r="B2741" s="10" t="s">
        <v>3973</v>
      </c>
      <c r="C2741" s="10" t="s">
        <v>138</v>
      </c>
      <c r="D2741" s="10" t="s">
        <v>11</v>
      </c>
      <c r="E2741" s="10">
        <v>92</v>
      </c>
      <c r="F2741" s="10">
        <v>5.9</v>
      </c>
      <c r="G2741" s="10">
        <v>13000000</v>
      </c>
      <c r="H2741" s="10">
        <v>28972187</v>
      </c>
      <c r="I2741" s="5">
        <f>IMDB_Movies!$H2741-IMDB_Movies!$G2741</f>
        <v>15972187</v>
      </c>
    </row>
    <row r="2742" spans="1:9" ht="23">
      <c r="A2742" s="2" t="s">
        <v>3974</v>
      </c>
      <c r="B2742" s="9" t="s">
        <v>3975</v>
      </c>
      <c r="C2742" s="9" t="s">
        <v>10</v>
      </c>
      <c r="D2742" s="9" t="s">
        <v>11</v>
      </c>
      <c r="E2742" s="9">
        <v>84</v>
      </c>
      <c r="F2742" s="9">
        <v>6.1</v>
      </c>
      <c r="G2742" s="9">
        <v>8200000</v>
      </c>
      <c r="H2742" s="9">
        <v>27979400</v>
      </c>
      <c r="I2742" s="5">
        <f>IMDB_Movies!$H2742-IMDB_Movies!$G2742</f>
        <v>19779400</v>
      </c>
    </row>
    <row r="2743" spans="1:9" ht="23">
      <c r="A2743" s="3" t="s">
        <v>3976</v>
      </c>
      <c r="B2743" s="10" t="s">
        <v>1399</v>
      </c>
      <c r="C2743" s="10" t="s">
        <v>56</v>
      </c>
      <c r="D2743" s="10" t="s">
        <v>11</v>
      </c>
      <c r="E2743" s="10">
        <v>86</v>
      </c>
      <c r="F2743" s="10">
        <v>6.8</v>
      </c>
      <c r="G2743" s="10">
        <v>17000000</v>
      </c>
      <c r="H2743" s="10">
        <v>54257433</v>
      </c>
      <c r="I2743" s="5">
        <f>IMDB_Movies!$H2743-IMDB_Movies!$G2743</f>
        <v>37257433</v>
      </c>
    </row>
    <row r="2744" spans="1:9" ht="23">
      <c r="A2744" s="2" t="s">
        <v>3977</v>
      </c>
      <c r="B2744" s="9" t="s">
        <v>3978</v>
      </c>
      <c r="C2744" s="9" t="s">
        <v>790</v>
      </c>
      <c r="D2744" s="9" t="s">
        <v>11</v>
      </c>
      <c r="E2744" s="9">
        <v>120</v>
      </c>
      <c r="F2744" s="9">
        <v>7.7</v>
      </c>
      <c r="G2744" s="9">
        <v>13000000</v>
      </c>
      <c r="H2744" s="9">
        <v>23947</v>
      </c>
      <c r="I2744" s="5">
        <f>IMDB_Movies!$H2744-IMDB_Movies!$G2744</f>
        <v>-12976053</v>
      </c>
    </row>
    <row r="2745" spans="1:9" ht="23">
      <c r="A2745" s="3" t="s">
        <v>3979</v>
      </c>
      <c r="B2745" s="10" t="s">
        <v>3164</v>
      </c>
      <c r="C2745" s="10" t="s">
        <v>24</v>
      </c>
      <c r="D2745" s="10" t="s">
        <v>11</v>
      </c>
      <c r="E2745" s="10">
        <v>89</v>
      </c>
      <c r="F2745" s="10">
        <v>4.9000000000000004</v>
      </c>
      <c r="G2745" s="10">
        <v>13000000</v>
      </c>
      <c r="H2745" s="10">
        <v>60008303</v>
      </c>
      <c r="I2745" s="5">
        <f>IMDB_Movies!$H2745-IMDB_Movies!$G2745</f>
        <v>47008303</v>
      </c>
    </row>
    <row r="2746" spans="1:9" ht="23">
      <c r="A2746" s="2" t="s">
        <v>3980</v>
      </c>
      <c r="B2746" s="9" t="s">
        <v>3981</v>
      </c>
      <c r="C2746" s="9" t="s">
        <v>138</v>
      </c>
      <c r="D2746" s="9" t="s">
        <v>11</v>
      </c>
      <c r="E2746" s="9">
        <v>117</v>
      </c>
      <c r="F2746" s="9">
        <v>6.1</v>
      </c>
      <c r="G2746" s="9">
        <v>13000000</v>
      </c>
      <c r="H2746" s="9">
        <v>49121934</v>
      </c>
      <c r="I2746" s="5">
        <f>IMDB_Movies!$H2746-IMDB_Movies!$G2746</f>
        <v>36121934</v>
      </c>
    </row>
    <row r="2747" spans="1:9" ht="23">
      <c r="A2747" s="3" t="s">
        <v>3982</v>
      </c>
      <c r="B2747" s="10" t="s">
        <v>3205</v>
      </c>
      <c r="C2747" s="10" t="s">
        <v>138</v>
      </c>
      <c r="D2747" s="10" t="s">
        <v>11</v>
      </c>
      <c r="E2747" s="10">
        <v>97</v>
      </c>
      <c r="F2747" s="10">
        <v>2.5</v>
      </c>
      <c r="G2747" s="10">
        <v>18000000</v>
      </c>
      <c r="H2747" s="10">
        <v>27141959</v>
      </c>
      <c r="I2747" s="5">
        <f>IMDB_Movies!$H2747-IMDB_Movies!$G2747</f>
        <v>9141959</v>
      </c>
    </row>
    <row r="2748" spans="1:9" ht="23">
      <c r="A2748" s="2" t="s">
        <v>3983</v>
      </c>
      <c r="B2748" s="9" t="s">
        <v>3984</v>
      </c>
      <c r="C2748" s="9" t="s">
        <v>10</v>
      </c>
      <c r="D2748" s="9" t="s">
        <v>11</v>
      </c>
      <c r="E2748" s="9">
        <v>91</v>
      </c>
      <c r="F2748" s="9">
        <v>6.1</v>
      </c>
      <c r="G2748" s="9">
        <v>13000000</v>
      </c>
      <c r="H2748" s="9">
        <v>27052167</v>
      </c>
      <c r="I2748" s="5">
        <f>IMDB_Movies!$H2748-IMDB_Movies!$G2748</f>
        <v>14052167</v>
      </c>
    </row>
    <row r="2749" spans="1:9" ht="23">
      <c r="A2749" s="3" t="s">
        <v>3985</v>
      </c>
      <c r="B2749" s="10" t="s">
        <v>3986</v>
      </c>
      <c r="C2749" s="10" t="s">
        <v>138</v>
      </c>
      <c r="D2749" s="10" t="s">
        <v>11</v>
      </c>
      <c r="E2749" s="10">
        <v>100</v>
      </c>
      <c r="F2749" s="10">
        <v>5.9</v>
      </c>
      <c r="G2749" s="10">
        <v>13000000</v>
      </c>
      <c r="H2749" s="10">
        <v>26539321</v>
      </c>
      <c r="I2749" s="5">
        <f>IMDB_Movies!$H2749-IMDB_Movies!$G2749</f>
        <v>13539321</v>
      </c>
    </row>
    <row r="2750" spans="1:9" ht="23">
      <c r="A2750" s="2" t="s">
        <v>3987</v>
      </c>
      <c r="B2750" s="9" t="s">
        <v>3988</v>
      </c>
      <c r="C2750" s="9" t="s">
        <v>713</v>
      </c>
      <c r="D2750" s="9" t="s">
        <v>11</v>
      </c>
      <c r="E2750" s="9">
        <v>72</v>
      </c>
      <c r="F2750" s="9">
        <v>5.7</v>
      </c>
      <c r="G2750" s="9">
        <v>13000000</v>
      </c>
      <c r="H2750" s="9">
        <v>28501605</v>
      </c>
      <c r="I2750" s="5">
        <f>IMDB_Movies!$H2750-IMDB_Movies!$G2750</f>
        <v>15501605</v>
      </c>
    </row>
    <row r="2751" spans="1:9" ht="23">
      <c r="A2751" s="3" t="s">
        <v>3989</v>
      </c>
      <c r="B2751" s="10" t="s">
        <v>3990</v>
      </c>
      <c r="C2751" s="10" t="s">
        <v>414</v>
      </c>
      <c r="D2751" s="10" t="s">
        <v>11</v>
      </c>
      <c r="E2751" s="10">
        <v>84</v>
      </c>
      <c r="F2751" s="10">
        <v>5.6</v>
      </c>
      <c r="G2751" s="10">
        <v>13200000</v>
      </c>
      <c r="H2751" s="10">
        <v>52543632</v>
      </c>
      <c r="I2751" s="5">
        <f>IMDB_Movies!$H2751-IMDB_Movies!$G2751</f>
        <v>39343632</v>
      </c>
    </row>
    <row r="2752" spans="1:9" ht="23">
      <c r="A2752" s="2" t="s">
        <v>3991</v>
      </c>
      <c r="B2752" s="9" t="s">
        <v>873</v>
      </c>
      <c r="C2752" s="9" t="s">
        <v>810</v>
      </c>
      <c r="D2752" s="9" t="s">
        <v>11</v>
      </c>
      <c r="E2752" s="9">
        <v>126</v>
      </c>
      <c r="F2752" s="9">
        <v>7.2</v>
      </c>
      <c r="G2752" s="9">
        <v>18000000</v>
      </c>
      <c r="H2752" s="9">
        <v>25592632</v>
      </c>
      <c r="I2752" s="5">
        <f>IMDB_Movies!$H2752-IMDB_Movies!$G2752</f>
        <v>7592632</v>
      </c>
    </row>
    <row r="2753" spans="1:9" ht="23">
      <c r="A2753" s="3" t="s">
        <v>3992</v>
      </c>
      <c r="B2753" s="10" t="s">
        <v>3993</v>
      </c>
      <c r="C2753" s="10" t="s">
        <v>56</v>
      </c>
      <c r="D2753" s="10" t="s">
        <v>11</v>
      </c>
      <c r="E2753" s="10">
        <v>108</v>
      </c>
      <c r="F2753" s="10">
        <v>7.7</v>
      </c>
      <c r="G2753" s="10">
        <v>15000000</v>
      </c>
      <c r="H2753" s="10">
        <v>25440971</v>
      </c>
      <c r="I2753" s="5">
        <f>IMDB_Movies!$H2753-IMDB_Movies!$G2753</f>
        <v>10440971</v>
      </c>
    </row>
    <row r="2754" spans="1:9" ht="23">
      <c r="A2754" s="2" t="s">
        <v>3994</v>
      </c>
      <c r="B2754" s="9" t="s">
        <v>483</v>
      </c>
      <c r="C2754" s="9" t="s">
        <v>138</v>
      </c>
      <c r="D2754" s="9" t="s">
        <v>11</v>
      </c>
      <c r="E2754" s="9">
        <v>112</v>
      </c>
      <c r="F2754" s="9">
        <v>7.8</v>
      </c>
      <c r="G2754" s="9">
        <v>13000000</v>
      </c>
      <c r="H2754" s="9">
        <v>22858926</v>
      </c>
      <c r="I2754" s="5">
        <f>IMDB_Movies!$H2754-IMDB_Movies!$G2754</f>
        <v>9858926</v>
      </c>
    </row>
    <row r="2755" spans="1:9" ht="23">
      <c r="A2755" s="3" t="s">
        <v>3995</v>
      </c>
      <c r="B2755" s="10" t="s">
        <v>3996</v>
      </c>
      <c r="C2755" s="10" t="s">
        <v>138</v>
      </c>
      <c r="D2755" s="10" t="s">
        <v>11</v>
      </c>
      <c r="E2755" s="10">
        <v>90</v>
      </c>
      <c r="F2755" s="10">
        <v>6.1</v>
      </c>
      <c r="G2755" s="10">
        <v>6000000</v>
      </c>
      <c r="H2755" s="10">
        <v>22235901</v>
      </c>
      <c r="I2755" s="5">
        <f>IMDB_Movies!$H2755-IMDB_Movies!$G2755</f>
        <v>16235901</v>
      </c>
    </row>
    <row r="2756" spans="1:9" ht="23">
      <c r="A2756" s="2" t="s">
        <v>3997</v>
      </c>
      <c r="B2756" s="9" t="s">
        <v>403</v>
      </c>
      <c r="C2756" s="9" t="s">
        <v>24</v>
      </c>
      <c r="D2756" s="9" t="s">
        <v>11</v>
      </c>
      <c r="E2756" s="9">
        <v>91</v>
      </c>
      <c r="F2756" s="9">
        <v>5.8</v>
      </c>
      <c r="G2756" s="9">
        <v>13000000</v>
      </c>
      <c r="H2756" s="9">
        <v>38916903</v>
      </c>
      <c r="I2756" s="5">
        <f>IMDB_Movies!$H2756-IMDB_Movies!$G2756</f>
        <v>25916903</v>
      </c>
    </row>
    <row r="2757" spans="1:9" ht="23">
      <c r="A2757" s="3" t="s">
        <v>3998</v>
      </c>
      <c r="B2757" s="10" t="s">
        <v>1481</v>
      </c>
      <c r="C2757" s="10" t="s">
        <v>56</v>
      </c>
      <c r="D2757" s="10" t="s">
        <v>11</v>
      </c>
      <c r="E2757" s="10">
        <v>135</v>
      </c>
      <c r="F2757" s="10">
        <v>6.5</v>
      </c>
      <c r="G2757" s="10">
        <v>14000000</v>
      </c>
      <c r="H2757" s="10">
        <v>16929123</v>
      </c>
      <c r="I2757" s="5">
        <f>IMDB_Movies!$H2757-IMDB_Movies!$G2757</f>
        <v>2929123</v>
      </c>
    </row>
    <row r="2758" spans="1:9" ht="23">
      <c r="A2758" s="2" t="s">
        <v>3999</v>
      </c>
      <c r="B2758" s="9" t="s">
        <v>992</v>
      </c>
      <c r="C2758" s="9" t="s">
        <v>56</v>
      </c>
      <c r="D2758" s="9" t="s">
        <v>179</v>
      </c>
      <c r="E2758" s="9">
        <v>141</v>
      </c>
      <c r="F2758" s="9">
        <v>7.9</v>
      </c>
      <c r="G2758" s="9">
        <v>19000000</v>
      </c>
      <c r="H2758" s="9">
        <v>13753931</v>
      </c>
      <c r="I2758" s="5">
        <f>IMDB_Movies!$H2758-IMDB_Movies!$G2758</f>
        <v>-5246069</v>
      </c>
    </row>
    <row r="2759" spans="1:9" ht="23">
      <c r="A2759" s="3" t="s">
        <v>4000</v>
      </c>
      <c r="B2759" s="10" t="s">
        <v>4001</v>
      </c>
      <c r="C2759" s="10" t="s">
        <v>24</v>
      </c>
      <c r="D2759" s="10" t="s">
        <v>11</v>
      </c>
      <c r="E2759" s="10">
        <v>104</v>
      </c>
      <c r="F2759" s="10">
        <v>6.3</v>
      </c>
      <c r="G2759" s="10">
        <v>13000000</v>
      </c>
      <c r="H2759" s="10">
        <v>10996440</v>
      </c>
      <c r="I2759" s="5">
        <f>IMDB_Movies!$H2759-IMDB_Movies!$G2759</f>
        <v>-2003560</v>
      </c>
    </row>
    <row r="2760" spans="1:9" ht="23">
      <c r="A2760" s="2" t="s">
        <v>4002</v>
      </c>
      <c r="B2760" s="9" t="s">
        <v>4003</v>
      </c>
      <c r="C2760" s="9" t="s">
        <v>138</v>
      </c>
      <c r="D2760" s="9" t="s">
        <v>11</v>
      </c>
      <c r="E2760" s="9">
        <v>84</v>
      </c>
      <c r="F2760" s="9">
        <v>3.8</v>
      </c>
      <c r="G2760" s="9">
        <v>13000000</v>
      </c>
      <c r="H2760" s="9">
        <v>8026971</v>
      </c>
      <c r="I2760" s="5">
        <f>IMDB_Movies!$H2760-IMDB_Movies!$G2760</f>
        <v>-4973029</v>
      </c>
    </row>
    <row r="2761" spans="1:9" ht="23">
      <c r="A2761" s="3" t="s">
        <v>4004</v>
      </c>
      <c r="B2761" s="10" t="s">
        <v>4005</v>
      </c>
      <c r="C2761" s="10" t="s">
        <v>56</v>
      </c>
      <c r="D2761" s="10" t="s">
        <v>11</v>
      </c>
      <c r="E2761" s="10">
        <v>118</v>
      </c>
      <c r="F2761" s="10">
        <v>8.3000000000000007</v>
      </c>
      <c r="G2761" s="10">
        <v>13000000</v>
      </c>
      <c r="H2761" s="10">
        <v>14677654</v>
      </c>
      <c r="I2761" s="5">
        <f>IMDB_Movies!$H2761-IMDB_Movies!$G2761</f>
        <v>1677654</v>
      </c>
    </row>
    <row r="2762" spans="1:9" ht="23">
      <c r="A2762" s="2" t="s">
        <v>4006</v>
      </c>
      <c r="B2762" s="9" t="s">
        <v>4007</v>
      </c>
      <c r="C2762" s="9" t="s">
        <v>138</v>
      </c>
      <c r="D2762" s="9" t="s">
        <v>11</v>
      </c>
      <c r="E2762" s="9">
        <v>82</v>
      </c>
      <c r="F2762" s="9">
        <v>6.4</v>
      </c>
      <c r="G2762" s="9">
        <v>13000000</v>
      </c>
      <c r="H2762" s="9">
        <v>9975684</v>
      </c>
      <c r="I2762" s="5">
        <f>IMDB_Movies!$H2762-IMDB_Movies!$G2762</f>
        <v>-3024316</v>
      </c>
    </row>
    <row r="2763" spans="1:9" ht="23">
      <c r="A2763" s="3" t="s">
        <v>4008</v>
      </c>
      <c r="B2763" s="10" t="s">
        <v>4009</v>
      </c>
      <c r="C2763" s="10" t="s">
        <v>138</v>
      </c>
      <c r="D2763" s="10" t="s">
        <v>11</v>
      </c>
      <c r="E2763" s="10">
        <v>95</v>
      </c>
      <c r="F2763" s="10">
        <v>6.7</v>
      </c>
      <c r="G2763" s="10">
        <v>13000000</v>
      </c>
      <c r="H2763" s="10">
        <v>7881335</v>
      </c>
      <c r="I2763" s="5">
        <f>IMDB_Movies!$H2763-IMDB_Movies!$G2763</f>
        <v>-5118665</v>
      </c>
    </row>
    <row r="2764" spans="1:9" ht="23">
      <c r="A2764" s="2" t="s">
        <v>4010</v>
      </c>
      <c r="B2764" s="9" t="s">
        <v>3112</v>
      </c>
      <c r="C2764" s="9" t="s">
        <v>138</v>
      </c>
      <c r="D2764" s="9" t="s">
        <v>11</v>
      </c>
      <c r="E2764" s="9">
        <v>94</v>
      </c>
      <c r="F2764" s="9">
        <v>6.1</v>
      </c>
      <c r="G2764" s="9">
        <v>13000000</v>
      </c>
      <c r="H2764" s="9">
        <v>6241697</v>
      </c>
      <c r="I2764" s="5">
        <f>IMDB_Movies!$H2764-IMDB_Movies!$G2764</f>
        <v>-6758303</v>
      </c>
    </row>
    <row r="2765" spans="1:9" ht="23">
      <c r="A2765" s="3" t="s">
        <v>4011</v>
      </c>
      <c r="B2765" s="10" t="s">
        <v>2431</v>
      </c>
      <c r="C2765" s="10" t="s">
        <v>10</v>
      </c>
      <c r="D2765" s="10" t="s">
        <v>3574</v>
      </c>
      <c r="E2765" s="10">
        <v>88</v>
      </c>
      <c r="F2765" s="10">
        <v>8.1</v>
      </c>
      <c r="G2765" s="10">
        <v>20000000</v>
      </c>
      <c r="H2765" s="10">
        <v>25078937</v>
      </c>
      <c r="I2765" s="5">
        <f>IMDB_Movies!$H2765-IMDB_Movies!$G2765</f>
        <v>5078937</v>
      </c>
    </row>
    <row r="2766" spans="1:9" ht="23">
      <c r="A2766" s="2" t="s">
        <v>4012</v>
      </c>
      <c r="B2766" s="9" t="s">
        <v>4013</v>
      </c>
      <c r="C2766" s="9" t="s">
        <v>56</v>
      </c>
      <c r="D2766" s="9" t="s">
        <v>11</v>
      </c>
      <c r="E2766" s="9">
        <v>99</v>
      </c>
      <c r="F2766" s="9">
        <v>6</v>
      </c>
      <c r="G2766" s="9">
        <v>13000000</v>
      </c>
      <c r="H2766" s="9">
        <v>5871603</v>
      </c>
      <c r="I2766" s="5">
        <f>IMDB_Movies!$H2766-IMDB_Movies!$G2766</f>
        <v>-7128397</v>
      </c>
    </row>
    <row r="2767" spans="1:9" ht="23">
      <c r="A2767" s="3" t="s">
        <v>4014</v>
      </c>
      <c r="B2767" s="10" t="s">
        <v>4015</v>
      </c>
      <c r="C2767" s="10" t="s">
        <v>56</v>
      </c>
      <c r="D2767" s="10" t="s">
        <v>11</v>
      </c>
      <c r="E2767" s="10">
        <v>121</v>
      </c>
      <c r="F2767" s="10">
        <v>5.8</v>
      </c>
      <c r="G2767" s="10">
        <v>13000000</v>
      </c>
      <c r="H2767" s="10">
        <v>16574731</v>
      </c>
      <c r="I2767" s="5">
        <f>IMDB_Movies!$H2767-IMDB_Movies!$G2767</f>
        <v>3574731</v>
      </c>
    </row>
    <row r="2768" spans="1:9" ht="23">
      <c r="A2768" s="2" t="s">
        <v>4016</v>
      </c>
      <c r="B2768" s="9" t="s">
        <v>4017</v>
      </c>
      <c r="C2768" s="9" t="s">
        <v>24</v>
      </c>
      <c r="D2768" s="9" t="s">
        <v>11</v>
      </c>
      <c r="E2768" s="9">
        <v>84</v>
      </c>
      <c r="F2768" s="9">
        <v>5.6</v>
      </c>
      <c r="G2768" s="9">
        <v>13000000</v>
      </c>
      <c r="H2768" s="9">
        <v>5002310</v>
      </c>
      <c r="I2768" s="5">
        <f>IMDB_Movies!$H2768-IMDB_Movies!$G2768</f>
        <v>-7997690</v>
      </c>
    </row>
    <row r="2769" spans="1:9" ht="23">
      <c r="A2769" s="3" t="s">
        <v>4018</v>
      </c>
      <c r="B2769" s="10" t="s">
        <v>4019</v>
      </c>
      <c r="C2769" s="10" t="s">
        <v>138</v>
      </c>
      <c r="D2769" s="10" t="s">
        <v>11</v>
      </c>
      <c r="E2769" s="10">
        <v>93</v>
      </c>
      <c r="F2769" s="10">
        <v>6.1</v>
      </c>
      <c r="G2769" s="10">
        <v>13000000</v>
      </c>
      <c r="H2769" s="10">
        <v>4919896</v>
      </c>
      <c r="I2769" s="5">
        <f>IMDB_Movies!$H2769-IMDB_Movies!$G2769</f>
        <v>-8080104</v>
      </c>
    </row>
    <row r="2770" spans="1:9" ht="23">
      <c r="A2770" s="2" t="s">
        <v>4020</v>
      </c>
      <c r="B2770" s="9" t="s">
        <v>3049</v>
      </c>
      <c r="C2770" s="9" t="s">
        <v>138</v>
      </c>
      <c r="D2770" s="9" t="s">
        <v>11</v>
      </c>
      <c r="E2770" s="9">
        <v>93</v>
      </c>
      <c r="F2770" s="9">
        <v>5.9</v>
      </c>
      <c r="G2770" s="9">
        <v>13000000</v>
      </c>
      <c r="H2770" s="9">
        <v>25675765</v>
      </c>
      <c r="I2770" s="5">
        <f>IMDB_Movies!$H2770-IMDB_Movies!$G2770</f>
        <v>12675765</v>
      </c>
    </row>
    <row r="2771" spans="1:9" ht="23">
      <c r="A2771" s="3" t="s">
        <v>4021</v>
      </c>
      <c r="B2771" s="10" t="s">
        <v>4022</v>
      </c>
      <c r="C2771" s="10" t="s">
        <v>138</v>
      </c>
      <c r="D2771" s="10" t="s">
        <v>394</v>
      </c>
      <c r="E2771" s="10">
        <v>120</v>
      </c>
      <c r="F2771" s="10">
        <v>7.3</v>
      </c>
      <c r="G2771" s="10">
        <v>13000000</v>
      </c>
      <c r="H2771" s="10">
        <v>4857376</v>
      </c>
      <c r="I2771" s="5">
        <f>IMDB_Movies!$H2771-IMDB_Movies!$G2771</f>
        <v>-8142624</v>
      </c>
    </row>
    <row r="2772" spans="1:9" ht="23">
      <c r="A2772" s="2" t="s">
        <v>4023</v>
      </c>
      <c r="B2772" s="9" t="s">
        <v>1178</v>
      </c>
      <c r="C2772" s="9" t="s">
        <v>56</v>
      </c>
      <c r="D2772" s="9" t="s">
        <v>11</v>
      </c>
      <c r="E2772" s="9">
        <v>112</v>
      </c>
      <c r="F2772" s="9">
        <v>6.8</v>
      </c>
      <c r="G2772" s="9">
        <v>13000000</v>
      </c>
      <c r="H2772" s="9">
        <v>3169424</v>
      </c>
      <c r="I2772" s="5">
        <f>IMDB_Movies!$H2772-IMDB_Movies!$G2772</f>
        <v>-9830576</v>
      </c>
    </row>
    <row r="2773" spans="1:9" ht="23">
      <c r="A2773" s="3" t="s">
        <v>4024</v>
      </c>
      <c r="B2773" s="10" t="s">
        <v>466</v>
      </c>
      <c r="C2773" s="10" t="s">
        <v>138</v>
      </c>
      <c r="D2773" s="10" t="s">
        <v>11</v>
      </c>
      <c r="E2773" s="10">
        <v>107</v>
      </c>
      <c r="F2773" s="10">
        <v>5.7</v>
      </c>
      <c r="G2773" s="10">
        <v>13000000</v>
      </c>
      <c r="H2773" s="10">
        <v>18004225</v>
      </c>
      <c r="I2773" s="5">
        <f>IMDB_Movies!$H2773-IMDB_Movies!$G2773</f>
        <v>5004225</v>
      </c>
    </row>
    <row r="2774" spans="1:9" ht="23">
      <c r="A2774" s="2" t="s">
        <v>4025</v>
      </c>
      <c r="B2774" s="9" t="s">
        <v>4026</v>
      </c>
      <c r="C2774" s="9" t="s">
        <v>56</v>
      </c>
      <c r="D2774" s="9" t="s">
        <v>394</v>
      </c>
      <c r="E2774" s="9">
        <v>112</v>
      </c>
      <c r="F2774" s="9">
        <v>7.3</v>
      </c>
      <c r="G2774" s="9">
        <v>100000000</v>
      </c>
      <c r="H2774" s="9">
        <v>3058380</v>
      </c>
      <c r="I2774" s="5">
        <f>IMDB_Movies!$H2774-IMDB_Movies!$G2774</f>
        <v>-96941620</v>
      </c>
    </row>
    <row r="2775" spans="1:9" ht="23">
      <c r="A2775" s="3" t="s">
        <v>4027</v>
      </c>
      <c r="B2775" s="10" t="s">
        <v>2815</v>
      </c>
      <c r="C2775" s="10" t="s">
        <v>56</v>
      </c>
      <c r="D2775" s="10" t="s">
        <v>11</v>
      </c>
      <c r="E2775" s="10">
        <v>96</v>
      </c>
      <c r="F2775" s="10">
        <v>6.3</v>
      </c>
      <c r="G2775" s="10">
        <v>11000000</v>
      </c>
      <c r="H2775" s="10">
        <v>3074838</v>
      </c>
      <c r="I2775" s="5">
        <f>IMDB_Movies!$H2775-IMDB_Movies!$G2775</f>
        <v>-7925162</v>
      </c>
    </row>
    <row r="2776" spans="1:9" ht="23">
      <c r="A2776" s="2" t="s">
        <v>4028</v>
      </c>
      <c r="B2776" s="9" t="s">
        <v>4029</v>
      </c>
      <c r="C2776" s="9" t="s">
        <v>138</v>
      </c>
      <c r="D2776" s="9" t="s">
        <v>11</v>
      </c>
      <c r="E2776" s="9">
        <v>91</v>
      </c>
      <c r="F2776" s="9">
        <v>5.9</v>
      </c>
      <c r="G2776" s="9">
        <v>13000000</v>
      </c>
      <c r="H2776" s="9">
        <v>2104000</v>
      </c>
      <c r="I2776" s="5">
        <f>IMDB_Movies!$H2776-IMDB_Movies!$G2776</f>
        <v>-10896000</v>
      </c>
    </row>
    <row r="2777" spans="1:9" ht="23">
      <c r="A2777" s="3" t="s">
        <v>4030</v>
      </c>
      <c r="B2777" s="10" t="s">
        <v>2868</v>
      </c>
      <c r="C2777" s="10" t="s">
        <v>418</v>
      </c>
      <c r="D2777" s="10" t="s">
        <v>11</v>
      </c>
      <c r="E2777" s="10">
        <v>125</v>
      </c>
      <c r="F2777" s="10">
        <v>7.1</v>
      </c>
      <c r="G2777" s="10">
        <v>13000000</v>
      </c>
      <c r="H2777" s="10">
        <v>1172769</v>
      </c>
      <c r="I2777" s="5">
        <f>IMDB_Movies!$H2777-IMDB_Movies!$G2777</f>
        <v>-11827231</v>
      </c>
    </row>
    <row r="2778" spans="1:9" ht="23">
      <c r="A2778" s="2" t="s">
        <v>4031</v>
      </c>
      <c r="B2778" s="9" t="s">
        <v>4032</v>
      </c>
      <c r="C2778" s="9" t="s">
        <v>56</v>
      </c>
      <c r="D2778" s="9" t="s">
        <v>11</v>
      </c>
      <c r="E2778" s="9">
        <v>102</v>
      </c>
      <c r="F2778" s="9">
        <v>8</v>
      </c>
      <c r="G2778" s="9">
        <v>13000000</v>
      </c>
      <c r="H2778" s="9">
        <v>17738570</v>
      </c>
      <c r="I2778" s="5">
        <f>IMDB_Movies!$H2778-IMDB_Movies!$G2778</f>
        <v>4738570</v>
      </c>
    </row>
    <row r="2779" spans="1:9" ht="23">
      <c r="A2779" s="3" t="s">
        <v>4033</v>
      </c>
      <c r="B2779" s="10" t="s">
        <v>4034</v>
      </c>
      <c r="C2779" s="10" t="s">
        <v>10</v>
      </c>
      <c r="D2779" s="10" t="s">
        <v>11</v>
      </c>
      <c r="E2779" s="10">
        <v>87</v>
      </c>
      <c r="F2779" s="10">
        <v>5.0999999999999996</v>
      </c>
      <c r="G2779" s="10">
        <v>3000000</v>
      </c>
      <c r="H2779" s="10">
        <v>1200000</v>
      </c>
      <c r="I2779" s="5">
        <f>IMDB_Movies!$H2779-IMDB_Movies!$G2779</f>
        <v>-1800000</v>
      </c>
    </row>
    <row r="2780" spans="1:9" ht="23">
      <c r="A2780" s="2" t="s">
        <v>4035</v>
      </c>
      <c r="B2780" s="9" t="s">
        <v>2872</v>
      </c>
      <c r="C2780" s="9" t="s">
        <v>418</v>
      </c>
      <c r="D2780" s="9" t="s">
        <v>11</v>
      </c>
      <c r="E2780" s="9">
        <v>118</v>
      </c>
      <c r="F2780" s="9">
        <v>7.1</v>
      </c>
      <c r="G2780" s="9">
        <v>13000000</v>
      </c>
      <c r="H2780" s="9">
        <v>1150403</v>
      </c>
      <c r="I2780" s="5">
        <f>IMDB_Movies!$H2780-IMDB_Movies!$G2780</f>
        <v>-11849597</v>
      </c>
    </row>
    <row r="2781" spans="1:9" ht="23">
      <c r="A2781" s="3" t="s">
        <v>4036</v>
      </c>
      <c r="B2781" s="10" t="s">
        <v>2645</v>
      </c>
      <c r="C2781" s="10" t="s">
        <v>56</v>
      </c>
      <c r="D2781" s="10" t="s">
        <v>11</v>
      </c>
      <c r="E2781" s="10">
        <v>115</v>
      </c>
      <c r="F2781" s="10">
        <v>6.5</v>
      </c>
      <c r="G2781" s="10">
        <v>20000000</v>
      </c>
      <c r="H2781" s="10">
        <v>403932</v>
      </c>
      <c r="I2781" s="5">
        <f>IMDB_Movies!$H2781-IMDB_Movies!$G2781</f>
        <v>-19596068</v>
      </c>
    </row>
    <row r="2782" spans="1:9" ht="23">
      <c r="A2782" s="2" t="s">
        <v>4037</v>
      </c>
      <c r="B2782" s="9" t="s">
        <v>1225</v>
      </c>
      <c r="C2782" s="9" t="s">
        <v>810</v>
      </c>
      <c r="D2782" s="9" t="s">
        <v>11</v>
      </c>
      <c r="E2782" s="9">
        <v>91</v>
      </c>
      <c r="F2782" s="9">
        <v>4.5</v>
      </c>
      <c r="G2782" s="9">
        <v>8495000</v>
      </c>
      <c r="H2782" s="9">
        <v>1712111</v>
      </c>
      <c r="I2782" s="5">
        <f>IMDB_Movies!$H2782-IMDB_Movies!$G2782</f>
        <v>-6782889</v>
      </c>
    </row>
    <row r="2783" spans="1:9" ht="23">
      <c r="A2783" s="3" t="s">
        <v>4038</v>
      </c>
      <c r="B2783" s="10" t="s">
        <v>4039</v>
      </c>
      <c r="C2783" s="10" t="s">
        <v>10</v>
      </c>
      <c r="D2783" s="10" t="s">
        <v>11</v>
      </c>
      <c r="E2783" s="10">
        <v>88</v>
      </c>
      <c r="F2783" s="10">
        <v>6.6</v>
      </c>
      <c r="G2783" s="10">
        <v>13000000</v>
      </c>
      <c r="H2783" s="10">
        <v>1024175</v>
      </c>
      <c r="I2783" s="5">
        <f>IMDB_Movies!$H2783-IMDB_Movies!$G2783</f>
        <v>-11975825</v>
      </c>
    </row>
    <row r="2784" spans="1:9" ht="23">
      <c r="A2784" s="2" t="s">
        <v>4040</v>
      </c>
      <c r="B2784" s="9" t="s">
        <v>990</v>
      </c>
      <c r="C2784" s="9" t="s">
        <v>56</v>
      </c>
      <c r="D2784" s="9" t="s">
        <v>4041</v>
      </c>
      <c r="E2784" s="9">
        <v>127</v>
      </c>
      <c r="F2784" s="9">
        <v>4.3</v>
      </c>
      <c r="G2784" s="9">
        <v>13000000</v>
      </c>
      <c r="H2784" s="9">
        <v>301305</v>
      </c>
      <c r="I2784" s="5">
        <f>IMDB_Movies!$H2784-IMDB_Movies!$G2784</f>
        <v>-12698695</v>
      </c>
    </row>
    <row r="2785" spans="1:9" ht="23">
      <c r="A2785" s="3" t="s">
        <v>4042</v>
      </c>
      <c r="B2785" s="10" t="s">
        <v>3815</v>
      </c>
      <c r="C2785" s="10" t="s">
        <v>414</v>
      </c>
      <c r="D2785" s="10" t="s">
        <v>11</v>
      </c>
      <c r="E2785" s="10">
        <v>94</v>
      </c>
      <c r="F2785" s="10">
        <v>6.7</v>
      </c>
      <c r="G2785" s="10">
        <v>13000000</v>
      </c>
      <c r="H2785" s="10">
        <v>51872378</v>
      </c>
      <c r="I2785" s="5">
        <f>IMDB_Movies!$H2785-IMDB_Movies!$G2785</f>
        <v>38872378</v>
      </c>
    </row>
    <row r="2786" spans="1:9" ht="23">
      <c r="A2786" s="2" t="s">
        <v>4043</v>
      </c>
      <c r="B2786" s="9" t="s">
        <v>4044</v>
      </c>
      <c r="C2786" s="9" t="s">
        <v>10</v>
      </c>
      <c r="D2786" s="9" t="s">
        <v>11</v>
      </c>
      <c r="E2786" s="9">
        <v>115</v>
      </c>
      <c r="F2786" s="9">
        <v>6.8</v>
      </c>
      <c r="G2786" s="9">
        <v>12620000</v>
      </c>
      <c r="H2786" s="9">
        <v>31662</v>
      </c>
      <c r="I2786" s="5">
        <f>IMDB_Movies!$H2786-IMDB_Movies!$G2786</f>
        <v>-12588338</v>
      </c>
    </row>
    <row r="2787" spans="1:9" ht="23">
      <c r="A2787" s="3" t="s">
        <v>4045</v>
      </c>
      <c r="B2787" s="10" t="s">
        <v>4046</v>
      </c>
      <c r="C2787" s="10" t="s">
        <v>10</v>
      </c>
      <c r="D2787" s="10" t="s">
        <v>11</v>
      </c>
      <c r="E2787" s="10">
        <v>90</v>
      </c>
      <c r="F2787" s="10">
        <v>5.4</v>
      </c>
      <c r="G2787" s="10">
        <v>13000000</v>
      </c>
      <c r="H2787" s="10">
        <v>28399192</v>
      </c>
      <c r="I2787" s="5">
        <f>IMDB_Movies!$H2787-IMDB_Movies!$G2787</f>
        <v>15399192</v>
      </c>
    </row>
    <row r="2788" spans="1:9" ht="23">
      <c r="A2788" s="2" t="s">
        <v>4047</v>
      </c>
      <c r="B2788" s="9" t="s">
        <v>1005</v>
      </c>
      <c r="C2788" s="9" t="s">
        <v>418</v>
      </c>
      <c r="D2788" s="9" t="s">
        <v>11</v>
      </c>
      <c r="E2788" s="9">
        <v>102</v>
      </c>
      <c r="F2788" s="9">
        <v>6.6</v>
      </c>
      <c r="G2788" s="9">
        <v>13000000</v>
      </c>
      <c r="H2788" s="9">
        <v>2035566</v>
      </c>
      <c r="I2788" s="5">
        <f>IMDB_Movies!$H2788-IMDB_Movies!$G2788</f>
        <v>-10964434</v>
      </c>
    </row>
    <row r="2789" spans="1:9" ht="23">
      <c r="A2789" s="2" t="s">
        <v>4048</v>
      </c>
      <c r="B2789" s="9" t="s">
        <v>3697</v>
      </c>
      <c r="C2789" s="9" t="s">
        <v>418</v>
      </c>
      <c r="D2789" s="9" t="s">
        <v>11</v>
      </c>
      <c r="E2789" s="9">
        <v>117</v>
      </c>
      <c r="F2789" s="9">
        <v>7.3</v>
      </c>
      <c r="G2789" s="9">
        <v>12500000</v>
      </c>
      <c r="H2789" s="9">
        <v>21078145</v>
      </c>
      <c r="I2789" s="5">
        <f>IMDB_Movies!$H2789-IMDB_Movies!$G2789</f>
        <v>8578145</v>
      </c>
    </row>
    <row r="2790" spans="1:9" ht="23">
      <c r="A2790" s="2" t="s">
        <v>4049</v>
      </c>
      <c r="B2790" s="9" t="s">
        <v>2635</v>
      </c>
      <c r="C2790" s="9" t="s">
        <v>56</v>
      </c>
      <c r="D2790" s="9" t="s">
        <v>11</v>
      </c>
      <c r="E2790" s="9">
        <v>109</v>
      </c>
      <c r="F2790" s="9">
        <v>6.9</v>
      </c>
      <c r="G2790" s="9">
        <v>12500000</v>
      </c>
      <c r="H2790" s="9">
        <v>14060950</v>
      </c>
      <c r="I2790" s="5">
        <f>IMDB_Movies!$H2790-IMDB_Movies!$G2790</f>
        <v>1560950</v>
      </c>
    </row>
    <row r="2791" spans="1:9" ht="23">
      <c r="A2791" s="2" t="s">
        <v>4050</v>
      </c>
      <c r="B2791" s="9" t="s">
        <v>464</v>
      </c>
      <c r="C2791" s="9" t="s">
        <v>10</v>
      </c>
      <c r="D2791" s="9" t="s">
        <v>11</v>
      </c>
      <c r="E2791" s="9">
        <v>121</v>
      </c>
      <c r="F2791" s="9">
        <v>8</v>
      </c>
      <c r="G2791" s="9">
        <v>13000000</v>
      </c>
      <c r="H2791" s="9">
        <v>12281500</v>
      </c>
      <c r="I2791" s="5">
        <f>IMDB_Movies!$H2791-IMDB_Movies!$G2791</f>
        <v>-718500</v>
      </c>
    </row>
    <row r="2792" spans="1:9" ht="23">
      <c r="A2792" s="2" t="s">
        <v>4051</v>
      </c>
      <c r="B2792" s="9" t="s">
        <v>4052</v>
      </c>
      <c r="C2792" s="9" t="s">
        <v>56</v>
      </c>
      <c r="D2792" s="9" t="s">
        <v>11</v>
      </c>
      <c r="E2792" s="9">
        <v>111</v>
      </c>
      <c r="F2792" s="9">
        <v>6.4</v>
      </c>
      <c r="G2792" s="9">
        <v>3660000</v>
      </c>
      <c r="H2792" s="9">
        <v>25078937</v>
      </c>
      <c r="I2792" s="5">
        <f>IMDB_Movies!$H2792-IMDB_Movies!$G2792</f>
        <v>21418937</v>
      </c>
    </row>
    <row r="2793" spans="1:9" ht="23">
      <c r="A2793" s="2" t="s">
        <v>4053</v>
      </c>
      <c r="B2793" s="9" t="s">
        <v>3762</v>
      </c>
      <c r="C2793" s="9" t="s">
        <v>414</v>
      </c>
      <c r="D2793" s="9" t="s">
        <v>11</v>
      </c>
      <c r="E2793" s="9">
        <v>100</v>
      </c>
      <c r="F2793" s="9">
        <v>7.8</v>
      </c>
      <c r="G2793" s="9">
        <v>12500000</v>
      </c>
      <c r="H2793" s="9">
        <v>10725228</v>
      </c>
      <c r="I2793" s="5">
        <f>IMDB_Movies!$H2793-IMDB_Movies!$G2793</f>
        <v>-1774772</v>
      </c>
    </row>
    <row r="2794" spans="1:9" ht="23">
      <c r="A2794" s="2" t="s">
        <v>4054</v>
      </c>
      <c r="B2794" s="9" t="s">
        <v>2645</v>
      </c>
      <c r="C2794" s="9" t="s">
        <v>414</v>
      </c>
      <c r="D2794" s="9" t="s">
        <v>11</v>
      </c>
      <c r="E2794" s="9">
        <v>109</v>
      </c>
      <c r="F2794" s="9">
        <v>6.1</v>
      </c>
      <c r="G2794" s="9">
        <v>13000000</v>
      </c>
      <c r="H2794" s="9">
        <v>214966</v>
      </c>
      <c r="I2794" s="5">
        <f>IMDB_Movies!$H2794-IMDB_Movies!$G2794</f>
        <v>-12785034</v>
      </c>
    </row>
    <row r="2795" spans="1:9" ht="23">
      <c r="A2795" s="2" t="s">
        <v>4055</v>
      </c>
      <c r="B2795" s="9" t="s">
        <v>4056</v>
      </c>
      <c r="C2795" s="9" t="s">
        <v>713</v>
      </c>
      <c r="D2795" s="9" t="s">
        <v>11</v>
      </c>
      <c r="E2795" s="9">
        <v>93</v>
      </c>
      <c r="F2795" s="9">
        <v>6.1</v>
      </c>
      <c r="G2795" s="9">
        <v>18000000</v>
      </c>
      <c r="H2795" s="9">
        <v>25078937</v>
      </c>
      <c r="I2795" s="5">
        <f>IMDB_Movies!$H2795-IMDB_Movies!$G2795</f>
        <v>7078937</v>
      </c>
    </row>
    <row r="2796" spans="1:9" ht="23">
      <c r="A2796" s="2" t="s">
        <v>4057</v>
      </c>
      <c r="B2796" s="9" t="s">
        <v>4058</v>
      </c>
      <c r="C2796" s="9" t="s">
        <v>810</v>
      </c>
      <c r="D2796" s="9" t="s">
        <v>11</v>
      </c>
      <c r="E2796" s="9">
        <v>101</v>
      </c>
      <c r="F2796" s="9">
        <v>5.0999999999999996</v>
      </c>
      <c r="G2796" s="9">
        <v>16000000</v>
      </c>
      <c r="H2796" s="9">
        <v>11956207</v>
      </c>
      <c r="I2796" s="5">
        <f>IMDB_Movies!$H2796-IMDB_Movies!$G2796</f>
        <v>-4043793</v>
      </c>
    </row>
    <row r="2797" spans="1:9" ht="23">
      <c r="A2797" s="2" t="s">
        <v>4059</v>
      </c>
      <c r="B2797" s="9" t="s">
        <v>4060</v>
      </c>
      <c r="C2797" s="9" t="s">
        <v>24</v>
      </c>
      <c r="D2797" s="9" t="s">
        <v>11</v>
      </c>
      <c r="E2797" s="9">
        <v>101</v>
      </c>
      <c r="F2797" s="9">
        <v>7.8</v>
      </c>
      <c r="G2797" s="9">
        <v>20000000</v>
      </c>
      <c r="H2797" s="9">
        <v>25078937</v>
      </c>
      <c r="I2797" s="5">
        <f>IMDB_Movies!$H2797-IMDB_Movies!$G2797</f>
        <v>5078937</v>
      </c>
    </row>
    <row r="2798" spans="1:9" ht="23">
      <c r="A2798" s="2" t="s">
        <v>4061</v>
      </c>
      <c r="B2798" s="9" t="s">
        <v>961</v>
      </c>
      <c r="C2798" s="9" t="s">
        <v>138</v>
      </c>
      <c r="D2798" s="9" t="s">
        <v>11</v>
      </c>
      <c r="E2798" s="9">
        <v>106</v>
      </c>
      <c r="F2798" s="9">
        <v>7.4</v>
      </c>
      <c r="G2798" s="9">
        <v>12000000</v>
      </c>
      <c r="H2798" s="9">
        <v>5949693</v>
      </c>
      <c r="I2798" s="5">
        <f>IMDB_Movies!$H2798-IMDB_Movies!$G2798</f>
        <v>-6050307</v>
      </c>
    </row>
    <row r="2799" spans="1:9" ht="23">
      <c r="A2799" s="2" t="s">
        <v>4062</v>
      </c>
      <c r="B2799" s="9" t="s">
        <v>4063</v>
      </c>
      <c r="C2799" s="9" t="s">
        <v>56</v>
      </c>
      <c r="D2799" s="9" t="s">
        <v>11</v>
      </c>
      <c r="E2799" s="9">
        <v>94</v>
      </c>
      <c r="F2799" s="9">
        <v>7.8</v>
      </c>
      <c r="G2799" s="9">
        <v>12500000</v>
      </c>
      <c r="H2799" s="9">
        <v>9030581</v>
      </c>
      <c r="I2799" s="5">
        <f>IMDB_Movies!$H2799-IMDB_Movies!$G2799</f>
        <v>-3469419</v>
      </c>
    </row>
    <row r="2800" spans="1:9" ht="23">
      <c r="A2800" s="2" t="s">
        <v>4064</v>
      </c>
      <c r="B2800" s="9" t="s">
        <v>3872</v>
      </c>
      <c r="C2800" s="9" t="s">
        <v>414</v>
      </c>
      <c r="D2800" s="9" t="s">
        <v>11</v>
      </c>
      <c r="E2800" s="9">
        <v>140</v>
      </c>
      <c r="F2800" s="9">
        <v>8</v>
      </c>
      <c r="G2800" s="9">
        <v>12800000</v>
      </c>
      <c r="H2800" s="9">
        <v>4157491</v>
      </c>
      <c r="I2800" s="5">
        <f>IMDB_Movies!$H2800-IMDB_Movies!$G2800</f>
        <v>-8642509</v>
      </c>
    </row>
    <row r="2801" spans="1:9" ht="23">
      <c r="A2801" s="2" t="s">
        <v>4065</v>
      </c>
      <c r="B2801" s="9" t="s">
        <v>3661</v>
      </c>
      <c r="C2801" s="9" t="s">
        <v>56</v>
      </c>
      <c r="D2801" s="9" t="s">
        <v>11</v>
      </c>
      <c r="E2801" s="9">
        <v>132</v>
      </c>
      <c r="F2801" s="9">
        <v>6.7</v>
      </c>
      <c r="G2801" s="9">
        <v>16000000</v>
      </c>
      <c r="H2801" s="9">
        <v>1508689</v>
      </c>
      <c r="I2801" s="5">
        <f>IMDB_Movies!$H2801-IMDB_Movies!$G2801</f>
        <v>-14491311</v>
      </c>
    </row>
    <row r="2802" spans="1:9" ht="23">
      <c r="A2802" s="2" t="s">
        <v>4066</v>
      </c>
      <c r="B2802" s="9" t="s">
        <v>4067</v>
      </c>
      <c r="C2802" s="9" t="s">
        <v>414</v>
      </c>
      <c r="D2802" s="9" t="s">
        <v>11</v>
      </c>
      <c r="E2802" s="9">
        <v>99</v>
      </c>
      <c r="F2802" s="9">
        <v>6.6</v>
      </c>
      <c r="G2802" s="9">
        <v>12500000</v>
      </c>
      <c r="H2802" s="9">
        <v>1227324</v>
      </c>
      <c r="I2802" s="5">
        <f>IMDB_Movies!$H2802-IMDB_Movies!$G2802</f>
        <v>-11272676</v>
      </c>
    </row>
    <row r="2803" spans="1:9" ht="23">
      <c r="A2803" s="2" t="s">
        <v>4068</v>
      </c>
      <c r="B2803" s="9" t="s">
        <v>3760</v>
      </c>
      <c r="C2803" s="9" t="s">
        <v>138</v>
      </c>
      <c r="D2803" s="9" t="s">
        <v>11</v>
      </c>
      <c r="E2803" s="9">
        <v>90</v>
      </c>
      <c r="F2803" s="9">
        <v>6.4</v>
      </c>
      <c r="G2803" s="9">
        <v>15000000</v>
      </c>
      <c r="H2803" s="9">
        <v>4360548</v>
      </c>
      <c r="I2803" s="5">
        <f>IMDB_Movies!$H2803-IMDB_Movies!$G2803</f>
        <v>-10639452</v>
      </c>
    </row>
    <row r="2804" spans="1:9" ht="23">
      <c r="A2804" s="2" t="s">
        <v>4069</v>
      </c>
      <c r="B2804" s="9" t="s">
        <v>4070</v>
      </c>
      <c r="C2804" s="9" t="s">
        <v>10</v>
      </c>
      <c r="D2804" s="9" t="s">
        <v>11</v>
      </c>
      <c r="E2804" s="9">
        <v>105</v>
      </c>
      <c r="F2804" s="9">
        <v>6.7</v>
      </c>
      <c r="G2804" s="9">
        <v>10500000</v>
      </c>
      <c r="H2804" s="9">
        <v>26589953</v>
      </c>
      <c r="I2804" s="5">
        <f>IMDB_Movies!$H2804-IMDB_Movies!$G2804</f>
        <v>16089953</v>
      </c>
    </row>
    <row r="2805" spans="1:9" ht="23">
      <c r="A2805" s="2" t="s">
        <v>4071</v>
      </c>
      <c r="B2805" s="9" t="s">
        <v>4072</v>
      </c>
      <c r="C2805" s="9" t="s">
        <v>418</v>
      </c>
      <c r="D2805" s="9" t="s">
        <v>11</v>
      </c>
      <c r="E2805" s="9">
        <v>108</v>
      </c>
      <c r="F2805" s="9">
        <v>6.2</v>
      </c>
      <c r="G2805" s="9">
        <v>15000000</v>
      </c>
      <c r="H2805" s="9">
        <v>1039869</v>
      </c>
      <c r="I2805" s="5">
        <f>IMDB_Movies!$H2805-IMDB_Movies!$G2805</f>
        <v>-13960131</v>
      </c>
    </row>
    <row r="2806" spans="1:9" ht="23">
      <c r="A2806" s="2" t="s">
        <v>4073</v>
      </c>
      <c r="B2806" s="9" t="s">
        <v>843</v>
      </c>
      <c r="C2806" s="9" t="s">
        <v>24</v>
      </c>
      <c r="D2806" s="9" t="s">
        <v>11</v>
      </c>
      <c r="E2806" s="9">
        <v>69</v>
      </c>
      <c r="F2806" s="9">
        <v>7.3</v>
      </c>
      <c r="G2806" s="9">
        <v>12500000</v>
      </c>
      <c r="H2806" s="9">
        <v>48092846</v>
      </c>
      <c r="I2806" s="5">
        <f>IMDB_Movies!$H2806-IMDB_Movies!$G2806</f>
        <v>35592846</v>
      </c>
    </row>
    <row r="2807" spans="1:9" ht="23">
      <c r="A2807" s="2" t="s">
        <v>4074</v>
      </c>
      <c r="B2807" s="9" t="s">
        <v>4075</v>
      </c>
      <c r="C2807" s="9" t="s">
        <v>10</v>
      </c>
      <c r="D2807" s="9" t="s">
        <v>3647</v>
      </c>
      <c r="E2807" s="9">
        <v>148</v>
      </c>
      <c r="F2807" s="9">
        <v>8.1</v>
      </c>
      <c r="G2807" s="9">
        <v>12800000</v>
      </c>
      <c r="H2807" s="9">
        <v>1110186</v>
      </c>
      <c r="I2807" s="5">
        <f>IMDB_Movies!$H2807-IMDB_Movies!$G2807</f>
        <v>-11689814</v>
      </c>
    </row>
    <row r="2808" spans="1:9" ht="23">
      <c r="A2808" s="2" t="s">
        <v>4076</v>
      </c>
      <c r="B2808" s="9" t="s">
        <v>4077</v>
      </c>
      <c r="C2808" s="9" t="s">
        <v>138</v>
      </c>
      <c r="D2808" s="9" t="s">
        <v>11</v>
      </c>
      <c r="E2808" s="9">
        <v>118</v>
      </c>
      <c r="F2808" s="9">
        <v>7</v>
      </c>
      <c r="G2808" s="9">
        <v>12500000</v>
      </c>
      <c r="H2808" s="9">
        <v>1089445</v>
      </c>
      <c r="I2808" s="5">
        <f>IMDB_Movies!$H2808-IMDB_Movies!$G2808</f>
        <v>-11410555</v>
      </c>
    </row>
    <row r="2809" spans="1:9" ht="23">
      <c r="A2809" s="2" t="s">
        <v>4078</v>
      </c>
      <c r="B2809" s="9" t="s">
        <v>1278</v>
      </c>
      <c r="C2809" s="9" t="s">
        <v>810</v>
      </c>
      <c r="D2809" s="9" t="s">
        <v>11</v>
      </c>
      <c r="E2809" s="9">
        <v>132</v>
      </c>
      <c r="F2809" s="9">
        <v>8</v>
      </c>
      <c r="G2809" s="9">
        <v>8000000</v>
      </c>
      <c r="H2809" s="9">
        <v>204565000</v>
      </c>
      <c r="I2809" s="5">
        <f>IMDB_Movies!$H2809-IMDB_Movies!$G2809</f>
        <v>196565000</v>
      </c>
    </row>
    <row r="2810" spans="1:9" ht="23">
      <c r="A2810" s="2" t="s">
        <v>4079</v>
      </c>
      <c r="B2810" s="9" t="s">
        <v>103</v>
      </c>
      <c r="C2810" s="9" t="s">
        <v>24</v>
      </c>
      <c r="D2810" s="9" t="s">
        <v>11</v>
      </c>
      <c r="E2810" s="9">
        <v>130</v>
      </c>
      <c r="F2810" s="9">
        <v>8</v>
      </c>
      <c r="G2810" s="9">
        <v>8000000</v>
      </c>
      <c r="H2810" s="9">
        <v>260000000</v>
      </c>
      <c r="I2810" s="5">
        <f>IMDB_Movies!$H2810-IMDB_Movies!$G2810</f>
        <v>252000000</v>
      </c>
    </row>
    <row r="2811" spans="1:9" ht="23">
      <c r="A2811" s="2" t="s">
        <v>4080</v>
      </c>
      <c r="B2811" s="9" t="s">
        <v>466</v>
      </c>
      <c r="C2811" s="9" t="s">
        <v>138</v>
      </c>
      <c r="D2811" s="9" t="s">
        <v>11</v>
      </c>
      <c r="E2811" s="9">
        <v>95</v>
      </c>
      <c r="F2811" s="9">
        <v>7</v>
      </c>
      <c r="G2811" s="9">
        <v>11000000</v>
      </c>
      <c r="H2811" s="9">
        <v>101736215</v>
      </c>
      <c r="I2811" s="5">
        <f>IMDB_Movies!$H2811-IMDB_Movies!$G2811</f>
        <v>90736215</v>
      </c>
    </row>
    <row r="2812" spans="1:9" ht="23">
      <c r="A2812" s="2" t="s">
        <v>4081</v>
      </c>
      <c r="B2812" s="9" t="s">
        <v>4082</v>
      </c>
      <c r="C2812" s="9" t="s">
        <v>116</v>
      </c>
      <c r="D2812" s="9" t="s">
        <v>394</v>
      </c>
      <c r="E2812" s="9">
        <v>80</v>
      </c>
      <c r="F2812" s="9">
        <v>7.9</v>
      </c>
      <c r="G2812" s="9">
        <v>9600000</v>
      </c>
      <c r="H2812" s="9">
        <v>71442</v>
      </c>
      <c r="I2812" s="5">
        <f>IMDB_Movies!$H2812-IMDB_Movies!$G2812</f>
        <v>-9528558</v>
      </c>
    </row>
    <row r="2813" spans="1:9" ht="23">
      <c r="A2813" s="2" t="s">
        <v>4083</v>
      </c>
      <c r="B2813" s="9" t="s">
        <v>2062</v>
      </c>
      <c r="C2813" s="9" t="s">
        <v>10</v>
      </c>
      <c r="D2813" s="9" t="s">
        <v>11</v>
      </c>
      <c r="E2813" s="9">
        <v>94</v>
      </c>
      <c r="F2813" s="9">
        <v>5.9</v>
      </c>
      <c r="G2813" s="9">
        <v>25000000</v>
      </c>
      <c r="H2813" s="9">
        <v>79817937</v>
      </c>
      <c r="I2813" s="5">
        <f>IMDB_Movies!$H2813-IMDB_Movies!$G2813</f>
        <v>54817937</v>
      </c>
    </row>
    <row r="2814" spans="1:9" ht="23">
      <c r="A2814" s="2" t="s">
        <v>4084</v>
      </c>
      <c r="B2814" s="9" t="s">
        <v>364</v>
      </c>
      <c r="C2814" s="9" t="s">
        <v>138</v>
      </c>
      <c r="D2814" s="9" t="s">
        <v>11</v>
      </c>
      <c r="E2814" s="9">
        <v>122</v>
      </c>
      <c r="F2814" s="9">
        <v>6.6</v>
      </c>
      <c r="G2814" s="9">
        <v>12000000</v>
      </c>
      <c r="H2814" s="9">
        <v>91547205</v>
      </c>
      <c r="I2814" s="5">
        <f>IMDB_Movies!$H2814-IMDB_Movies!$G2814</f>
        <v>79547205</v>
      </c>
    </row>
    <row r="2815" spans="1:9" ht="23">
      <c r="A2815" s="2" t="s">
        <v>4085</v>
      </c>
      <c r="B2815" s="9" t="s">
        <v>364</v>
      </c>
      <c r="C2815" s="9" t="s">
        <v>138</v>
      </c>
      <c r="D2815" s="9" t="s">
        <v>11</v>
      </c>
      <c r="E2815" s="9">
        <v>102</v>
      </c>
      <c r="F2815" s="9">
        <v>6.3</v>
      </c>
      <c r="G2815" s="9">
        <v>12000000</v>
      </c>
      <c r="H2815" s="9">
        <v>75074950</v>
      </c>
      <c r="I2815" s="5">
        <f>IMDB_Movies!$H2815-IMDB_Movies!$G2815</f>
        <v>63074950</v>
      </c>
    </row>
    <row r="2816" spans="1:9" ht="23">
      <c r="A2816" s="2" t="s">
        <v>4086</v>
      </c>
      <c r="B2816" s="9" t="s">
        <v>2549</v>
      </c>
      <c r="C2816" s="9" t="s">
        <v>10</v>
      </c>
      <c r="D2816" s="9" t="s">
        <v>11</v>
      </c>
      <c r="E2816" s="9">
        <v>116</v>
      </c>
      <c r="F2816" s="9">
        <v>7.7</v>
      </c>
      <c r="G2816" s="9">
        <v>11000000</v>
      </c>
      <c r="H2816" s="9">
        <v>78900000</v>
      </c>
      <c r="I2816" s="5">
        <f>IMDB_Movies!$H2816-IMDB_Movies!$G2816</f>
        <v>67900000</v>
      </c>
    </row>
    <row r="2817" spans="1:9" ht="23">
      <c r="A2817" s="2" t="s">
        <v>4087</v>
      </c>
      <c r="B2817" s="9" t="s">
        <v>137</v>
      </c>
      <c r="C2817" s="9" t="s">
        <v>138</v>
      </c>
      <c r="D2817" s="9" t="s">
        <v>11</v>
      </c>
      <c r="E2817" s="9">
        <v>78</v>
      </c>
      <c r="F2817" s="9">
        <v>6.9</v>
      </c>
      <c r="G2817" s="9">
        <v>12000000</v>
      </c>
      <c r="H2817" s="9">
        <v>72217000</v>
      </c>
      <c r="I2817" s="5">
        <f>IMDB_Movies!$H2817-IMDB_Movies!$G2817</f>
        <v>60217000</v>
      </c>
    </row>
    <row r="2818" spans="1:9" ht="23">
      <c r="A2818" s="2" t="s">
        <v>4088</v>
      </c>
      <c r="B2818" s="9" t="s">
        <v>4089</v>
      </c>
      <c r="C2818" s="9" t="s">
        <v>790</v>
      </c>
      <c r="D2818" s="9" t="s">
        <v>11</v>
      </c>
      <c r="E2818" s="9">
        <v>114</v>
      </c>
      <c r="F2818" s="9">
        <v>7.1</v>
      </c>
      <c r="G2818" s="9">
        <v>12000000</v>
      </c>
      <c r="H2818" s="9">
        <v>79568000</v>
      </c>
      <c r="I2818" s="5">
        <f>IMDB_Movies!$H2818-IMDB_Movies!$G2818</f>
        <v>67568000</v>
      </c>
    </row>
    <row r="2819" spans="1:9" ht="23">
      <c r="A2819" s="2" t="s">
        <v>4090</v>
      </c>
      <c r="B2819" s="9" t="s">
        <v>297</v>
      </c>
      <c r="C2819" s="9" t="s">
        <v>414</v>
      </c>
      <c r="D2819" s="9" t="s">
        <v>11</v>
      </c>
      <c r="E2819" s="9">
        <v>112</v>
      </c>
      <c r="F2819" s="9">
        <v>7.4</v>
      </c>
      <c r="G2819" s="9">
        <v>12000000</v>
      </c>
      <c r="H2819" s="9">
        <v>65500000</v>
      </c>
      <c r="I2819" s="5">
        <f>IMDB_Movies!$H2819-IMDB_Movies!$G2819</f>
        <v>53500000</v>
      </c>
    </row>
    <row r="2820" spans="1:9" ht="23">
      <c r="A2820" s="2" t="s">
        <v>4091</v>
      </c>
      <c r="B2820" s="9" t="s">
        <v>4092</v>
      </c>
      <c r="C2820" s="9" t="s">
        <v>10</v>
      </c>
      <c r="D2820" s="9" t="s">
        <v>11</v>
      </c>
      <c r="E2820" s="9">
        <v>110</v>
      </c>
      <c r="F2820" s="9">
        <v>6.5</v>
      </c>
      <c r="G2820" s="9">
        <v>12000000</v>
      </c>
      <c r="H2820" s="9">
        <v>70011073</v>
      </c>
      <c r="I2820" s="5">
        <f>IMDB_Movies!$H2820-IMDB_Movies!$G2820</f>
        <v>58011073</v>
      </c>
    </row>
    <row r="2821" spans="1:9" ht="23">
      <c r="A2821" s="2" t="s">
        <v>4093</v>
      </c>
      <c r="B2821" s="9" t="s">
        <v>1721</v>
      </c>
      <c r="C2821" s="9" t="s">
        <v>414</v>
      </c>
      <c r="D2821" s="9" t="s">
        <v>11</v>
      </c>
      <c r="E2821" s="9">
        <v>104</v>
      </c>
      <c r="F2821" s="9">
        <v>6.5</v>
      </c>
      <c r="G2821" s="9">
        <v>12000000</v>
      </c>
      <c r="H2821" s="9">
        <v>65269010</v>
      </c>
      <c r="I2821" s="5">
        <f>IMDB_Movies!$H2821-IMDB_Movies!$G2821</f>
        <v>53269010</v>
      </c>
    </row>
    <row r="2822" spans="1:9" ht="23">
      <c r="A2822" s="2" t="s">
        <v>4094</v>
      </c>
      <c r="B2822" s="9" t="s">
        <v>4095</v>
      </c>
      <c r="C2822" s="9" t="s">
        <v>24</v>
      </c>
      <c r="D2822" s="9" t="s">
        <v>11</v>
      </c>
      <c r="E2822" s="9">
        <v>81</v>
      </c>
      <c r="F2822" s="9">
        <v>6.8</v>
      </c>
      <c r="G2822" s="9">
        <v>12000000</v>
      </c>
      <c r="H2822" s="9">
        <v>63071133</v>
      </c>
      <c r="I2822" s="5">
        <f>IMDB_Movies!$H2822-IMDB_Movies!$G2822</f>
        <v>51071133</v>
      </c>
    </row>
    <row r="2823" spans="1:9" ht="23">
      <c r="A2823" s="2" t="s">
        <v>4096</v>
      </c>
      <c r="B2823" s="9" t="s">
        <v>472</v>
      </c>
      <c r="C2823" s="9" t="s">
        <v>414</v>
      </c>
      <c r="D2823" s="9" t="s">
        <v>11</v>
      </c>
      <c r="E2823" s="9">
        <v>154</v>
      </c>
      <c r="F2823" s="9">
        <v>7.5</v>
      </c>
      <c r="G2823" s="9">
        <v>12000000</v>
      </c>
      <c r="H2823" s="9">
        <v>39647595</v>
      </c>
      <c r="I2823" s="5">
        <f>IMDB_Movies!$H2823-IMDB_Movies!$G2823</f>
        <v>27647595</v>
      </c>
    </row>
    <row r="2824" spans="1:9" ht="23">
      <c r="A2824" s="2" t="s">
        <v>4097</v>
      </c>
      <c r="B2824" s="9" t="s">
        <v>1431</v>
      </c>
      <c r="C2824" s="9" t="s">
        <v>24</v>
      </c>
      <c r="D2824" s="9" t="s">
        <v>11</v>
      </c>
      <c r="E2824" s="9">
        <v>102</v>
      </c>
      <c r="F2824" s="9">
        <v>6.6</v>
      </c>
      <c r="G2824" s="9">
        <v>12000000</v>
      </c>
      <c r="H2824" s="9">
        <v>38087366</v>
      </c>
      <c r="I2824" s="5">
        <f>IMDB_Movies!$H2824-IMDB_Movies!$G2824</f>
        <v>26087366</v>
      </c>
    </row>
    <row r="2825" spans="1:9" ht="23">
      <c r="A2825" s="2" t="s">
        <v>4098</v>
      </c>
      <c r="B2825" s="9" t="s">
        <v>405</v>
      </c>
      <c r="C2825" s="9" t="s">
        <v>56</v>
      </c>
      <c r="D2825" s="9" t="s">
        <v>11</v>
      </c>
      <c r="E2825" s="9">
        <v>89</v>
      </c>
      <c r="F2825" s="9">
        <v>7.1</v>
      </c>
      <c r="G2825" s="9">
        <v>12000000</v>
      </c>
      <c r="H2825" s="9">
        <v>64572496</v>
      </c>
      <c r="I2825" s="5">
        <f>IMDB_Movies!$H2825-IMDB_Movies!$G2825</f>
        <v>52572496</v>
      </c>
    </row>
    <row r="2826" spans="1:9" ht="23">
      <c r="A2826" s="2" t="s">
        <v>4099</v>
      </c>
      <c r="B2826" s="9" t="s">
        <v>1686</v>
      </c>
      <c r="C2826" s="9" t="s">
        <v>56</v>
      </c>
      <c r="D2826" s="9" t="s">
        <v>11</v>
      </c>
      <c r="E2826" s="9">
        <v>132</v>
      </c>
      <c r="F2826" s="9">
        <v>6.6</v>
      </c>
      <c r="G2826" s="9">
        <v>12000000</v>
      </c>
      <c r="H2826" s="9">
        <v>30400000</v>
      </c>
      <c r="I2826" s="5">
        <f>IMDB_Movies!$H2826-IMDB_Movies!$G2826</f>
        <v>18400000</v>
      </c>
    </row>
    <row r="2827" spans="1:9" ht="23">
      <c r="A2827" s="2" t="s">
        <v>4100</v>
      </c>
      <c r="B2827" s="9" t="s">
        <v>747</v>
      </c>
      <c r="C2827" s="9" t="s">
        <v>24</v>
      </c>
      <c r="D2827" s="9" t="s">
        <v>11</v>
      </c>
      <c r="E2827" s="9">
        <v>103</v>
      </c>
      <c r="F2827" s="9">
        <v>7</v>
      </c>
      <c r="G2827" s="9">
        <v>5000000</v>
      </c>
      <c r="H2827" s="9">
        <v>42365600</v>
      </c>
      <c r="I2827" s="5">
        <f>IMDB_Movies!$H2827-IMDB_Movies!$G2827</f>
        <v>37365600</v>
      </c>
    </row>
    <row r="2828" spans="1:9" ht="23">
      <c r="A2828" s="2" t="s">
        <v>4101</v>
      </c>
      <c r="B2828" s="9" t="s">
        <v>4102</v>
      </c>
      <c r="C2828" s="9" t="s">
        <v>138</v>
      </c>
      <c r="D2828" s="9" t="s">
        <v>11</v>
      </c>
      <c r="E2828" s="9">
        <v>93</v>
      </c>
      <c r="F2828" s="9">
        <v>3.3</v>
      </c>
      <c r="G2828" s="9">
        <v>12000000</v>
      </c>
      <c r="H2828" s="9">
        <v>37188667</v>
      </c>
      <c r="I2828" s="5">
        <f>IMDB_Movies!$H2828-IMDB_Movies!$G2828</f>
        <v>25188667</v>
      </c>
    </row>
    <row r="2829" spans="1:9" ht="23">
      <c r="A2829" s="2" t="s">
        <v>4103</v>
      </c>
      <c r="B2829" s="9" t="s">
        <v>4104</v>
      </c>
      <c r="C2829" s="9" t="s">
        <v>138</v>
      </c>
      <c r="D2829" s="9" t="s">
        <v>11</v>
      </c>
      <c r="E2829" s="9">
        <v>93</v>
      </c>
      <c r="F2829" s="9">
        <v>6.7</v>
      </c>
      <c r="G2829" s="9">
        <v>12000000</v>
      </c>
      <c r="H2829" s="9">
        <v>54724272</v>
      </c>
      <c r="I2829" s="5">
        <f>IMDB_Movies!$H2829-IMDB_Movies!$G2829</f>
        <v>42724272</v>
      </c>
    </row>
    <row r="2830" spans="1:9" ht="23">
      <c r="A2830" s="2" t="s">
        <v>4105</v>
      </c>
      <c r="B2830" s="9" t="s">
        <v>4106</v>
      </c>
      <c r="C2830" s="9" t="s">
        <v>418</v>
      </c>
      <c r="D2830" s="9" t="s">
        <v>11</v>
      </c>
      <c r="E2830" s="9">
        <v>172</v>
      </c>
      <c r="F2830" s="9">
        <v>8</v>
      </c>
      <c r="G2830" s="9">
        <v>12000000</v>
      </c>
      <c r="H2830" s="9">
        <v>25078937</v>
      </c>
      <c r="I2830" s="5">
        <f>IMDB_Movies!$H2830-IMDB_Movies!$G2830</f>
        <v>13078937</v>
      </c>
    </row>
    <row r="2831" spans="1:9" ht="23">
      <c r="A2831" s="2" t="s">
        <v>4107</v>
      </c>
      <c r="B2831" s="9" t="s">
        <v>3813</v>
      </c>
      <c r="C2831" s="9" t="s">
        <v>56</v>
      </c>
      <c r="D2831" s="9" t="s">
        <v>11</v>
      </c>
      <c r="E2831" s="9">
        <v>96</v>
      </c>
      <c r="F2831" s="9">
        <v>6.8</v>
      </c>
      <c r="G2831" s="9">
        <v>12000000</v>
      </c>
      <c r="H2831" s="9">
        <v>31597131</v>
      </c>
      <c r="I2831" s="5">
        <f>IMDB_Movies!$H2831-IMDB_Movies!$G2831</f>
        <v>19597131</v>
      </c>
    </row>
    <row r="2832" spans="1:9" ht="23">
      <c r="A2832" s="2" t="s">
        <v>4108</v>
      </c>
      <c r="B2832" s="9" t="s">
        <v>4109</v>
      </c>
      <c r="C2832" s="9" t="s">
        <v>810</v>
      </c>
      <c r="D2832" s="9" t="s">
        <v>11</v>
      </c>
      <c r="E2832" s="9">
        <v>89</v>
      </c>
      <c r="F2832" s="9">
        <v>6</v>
      </c>
      <c r="G2832" s="9">
        <v>12000000</v>
      </c>
      <c r="H2832" s="9">
        <v>31691811</v>
      </c>
      <c r="I2832" s="5">
        <f>IMDB_Movies!$H2832-IMDB_Movies!$G2832</f>
        <v>19691811</v>
      </c>
    </row>
    <row r="2833" spans="1:9" ht="23">
      <c r="A2833" s="2" t="s">
        <v>4110</v>
      </c>
      <c r="B2833" s="9" t="s">
        <v>4111</v>
      </c>
      <c r="C2833" s="9" t="s">
        <v>810</v>
      </c>
      <c r="D2833" s="9" t="s">
        <v>11</v>
      </c>
      <c r="E2833" s="9">
        <v>92</v>
      </c>
      <c r="F2833" s="9">
        <v>5.4</v>
      </c>
      <c r="G2833" s="9">
        <v>12000000</v>
      </c>
      <c r="H2833" s="9">
        <v>31397498</v>
      </c>
      <c r="I2833" s="5">
        <f>IMDB_Movies!$H2833-IMDB_Movies!$G2833</f>
        <v>19397498</v>
      </c>
    </row>
    <row r="2834" spans="1:9" ht="23">
      <c r="A2834" s="2" t="s">
        <v>4112</v>
      </c>
      <c r="B2834" s="9" t="s">
        <v>4113</v>
      </c>
      <c r="C2834" s="9" t="s">
        <v>138</v>
      </c>
      <c r="D2834" s="9" t="s">
        <v>11</v>
      </c>
      <c r="E2834" s="9">
        <v>97</v>
      </c>
      <c r="F2834" s="9">
        <v>4.3</v>
      </c>
      <c r="G2834" s="9">
        <v>12000000</v>
      </c>
      <c r="H2834" s="9">
        <v>31179516</v>
      </c>
      <c r="I2834" s="5">
        <f>IMDB_Movies!$H2834-IMDB_Movies!$G2834</f>
        <v>19179516</v>
      </c>
    </row>
    <row r="2835" spans="1:9" ht="23">
      <c r="A2835" s="2" t="s">
        <v>4114</v>
      </c>
      <c r="B2835" s="9" t="s">
        <v>1242</v>
      </c>
      <c r="C2835" s="9" t="s">
        <v>138</v>
      </c>
      <c r="D2835" s="9" t="s">
        <v>11</v>
      </c>
      <c r="E2835" s="9">
        <v>93</v>
      </c>
      <c r="F2835" s="9">
        <v>6.2</v>
      </c>
      <c r="G2835" s="9">
        <v>12000000</v>
      </c>
      <c r="H2835" s="9">
        <v>31155435</v>
      </c>
      <c r="I2835" s="5">
        <f>IMDB_Movies!$H2835-IMDB_Movies!$G2835</f>
        <v>19155435</v>
      </c>
    </row>
    <row r="2836" spans="1:9" ht="23">
      <c r="A2836" s="2" t="s">
        <v>4115</v>
      </c>
      <c r="B2836" s="9" t="s">
        <v>4116</v>
      </c>
      <c r="C2836" s="9" t="s">
        <v>138</v>
      </c>
      <c r="D2836" s="9" t="s">
        <v>11</v>
      </c>
      <c r="E2836" s="9">
        <v>89</v>
      </c>
      <c r="F2836" s="9">
        <v>7.7</v>
      </c>
      <c r="G2836" s="9">
        <v>12000000</v>
      </c>
      <c r="H2836" s="9">
        <v>27281507</v>
      </c>
      <c r="I2836" s="5">
        <f>IMDB_Movies!$H2836-IMDB_Movies!$G2836</f>
        <v>15281507</v>
      </c>
    </row>
    <row r="2837" spans="1:9" ht="23">
      <c r="A2837" s="2" t="s">
        <v>4117</v>
      </c>
      <c r="B2837" s="9" t="s">
        <v>1615</v>
      </c>
      <c r="C2837" s="9" t="s">
        <v>418</v>
      </c>
      <c r="D2837" s="9" t="s">
        <v>11</v>
      </c>
      <c r="E2837" s="9">
        <v>123</v>
      </c>
      <c r="F2837" s="9">
        <v>7.4</v>
      </c>
      <c r="G2837" s="9">
        <v>12000000</v>
      </c>
      <c r="H2837" s="9">
        <v>25776062</v>
      </c>
      <c r="I2837" s="5">
        <f>IMDB_Movies!$H2837-IMDB_Movies!$G2837</f>
        <v>13776062</v>
      </c>
    </row>
    <row r="2838" spans="1:9" ht="23">
      <c r="A2838" s="2" t="s">
        <v>4118</v>
      </c>
      <c r="B2838" s="9" t="s">
        <v>4119</v>
      </c>
      <c r="C2838" s="9" t="s">
        <v>772</v>
      </c>
      <c r="D2838" s="9" t="s">
        <v>11</v>
      </c>
      <c r="E2838" s="9">
        <v>93</v>
      </c>
      <c r="F2838" s="9">
        <v>5.9</v>
      </c>
      <c r="G2838" s="9">
        <v>12000000</v>
      </c>
      <c r="H2838" s="9">
        <v>25240988</v>
      </c>
      <c r="I2838" s="5">
        <f>IMDB_Movies!$H2838-IMDB_Movies!$G2838</f>
        <v>13240988</v>
      </c>
    </row>
    <row r="2839" spans="1:9" ht="23">
      <c r="A2839" s="2" t="s">
        <v>4120</v>
      </c>
      <c r="B2839" s="9" t="s">
        <v>4121</v>
      </c>
      <c r="C2839" s="9" t="s">
        <v>56</v>
      </c>
      <c r="D2839" s="9" t="s">
        <v>11</v>
      </c>
      <c r="E2839" s="9">
        <v>133</v>
      </c>
      <c r="F2839" s="9">
        <v>7.8</v>
      </c>
      <c r="G2839" s="9">
        <v>12000000</v>
      </c>
      <c r="H2839" s="9">
        <v>124868837</v>
      </c>
      <c r="I2839" s="5">
        <f>IMDB_Movies!$H2839-IMDB_Movies!$G2839</f>
        <v>112868837</v>
      </c>
    </row>
    <row r="2840" spans="1:9" ht="23">
      <c r="A2840" s="2" t="s">
        <v>4122</v>
      </c>
      <c r="B2840" s="9" t="s">
        <v>1200</v>
      </c>
      <c r="C2840" s="9" t="s">
        <v>414</v>
      </c>
      <c r="D2840" s="9" t="s">
        <v>11</v>
      </c>
      <c r="E2840" s="9">
        <v>121</v>
      </c>
      <c r="F2840" s="9">
        <v>7.4</v>
      </c>
      <c r="G2840" s="9">
        <v>12000000</v>
      </c>
      <c r="H2840" s="9">
        <v>22905674</v>
      </c>
      <c r="I2840" s="5">
        <f>IMDB_Movies!$H2840-IMDB_Movies!$G2840</f>
        <v>10905674</v>
      </c>
    </row>
    <row r="2841" spans="1:9" ht="23">
      <c r="A2841" s="2" t="s">
        <v>4123</v>
      </c>
      <c r="B2841" s="9" t="s">
        <v>2001</v>
      </c>
      <c r="C2841" s="9" t="s">
        <v>138</v>
      </c>
      <c r="D2841" s="9" t="s">
        <v>11</v>
      </c>
      <c r="E2841" s="9">
        <v>102</v>
      </c>
      <c r="F2841" s="9">
        <v>6.5</v>
      </c>
      <c r="G2841" s="9">
        <v>12000000</v>
      </c>
      <c r="H2841" s="9">
        <v>25277561</v>
      </c>
      <c r="I2841" s="5">
        <f>IMDB_Movies!$H2841-IMDB_Movies!$G2841</f>
        <v>13277561</v>
      </c>
    </row>
    <row r="2842" spans="1:9" ht="23">
      <c r="A2842" s="2" t="s">
        <v>4124</v>
      </c>
      <c r="B2842" s="9" t="s">
        <v>1271</v>
      </c>
      <c r="C2842" s="9" t="s">
        <v>810</v>
      </c>
      <c r="D2842" s="9" t="s">
        <v>11</v>
      </c>
      <c r="E2842" s="9">
        <v>102</v>
      </c>
      <c r="F2842" s="9">
        <v>5.4</v>
      </c>
      <c r="G2842" s="9">
        <v>12000000</v>
      </c>
      <c r="H2842" s="9">
        <v>25078937</v>
      </c>
      <c r="I2842" s="5">
        <f>IMDB_Movies!$H2842-IMDB_Movies!$G2842</f>
        <v>13078937</v>
      </c>
    </row>
    <row r="2843" spans="1:9" ht="23">
      <c r="A2843" s="2" t="s">
        <v>4125</v>
      </c>
      <c r="B2843" s="9" t="s">
        <v>1193</v>
      </c>
      <c r="C2843" s="9" t="s">
        <v>810</v>
      </c>
      <c r="D2843" s="9" t="s">
        <v>11</v>
      </c>
      <c r="E2843" s="9">
        <v>99</v>
      </c>
      <c r="F2843" s="9">
        <v>7</v>
      </c>
      <c r="G2843" s="9">
        <v>12000000</v>
      </c>
      <c r="H2843" s="9">
        <v>21133087</v>
      </c>
      <c r="I2843" s="5">
        <f>IMDB_Movies!$H2843-IMDB_Movies!$G2843</f>
        <v>9133087</v>
      </c>
    </row>
    <row r="2844" spans="1:9" ht="23">
      <c r="A2844" s="2" t="s">
        <v>4126</v>
      </c>
      <c r="B2844" s="9" t="s">
        <v>1548</v>
      </c>
      <c r="C2844" s="9" t="s">
        <v>418</v>
      </c>
      <c r="D2844" s="9" t="s">
        <v>11</v>
      </c>
      <c r="E2844" s="9">
        <v>98</v>
      </c>
      <c r="F2844" s="9">
        <v>7.6</v>
      </c>
      <c r="G2844" s="9">
        <v>12000000</v>
      </c>
      <c r="H2844" s="9">
        <v>37707719</v>
      </c>
      <c r="I2844" s="5">
        <f>IMDB_Movies!$H2844-IMDB_Movies!$G2844</f>
        <v>25707719</v>
      </c>
    </row>
    <row r="2845" spans="1:9" ht="23">
      <c r="A2845" s="2" t="s">
        <v>4127</v>
      </c>
      <c r="B2845" s="9" t="s">
        <v>3145</v>
      </c>
      <c r="C2845" s="9" t="s">
        <v>138</v>
      </c>
      <c r="D2845" s="9" t="s">
        <v>11</v>
      </c>
      <c r="E2845" s="9">
        <v>118</v>
      </c>
      <c r="F2845" s="9">
        <v>6.9</v>
      </c>
      <c r="G2845" s="9">
        <v>9000000</v>
      </c>
      <c r="H2845" s="9">
        <v>18761993</v>
      </c>
      <c r="I2845" s="5">
        <f>IMDB_Movies!$H2845-IMDB_Movies!$G2845</f>
        <v>9761993</v>
      </c>
    </row>
    <row r="2846" spans="1:9" ht="23">
      <c r="A2846" s="2" t="s">
        <v>4128</v>
      </c>
      <c r="B2846" s="9" t="s">
        <v>4106</v>
      </c>
      <c r="C2846" s="9" t="s">
        <v>56</v>
      </c>
      <c r="D2846" s="9" t="s">
        <v>11</v>
      </c>
      <c r="E2846" s="9">
        <v>125</v>
      </c>
      <c r="F2846" s="9">
        <v>7</v>
      </c>
      <c r="G2846" s="9">
        <v>12000000</v>
      </c>
      <c r="H2846" s="9">
        <v>25078937</v>
      </c>
      <c r="I2846" s="5">
        <f>IMDB_Movies!$H2846-IMDB_Movies!$G2846</f>
        <v>13078937</v>
      </c>
    </row>
    <row r="2847" spans="1:9" ht="23">
      <c r="A2847" s="2" t="s">
        <v>4129</v>
      </c>
      <c r="B2847" s="9" t="s">
        <v>3717</v>
      </c>
      <c r="C2847" s="9" t="s">
        <v>138</v>
      </c>
      <c r="D2847" s="9" t="s">
        <v>11</v>
      </c>
      <c r="E2847" s="9">
        <v>104</v>
      </c>
      <c r="F2847" s="9">
        <v>5.3</v>
      </c>
      <c r="G2847" s="9">
        <v>12000000</v>
      </c>
      <c r="H2847" s="9">
        <v>18595716</v>
      </c>
      <c r="I2847" s="5">
        <f>IMDB_Movies!$H2847-IMDB_Movies!$G2847</f>
        <v>6595716</v>
      </c>
    </row>
    <row r="2848" spans="1:9" ht="23">
      <c r="A2848" s="2" t="s">
        <v>4130</v>
      </c>
      <c r="B2848" s="9" t="s">
        <v>4131</v>
      </c>
      <c r="C2848" s="9" t="s">
        <v>56</v>
      </c>
      <c r="D2848" s="9" t="s">
        <v>11</v>
      </c>
      <c r="E2848" s="9">
        <v>109</v>
      </c>
      <c r="F2848" s="9">
        <v>6.4</v>
      </c>
      <c r="G2848" s="9">
        <v>12000000</v>
      </c>
      <c r="H2848" s="9">
        <v>31990064</v>
      </c>
      <c r="I2848" s="5">
        <f>IMDB_Movies!$H2848-IMDB_Movies!$G2848</f>
        <v>19990064</v>
      </c>
    </row>
    <row r="2849" spans="1:9" ht="23">
      <c r="A2849" s="2" t="s">
        <v>4132</v>
      </c>
      <c r="B2849" s="9" t="s">
        <v>4133</v>
      </c>
      <c r="C2849" s="9" t="s">
        <v>138</v>
      </c>
      <c r="D2849" s="9" t="s">
        <v>11</v>
      </c>
      <c r="E2849" s="9">
        <v>86</v>
      </c>
      <c r="F2849" s="9">
        <v>4.5</v>
      </c>
      <c r="G2849" s="9">
        <v>20000000</v>
      </c>
      <c r="H2849" s="9">
        <v>17321573</v>
      </c>
      <c r="I2849" s="5">
        <f>IMDB_Movies!$H2849-IMDB_Movies!$G2849</f>
        <v>-2678427</v>
      </c>
    </row>
    <row r="2850" spans="1:9" ht="23">
      <c r="A2850" s="2" t="s">
        <v>4134</v>
      </c>
      <c r="B2850" s="9" t="s">
        <v>2285</v>
      </c>
      <c r="C2850" s="9" t="s">
        <v>24</v>
      </c>
      <c r="D2850" s="9" t="s">
        <v>11</v>
      </c>
      <c r="E2850" s="9">
        <v>115</v>
      </c>
      <c r="F2850" s="9">
        <v>7.8</v>
      </c>
      <c r="G2850" s="9">
        <v>12000000</v>
      </c>
      <c r="H2850" s="9">
        <v>17613460</v>
      </c>
      <c r="I2850" s="5">
        <f>IMDB_Movies!$H2850-IMDB_Movies!$G2850</f>
        <v>5613460</v>
      </c>
    </row>
    <row r="2851" spans="1:9" ht="23">
      <c r="A2851" s="2" t="s">
        <v>4135</v>
      </c>
      <c r="B2851" s="9" t="s">
        <v>4136</v>
      </c>
      <c r="C2851" s="9" t="s">
        <v>10</v>
      </c>
      <c r="D2851" s="9" t="s">
        <v>11</v>
      </c>
      <c r="E2851" s="9">
        <v>92</v>
      </c>
      <c r="F2851" s="9">
        <v>6.7</v>
      </c>
      <c r="G2851" s="9">
        <v>13000000</v>
      </c>
      <c r="H2851" s="9">
        <v>21088568</v>
      </c>
      <c r="I2851" s="5">
        <f>IMDB_Movies!$H2851-IMDB_Movies!$G2851</f>
        <v>8088568</v>
      </c>
    </row>
    <row r="2852" spans="1:9" ht="23">
      <c r="A2852" s="2" t="s">
        <v>4137</v>
      </c>
      <c r="B2852" s="9" t="s">
        <v>1053</v>
      </c>
      <c r="C2852" s="9" t="s">
        <v>138</v>
      </c>
      <c r="D2852" s="9" t="s">
        <v>11</v>
      </c>
      <c r="E2852" s="9">
        <v>91</v>
      </c>
      <c r="F2852" s="9">
        <v>5.3</v>
      </c>
      <c r="G2852" s="9">
        <v>12000000</v>
      </c>
      <c r="H2852" s="9">
        <v>17292381</v>
      </c>
      <c r="I2852" s="5">
        <f>IMDB_Movies!$H2852-IMDB_Movies!$G2852</f>
        <v>5292381</v>
      </c>
    </row>
    <row r="2853" spans="1:9" ht="23">
      <c r="A2853" s="2" t="s">
        <v>4138</v>
      </c>
      <c r="B2853" s="9" t="s">
        <v>2283</v>
      </c>
      <c r="C2853" s="9" t="s">
        <v>138</v>
      </c>
      <c r="D2853" s="9" t="s">
        <v>11</v>
      </c>
      <c r="E2853" s="9">
        <v>94</v>
      </c>
      <c r="F2853" s="9">
        <v>6.3</v>
      </c>
      <c r="G2853" s="9">
        <v>12000000</v>
      </c>
      <c r="H2853" s="9">
        <v>16300302</v>
      </c>
      <c r="I2853" s="5">
        <f>IMDB_Movies!$H2853-IMDB_Movies!$G2853</f>
        <v>4300302</v>
      </c>
    </row>
    <row r="2854" spans="1:9" ht="23">
      <c r="A2854" s="2" t="s">
        <v>4139</v>
      </c>
      <c r="B2854" s="9" t="s">
        <v>1225</v>
      </c>
      <c r="C2854" s="9" t="s">
        <v>10</v>
      </c>
      <c r="D2854" s="9" t="s">
        <v>11</v>
      </c>
      <c r="E2854" s="9">
        <v>93</v>
      </c>
      <c r="F2854" s="9">
        <v>7</v>
      </c>
      <c r="G2854" s="9">
        <v>12000000</v>
      </c>
      <c r="H2854" s="9">
        <v>27829874</v>
      </c>
      <c r="I2854" s="5">
        <f>IMDB_Movies!$H2854-IMDB_Movies!$G2854</f>
        <v>15829874</v>
      </c>
    </row>
    <row r="2855" spans="1:9" ht="23">
      <c r="A2855" s="2" t="s">
        <v>4140</v>
      </c>
      <c r="B2855" s="9" t="s">
        <v>4141</v>
      </c>
      <c r="C2855" s="9" t="s">
        <v>138</v>
      </c>
      <c r="D2855" s="9" t="s">
        <v>11</v>
      </c>
      <c r="E2855" s="9">
        <v>93</v>
      </c>
      <c r="F2855" s="9">
        <v>5.3</v>
      </c>
      <c r="G2855" s="9">
        <v>20000000</v>
      </c>
      <c r="H2855" s="9">
        <v>13960203</v>
      </c>
      <c r="I2855" s="5">
        <f>IMDB_Movies!$H2855-IMDB_Movies!$G2855</f>
        <v>-6039797</v>
      </c>
    </row>
    <row r="2856" spans="1:9" ht="23">
      <c r="A2856" s="2" t="s">
        <v>4142</v>
      </c>
      <c r="B2856" s="9" t="s">
        <v>1497</v>
      </c>
      <c r="C2856" s="9" t="s">
        <v>138</v>
      </c>
      <c r="D2856" s="9" t="s">
        <v>11</v>
      </c>
      <c r="E2856" s="9">
        <v>100</v>
      </c>
      <c r="F2856" s="9">
        <v>6.6</v>
      </c>
      <c r="G2856" s="9">
        <v>12000000</v>
      </c>
      <c r="H2856" s="9">
        <v>12902790</v>
      </c>
      <c r="I2856" s="5">
        <f>IMDB_Movies!$H2856-IMDB_Movies!$G2856</f>
        <v>902790</v>
      </c>
    </row>
    <row r="2857" spans="1:9" ht="23">
      <c r="A2857" s="2" t="s">
        <v>4143</v>
      </c>
      <c r="B2857" s="9" t="s">
        <v>2555</v>
      </c>
      <c r="C2857" s="9" t="s">
        <v>138</v>
      </c>
      <c r="D2857" s="9" t="s">
        <v>11</v>
      </c>
      <c r="E2857" s="9">
        <v>100</v>
      </c>
      <c r="F2857" s="9">
        <v>5.8</v>
      </c>
      <c r="G2857" s="9">
        <v>20000000</v>
      </c>
      <c r="H2857" s="9">
        <v>21520719</v>
      </c>
      <c r="I2857" s="5">
        <f>IMDB_Movies!$H2857-IMDB_Movies!$G2857</f>
        <v>1520719</v>
      </c>
    </row>
    <row r="2858" spans="1:9" ht="23">
      <c r="A2858" s="2" t="s">
        <v>4144</v>
      </c>
      <c r="B2858" s="9" t="s">
        <v>731</v>
      </c>
      <c r="C2858" s="9" t="s">
        <v>56</v>
      </c>
      <c r="D2858" s="9" t="s">
        <v>11</v>
      </c>
      <c r="E2858" s="9">
        <v>113</v>
      </c>
      <c r="F2858" s="9">
        <v>6.7</v>
      </c>
      <c r="G2858" s="9">
        <v>20000000</v>
      </c>
      <c r="H2858" s="9">
        <v>12796277</v>
      </c>
      <c r="I2858" s="5">
        <f>IMDB_Movies!$H2858-IMDB_Movies!$G2858</f>
        <v>-7203723</v>
      </c>
    </row>
    <row r="2859" spans="1:9" ht="23">
      <c r="A2859" s="2" t="s">
        <v>4145</v>
      </c>
      <c r="B2859" s="9" t="s">
        <v>2617</v>
      </c>
      <c r="C2859" s="9" t="s">
        <v>414</v>
      </c>
      <c r="D2859" s="9" t="s">
        <v>11</v>
      </c>
      <c r="E2859" s="9">
        <v>122</v>
      </c>
      <c r="F2859" s="9">
        <v>6.6</v>
      </c>
      <c r="G2859" s="9">
        <v>12000000</v>
      </c>
      <c r="H2859" s="9">
        <v>25078937</v>
      </c>
      <c r="I2859" s="5">
        <f>IMDB_Movies!$H2859-IMDB_Movies!$G2859</f>
        <v>13078937</v>
      </c>
    </row>
    <row r="2860" spans="1:9" ht="23">
      <c r="A2860" s="2" t="s">
        <v>4146</v>
      </c>
      <c r="B2860" s="9" t="s">
        <v>1462</v>
      </c>
      <c r="C2860" s="9" t="s">
        <v>418</v>
      </c>
      <c r="D2860" s="9" t="s">
        <v>11</v>
      </c>
      <c r="E2860" s="9">
        <v>100</v>
      </c>
      <c r="F2860" s="9">
        <v>7</v>
      </c>
      <c r="G2860" s="9">
        <v>20000000</v>
      </c>
      <c r="H2860" s="9">
        <v>11634362</v>
      </c>
      <c r="I2860" s="5">
        <f>IMDB_Movies!$H2860-IMDB_Movies!$G2860</f>
        <v>-8365638</v>
      </c>
    </row>
    <row r="2861" spans="1:9" ht="23">
      <c r="A2861" s="2" t="s">
        <v>4147</v>
      </c>
      <c r="B2861" s="9" t="s">
        <v>191</v>
      </c>
      <c r="C2861" s="9" t="s">
        <v>24</v>
      </c>
      <c r="D2861" s="9" t="s">
        <v>2452</v>
      </c>
      <c r="E2861" s="9">
        <v>293</v>
      </c>
      <c r="F2861" s="9">
        <v>8.4</v>
      </c>
      <c r="G2861" s="9">
        <v>14000000</v>
      </c>
      <c r="H2861" s="9">
        <v>11433134</v>
      </c>
      <c r="I2861" s="5">
        <f>IMDB_Movies!$H2861-IMDB_Movies!$G2861</f>
        <v>-2566866</v>
      </c>
    </row>
    <row r="2862" spans="1:9" ht="23">
      <c r="A2862" s="2" t="s">
        <v>4148</v>
      </c>
      <c r="B2862" s="9" t="s">
        <v>4149</v>
      </c>
      <c r="C2862" s="9" t="s">
        <v>138</v>
      </c>
      <c r="D2862" s="9" t="s">
        <v>11</v>
      </c>
      <c r="E2862" s="9">
        <v>93</v>
      </c>
      <c r="F2862" s="9">
        <v>5.4</v>
      </c>
      <c r="G2862" s="9">
        <v>12000000</v>
      </c>
      <c r="H2862" s="9">
        <v>10198766</v>
      </c>
      <c r="I2862" s="5">
        <f>IMDB_Movies!$H2862-IMDB_Movies!$G2862</f>
        <v>-1801234</v>
      </c>
    </row>
    <row r="2863" spans="1:9" ht="23">
      <c r="A2863" s="2" t="s">
        <v>4150</v>
      </c>
      <c r="B2863" s="9" t="s">
        <v>1511</v>
      </c>
      <c r="C2863" s="9" t="s">
        <v>56</v>
      </c>
      <c r="D2863" s="9" t="s">
        <v>11</v>
      </c>
      <c r="E2863" s="9">
        <v>123</v>
      </c>
      <c r="F2863" s="9">
        <v>7.8</v>
      </c>
      <c r="G2863" s="9">
        <v>12000000</v>
      </c>
      <c r="H2863" s="9">
        <v>15294553</v>
      </c>
      <c r="I2863" s="5">
        <f>IMDB_Movies!$H2863-IMDB_Movies!$G2863</f>
        <v>3294553</v>
      </c>
    </row>
    <row r="2864" spans="1:9" ht="23">
      <c r="A2864" s="2" t="s">
        <v>4151</v>
      </c>
      <c r="B2864" s="9" t="s">
        <v>520</v>
      </c>
      <c r="C2864" s="9" t="s">
        <v>10</v>
      </c>
      <c r="D2864" s="9" t="s">
        <v>521</v>
      </c>
      <c r="E2864" s="9">
        <v>119</v>
      </c>
      <c r="F2864" s="9">
        <v>7.6</v>
      </c>
      <c r="G2864" s="9">
        <v>100000000</v>
      </c>
      <c r="H2864" s="9">
        <v>11041228</v>
      </c>
      <c r="I2864" s="5">
        <f>IMDB_Movies!$H2864-IMDB_Movies!$G2864</f>
        <v>-88958772</v>
      </c>
    </row>
    <row r="2865" spans="1:9" ht="23">
      <c r="A2865" s="2" t="s">
        <v>4152</v>
      </c>
      <c r="B2865" s="9" t="s">
        <v>4153</v>
      </c>
      <c r="C2865" s="9" t="s">
        <v>56</v>
      </c>
      <c r="D2865" s="9" t="s">
        <v>11</v>
      </c>
      <c r="E2865" s="9">
        <v>107</v>
      </c>
      <c r="F2865" s="9">
        <v>6.6</v>
      </c>
      <c r="G2865" s="9">
        <v>12000000</v>
      </c>
      <c r="H2865" s="9">
        <v>7918283</v>
      </c>
      <c r="I2865" s="5">
        <f>IMDB_Movies!$H2865-IMDB_Movies!$G2865</f>
        <v>-4081717</v>
      </c>
    </row>
    <row r="2866" spans="1:9" ht="23">
      <c r="A2866" s="2" t="s">
        <v>4154</v>
      </c>
      <c r="B2866" s="9" t="s">
        <v>4155</v>
      </c>
      <c r="C2866" s="9" t="s">
        <v>790</v>
      </c>
      <c r="D2866" s="9" t="s">
        <v>11</v>
      </c>
      <c r="E2866" s="9">
        <v>106</v>
      </c>
      <c r="F2866" s="9">
        <v>6.4</v>
      </c>
      <c r="G2866" s="9">
        <v>12000000</v>
      </c>
      <c r="H2866" s="9">
        <v>22331028</v>
      </c>
      <c r="I2866" s="5">
        <f>IMDB_Movies!$H2866-IMDB_Movies!$G2866</f>
        <v>10331028</v>
      </c>
    </row>
    <row r="2867" spans="1:9" ht="23">
      <c r="A2867" s="2" t="s">
        <v>4156</v>
      </c>
      <c r="B2867" s="9" t="s">
        <v>4157</v>
      </c>
      <c r="C2867" s="9" t="s">
        <v>418</v>
      </c>
      <c r="D2867" s="9" t="s">
        <v>11</v>
      </c>
      <c r="E2867" s="9">
        <v>109</v>
      </c>
      <c r="F2867" s="9">
        <v>7</v>
      </c>
      <c r="G2867" s="9">
        <v>12000000</v>
      </c>
      <c r="H2867" s="9">
        <v>8134217</v>
      </c>
      <c r="I2867" s="5">
        <f>IMDB_Movies!$H2867-IMDB_Movies!$G2867</f>
        <v>-3865783</v>
      </c>
    </row>
    <row r="2868" spans="1:9" ht="23">
      <c r="A2868" s="2" t="s">
        <v>4158</v>
      </c>
      <c r="B2868" s="9" t="s">
        <v>4159</v>
      </c>
      <c r="C2868" s="9" t="s">
        <v>138</v>
      </c>
      <c r="D2868" s="9" t="s">
        <v>11</v>
      </c>
      <c r="E2868" s="9">
        <v>81</v>
      </c>
      <c r="F2868" s="9">
        <v>5.7</v>
      </c>
      <c r="G2868" s="9">
        <v>10000000</v>
      </c>
      <c r="H2868" s="9">
        <v>6982680</v>
      </c>
      <c r="I2868" s="5">
        <f>IMDB_Movies!$H2868-IMDB_Movies!$G2868</f>
        <v>-3017320</v>
      </c>
    </row>
    <row r="2869" spans="1:9" ht="23">
      <c r="A2869" s="2" t="s">
        <v>4160</v>
      </c>
      <c r="B2869" s="9" t="s">
        <v>4161</v>
      </c>
      <c r="C2869" s="9" t="s">
        <v>10</v>
      </c>
      <c r="D2869" s="9" t="s">
        <v>11</v>
      </c>
      <c r="E2869" s="9">
        <v>95</v>
      </c>
      <c r="F2869" s="9">
        <v>5.9</v>
      </c>
      <c r="G2869" s="9">
        <v>8000000</v>
      </c>
      <c r="H2869" s="9">
        <v>6739141</v>
      </c>
      <c r="I2869" s="5">
        <f>IMDB_Movies!$H2869-IMDB_Movies!$G2869</f>
        <v>-1260859</v>
      </c>
    </row>
    <row r="2870" spans="1:9" ht="23">
      <c r="A2870" s="2" t="s">
        <v>4162</v>
      </c>
      <c r="B2870" s="9" t="s">
        <v>4163</v>
      </c>
      <c r="C2870" s="9" t="s">
        <v>138</v>
      </c>
      <c r="D2870" s="9" t="s">
        <v>11</v>
      </c>
      <c r="E2870" s="9">
        <v>86</v>
      </c>
      <c r="F2870" s="9">
        <v>6.3</v>
      </c>
      <c r="G2870" s="9">
        <v>12000000</v>
      </c>
      <c r="H2870" s="9">
        <v>5542025</v>
      </c>
      <c r="I2870" s="5">
        <f>IMDB_Movies!$H2870-IMDB_Movies!$G2870</f>
        <v>-6457975</v>
      </c>
    </row>
    <row r="2871" spans="1:9" ht="23">
      <c r="A2871" s="2" t="s">
        <v>4164</v>
      </c>
      <c r="B2871" s="9" t="s">
        <v>2304</v>
      </c>
      <c r="C2871" s="9" t="s">
        <v>138</v>
      </c>
      <c r="D2871" s="9" t="s">
        <v>11</v>
      </c>
      <c r="E2871" s="9">
        <v>113</v>
      </c>
      <c r="F2871" s="9">
        <v>6.3</v>
      </c>
      <c r="G2871" s="9">
        <v>12000000</v>
      </c>
      <c r="H2871" s="9">
        <v>5032496</v>
      </c>
      <c r="I2871" s="5">
        <f>IMDB_Movies!$H2871-IMDB_Movies!$G2871</f>
        <v>-6967504</v>
      </c>
    </row>
    <row r="2872" spans="1:9" ht="23">
      <c r="A2872" s="2" t="s">
        <v>4165</v>
      </c>
      <c r="B2872" s="9" t="s">
        <v>1082</v>
      </c>
      <c r="C2872" s="9" t="s">
        <v>138</v>
      </c>
      <c r="D2872" s="9" t="s">
        <v>11</v>
      </c>
      <c r="E2872" s="9">
        <v>122</v>
      </c>
      <c r="F2872" s="9">
        <v>6.2</v>
      </c>
      <c r="G2872" s="9">
        <v>12000000</v>
      </c>
      <c r="H2872" s="9">
        <v>6754898</v>
      </c>
      <c r="I2872" s="5">
        <f>IMDB_Movies!$H2872-IMDB_Movies!$G2872</f>
        <v>-5245102</v>
      </c>
    </row>
    <row r="2873" spans="1:9" ht="23">
      <c r="A2873" s="2" t="s">
        <v>4166</v>
      </c>
      <c r="B2873" s="9" t="s">
        <v>3576</v>
      </c>
      <c r="C2873" s="9" t="s">
        <v>138</v>
      </c>
      <c r="D2873" s="9" t="s">
        <v>11</v>
      </c>
      <c r="E2873" s="9">
        <v>90</v>
      </c>
      <c r="F2873" s="9">
        <v>2.1</v>
      </c>
      <c r="G2873" s="9">
        <v>12000000</v>
      </c>
      <c r="H2873" s="9">
        <v>4922166</v>
      </c>
      <c r="I2873" s="5">
        <f>IMDB_Movies!$H2873-IMDB_Movies!$G2873</f>
        <v>-7077834</v>
      </c>
    </row>
    <row r="2874" spans="1:9" ht="23">
      <c r="A2874" s="2" t="s">
        <v>4167</v>
      </c>
      <c r="B2874" s="9" t="s">
        <v>1380</v>
      </c>
      <c r="C2874" s="9" t="s">
        <v>138</v>
      </c>
      <c r="D2874" s="9" t="s">
        <v>11</v>
      </c>
      <c r="E2874" s="9">
        <v>108</v>
      </c>
      <c r="F2874" s="9">
        <v>5</v>
      </c>
      <c r="G2874" s="9">
        <v>12000000</v>
      </c>
      <c r="H2874" s="9">
        <v>4903000</v>
      </c>
      <c r="I2874" s="5">
        <f>IMDB_Movies!$H2874-IMDB_Movies!$G2874</f>
        <v>-7097000</v>
      </c>
    </row>
    <row r="2875" spans="1:9" ht="23">
      <c r="A2875" s="2" t="s">
        <v>4168</v>
      </c>
      <c r="B2875" s="9" t="s">
        <v>4169</v>
      </c>
      <c r="C2875" s="9" t="s">
        <v>228</v>
      </c>
      <c r="D2875" s="9" t="s">
        <v>11</v>
      </c>
      <c r="E2875" s="9">
        <v>113</v>
      </c>
      <c r="F2875" s="9">
        <v>5.3</v>
      </c>
      <c r="G2875" s="9">
        <v>12000000</v>
      </c>
      <c r="H2875" s="9">
        <v>4717455</v>
      </c>
      <c r="I2875" s="5">
        <f>IMDB_Movies!$H2875-IMDB_Movies!$G2875</f>
        <v>-7282545</v>
      </c>
    </row>
    <row r="2876" spans="1:9" ht="23">
      <c r="A2876" s="2" t="s">
        <v>4170</v>
      </c>
      <c r="B2876" s="9" t="s">
        <v>2519</v>
      </c>
      <c r="C2876" s="9" t="s">
        <v>56</v>
      </c>
      <c r="D2876" s="9" t="s">
        <v>11</v>
      </c>
      <c r="E2876" s="9">
        <v>110</v>
      </c>
      <c r="F2876" s="9">
        <v>7.1</v>
      </c>
      <c r="G2876" s="9">
        <v>12000000</v>
      </c>
      <c r="H2876" s="9">
        <v>3148482</v>
      </c>
      <c r="I2876" s="5">
        <f>IMDB_Movies!$H2876-IMDB_Movies!$G2876</f>
        <v>-8851518</v>
      </c>
    </row>
    <row r="2877" spans="1:9" ht="23">
      <c r="A2877" s="2" t="s">
        <v>4171</v>
      </c>
      <c r="B2877" s="9" t="s">
        <v>4172</v>
      </c>
      <c r="C2877" s="9" t="s">
        <v>56</v>
      </c>
      <c r="D2877" s="9" t="s">
        <v>11</v>
      </c>
      <c r="E2877" s="9">
        <v>109</v>
      </c>
      <c r="F2877" s="9">
        <v>7</v>
      </c>
      <c r="G2877" s="9">
        <v>12000000</v>
      </c>
      <c r="H2877" s="9">
        <v>2326407</v>
      </c>
      <c r="I2877" s="5">
        <f>IMDB_Movies!$H2877-IMDB_Movies!$G2877</f>
        <v>-9673593</v>
      </c>
    </row>
    <row r="2878" spans="1:9" ht="23">
      <c r="A2878" s="2" t="s">
        <v>4173</v>
      </c>
      <c r="B2878" s="9" t="s">
        <v>410</v>
      </c>
      <c r="C2878" s="9" t="s">
        <v>24</v>
      </c>
      <c r="D2878" s="9" t="s">
        <v>11</v>
      </c>
      <c r="E2878" s="9">
        <v>100</v>
      </c>
      <c r="F2878" s="9">
        <v>5.7</v>
      </c>
      <c r="G2878" s="9">
        <v>12000000</v>
      </c>
      <c r="H2878" s="9">
        <v>25078937</v>
      </c>
      <c r="I2878" s="5">
        <f>IMDB_Movies!$H2878-IMDB_Movies!$G2878</f>
        <v>13078937</v>
      </c>
    </row>
    <row r="2879" spans="1:9" ht="23">
      <c r="A2879" s="2" t="s">
        <v>4174</v>
      </c>
      <c r="B2879" s="9" t="s">
        <v>4175</v>
      </c>
      <c r="C2879" s="9" t="s">
        <v>713</v>
      </c>
      <c r="D2879" s="9" t="s">
        <v>11</v>
      </c>
      <c r="E2879" s="9">
        <v>101</v>
      </c>
      <c r="F2879" s="9">
        <v>7.1</v>
      </c>
      <c r="G2879" s="9">
        <v>12000000</v>
      </c>
      <c r="H2879" s="9">
        <v>2060953</v>
      </c>
      <c r="I2879" s="5">
        <f>IMDB_Movies!$H2879-IMDB_Movies!$G2879</f>
        <v>-9939047</v>
      </c>
    </row>
    <row r="2880" spans="1:9" ht="23">
      <c r="A2880" s="2" t="s">
        <v>4176</v>
      </c>
      <c r="B2880" s="9" t="s">
        <v>4177</v>
      </c>
      <c r="C2880" s="9" t="s">
        <v>138</v>
      </c>
      <c r="D2880" s="9" t="s">
        <v>11</v>
      </c>
      <c r="E2880" s="9">
        <v>97</v>
      </c>
      <c r="F2880" s="9">
        <v>7</v>
      </c>
      <c r="G2880" s="9">
        <v>12000000</v>
      </c>
      <c r="H2880" s="9">
        <v>3950294</v>
      </c>
      <c r="I2880" s="5">
        <f>IMDB_Movies!$H2880-IMDB_Movies!$G2880</f>
        <v>-8049706</v>
      </c>
    </row>
    <row r="2881" spans="1:9" ht="23">
      <c r="A2881" s="2" t="s">
        <v>4178</v>
      </c>
      <c r="B2881" s="9" t="s">
        <v>4179</v>
      </c>
      <c r="C2881" s="9" t="s">
        <v>56</v>
      </c>
      <c r="D2881" s="9" t="s">
        <v>2756</v>
      </c>
      <c r="E2881" s="9">
        <v>172</v>
      </c>
      <c r="F2881" s="9">
        <v>7.7</v>
      </c>
      <c r="G2881" s="9">
        <v>9200000</v>
      </c>
      <c r="H2881" s="9">
        <v>2835886</v>
      </c>
      <c r="I2881" s="5">
        <f>IMDB_Movies!$H2881-IMDB_Movies!$G2881</f>
        <v>-6364114</v>
      </c>
    </row>
    <row r="2882" spans="1:9" ht="23">
      <c r="A2882" s="2" t="s">
        <v>4180</v>
      </c>
      <c r="B2882" s="9" t="s">
        <v>4181</v>
      </c>
      <c r="C2882" s="9" t="s">
        <v>138</v>
      </c>
      <c r="D2882" s="9" t="s">
        <v>11</v>
      </c>
      <c r="E2882" s="9">
        <v>104</v>
      </c>
      <c r="F2882" s="9">
        <v>7.1</v>
      </c>
      <c r="G2882" s="9">
        <v>12000000</v>
      </c>
      <c r="H2882" s="9">
        <v>1779284</v>
      </c>
      <c r="I2882" s="5">
        <f>IMDB_Movies!$H2882-IMDB_Movies!$G2882</f>
        <v>-10220716</v>
      </c>
    </row>
    <row r="2883" spans="1:9" ht="23">
      <c r="A2883" s="2" t="s">
        <v>4182</v>
      </c>
      <c r="B2883" s="9" t="s">
        <v>4183</v>
      </c>
      <c r="C2883" s="9" t="s">
        <v>56</v>
      </c>
      <c r="D2883" s="9" t="s">
        <v>11</v>
      </c>
      <c r="E2883" s="9">
        <v>99</v>
      </c>
      <c r="F2883" s="9">
        <v>6.8</v>
      </c>
      <c r="G2883" s="9">
        <v>12000000</v>
      </c>
      <c r="H2883" s="9">
        <v>1702277</v>
      </c>
      <c r="I2883" s="5">
        <f>IMDB_Movies!$H2883-IMDB_Movies!$G2883</f>
        <v>-10297723</v>
      </c>
    </row>
    <row r="2884" spans="1:9" ht="23">
      <c r="A2884" s="2" t="s">
        <v>4184</v>
      </c>
      <c r="B2884" s="9" t="s">
        <v>1928</v>
      </c>
      <c r="C2884" s="9" t="s">
        <v>56</v>
      </c>
      <c r="D2884" s="9" t="s">
        <v>2005</v>
      </c>
      <c r="E2884" s="9">
        <v>129</v>
      </c>
      <c r="F2884" s="9">
        <v>7.5</v>
      </c>
      <c r="G2884" s="9">
        <v>12000000</v>
      </c>
      <c r="H2884" s="9">
        <v>261481</v>
      </c>
      <c r="I2884" s="5">
        <f>IMDB_Movies!$H2884-IMDB_Movies!$G2884</f>
        <v>-11738519</v>
      </c>
    </row>
    <row r="2885" spans="1:9" ht="23">
      <c r="A2885" s="2" t="s">
        <v>4185</v>
      </c>
      <c r="B2885" s="9" t="s">
        <v>4186</v>
      </c>
      <c r="C2885" s="9" t="s">
        <v>414</v>
      </c>
      <c r="D2885" s="9" t="s">
        <v>11</v>
      </c>
      <c r="E2885" s="9">
        <v>91</v>
      </c>
      <c r="F2885" s="9">
        <v>6.3</v>
      </c>
      <c r="G2885" s="9">
        <v>12000000</v>
      </c>
      <c r="H2885" s="9">
        <v>1506998</v>
      </c>
      <c r="I2885" s="5">
        <f>IMDB_Movies!$H2885-IMDB_Movies!$G2885</f>
        <v>-10493002</v>
      </c>
    </row>
    <row r="2886" spans="1:9" ht="23">
      <c r="A2886" s="2" t="s">
        <v>4187</v>
      </c>
      <c r="B2886" s="9" t="s">
        <v>4188</v>
      </c>
      <c r="C2886" s="9" t="s">
        <v>24</v>
      </c>
      <c r="D2886" s="9" t="s">
        <v>11</v>
      </c>
      <c r="E2886" s="9">
        <v>100</v>
      </c>
      <c r="F2886" s="9">
        <v>7.3</v>
      </c>
      <c r="G2886" s="9">
        <v>12000000</v>
      </c>
      <c r="H2886" s="9">
        <v>860002</v>
      </c>
      <c r="I2886" s="5">
        <f>IMDB_Movies!$H2886-IMDB_Movies!$G2886</f>
        <v>-11139998</v>
      </c>
    </row>
    <row r="2887" spans="1:9" ht="23">
      <c r="A2887" s="2" t="s">
        <v>4189</v>
      </c>
      <c r="B2887" s="9" t="s">
        <v>1372</v>
      </c>
      <c r="C2887" s="9" t="s">
        <v>56</v>
      </c>
      <c r="D2887" s="9" t="s">
        <v>11</v>
      </c>
      <c r="E2887" s="9">
        <v>111</v>
      </c>
      <c r="F2887" s="9">
        <v>6.8</v>
      </c>
      <c r="G2887" s="9">
        <v>12000000</v>
      </c>
      <c r="H2887" s="9">
        <v>548934</v>
      </c>
      <c r="I2887" s="5">
        <f>IMDB_Movies!$H2887-IMDB_Movies!$G2887</f>
        <v>-11451066</v>
      </c>
    </row>
    <row r="2888" spans="1:9" ht="23">
      <c r="A2888" s="2" t="s">
        <v>4190</v>
      </c>
      <c r="B2888" s="9" t="s">
        <v>4191</v>
      </c>
      <c r="C2888" s="9" t="s">
        <v>414</v>
      </c>
      <c r="D2888" s="9" t="s">
        <v>11</v>
      </c>
      <c r="E2888" s="9">
        <v>114</v>
      </c>
      <c r="F2888" s="9">
        <v>7.2</v>
      </c>
      <c r="G2888" s="9">
        <v>10000000</v>
      </c>
      <c r="H2888" s="9">
        <v>447750</v>
      </c>
      <c r="I2888" s="5">
        <f>IMDB_Movies!$H2888-IMDB_Movies!$G2888</f>
        <v>-9552250</v>
      </c>
    </row>
    <row r="2889" spans="1:9" ht="23">
      <c r="A2889" s="2" t="s">
        <v>4192</v>
      </c>
      <c r="B2889" s="9" t="s">
        <v>58</v>
      </c>
      <c r="C2889" s="9" t="s">
        <v>138</v>
      </c>
      <c r="D2889" s="9" t="s">
        <v>11</v>
      </c>
      <c r="E2889" s="9">
        <v>86</v>
      </c>
      <c r="F2889" s="9">
        <v>6.4</v>
      </c>
      <c r="G2889" s="9">
        <v>12000000</v>
      </c>
      <c r="H2889" s="9">
        <v>333976</v>
      </c>
      <c r="I2889" s="5">
        <f>IMDB_Movies!$H2889-IMDB_Movies!$G2889</f>
        <v>-11666024</v>
      </c>
    </row>
    <row r="2890" spans="1:9" ht="23">
      <c r="A2890" s="2" t="s">
        <v>4193</v>
      </c>
      <c r="B2890" s="9" t="s">
        <v>2868</v>
      </c>
      <c r="C2890" s="9" t="s">
        <v>138</v>
      </c>
      <c r="D2890" s="9" t="s">
        <v>11</v>
      </c>
      <c r="E2890" s="9">
        <v>107</v>
      </c>
      <c r="F2890" s="9">
        <v>6</v>
      </c>
      <c r="G2890" s="9">
        <v>12000000</v>
      </c>
      <c r="H2890" s="9">
        <v>141853</v>
      </c>
      <c r="I2890" s="5">
        <f>IMDB_Movies!$H2890-IMDB_Movies!$G2890</f>
        <v>-11858147</v>
      </c>
    </row>
    <row r="2891" spans="1:9" ht="23">
      <c r="A2891" s="2" t="s">
        <v>4194</v>
      </c>
      <c r="B2891" s="9" t="s">
        <v>3543</v>
      </c>
      <c r="C2891" s="9" t="s">
        <v>56</v>
      </c>
      <c r="D2891" s="9" t="s">
        <v>11</v>
      </c>
      <c r="E2891" s="9">
        <v>90</v>
      </c>
      <c r="F2891" s="9">
        <v>6.4</v>
      </c>
      <c r="G2891" s="9">
        <v>8000000</v>
      </c>
      <c r="H2891" s="9">
        <v>303439</v>
      </c>
      <c r="I2891" s="5">
        <f>IMDB_Movies!$H2891-IMDB_Movies!$G2891</f>
        <v>-7696561</v>
      </c>
    </row>
    <row r="2892" spans="1:9" ht="23">
      <c r="A2892" s="2" t="s">
        <v>4195</v>
      </c>
      <c r="B2892" s="9" t="s">
        <v>976</v>
      </c>
      <c r="C2892" s="9" t="s">
        <v>138</v>
      </c>
      <c r="D2892" s="9" t="s">
        <v>11</v>
      </c>
      <c r="E2892" s="9">
        <v>103</v>
      </c>
      <c r="F2892" s="9">
        <v>5.0999999999999996</v>
      </c>
      <c r="G2892" s="9">
        <v>20000000</v>
      </c>
      <c r="H2892" s="9">
        <v>793352</v>
      </c>
      <c r="I2892" s="5">
        <f>IMDB_Movies!$H2892-IMDB_Movies!$G2892</f>
        <v>-19206648</v>
      </c>
    </row>
    <row r="2893" spans="1:9" ht="23">
      <c r="A2893" s="2" t="s">
        <v>4196</v>
      </c>
      <c r="B2893" s="9" t="s">
        <v>4197</v>
      </c>
      <c r="C2893" s="9" t="s">
        <v>414</v>
      </c>
      <c r="D2893" s="9" t="s">
        <v>11</v>
      </c>
      <c r="E2893" s="9">
        <v>120</v>
      </c>
      <c r="F2893" s="9">
        <v>7.5</v>
      </c>
      <c r="G2893" s="9">
        <v>12000000</v>
      </c>
      <c r="H2893" s="9">
        <v>214202</v>
      </c>
      <c r="I2893" s="5">
        <f>IMDB_Movies!$H2893-IMDB_Movies!$G2893</f>
        <v>-11785798</v>
      </c>
    </row>
    <row r="2894" spans="1:9" ht="23">
      <c r="A2894" s="2" t="s">
        <v>4198</v>
      </c>
      <c r="B2894" s="9" t="s">
        <v>4199</v>
      </c>
      <c r="C2894" s="9" t="s">
        <v>56</v>
      </c>
      <c r="D2894" s="9" t="s">
        <v>4200</v>
      </c>
      <c r="E2894" s="9">
        <v>134</v>
      </c>
      <c r="F2894" s="9">
        <v>7.1</v>
      </c>
      <c r="G2894" s="9">
        <v>2500000000</v>
      </c>
      <c r="H2894" s="9">
        <v>195888</v>
      </c>
      <c r="I2894" s="5">
        <f>IMDB_Movies!$H2894-IMDB_Movies!$G2894</f>
        <v>-2499804112</v>
      </c>
    </row>
    <row r="2895" spans="1:9" ht="23">
      <c r="A2895" s="2" t="s">
        <v>4201</v>
      </c>
      <c r="B2895" s="9" t="s">
        <v>4202</v>
      </c>
      <c r="C2895" s="9" t="s">
        <v>138</v>
      </c>
      <c r="D2895" s="9" t="s">
        <v>11</v>
      </c>
      <c r="E2895" s="9">
        <v>110</v>
      </c>
      <c r="F2895" s="9">
        <v>4.5999999999999996</v>
      </c>
      <c r="G2895" s="9">
        <v>12000000</v>
      </c>
      <c r="H2895" s="9">
        <v>175370</v>
      </c>
      <c r="I2895" s="5">
        <f>IMDB_Movies!$H2895-IMDB_Movies!$G2895</f>
        <v>-11824630</v>
      </c>
    </row>
    <row r="2896" spans="1:9" ht="23">
      <c r="A2896" s="2" t="s">
        <v>4203</v>
      </c>
      <c r="B2896" s="9" t="s">
        <v>520</v>
      </c>
      <c r="C2896" s="9" t="s">
        <v>138</v>
      </c>
      <c r="D2896" s="9" t="s">
        <v>521</v>
      </c>
      <c r="E2896" s="9">
        <v>95</v>
      </c>
      <c r="F2896" s="9">
        <v>5.7</v>
      </c>
      <c r="G2896" s="9">
        <v>20000000</v>
      </c>
      <c r="H2896" s="9">
        <v>190666</v>
      </c>
      <c r="I2896" s="5">
        <f>IMDB_Movies!$H2896-IMDB_Movies!$G2896</f>
        <v>-19809334</v>
      </c>
    </row>
    <row r="2897" spans="1:9" ht="23">
      <c r="A2897" s="2" t="s">
        <v>4204</v>
      </c>
      <c r="B2897" s="9" t="s">
        <v>2398</v>
      </c>
      <c r="C2897" s="9" t="s">
        <v>228</v>
      </c>
      <c r="D2897" s="9" t="s">
        <v>11</v>
      </c>
      <c r="E2897" s="9">
        <v>95</v>
      </c>
      <c r="F2897" s="9">
        <v>6.8</v>
      </c>
      <c r="G2897" s="9">
        <v>7500000</v>
      </c>
      <c r="H2897" s="9">
        <v>25078937</v>
      </c>
      <c r="I2897" s="5">
        <f>IMDB_Movies!$H2897-IMDB_Movies!$G2897</f>
        <v>17578937</v>
      </c>
    </row>
    <row r="2898" spans="1:9" ht="23">
      <c r="A2898" s="2" t="s">
        <v>4205</v>
      </c>
      <c r="B2898" s="9" t="s">
        <v>4206</v>
      </c>
      <c r="C2898" s="9" t="s">
        <v>56</v>
      </c>
      <c r="D2898" s="9" t="s">
        <v>521</v>
      </c>
      <c r="E2898" s="9">
        <v>132</v>
      </c>
      <c r="F2898" s="9">
        <v>7.7</v>
      </c>
      <c r="G2898" s="9">
        <v>12000000</v>
      </c>
      <c r="H2898" s="9">
        <v>119922</v>
      </c>
      <c r="I2898" s="5">
        <f>IMDB_Movies!$H2898-IMDB_Movies!$G2898</f>
        <v>-11880078</v>
      </c>
    </row>
    <row r="2899" spans="1:9" ht="23">
      <c r="A2899" s="2" t="s">
        <v>4207</v>
      </c>
      <c r="B2899" s="9" t="s">
        <v>4208</v>
      </c>
      <c r="C2899" s="9" t="s">
        <v>10</v>
      </c>
      <c r="D2899" s="9" t="s">
        <v>521</v>
      </c>
      <c r="E2899" s="9">
        <v>89</v>
      </c>
      <c r="F2899" s="9">
        <v>3.2</v>
      </c>
      <c r="G2899" s="9">
        <v>20000000</v>
      </c>
      <c r="H2899" s="9">
        <v>25078937</v>
      </c>
      <c r="I2899" s="5">
        <f>IMDB_Movies!$H2899-IMDB_Movies!$G2899</f>
        <v>5078937</v>
      </c>
    </row>
    <row r="2900" spans="1:9" ht="23">
      <c r="A2900" s="2" t="s">
        <v>4209</v>
      </c>
      <c r="B2900" s="9" t="s">
        <v>4210</v>
      </c>
      <c r="C2900" s="9" t="s">
        <v>10</v>
      </c>
      <c r="D2900" s="9" t="s">
        <v>179</v>
      </c>
      <c r="E2900" s="9">
        <v>138</v>
      </c>
      <c r="F2900" s="9">
        <v>6.1</v>
      </c>
      <c r="G2900" s="9">
        <v>12000000</v>
      </c>
      <c r="H2900" s="9">
        <v>25078937</v>
      </c>
      <c r="I2900" s="5">
        <f>IMDB_Movies!$H2900-IMDB_Movies!$G2900</f>
        <v>13078937</v>
      </c>
    </row>
    <row r="2901" spans="1:9" ht="23">
      <c r="A2901" s="2" t="s">
        <v>4211</v>
      </c>
      <c r="B2901" s="9" t="s">
        <v>557</v>
      </c>
      <c r="C2901" s="9" t="s">
        <v>10</v>
      </c>
      <c r="D2901" s="9" t="s">
        <v>11</v>
      </c>
      <c r="E2901" s="9">
        <v>113</v>
      </c>
      <c r="F2901" s="9">
        <v>5.6</v>
      </c>
      <c r="G2901" s="9">
        <v>20000000</v>
      </c>
      <c r="H2901" s="9">
        <v>17149</v>
      </c>
      <c r="I2901" s="5">
        <f>IMDB_Movies!$H2901-IMDB_Movies!$G2901</f>
        <v>-19982851</v>
      </c>
    </row>
    <row r="2902" spans="1:9" ht="23">
      <c r="A2902" s="2" t="s">
        <v>4212</v>
      </c>
      <c r="B2902" s="9" t="s">
        <v>4213</v>
      </c>
      <c r="C2902" s="9" t="s">
        <v>713</v>
      </c>
      <c r="D2902" s="9" t="s">
        <v>11</v>
      </c>
      <c r="E2902" s="9">
        <v>99</v>
      </c>
      <c r="F2902" s="9">
        <v>6.9</v>
      </c>
      <c r="G2902" s="9">
        <v>12000000</v>
      </c>
      <c r="H2902" s="9">
        <v>25078937</v>
      </c>
      <c r="I2902" s="5">
        <f>IMDB_Movies!$H2902-IMDB_Movies!$G2902</f>
        <v>13078937</v>
      </c>
    </row>
    <row r="2903" spans="1:9" ht="23">
      <c r="A2903" s="2" t="s">
        <v>4214</v>
      </c>
      <c r="B2903" s="9" t="s">
        <v>4215</v>
      </c>
      <c r="C2903" s="9" t="s">
        <v>56</v>
      </c>
      <c r="D2903" s="9" t="s">
        <v>11</v>
      </c>
      <c r="E2903" s="9">
        <v>111</v>
      </c>
      <c r="F2903" s="9">
        <v>7.5</v>
      </c>
      <c r="G2903" s="9">
        <v>12000000</v>
      </c>
      <c r="H2903" s="9">
        <v>14616</v>
      </c>
      <c r="I2903" s="5">
        <f>IMDB_Movies!$H2903-IMDB_Movies!$G2903</f>
        <v>-11985384</v>
      </c>
    </row>
    <row r="2904" spans="1:9" ht="23">
      <c r="A2904" s="2" t="s">
        <v>4216</v>
      </c>
      <c r="B2904" s="9" t="s">
        <v>899</v>
      </c>
      <c r="C2904" s="9" t="s">
        <v>418</v>
      </c>
      <c r="D2904" s="9" t="s">
        <v>11</v>
      </c>
      <c r="E2904" s="9">
        <v>99</v>
      </c>
      <c r="F2904" s="9">
        <v>5.8</v>
      </c>
      <c r="G2904" s="9">
        <v>12000000</v>
      </c>
      <c r="H2904" s="9">
        <v>91443253</v>
      </c>
      <c r="I2904" s="5">
        <f>IMDB_Movies!$H2904-IMDB_Movies!$G2904</f>
        <v>79443253</v>
      </c>
    </row>
    <row r="2905" spans="1:9" ht="23">
      <c r="A2905" s="2" t="s">
        <v>4217</v>
      </c>
      <c r="B2905" s="9" t="s">
        <v>348</v>
      </c>
      <c r="C2905" s="9" t="s">
        <v>138</v>
      </c>
      <c r="D2905" s="9" t="s">
        <v>11</v>
      </c>
      <c r="E2905" s="9">
        <v>104</v>
      </c>
      <c r="F2905" s="9">
        <v>8.3000000000000007</v>
      </c>
      <c r="G2905" s="9">
        <v>6000000</v>
      </c>
      <c r="H2905" s="9">
        <v>30093107</v>
      </c>
      <c r="I2905" s="5">
        <f>IMDB_Movies!$H2905-IMDB_Movies!$G2905</f>
        <v>24093107</v>
      </c>
    </row>
    <row r="2906" spans="1:9" ht="23">
      <c r="A2906" s="2" t="s">
        <v>4218</v>
      </c>
      <c r="B2906" s="9" t="s">
        <v>4219</v>
      </c>
      <c r="C2906" s="9" t="s">
        <v>3326</v>
      </c>
      <c r="D2906" s="9" t="s">
        <v>11</v>
      </c>
      <c r="E2906" s="9">
        <v>89</v>
      </c>
      <c r="F2906" s="9">
        <v>2.8</v>
      </c>
      <c r="G2906" s="9">
        <v>12000000</v>
      </c>
      <c r="H2906" s="9">
        <v>25078937</v>
      </c>
      <c r="I2906" s="5">
        <f>IMDB_Movies!$H2906-IMDB_Movies!$G2906</f>
        <v>13078937</v>
      </c>
    </row>
    <row r="2907" spans="1:9" ht="23">
      <c r="A2907" s="2" t="s">
        <v>4220</v>
      </c>
      <c r="B2907" s="9" t="s">
        <v>3801</v>
      </c>
      <c r="C2907" s="9" t="s">
        <v>713</v>
      </c>
      <c r="D2907" s="9" t="s">
        <v>11</v>
      </c>
      <c r="E2907" s="9">
        <v>103</v>
      </c>
      <c r="F2907" s="9">
        <v>6.6</v>
      </c>
      <c r="G2907" s="9">
        <v>11500000</v>
      </c>
      <c r="H2907" s="9">
        <v>57469179</v>
      </c>
      <c r="I2907" s="5">
        <f>IMDB_Movies!$H2907-IMDB_Movies!$G2907</f>
        <v>45969179</v>
      </c>
    </row>
    <row r="2908" spans="1:9" ht="23">
      <c r="A2908" s="2" t="s">
        <v>4221</v>
      </c>
      <c r="B2908" s="9" t="s">
        <v>4222</v>
      </c>
      <c r="C2908" s="9" t="s">
        <v>56</v>
      </c>
      <c r="D2908" s="9" t="s">
        <v>179</v>
      </c>
      <c r="E2908" s="9">
        <v>134</v>
      </c>
      <c r="F2908" s="9">
        <v>7.5</v>
      </c>
      <c r="G2908" s="9">
        <v>11900000</v>
      </c>
      <c r="H2908" s="9">
        <v>48856</v>
      </c>
      <c r="I2908" s="5">
        <f>IMDB_Movies!$H2908-IMDB_Movies!$G2908</f>
        <v>-11851144</v>
      </c>
    </row>
    <row r="2909" spans="1:9" ht="23">
      <c r="A2909" s="2" t="s">
        <v>4223</v>
      </c>
      <c r="B2909" s="9" t="s">
        <v>4224</v>
      </c>
      <c r="C2909" s="9" t="s">
        <v>56</v>
      </c>
      <c r="D2909" s="9" t="s">
        <v>11</v>
      </c>
      <c r="E2909" s="9">
        <v>100</v>
      </c>
      <c r="F2909" s="9">
        <v>6</v>
      </c>
      <c r="G2909" s="9">
        <v>11500000</v>
      </c>
      <c r="H2909" s="9">
        <v>25078937</v>
      </c>
      <c r="I2909" s="5">
        <f>IMDB_Movies!$H2909-IMDB_Movies!$G2909</f>
        <v>13578937</v>
      </c>
    </row>
    <row r="2910" spans="1:9" ht="23">
      <c r="A2910" s="2" t="s">
        <v>4225</v>
      </c>
      <c r="B2910" s="9" t="s">
        <v>4226</v>
      </c>
      <c r="C2910" s="9" t="s">
        <v>56</v>
      </c>
      <c r="D2910" s="9" t="s">
        <v>3337</v>
      </c>
      <c r="E2910" s="9">
        <v>130</v>
      </c>
      <c r="F2910" s="9">
        <v>6.2</v>
      </c>
      <c r="G2910" s="9">
        <v>12000000</v>
      </c>
      <c r="H2910" s="9">
        <v>25078937</v>
      </c>
      <c r="I2910" s="5">
        <f>IMDB_Movies!$H2910-IMDB_Movies!$G2910</f>
        <v>13078937</v>
      </c>
    </row>
    <row r="2911" spans="1:9" ht="23">
      <c r="A2911" s="2" t="s">
        <v>4227</v>
      </c>
      <c r="B2911" s="9" t="s">
        <v>760</v>
      </c>
      <c r="C2911" s="9" t="s">
        <v>138</v>
      </c>
      <c r="D2911" s="9" t="s">
        <v>11</v>
      </c>
      <c r="E2911" s="9">
        <v>106</v>
      </c>
      <c r="F2911" s="9">
        <v>7.2</v>
      </c>
      <c r="G2911" s="9">
        <v>11000000</v>
      </c>
      <c r="H2911" s="9">
        <v>148170000</v>
      </c>
      <c r="I2911" s="5">
        <f>IMDB_Movies!$H2911-IMDB_Movies!$G2911</f>
        <v>137170000</v>
      </c>
    </row>
    <row r="2912" spans="1:9" ht="23">
      <c r="A2912" s="2" t="s">
        <v>4228</v>
      </c>
      <c r="B2912" s="9" t="s">
        <v>385</v>
      </c>
      <c r="C2912" s="9" t="s">
        <v>10</v>
      </c>
      <c r="D2912" s="9" t="s">
        <v>11</v>
      </c>
      <c r="E2912" s="9">
        <v>125</v>
      </c>
      <c r="F2912" s="9">
        <v>8.6999999999999993</v>
      </c>
      <c r="G2912" s="9">
        <v>11000000</v>
      </c>
      <c r="H2912" s="9">
        <v>460935665</v>
      </c>
      <c r="I2912" s="5">
        <f>IMDB_Movies!$H2912-IMDB_Movies!$G2912</f>
        <v>449935665</v>
      </c>
    </row>
    <row r="2913" spans="1:9" ht="23">
      <c r="A2913" s="2" t="s">
        <v>4229</v>
      </c>
      <c r="B2913" s="9" t="s">
        <v>4230</v>
      </c>
      <c r="C2913" s="9" t="s">
        <v>138</v>
      </c>
      <c r="D2913" s="9" t="s">
        <v>11</v>
      </c>
      <c r="E2913" s="9">
        <v>109</v>
      </c>
      <c r="F2913" s="9">
        <v>6</v>
      </c>
      <c r="G2913" s="9">
        <v>11500000</v>
      </c>
      <c r="H2913" s="9">
        <v>35537564</v>
      </c>
      <c r="I2913" s="5">
        <f>IMDB_Movies!$H2913-IMDB_Movies!$G2913</f>
        <v>24037564</v>
      </c>
    </row>
    <row r="2914" spans="1:9" ht="23">
      <c r="A2914" s="2" t="s">
        <v>4231</v>
      </c>
      <c r="B2914" s="9" t="s">
        <v>2544</v>
      </c>
      <c r="C2914" s="9" t="s">
        <v>56</v>
      </c>
      <c r="D2914" s="9" t="s">
        <v>11</v>
      </c>
      <c r="E2914" s="9">
        <v>200</v>
      </c>
      <c r="F2914" s="9">
        <v>8</v>
      </c>
      <c r="G2914" s="9">
        <v>11000000</v>
      </c>
      <c r="H2914" s="9">
        <v>111722000</v>
      </c>
      <c r="I2914" s="5">
        <f>IMDB_Movies!$H2914-IMDB_Movies!$G2914</f>
        <v>100722000</v>
      </c>
    </row>
    <row r="2915" spans="1:9" ht="23">
      <c r="A2915" s="2" t="s">
        <v>4232</v>
      </c>
      <c r="B2915" s="9" t="s">
        <v>1823</v>
      </c>
      <c r="C2915" s="9" t="s">
        <v>24</v>
      </c>
      <c r="D2915" s="9" t="s">
        <v>4233</v>
      </c>
      <c r="E2915" s="9">
        <v>114</v>
      </c>
      <c r="F2915" s="9">
        <v>7.2</v>
      </c>
      <c r="G2915" s="9">
        <v>20000000</v>
      </c>
      <c r="H2915" s="9">
        <v>10230</v>
      </c>
      <c r="I2915" s="5">
        <f>IMDB_Movies!$H2915-IMDB_Movies!$G2915</f>
        <v>-19989770</v>
      </c>
    </row>
    <row r="2916" spans="1:9" ht="23">
      <c r="A2916" s="2" t="s">
        <v>4234</v>
      </c>
      <c r="B2916" s="9" t="s">
        <v>1095</v>
      </c>
      <c r="C2916" s="9" t="s">
        <v>138</v>
      </c>
      <c r="D2916" s="9" t="s">
        <v>11</v>
      </c>
      <c r="E2916" s="9">
        <v>112</v>
      </c>
      <c r="F2916" s="9">
        <v>4.5</v>
      </c>
      <c r="G2916" s="9">
        <v>11000000</v>
      </c>
      <c r="H2916" s="9">
        <v>90556401</v>
      </c>
      <c r="I2916" s="5">
        <f>IMDB_Movies!$H2916-IMDB_Movies!$G2916</f>
        <v>79556401</v>
      </c>
    </row>
    <row r="2917" spans="1:9" ht="23">
      <c r="A2917" s="2" t="s">
        <v>4235</v>
      </c>
      <c r="B2917" s="9" t="s">
        <v>1124</v>
      </c>
      <c r="C2917" s="9" t="s">
        <v>418</v>
      </c>
      <c r="D2917" s="9" t="s">
        <v>11</v>
      </c>
      <c r="E2917" s="9">
        <v>116</v>
      </c>
      <c r="F2917" s="9">
        <v>7.9</v>
      </c>
      <c r="G2917" s="9">
        <v>25000000</v>
      </c>
      <c r="H2917" s="9">
        <v>93571803</v>
      </c>
      <c r="I2917" s="5">
        <f>IMDB_Movies!$H2917-IMDB_Movies!$G2917</f>
        <v>68571803</v>
      </c>
    </row>
    <row r="2918" spans="1:9" ht="23">
      <c r="A2918" s="2" t="s">
        <v>4236</v>
      </c>
      <c r="B2918" s="9" t="s">
        <v>3026</v>
      </c>
      <c r="C2918" s="9" t="s">
        <v>10</v>
      </c>
      <c r="D2918" s="9" t="s">
        <v>11</v>
      </c>
      <c r="E2918" s="9">
        <v>92</v>
      </c>
      <c r="F2918" s="9">
        <v>7.1</v>
      </c>
      <c r="G2918" s="9">
        <v>20000000</v>
      </c>
      <c r="H2918" s="9">
        <v>72755517</v>
      </c>
      <c r="I2918" s="5">
        <f>IMDB_Movies!$H2918-IMDB_Movies!$G2918</f>
        <v>52755517</v>
      </c>
    </row>
    <row r="2919" spans="1:9" ht="23">
      <c r="A2919" s="2" t="s">
        <v>4237</v>
      </c>
      <c r="B2919" s="9" t="s">
        <v>1923</v>
      </c>
      <c r="C2919" s="9" t="s">
        <v>138</v>
      </c>
      <c r="D2919" s="9" t="s">
        <v>11</v>
      </c>
      <c r="E2919" s="9">
        <v>120</v>
      </c>
      <c r="F2919" s="9">
        <v>7.5</v>
      </c>
      <c r="G2919" s="9">
        <v>11000000</v>
      </c>
      <c r="H2919" s="9">
        <v>52929168</v>
      </c>
      <c r="I2919" s="5">
        <f>IMDB_Movies!$H2919-IMDB_Movies!$G2919</f>
        <v>41929168</v>
      </c>
    </row>
    <row r="2920" spans="1:9" ht="23">
      <c r="A2920" s="2" t="s">
        <v>4238</v>
      </c>
      <c r="B2920" s="9" t="s">
        <v>4239</v>
      </c>
      <c r="C2920" s="9" t="s">
        <v>56</v>
      </c>
      <c r="D2920" s="9" t="s">
        <v>11</v>
      </c>
      <c r="E2920" s="9">
        <v>107</v>
      </c>
      <c r="F2920" s="9">
        <v>6.8</v>
      </c>
      <c r="G2920" s="9">
        <v>11000000</v>
      </c>
      <c r="H2920" s="9">
        <v>50461335</v>
      </c>
      <c r="I2920" s="5">
        <f>IMDB_Movies!$H2920-IMDB_Movies!$G2920</f>
        <v>39461335</v>
      </c>
    </row>
    <row r="2921" spans="1:9" ht="23">
      <c r="A2921" s="2" t="s">
        <v>4240</v>
      </c>
      <c r="B2921" s="9" t="s">
        <v>2962</v>
      </c>
      <c r="C2921" s="9" t="s">
        <v>10</v>
      </c>
      <c r="D2921" s="9" t="s">
        <v>11</v>
      </c>
      <c r="E2921" s="9">
        <v>92</v>
      </c>
      <c r="F2921" s="9">
        <v>4.3</v>
      </c>
      <c r="G2921" s="9">
        <v>12000000</v>
      </c>
      <c r="H2921" s="9">
        <v>25078937</v>
      </c>
      <c r="I2921" s="5">
        <f>IMDB_Movies!$H2921-IMDB_Movies!$G2921</f>
        <v>13078937</v>
      </c>
    </row>
    <row r="2922" spans="1:9" ht="23">
      <c r="A2922" s="2" t="s">
        <v>4241</v>
      </c>
      <c r="B2922" s="9" t="s">
        <v>4242</v>
      </c>
      <c r="C2922" s="9" t="s">
        <v>138</v>
      </c>
      <c r="D2922" s="9" t="s">
        <v>11</v>
      </c>
      <c r="E2922" s="9">
        <v>107</v>
      </c>
      <c r="F2922" s="9">
        <v>7.2</v>
      </c>
      <c r="G2922" s="9">
        <v>11000000</v>
      </c>
      <c r="H2922" s="9">
        <v>49797148</v>
      </c>
      <c r="I2922" s="5">
        <f>IMDB_Movies!$H2922-IMDB_Movies!$G2922</f>
        <v>38797148</v>
      </c>
    </row>
    <row r="2923" spans="1:9" ht="23">
      <c r="A2923" s="2" t="s">
        <v>4243</v>
      </c>
      <c r="B2923" s="9" t="s">
        <v>1645</v>
      </c>
      <c r="C2923" s="9" t="s">
        <v>138</v>
      </c>
      <c r="D2923" s="9" t="s">
        <v>11</v>
      </c>
      <c r="E2923" s="9">
        <v>100</v>
      </c>
      <c r="F2923" s="9">
        <v>5.8</v>
      </c>
      <c r="G2923" s="9">
        <v>13500000</v>
      </c>
      <c r="H2923" s="9">
        <v>25078937</v>
      </c>
      <c r="I2923" s="5">
        <f>IMDB_Movies!$H2923-IMDB_Movies!$G2923</f>
        <v>11578937</v>
      </c>
    </row>
    <row r="2924" spans="1:9" ht="23">
      <c r="A2924" s="2" t="s">
        <v>4244</v>
      </c>
      <c r="B2924" s="9" t="s">
        <v>357</v>
      </c>
      <c r="C2924" s="9" t="s">
        <v>414</v>
      </c>
      <c r="D2924" s="9" t="s">
        <v>11</v>
      </c>
      <c r="E2924" s="9">
        <v>81</v>
      </c>
      <c r="F2924" s="9">
        <v>7.1</v>
      </c>
      <c r="G2924" s="9">
        <v>13000000</v>
      </c>
      <c r="H2924" s="9">
        <v>46563158</v>
      </c>
      <c r="I2924" s="5">
        <f>IMDB_Movies!$H2924-IMDB_Movies!$G2924</f>
        <v>33563158</v>
      </c>
    </row>
    <row r="2925" spans="1:9" ht="23">
      <c r="A2925" s="2" t="s">
        <v>4245</v>
      </c>
      <c r="B2925" s="9" t="s">
        <v>700</v>
      </c>
      <c r="C2925" s="9" t="s">
        <v>56</v>
      </c>
      <c r="D2925" s="9" t="s">
        <v>11</v>
      </c>
      <c r="E2925" s="9">
        <v>101</v>
      </c>
      <c r="F2925" s="9">
        <v>7.4</v>
      </c>
      <c r="G2925" s="9">
        <v>11000000</v>
      </c>
      <c r="H2925" s="9">
        <v>41227069</v>
      </c>
      <c r="I2925" s="5">
        <f>IMDB_Movies!$H2925-IMDB_Movies!$G2925</f>
        <v>30227069</v>
      </c>
    </row>
    <row r="2926" spans="1:9" ht="23">
      <c r="A2926" s="2" t="s">
        <v>4246</v>
      </c>
      <c r="B2926" s="9" t="s">
        <v>2229</v>
      </c>
      <c r="C2926" s="9" t="s">
        <v>414</v>
      </c>
      <c r="D2926" s="9" t="s">
        <v>11</v>
      </c>
      <c r="E2926" s="9">
        <v>122</v>
      </c>
      <c r="F2926" s="9">
        <v>7.6</v>
      </c>
      <c r="G2926" s="9">
        <v>11000000</v>
      </c>
      <c r="H2926" s="9">
        <v>39025000</v>
      </c>
      <c r="I2926" s="5">
        <f>IMDB_Movies!$H2926-IMDB_Movies!$G2926</f>
        <v>28025000</v>
      </c>
    </row>
    <row r="2927" spans="1:9" ht="23">
      <c r="A2927" s="2" t="s">
        <v>4247</v>
      </c>
      <c r="B2927" s="9" t="s">
        <v>1668</v>
      </c>
      <c r="C2927" s="9" t="s">
        <v>56</v>
      </c>
      <c r="D2927" s="9" t="s">
        <v>11</v>
      </c>
      <c r="E2927" s="9">
        <v>97</v>
      </c>
      <c r="F2927" s="9">
        <v>6.9</v>
      </c>
      <c r="G2927" s="9">
        <v>10500000</v>
      </c>
      <c r="H2927" s="9">
        <v>38201895</v>
      </c>
      <c r="I2927" s="5">
        <f>IMDB_Movies!$H2927-IMDB_Movies!$G2927</f>
        <v>27701895</v>
      </c>
    </row>
    <row r="2928" spans="1:9" ht="23">
      <c r="A2928" s="2" t="s">
        <v>4248</v>
      </c>
      <c r="B2928" s="9" t="s">
        <v>3480</v>
      </c>
      <c r="C2928" s="9" t="s">
        <v>810</v>
      </c>
      <c r="D2928" s="9" t="s">
        <v>11</v>
      </c>
      <c r="E2928" s="9">
        <v>92</v>
      </c>
      <c r="F2928" s="9">
        <v>6</v>
      </c>
      <c r="G2928" s="9">
        <v>11000000</v>
      </c>
      <c r="H2928" s="9">
        <v>27669413</v>
      </c>
      <c r="I2928" s="5">
        <f>IMDB_Movies!$H2928-IMDB_Movies!$G2928</f>
        <v>16669413</v>
      </c>
    </row>
    <row r="2929" spans="1:9" ht="23">
      <c r="A2929" s="2" t="s">
        <v>4249</v>
      </c>
      <c r="B2929" s="9" t="s">
        <v>2920</v>
      </c>
      <c r="C2929" s="9" t="s">
        <v>138</v>
      </c>
      <c r="D2929" s="9" t="s">
        <v>11</v>
      </c>
      <c r="E2929" s="9">
        <v>92</v>
      </c>
      <c r="F2929" s="9">
        <v>6.9</v>
      </c>
      <c r="G2929" s="9">
        <v>11000000</v>
      </c>
      <c r="H2929" s="9">
        <v>25078937</v>
      </c>
      <c r="I2929" s="5">
        <f>IMDB_Movies!$H2929-IMDB_Movies!$G2929</f>
        <v>14078937</v>
      </c>
    </row>
    <row r="2930" spans="1:9" ht="23">
      <c r="A2930" s="2" t="s">
        <v>4250</v>
      </c>
      <c r="B2930" s="9" t="s">
        <v>3708</v>
      </c>
      <c r="C2930" s="9" t="s">
        <v>56</v>
      </c>
      <c r="D2930" s="9" t="s">
        <v>11</v>
      </c>
      <c r="E2930" s="9">
        <v>110</v>
      </c>
      <c r="F2930" s="9">
        <v>7.3</v>
      </c>
      <c r="G2930" s="9">
        <v>11000000</v>
      </c>
      <c r="H2930" s="9">
        <v>37766350</v>
      </c>
      <c r="I2930" s="5">
        <f>IMDB_Movies!$H2930-IMDB_Movies!$G2930</f>
        <v>26766350</v>
      </c>
    </row>
    <row r="2931" spans="1:9" ht="23">
      <c r="A2931" s="2" t="s">
        <v>4251</v>
      </c>
      <c r="B2931" s="9" t="s">
        <v>4252</v>
      </c>
      <c r="C2931" s="9" t="s">
        <v>138</v>
      </c>
      <c r="D2931" s="9" t="s">
        <v>11</v>
      </c>
      <c r="E2931" s="9">
        <v>86</v>
      </c>
      <c r="F2931" s="9">
        <v>4.5999999999999996</v>
      </c>
      <c r="G2931" s="9">
        <v>11000000</v>
      </c>
      <c r="H2931" s="9">
        <v>23978402</v>
      </c>
      <c r="I2931" s="5">
        <f>IMDB_Movies!$H2931-IMDB_Movies!$G2931</f>
        <v>12978402</v>
      </c>
    </row>
    <row r="2932" spans="1:9" ht="23">
      <c r="A2932" s="2" t="s">
        <v>4253</v>
      </c>
      <c r="B2932" s="9" t="s">
        <v>600</v>
      </c>
      <c r="C2932" s="9" t="s">
        <v>414</v>
      </c>
      <c r="D2932" s="9" t="s">
        <v>11</v>
      </c>
      <c r="E2932" s="9">
        <v>91</v>
      </c>
      <c r="F2932" s="9">
        <v>6</v>
      </c>
      <c r="G2932" s="9">
        <v>12000000</v>
      </c>
      <c r="H2932" s="9">
        <v>21370057</v>
      </c>
      <c r="I2932" s="5">
        <f>IMDB_Movies!$H2932-IMDB_Movies!$G2932</f>
        <v>9370057</v>
      </c>
    </row>
    <row r="2933" spans="1:9" ht="23">
      <c r="A2933" s="2" t="s">
        <v>4254</v>
      </c>
      <c r="B2933" s="9" t="s">
        <v>1933</v>
      </c>
      <c r="C2933" s="9" t="s">
        <v>56</v>
      </c>
      <c r="D2933" s="9" t="s">
        <v>11</v>
      </c>
      <c r="E2933" s="9">
        <v>145</v>
      </c>
      <c r="F2933" s="9">
        <v>6.4</v>
      </c>
      <c r="G2933" s="9">
        <v>11000000</v>
      </c>
      <c r="H2933" s="9">
        <v>25078937</v>
      </c>
      <c r="I2933" s="5">
        <f>IMDB_Movies!$H2933-IMDB_Movies!$G2933</f>
        <v>14078937</v>
      </c>
    </row>
    <row r="2934" spans="1:9" ht="23">
      <c r="A2934" s="2" t="s">
        <v>4255</v>
      </c>
      <c r="B2934" s="9" t="s">
        <v>2051</v>
      </c>
      <c r="C2934" s="9" t="s">
        <v>810</v>
      </c>
      <c r="D2934" s="9" t="s">
        <v>11</v>
      </c>
      <c r="E2934" s="9">
        <v>100</v>
      </c>
      <c r="F2934" s="9">
        <v>5.5</v>
      </c>
      <c r="G2934" s="9">
        <v>12000000</v>
      </c>
      <c r="H2934" s="9">
        <v>4884663</v>
      </c>
      <c r="I2934" s="5">
        <f>IMDB_Movies!$H2934-IMDB_Movies!$G2934</f>
        <v>-7115337</v>
      </c>
    </row>
    <row r="2935" spans="1:9" ht="23">
      <c r="A2935" s="2" t="s">
        <v>4256</v>
      </c>
      <c r="B2935" s="9" t="s">
        <v>4257</v>
      </c>
      <c r="C2935" s="9" t="s">
        <v>56</v>
      </c>
      <c r="D2935" s="9" t="s">
        <v>11</v>
      </c>
      <c r="E2935" s="9">
        <v>111</v>
      </c>
      <c r="F2935" s="9">
        <v>7.5</v>
      </c>
      <c r="G2935" s="9">
        <v>11000000</v>
      </c>
      <c r="H2935" s="9">
        <v>38317535</v>
      </c>
      <c r="I2935" s="5">
        <f>IMDB_Movies!$H2935-IMDB_Movies!$G2935</f>
        <v>27317535</v>
      </c>
    </row>
    <row r="2936" spans="1:9" ht="23">
      <c r="A2936" s="2" t="s">
        <v>4258</v>
      </c>
      <c r="B2936" s="9" t="s">
        <v>1001</v>
      </c>
      <c r="C2936" s="9" t="s">
        <v>24</v>
      </c>
      <c r="D2936" s="9" t="s">
        <v>11</v>
      </c>
      <c r="E2936" s="9">
        <v>184</v>
      </c>
      <c r="F2936" s="9">
        <v>8.1</v>
      </c>
      <c r="G2936" s="9">
        <v>11000000</v>
      </c>
      <c r="H2936" s="9">
        <v>25078937</v>
      </c>
      <c r="I2936" s="5">
        <f>IMDB_Movies!$H2936-IMDB_Movies!$G2936</f>
        <v>14078937</v>
      </c>
    </row>
    <row r="2937" spans="1:9" ht="23">
      <c r="A2937" s="2" t="s">
        <v>4259</v>
      </c>
      <c r="B2937" s="9" t="s">
        <v>4260</v>
      </c>
      <c r="C2937" s="9" t="s">
        <v>138</v>
      </c>
      <c r="D2937" s="9" t="s">
        <v>11</v>
      </c>
      <c r="E2937" s="9">
        <v>89</v>
      </c>
      <c r="F2937" s="9">
        <v>6.3</v>
      </c>
      <c r="G2937" s="9">
        <v>11000000</v>
      </c>
      <c r="H2937" s="9">
        <v>13903262</v>
      </c>
      <c r="I2937" s="5">
        <f>IMDB_Movies!$H2937-IMDB_Movies!$G2937</f>
        <v>2903262</v>
      </c>
    </row>
    <row r="2938" spans="1:9" ht="23">
      <c r="A2938" s="2" t="s">
        <v>4261</v>
      </c>
      <c r="B2938" s="9" t="s">
        <v>1679</v>
      </c>
      <c r="C2938" s="9" t="s">
        <v>138</v>
      </c>
      <c r="D2938" s="9" t="s">
        <v>11</v>
      </c>
      <c r="E2938" s="9">
        <v>84</v>
      </c>
      <c r="F2938" s="9">
        <v>5.0999999999999996</v>
      </c>
      <c r="G2938" s="9">
        <v>11000000</v>
      </c>
      <c r="H2938" s="9">
        <v>13592872</v>
      </c>
      <c r="I2938" s="5">
        <f>IMDB_Movies!$H2938-IMDB_Movies!$G2938</f>
        <v>2592872</v>
      </c>
    </row>
    <row r="2939" spans="1:9" ht="23">
      <c r="A2939" s="2" t="s">
        <v>4262</v>
      </c>
      <c r="B2939" s="9" t="s">
        <v>4263</v>
      </c>
      <c r="C2939" s="9" t="s">
        <v>138</v>
      </c>
      <c r="D2939" s="9" t="s">
        <v>11</v>
      </c>
      <c r="E2939" s="9">
        <v>98</v>
      </c>
      <c r="F2939" s="9">
        <v>6.8</v>
      </c>
      <c r="G2939" s="9">
        <v>11000000</v>
      </c>
      <c r="H2939" s="9">
        <v>18381787</v>
      </c>
      <c r="I2939" s="5">
        <f>IMDB_Movies!$H2939-IMDB_Movies!$G2939</f>
        <v>7381787</v>
      </c>
    </row>
    <row r="2940" spans="1:9" ht="23">
      <c r="A2940" s="2" t="s">
        <v>4264</v>
      </c>
      <c r="B2940" s="9" t="s">
        <v>4265</v>
      </c>
      <c r="C2940" s="9" t="s">
        <v>138</v>
      </c>
      <c r="D2940" s="9" t="s">
        <v>11</v>
      </c>
      <c r="E2940" s="9">
        <v>95</v>
      </c>
      <c r="F2940" s="9">
        <v>5.3</v>
      </c>
      <c r="G2940" s="9">
        <v>11000000</v>
      </c>
      <c r="H2940" s="9">
        <v>13558739</v>
      </c>
      <c r="I2940" s="5">
        <f>IMDB_Movies!$H2940-IMDB_Movies!$G2940</f>
        <v>2558739</v>
      </c>
    </row>
    <row r="2941" spans="1:9" ht="23">
      <c r="A2941" s="2" t="s">
        <v>4266</v>
      </c>
      <c r="B2941" s="9" t="s">
        <v>2758</v>
      </c>
      <c r="C2941" s="9" t="s">
        <v>414</v>
      </c>
      <c r="D2941" s="9" t="s">
        <v>11</v>
      </c>
      <c r="E2941" s="9">
        <v>100</v>
      </c>
      <c r="F2941" s="9">
        <v>7.3</v>
      </c>
      <c r="G2941" s="9">
        <v>11000000</v>
      </c>
      <c r="H2941" s="9">
        <v>13103828</v>
      </c>
      <c r="I2941" s="5">
        <f>IMDB_Movies!$H2941-IMDB_Movies!$G2941</f>
        <v>2103828</v>
      </c>
    </row>
    <row r="2942" spans="1:9" ht="23">
      <c r="A2942" s="2" t="s">
        <v>4267</v>
      </c>
      <c r="B2942" s="9" t="s">
        <v>4268</v>
      </c>
      <c r="C2942" s="9" t="s">
        <v>418</v>
      </c>
      <c r="D2942" s="9" t="s">
        <v>11</v>
      </c>
      <c r="E2942" s="9">
        <v>109</v>
      </c>
      <c r="F2942" s="9">
        <v>7.3</v>
      </c>
      <c r="G2942" s="9">
        <v>11000000</v>
      </c>
      <c r="H2942" s="9">
        <v>33305037</v>
      </c>
      <c r="I2942" s="5">
        <f>IMDB_Movies!$H2942-IMDB_Movies!$G2942</f>
        <v>22305037</v>
      </c>
    </row>
    <row r="2943" spans="1:9" ht="23">
      <c r="A2943" s="2" t="s">
        <v>4269</v>
      </c>
      <c r="B2943" s="9" t="s">
        <v>299</v>
      </c>
      <c r="C2943" s="9" t="s">
        <v>418</v>
      </c>
      <c r="D2943" s="9" t="s">
        <v>11</v>
      </c>
      <c r="E2943" s="9">
        <v>118</v>
      </c>
      <c r="F2943" s="9">
        <v>7.1</v>
      </c>
      <c r="G2943" s="9">
        <v>11000000</v>
      </c>
      <c r="H2943" s="9">
        <v>10214647</v>
      </c>
      <c r="I2943" s="5">
        <f>IMDB_Movies!$H2943-IMDB_Movies!$G2943</f>
        <v>-785353</v>
      </c>
    </row>
    <row r="2944" spans="1:9" ht="23">
      <c r="A2944" s="2" t="s">
        <v>4270</v>
      </c>
      <c r="B2944" s="9" t="s">
        <v>21</v>
      </c>
      <c r="C2944" s="9" t="s">
        <v>138</v>
      </c>
      <c r="D2944" s="9" t="s">
        <v>11</v>
      </c>
      <c r="E2944" s="9">
        <v>88</v>
      </c>
      <c r="F2944" s="9">
        <v>7.6</v>
      </c>
      <c r="G2944" s="9">
        <v>13000000</v>
      </c>
      <c r="H2944" s="9">
        <v>11501093</v>
      </c>
      <c r="I2944" s="5">
        <f>IMDB_Movies!$H2944-IMDB_Movies!$G2944</f>
        <v>-1498907</v>
      </c>
    </row>
    <row r="2945" spans="1:9" ht="23">
      <c r="A2945" s="2" t="s">
        <v>4271</v>
      </c>
      <c r="B2945" s="9" t="s">
        <v>4272</v>
      </c>
      <c r="C2945" s="9" t="s">
        <v>138</v>
      </c>
      <c r="D2945" s="9" t="s">
        <v>11</v>
      </c>
      <c r="E2945" s="9">
        <v>86</v>
      </c>
      <c r="F2945" s="9">
        <v>5.3</v>
      </c>
      <c r="G2945" s="9">
        <v>11000000</v>
      </c>
      <c r="H2945" s="9">
        <v>4814244</v>
      </c>
      <c r="I2945" s="5">
        <f>IMDB_Movies!$H2945-IMDB_Movies!$G2945</f>
        <v>-6185756</v>
      </c>
    </row>
    <row r="2946" spans="1:9" ht="23">
      <c r="A2946" s="2" t="s">
        <v>4273</v>
      </c>
      <c r="B2946" s="9" t="s">
        <v>2117</v>
      </c>
      <c r="C2946" s="9" t="s">
        <v>56</v>
      </c>
      <c r="D2946" s="9" t="s">
        <v>11</v>
      </c>
      <c r="E2946" s="9">
        <v>118</v>
      </c>
      <c r="F2946" s="9">
        <v>7.8</v>
      </c>
      <c r="G2946" s="9">
        <v>11000000</v>
      </c>
      <c r="H2946" s="9">
        <v>9170214</v>
      </c>
      <c r="I2946" s="5">
        <f>IMDB_Movies!$H2946-IMDB_Movies!$G2946</f>
        <v>-1829786</v>
      </c>
    </row>
    <row r="2947" spans="1:9" ht="23">
      <c r="A2947" s="2" t="s">
        <v>4274</v>
      </c>
      <c r="B2947" s="9" t="s">
        <v>4275</v>
      </c>
      <c r="C2947" s="9" t="s">
        <v>418</v>
      </c>
      <c r="D2947" s="9" t="s">
        <v>11</v>
      </c>
      <c r="E2947" s="9">
        <v>125</v>
      </c>
      <c r="F2947" s="9">
        <v>7.7</v>
      </c>
      <c r="G2947" s="9">
        <v>17000000</v>
      </c>
      <c r="H2947" s="9">
        <v>4068087</v>
      </c>
      <c r="I2947" s="5">
        <f>IMDB_Movies!$H2947-IMDB_Movies!$G2947</f>
        <v>-12931913</v>
      </c>
    </row>
    <row r="2948" spans="1:9" ht="23">
      <c r="A2948" s="2" t="s">
        <v>4276</v>
      </c>
      <c r="B2948" s="9" t="s">
        <v>3221</v>
      </c>
      <c r="C2948" s="9" t="s">
        <v>414</v>
      </c>
      <c r="D2948" s="9" t="s">
        <v>11</v>
      </c>
      <c r="E2948" s="9">
        <v>125</v>
      </c>
      <c r="F2948" s="9">
        <v>7.7</v>
      </c>
      <c r="G2948" s="9">
        <v>11000000</v>
      </c>
      <c r="H2948" s="9">
        <v>3753806</v>
      </c>
      <c r="I2948" s="5">
        <f>IMDB_Movies!$H2948-IMDB_Movies!$G2948</f>
        <v>-7246194</v>
      </c>
    </row>
    <row r="2949" spans="1:9" ht="23">
      <c r="A2949" s="2" t="s">
        <v>4277</v>
      </c>
      <c r="B2949" s="9" t="s">
        <v>4003</v>
      </c>
      <c r="C2949" s="9" t="s">
        <v>138</v>
      </c>
      <c r="D2949" s="9" t="s">
        <v>11</v>
      </c>
      <c r="E2949" s="9">
        <v>94</v>
      </c>
      <c r="F2949" s="9">
        <v>5.4</v>
      </c>
      <c r="G2949" s="9">
        <v>11000000</v>
      </c>
      <c r="H2949" s="9">
        <v>3034181</v>
      </c>
      <c r="I2949" s="5">
        <f>IMDB_Movies!$H2949-IMDB_Movies!$G2949</f>
        <v>-7965819</v>
      </c>
    </row>
    <row r="2950" spans="1:9" ht="23">
      <c r="A2950" s="2" t="s">
        <v>4278</v>
      </c>
      <c r="B2950" s="9" t="s">
        <v>2916</v>
      </c>
      <c r="C2950" s="9" t="s">
        <v>138</v>
      </c>
      <c r="D2950" s="9" t="s">
        <v>11</v>
      </c>
      <c r="E2950" s="9">
        <v>113</v>
      </c>
      <c r="F2950" s="9">
        <v>6.2</v>
      </c>
      <c r="G2950" s="9">
        <v>11000000</v>
      </c>
      <c r="H2950" s="9">
        <v>2832826</v>
      </c>
      <c r="I2950" s="5">
        <f>IMDB_Movies!$H2950-IMDB_Movies!$G2950</f>
        <v>-8167174</v>
      </c>
    </row>
    <row r="2951" spans="1:9" ht="23">
      <c r="A2951" s="2" t="s">
        <v>4279</v>
      </c>
      <c r="B2951" s="9" t="s">
        <v>1967</v>
      </c>
      <c r="C2951" s="9" t="s">
        <v>56</v>
      </c>
      <c r="D2951" s="9" t="s">
        <v>11</v>
      </c>
      <c r="E2951" s="9">
        <v>104</v>
      </c>
      <c r="F2951" s="9">
        <v>7.4</v>
      </c>
      <c r="G2951" s="9">
        <v>11000000</v>
      </c>
      <c r="H2951" s="9">
        <v>13214255</v>
      </c>
      <c r="I2951" s="5">
        <f>IMDB_Movies!$H2951-IMDB_Movies!$G2951</f>
        <v>2214255</v>
      </c>
    </row>
    <row r="2952" spans="1:9" ht="23">
      <c r="A2952" s="2" t="s">
        <v>4280</v>
      </c>
      <c r="B2952" s="9" t="s">
        <v>4281</v>
      </c>
      <c r="C2952" s="9" t="s">
        <v>56</v>
      </c>
      <c r="D2952" s="9" t="s">
        <v>11</v>
      </c>
      <c r="E2952" s="9">
        <v>95</v>
      </c>
      <c r="F2952" s="9">
        <v>6.2</v>
      </c>
      <c r="G2952" s="9">
        <v>5000000</v>
      </c>
      <c r="H2952" s="9">
        <v>16017403</v>
      </c>
      <c r="I2952" s="5">
        <f>IMDB_Movies!$H2952-IMDB_Movies!$G2952</f>
        <v>11017403</v>
      </c>
    </row>
    <row r="2953" spans="1:9" ht="23">
      <c r="A2953" s="2" t="s">
        <v>4282</v>
      </c>
      <c r="B2953" s="9" t="s">
        <v>4283</v>
      </c>
      <c r="C2953" s="9" t="s">
        <v>24</v>
      </c>
      <c r="D2953" s="9" t="s">
        <v>11</v>
      </c>
      <c r="E2953" s="9">
        <v>102</v>
      </c>
      <c r="F2953" s="9">
        <v>5.0999999999999996</v>
      </c>
      <c r="G2953" s="9">
        <v>11000000</v>
      </c>
      <c r="H2953" s="9">
        <v>2807854</v>
      </c>
      <c r="I2953" s="5">
        <f>IMDB_Movies!$H2953-IMDB_Movies!$G2953</f>
        <v>-8192146</v>
      </c>
    </row>
    <row r="2954" spans="1:9" ht="23">
      <c r="A2954" s="2" t="s">
        <v>4284</v>
      </c>
      <c r="B2954" s="9" t="s">
        <v>4285</v>
      </c>
      <c r="C2954" s="9" t="s">
        <v>56</v>
      </c>
      <c r="D2954" s="9" t="s">
        <v>11</v>
      </c>
      <c r="E2954" s="9">
        <v>124</v>
      </c>
      <c r="F2954" s="9">
        <v>6.9</v>
      </c>
      <c r="G2954" s="9">
        <v>11000000</v>
      </c>
      <c r="H2954" s="9">
        <v>25078937</v>
      </c>
      <c r="I2954" s="5">
        <f>IMDB_Movies!$H2954-IMDB_Movies!$G2954</f>
        <v>14078937</v>
      </c>
    </row>
    <row r="2955" spans="1:9" ht="23">
      <c r="A2955" s="2" t="s">
        <v>4286</v>
      </c>
      <c r="B2955" s="9" t="s">
        <v>4287</v>
      </c>
      <c r="C2955" s="9" t="s">
        <v>138</v>
      </c>
      <c r="D2955" s="9" t="s">
        <v>11</v>
      </c>
      <c r="E2955" s="9">
        <v>105</v>
      </c>
      <c r="F2955" s="9">
        <v>6.3</v>
      </c>
      <c r="G2955" s="9">
        <v>20000000</v>
      </c>
      <c r="H2955" s="9">
        <v>540085</v>
      </c>
      <c r="I2955" s="5">
        <f>IMDB_Movies!$H2955-IMDB_Movies!$G2955</f>
        <v>-19459915</v>
      </c>
    </row>
    <row r="2956" spans="1:9" ht="23">
      <c r="A2956" s="2" t="s">
        <v>4288</v>
      </c>
      <c r="B2956" s="9" t="s">
        <v>4289</v>
      </c>
      <c r="C2956" s="9" t="s">
        <v>418</v>
      </c>
      <c r="D2956" s="9" t="s">
        <v>11</v>
      </c>
      <c r="E2956" s="9">
        <v>104</v>
      </c>
      <c r="F2956" s="9">
        <v>6.8</v>
      </c>
      <c r="G2956" s="9">
        <v>11000000</v>
      </c>
      <c r="H2956" s="9">
        <v>352786</v>
      </c>
      <c r="I2956" s="5">
        <f>IMDB_Movies!$H2956-IMDB_Movies!$G2956</f>
        <v>-10647214</v>
      </c>
    </row>
    <row r="2957" spans="1:9" ht="23">
      <c r="A2957" s="2" t="s">
        <v>4290</v>
      </c>
      <c r="B2957" s="9" t="s">
        <v>2977</v>
      </c>
      <c r="C2957" s="9" t="s">
        <v>414</v>
      </c>
      <c r="D2957" s="9" t="s">
        <v>11</v>
      </c>
      <c r="E2957" s="9">
        <v>111</v>
      </c>
      <c r="F2957" s="9">
        <v>5.7</v>
      </c>
      <c r="G2957" s="9">
        <v>12000000</v>
      </c>
      <c r="H2957" s="9">
        <v>25078937</v>
      </c>
      <c r="I2957" s="5">
        <f>IMDB_Movies!$H2957-IMDB_Movies!$G2957</f>
        <v>13078937</v>
      </c>
    </row>
    <row r="2958" spans="1:9" ht="23">
      <c r="A2958" s="2" t="s">
        <v>4291</v>
      </c>
      <c r="B2958" s="9" t="s">
        <v>4292</v>
      </c>
      <c r="C2958" s="9" t="s">
        <v>810</v>
      </c>
      <c r="D2958" s="9" t="s">
        <v>11</v>
      </c>
      <c r="E2958" s="9">
        <v>95</v>
      </c>
      <c r="F2958" s="9">
        <v>5.8</v>
      </c>
      <c r="G2958" s="9">
        <v>10800000</v>
      </c>
      <c r="H2958" s="9">
        <v>56729973</v>
      </c>
      <c r="I2958" s="5">
        <f>IMDB_Movies!$H2958-IMDB_Movies!$G2958</f>
        <v>45929973</v>
      </c>
    </row>
    <row r="2959" spans="1:9" ht="23">
      <c r="A2959" s="2" t="s">
        <v>4293</v>
      </c>
      <c r="B2959" s="9" t="s">
        <v>4294</v>
      </c>
      <c r="C2959" s="9" t="s">
        <v>414</v>
      </c>
      <c r="D2959" s="9" t="s">
        <v>11</v>
      </c>
      <c r="E2959" s="9">
        <v>96</v>
      </c>
      <c r="F2959" s="9">
        <v>6.2</v>
      </c>
      <c r="G2959" s="9">
        <v>20000000</v>
      </c>
      <c r="H2959" s="9">
        <v>25078937</v>
      </c>
      <c r="I2959" s="5">
        <f>IMDB_Movies!$H2959-IMDB_Movies!$G2959</f>
        <v>5078937</v>
      </c>
    </row>
    <row r="2960" spans="1:9" ht="23">
      <c r="A2960" s="2" t="s">
        <v>4295</v>
      </c>
      <c r="B2960" s="9" t="s">
        <v>4296</v>
      </c>
      <c r="C2960" s="9" t="s">
        <v>138</v>
      </c>
      <c r="D2960" s="9" t="s">
        <v>11</v>
      </c>
      <c r="E2960" s="9">
        <v>97</v>
      </c>
      <c r="F2960" s="9">
        <v>4.3</v>
      </c>
      <c r="G2960" s="9">
        <v>11000000</v>
      </c>
      <c r="H2960" s="9">
        <v>25078937</v>
      </c>
      <c r="I2960" s="5">
        <f>IMDB_Movies!$H2960-IMDB_Movies!$G2960</f>
        <v>14078937</v>
      </c>
    </row>
    <row r="2961" spans="1:9" ht="23">
      <c r="A2961" s="2" t="s">
        <v>4297</v>
      </c>
      <c r="B2961" s="9" t="s">
        <v>4298</v>
      </c>
      <c r="C2961" s="9" t="s">
        <v>414</v>
      </c>
      <c r="D2961" s="9" t="s">
        <v>11</v>
      </c>
      <c r="E2961" s="9">
        <v>118</v>
      </c>
      <c r="F2961" s="9">
        <v>6.4</v>
      </c>
      <c r="G2961" s="9">
        <v>15000000</v>
      </c>
      <c r="H2961" s="9">
        <v>399879</v>
      </c>
      <c r="I2961" s="5">
        <f>IMDB_Movies!$H2961-IMDB_Movies!$G2961</f>
        <v>-14600121</v>
      </c>
    </row>
    <row r="2962" spans="1:9" ht="23">
      <c r="A2962" s="2" t="s">
        <v>4299</v>
      </c>
      <c r="B2962" s="9" t="s">
        <v>4300</v>
      </c>
      <c r="C2962" s="9" t="s">
        <v>56</v>
      </c>
      <c r="D2962" s="9" t="s">
        <v>1534</v>
      </c>
      <c r="E2962" s="9">
        <v>193</v>
      </c>
      <c r="F2962" s="9">
        <v>6</v>
      </c>
      <c r="G2962" s="9">
        <v>700000000</v>
      </c>
      <c r="H2962" s="9">
        <v>3275443</v>
      </c>
      <c r="I2962" s="5">
        <f>IMDB_Movies!$H2962-IMDB_Movies!$G2962</f>
        <v>-696724557</v>
      </c>
    </row>
    <row r="2963" spans="1:9" ht="23">
      <c r="A2963" s="2" t="s">
        <v>4301</v>
      </c>
      <c r="B2963" s="9" t="s">
        <v>1645</v>
      </c>
      <c r="C2963" s="9" t="s">
        <v>138</v>
      </c>
      <c r="D2963" s="9" t="s">
        <v>11</v>
      </c>
      <c r="E2963" s="9">
        <v>97</v>
      </c>
      <c r="F2963" s="9">
        <v>6.9</v>
      </c>
      <c r="G2963" s="9">
        <v>14000000</v>
      </c>
      <c r="H2963" s="9">
        <v>18535191</v>
      </c>
      <c r="I2963" s="5">
        <f>IMDB_Movies!$H2963-IMDB_Movies!$G2963</f>
        <v>4535191</v>
      </c>
    </row>
    <row r="2964" spans="1:9" ht="23">
      <c r="A2964" s="2" t="s">
        <v>4302</v>
      </c>
      <c r="B2964" s="9" t="s">
        <v>4303</v>
      </c>
      <c r="C2964" s="9" t="s">
        <v>810</v>
      </c>
      <c r="D2964" s="9" t="s">
        <v>11</v>
      </c>
      <c r="E2964" s="9">
        <v>98</v>
      </c>
      <c r="F2964" s="9">
        <v>5.5</v>
      </c>
      <c r="G2964" s="9">
        <v>7000000</v>
      </c>
      <c r="H2964" s="9">
        <v>23838</v>
      </c>
      <c r="I2964" s="5">
        <f>IMDB_Movies!$H2964-IMDB_Movies!$G2964</f>
        <v>-6976162</v>
      </c>
    </row>
    <row r="2965" spans="1:9" ht="23">
      <c r="A2965" s="2" t="s">
        <v>4304</v>
      </c>
      <c r="B2965" s="9" t="s">
        <v>4305</v>
      </c>
      <c r="C2965" s="9" t="s">
        <v>810</v>
      </c>
      <c r="D2965" s="9" t="s">
        <v>11</v>
      </c>
      <c r="E2965" s="9">
        <v>103</v>
      </c>
      <c r="F2965" s="9">
        <v>5.4</v>
      </c>
      <c r="G2965" s="9">
        <v>10600000</v>
      </c>
      <c r="H2965" s="9">
        <v>22160085</v>
      </c>
      <c r="I2965" s="5">
        <f>IMDB_Movies!$H2965-IMDB_Movies!$G2965</f>
        <v>11560085</v>
      </c>
    </row>
    <row r="2966" spans="1:9" ht="23">
      <c r="A2966" s="2" t="s">
        <v>4306</v>
      </c>
      <c r="B2966" s="9" t="s">
        <v>1001</v>
      </c>
      <c r="C2966" s="9" t="s">
        <v>24</v>
      </c>
      <c r="D2966" s="9" t="s">
        <v>11</v>
      </c>
      <c r="E2966" s="9">
        <v>161</v>
      </c>
      <c r="F2966" s="9">
        <v>8.3000000000000007</v>
      </c>
      <c r="G2966" s="9">
        <v>12000000</v>
      </c>
      <c r="H2966" s="9">
        <v>56715371</v>
      </c>
      <c r="I2966" s="5">
        <f>IMDB_Movies!$H2966-IMDB_Movies!$G2966</f>
        <v>44715371</v>
      </c>
    </row>
    <row r="2967" spans="1:9" ht="23">
      <c r="A2967" s="2" t="s">
        <v>4307</v>
      </c>
      <c r="B2967" s="9" t="s">
        <v>103</v>
      </c>
      <c r="C2967" s="9" t="s">
        <v>3326</v>
      </c>
      <c r="D2967" s="9" t="s">
        <v>11</v>
      </c>
      <c r="E2967" s="9">
        <v>120</v>
      </c>
      <c r="F2967" s="9">
        <v>7.9</v>
      </c>
      <c r="G2967" s="9">
        <v>10500000</v>
      </c>
      <c r="H2967" s="9">
        <v>434949459</v>
      </c>
      <c r="I2967" s="5">
        <f>IMDB_Movies!$H2967-IMDB_Movies!$G2967</f>
        <v>424449459</v>
      </c>
    </row>
    <row r="2968" spans="1:9" ht="23">
      <c r="A2968" s="2" t="s">
        <v>4308</v>
      </c>
      <c r="B2968" s="9" t="s">
        <v>4309</v>
      </c>
      <c r="C2968" s="9" t="s">
        <v>138</v>
      </c>
      <c r="D2968" s="9" t="s">
        <v>11</v>
      </c>
      <c r="E2968" s="9">
        <v>97</v>
      </c>
      <c r="F2968" s="9">
        <v>6.5</v>
      </c>
      <c r="G2968" s="9">
        <v>10000000</v>
      </c>
      <c r="H2968" s="9">
        <v>11043445</v>
      </c>
      <c r="I2968" s="5">
        <f>IMDB_Movies!$H2968-IMDB_Movies!$G2968</f>
        <v>1043445</v>
      </c>
    </row>
    <row r="2969" spans="1:9" ht="23">
      <c r="A2969" s="2" t="s">
        <v>4310</v>
      </c>
      <c r="B2969" s="9" t="s">
        <v>4311</v>
      </c>
      <c r="C2969" s="9" t="s">
        <v>24</v>
      </c>
      <c r="D2969" s="9" t="s">
        <v>11</v>
      </c>
      <c r="E2969" s="9">
        <v>97</v>
      </c>
      <c r="F2969" s="9">
        <v>6.3</v>
      </c>
      <c r="G2969" s="9">
        <v>12500000</v>
      </c>
      <c r="H2969" s="9">
        <v>25078937</v>
      </c>
      <c r="I2969" s="5">
        <f>IMDB_Movies!$H2969-IMDB_Movies!$G2969</f>
        <v>12578937</v>
      </c>
    </row>
    <row r="2970" spans="1:9" ht="23">
      <c r="A2970" s="2" t="s">
        <v>4312</v>
      </c>
      <c r="B2970" s="9" t="s">
        <v>4313</v>
      </c>
      <c r="C2970" s="9" t="s">
        <v>138</v>
      </c>
      <c r="D2970" s="9" t="s">
        <v>11</v>
      </c>
      <c r="E2970" s="9">
        <v>99</v>
      </c>
      <c r="F2970" s="9">
        <v>6.4</v>
      </c>
      <c r="G2970" s="9">
        <v>10500000</v>
      </c>
      <c r="H2970" s="9">
        <v>125169</v>
      </c>
      <c r="I2970" s="5">
        <f>IMDB_Movies!$H2970-IMDB_Movies!$G2970</f>
        <v>-10374831</v>
      </c>
    </row>
    <row r="2971" spans="1:9" ht="23">
      <c r="A2971" s="2" t="s">
        <v>4314</v>
      </c>
      <c r="B2971" s="9" t="s">
        <v>4315</v>
      </c>
      <c r="C2971" s="9" t="s">
        <v>138</v>
      </c>
      <c r="D2971" s="9" t="s">
        <v>1534</v>
      </c>
      <c r="E2971" s="9">
        <v>144</v>
      </c>
      <c r="F2971" s="9">
        <v>5.3</v>
      </c>
      <c r="G2971" s="9">
        <v>20000000</v>
      </c>
      <c r="H2971" s="9">
        <v>1165104</v>
      </c>
      <c r="I2971" s="5">
        <f>IMDB_Movies!$H2971-IMDB_Movies!$G2971</f>
        <v>-18834896</v>
      </c>
    </row>
    <row r="2972" spans="1:9" ht="23">
      <c r="A2972" s="2" t="s">
        <v>4316</v>
      </c>
      <c r="B2972" s="9" t="s">
        <v>4317</v>
      </c>
      <c r="C2972" s="9" t="s">
        <v>56</v>
      </c>
      <c r="D2972" s="9" t="s">
        <v>741</v>
      </c>
      <c r="E2972" s="9">
        <v>145</v>
      </c>
      <c r="F2972" s="9">
        <v>6.6</v>
      </c>
      <c r="G2972" s="9">
        <v>10818775</v>
      </c>
      <c r="H2972" s="9">
        <v>5669081</v>
      </c>
      <c r="I2972" s="5">
        <f>IMDB_Movies!$H2972-IMDB_Movies!$G2972</f>
        <v>-5149694</v>
      </c>
    </row>
    <row r="2973" spans="1:9" ht="23">
      <c r="A2973" s="2" t="s">
        <v>4318</v>
      </c>
      <c r="B2973" s="9" t="s">
        <v>4319</v>
      </c>
      <c r="C2973" s="9" t="s">
        <v>138</v>
      </c>
      <c r="D2973" s="9" t="s">
        <v>394</v>
      </c>
      <c r="E2973" s="9">
        <v>106</v>
      </c>
      <c r="F2973" s="9">
        <v>7.4</v>
      </c>
      <c r="G2973" s="9">
        <v>11000000</v>
      </c>
      <c r="H2973" s="9">
        <v>25078937</v>
      </c>
      <c r="I2973" s="5">
        <f>IMDB_Movies!$H2973-IMDB_Movies!$G2973</f>
        <v>14078937</v>
      </c>
    </row>
    <row r="2974" spans="1:9" ht="23">
      <c r="A2974" s="2" t="s">
        <v>4320</v>
      </c>
      <c r="B2974" s="9" t="s">
        <v>1664</v>
      </c>
      <c r="C2974" s="9" t="s">
        <v>56</v>
      </c>
      <c r="D2974" s="9" t="s">
        <v>11</v>
      </c>
      <c r="E2974" s="9">
        <v>126</v>
      </c>
      <c r="F2974" s="9">
        <v>8.3000000000000007</v>
      </c>
      <c r="G2974" s="9">
        <v>10000000</v>
      </c>
      <c r="H2974" s="9">
        <v>138339411</v>
      </c>
      <c r="I2974" s="5">
        <f>IMDB_Movies!$H2974-IMDB_Movies!$G2974</f>
        <v>128339411</v>
      </c>
    </row>
    <row r="2975" spans="1:9" ht="23">
      <c r="A2975" s="2" t="s">
        <v>4321</v>
      </c>
      <c r="B2975" s="9" t="s">
        <v>4322</v>
      </c>
      <c r="C2975" s="9" t="s">
        <v>56</v>
      </c>
      <c r="D2975" s="9" t="s">
        <v>11</v>
      </c>
      <c r="E2975" s="9">
        <v>106</v>
      </c>
      <c r="F2975" s="9">
        <v>5.3</v>
      </c>
      <c r="G2975" s="9">
        <v>11000000</v>
      </c>
      <c r="H2975" s="9">
        <v>25078937</v>
      </c>
      <c r="I2975" s="5">
        <f>IMDB_Movies!$H2975-IMDB_Movies!$G2975</f>
        <v>14078937</v>
      </c>
    </row>
    <row r="2976" spans="1:9" ht="23">
      <c r="A2976" s="2" t="s">
        <v>4323</v>
      </c>
      <c r="B2976" s="9" t="s">
        <v>4324</v>
      </c>
      <c r="C2976" s="9" t="s">
        <v>810</v>
      </c>
      <c r="D2976" s="9" t="s">
        <v>11</v>
      </c>
      <c r="E2976" s="9">
        <v>121</v>
      </c>
      <c r="F2976" s="9">
        <v>6.2</v>
      </c>
      <c r="G2976" s="9">
        <v>10000000</v>
      </c>
      <c r="H2976" s="9">
        <v>80150343</v>
      </c>
      <c r="I2976" s="5">
        <f>IMDB_Movies!$H2976-IMDB_Movies!$G2976</f>
        <v>70150343</v>
      </c>
    </row>
    <row r="2977" spans="1:9" ht="23">
      <c r="A2977" s="2" t="s">
        <v>4325</v>
      </c>
      <c r="B2977" s="9" t="s">
        <v>722</v>
      </c>
      <c r="C2977" s="9" t="s">
        <v>10</v>
      </c>
      <c r="D2977" s="9" t="s">
        <v>11</v>
      </c>
      <c r="E2977" s="9">
        <v>117</v>
      </c>
      <c r="F2977" s="9">
        <v>6.9</v>
      </c>
      <c r="G2977" s="9">
        <v>10000000</v>
      </c>
      <c r="H2977" s="9">
        <v>85300000</v>
      </c>
      <c r="I2977" s="5">
        <f>IMDB_Movies!$H2977-IMDB_Movies!$G2977</f>
        <v>75300000</v>
      </c>
    </row>
    <row r="2978" spans="1:9" ht="23">
      <c r="A2978" s="2" t="s">
        <v>4326</v>
      </c>
      <c r="B2978" s="9" t="s">
        <v>315</v>
      </c>
      <c r="C2978" s="9" t="s">
        <v>138</v>
      </c>
      <c r="D2978" s="9" t="s">
        <v>11</v>
      </c>
      <c r="E2978" s="9">
        <v>98</v>
      </c>
      <c r="F2978" s="9">
        <v>5.9</v>
      </c>
      <c r="G2978" s="9">
        <v>10000000</v>
      </c>
      <c r="H2978" s="9">
        <v>68353550</v>
      </c>
      <c r="I2978" s="5">
        <f>IMDB_Movies!$H2978-IMDB_Movies!$G2978</f>
        <v>58353550</v>
      </c>
    </row>
    <row r="2979" spans="1:9" ht="23">
      <c r="A2979" s="2" t="s">
        <v>4327</v>
      </c>
      <c r="B2979" s="9" t="s">
        <v>4328</v>
      </c>
      <c r="C2979" s="9" t="s">
        <v>10</v>
      </c>
      <c r="D2979" s="9" t="s">
        <v>11</v>
      </c>
      <c r="E2979" s="9">
        <v>109</v>
      </c>
      <c r="F2979" s="9">
        <v>6.1</v>
      </c>
      <c r="G2979" s="9">
        <v>10000000</v>
      </c>
      <c r="H2979" s="9">
        <v>78845130</v>
      </c>
      <c r="I2979" s="5">
        <f>IMDB_Movies!$H2979-IMDB_Movies!$G2979</f>
        <v>68845130</v>
      </c>
    </row>
    <row r="2980" spans="1:9" ht="23">
      <c r="A2980" s="2" t="s">
        <v>4329</v>
      </c>
      <c r="B2980" s="9" t="s">
        <v>3576</v>
      </c>
      <c r="C2980" s="9" t="s">
        <v>138</v>
      </c>
      <c r="D2980" s="9" t="s">
        <v>11</v>
      </c>
      <c r="E2980" s="9">
        <v>95</v>
      </c>
      <c r="F2980" s="9">
        <v>5.8</v>
      </c>
      <c r="G2980" s="9">
        <v>10000000</v>
      </c>
      <c r="H2980" s="9">
        <v>63319509</v>
      </c>
      <c r="I2980" s="5">
        <f>IMDB_Movies!$H2980-IMDB_Movies!$G2980</f>
        <v>53319509</v>
      </c>
    </row>
    <row r="2981" spans="1:9" ht="23">
      <c r="A2981" s="2" t="s">
        <v>4330</v>
      </c>
      <c r="B2981" s="9" t="s">
        <v>4324</v>
      </c>
      <c r="C2981" s="9" t="s">
        <v>810</v>
      </c>
      <c r="D2981" s="9" t="s">
        <v>11</v>
      </c>
      <c r="E2981" s="9">
        <v>96</v>
      </c>
      <c r="F2981" s="9">
        <v>5.9</v>
      </c>
      <c r="G2981" s="9">
        <v>10000000</v>
      </c>
      <c r="H2981" s="9">
        <v>63270259</v>
      </c>
      <c r="I2981" s="5">
        <f>IMDB_Movies!$H2981-IMDB_Movies!$G2981</f>
        <v>53270259</v>
      </c>
    </row>
    <row r="2982" spans="1:9" ht="23">
      <c r="A2982" s="2" t="s">
        <v>4331</v>
      </c>
      <c r="B2982" s="9" t="s">
        <v>1892</v>
      </c>
      <c r="C2982" s="9" t="s">
        <v>56</v>
      </c>
      <c r="D2982" s="9" t="s">
        <v>11</v>
      </c>
      <c r="E2982" s="9">
        <v>101</v>
      </c>
      <c r="F2982" s="9">
        <v>5.5</v>
      </c>
      <c r="G2982" s="9">
        <v>10000000</v>
      </c>
      <c r="H2982" s="9">
        <v>55865715</v>
      </c>
      <c r="I2982" s="5">
        <f>IMDB_Movies!$H2982-IMDB_Movies!$G2982</f>
        <v>45865715</v>
      </c>
    </row>
    <row r="2983" spans="1:9" ht="23">
      <c r="A2983" s="2" t="s">
        <v>4332</v>
      </c>
      <c r="B2983" s="9" t="s">
        <v>2669</v>
      </c>
      <c r="C2983" s="9" t="s">
        <v>138</v>
      </c>
      <c r="D2983" s="9" t="s">
        <v>11</v>
      </c>
      <c r="E2983" s="9">
        <v>107</v>
      </c>
      <c r="F2983" s="9">
        <v>5</v>
      </c>
      <c r="G2983" s="9">
        <v>6000000</v>
      </c>
      <c r="H2983" s="9">
        <v>63231524</v>
      </c>
      <c r="I2983" s="5">
        <f>IMDB_Movies!$H2983-IMDB_Movies!$G2983</f>
        <v>57231524</v>
      </c>
    </row>
    <row r="2984" spans="1:9" ht="23">
      <c r="A2984" s="2" t="s">
        <v>4333</v>
      </c>
      <c r="B2984" s="9" t="s">
        <v>130</v>
      </c>
      <c r="C2984" s="9" t="s">
        <v>56</v>
      </c>
      <c r="D2984" s="9" t="s">
        <v>11</v>
      </c>
      <c r="E2984" s="9">
        <v>119</v>
      </c>
      <c r="F2984" s="9">
        <v>7</v>
      </c>
      <c r="G2984" s="9">
        <v>13800000</v>
      </c>
      <c r="H2984" s="9">
        <v>52293982</v>
      </c>
      <c r="I2984" s="5">
        <f>IMDB_Movies!$H2984-IMDB_Movies!$G2984</f>
        <v>38493982</v>
      </c>
    </row>
    <row r="2985" spans="1:9" ht="23">
      <c r="A2985" s="2" t="s">
        <v>4334</v>
      </c>
      <c r="B2985" s="9" t="s">
        <v>4335</v>
      </c>
      <c r="C2985" s="9" t="s">
        <v>10</v>
      </c>
      <c r="D2985" s="9" t="s">
        <v>11</v>
      </c>
      <c r="E2985" s="9">
        <v>178</v>
      </c>
      <c r="F2985" s="9">
        <v>7.8</v>
      </c>
      <c r="G2985" s="9">
        <v>10000000</v>
      </c>
      <c r="H2985" s="9">
        <v>25078937</v>
      </c>
      <c r="I2985" s="5">
        <f>IMDB_Movies!$H2985-IMDB_Movies!$G2985</f>
        <v>15078937</v>
      </c>
    </row>
    <row r="2986" spans="1:9" ht="23">
      <c r="A2986" s="2" t="s">
        <v>4336</v>
      </c>
      <c r="B2986" s="9" t="s">
        <v>1205</v>
      </c>
      <c r="C2986" s="9" t="s">
        <v>138</v>
      </c>
      <c r="D2986" s="9" t="s">
        <v>11</v>
      </c>
      <c r="E2986" s="9">
        <v>100</v>
      </c>
      <c r="F2986" s="9">
        <v>6.4</v>
      </c>
      <c r="G2986" s="9">
        <v>10000000</v>
      </c>
      <c r="H2986" s="9">
        <v>50752337</v>
      </c>
      <c r="I2986" s="5">
        <f>IMDB_Movies!$H2986-IMDB_Movies!$G2986</f>
        <v>40752337</v>
      </c>
    </row>
    <row r="2987" spans="1:9" ht="23">
      <c r="A2987" s="2" t="s">
        <v>4337</v>
      </c>
      <c r="B2987" s="9" t="s">
        <v>3070</v>
      </c>
      <c r="C2987" s="9" t="s">
        <v>810</v>
      </c>
      <c r="D2987" s="9" t="s">
        <v>11</v>
      </c>
      <c r="E2987" s="9">
        <v>98</v>
      </c>
      <c r="F2987" s="9">
        <v>5.9</v>
      </c>
      <c r="G2987" s="9">
        <v>10000000</v>
      </c>
      <c r="H2987" s="9">
        <v>110175871</v>
      </c>
      <c r="I2987" s="5">
        <f>IMDB_Movies!$H2987-IMDB_Movies!$G2987</f>
        <v>100175871</v>
      </c>
    </row>
    <row r="2988" spans="1:9" ht="23">
      <c r="A2988" s="2" t="s">
        <v>4338</v>
      </c>
      <c r="B2988" s="9" t="s">
        <v>584</v>
      </c>
      <c r="C2988" s="9" t="s">
        <v>138</v>
      </c>
      <c r="D2988" s="9" t="s">
        <v>11</v>
      </c>
      <c r="E2988" s="9">
        <v>92</v>
      </c>
      <c r="F2988" s="9">
        <v>7</v>
      </c>
      <c r="G2988" s="9">
        <v>12000000</v>
      </c>
      <c r="H2988" s="9">
        <v>38624000</v>
      </c>
      <c r="I2988" s="5">
        <f>IMDB_Movies!$H2988-IMDB_Movies!$G2988</f>
        <v>26624000</v>
      </c>
    </row>
    <row r="2989" spans="1:9" ht="23">
      <c r="A2989" s="2" t="s">
        <v>4339</v>
      </c>
      <c r="B2989" s="9" t="s">
        <v>2701</v>
      </c>
      <c r="C2989" s="9" t="s">
        <v>810</v>
      </c>
      <c r="D2989" s="9" t="s">
        <v>11</v>
      </c>
      <c r="E2989" s="9">
        <v>90</v>
      </c>
      <c r="F2989" s="9">
        <v>6.1</v>
      </c>
      <c r="G2989" s="9">
        <v>10000000</v>
      </c>
      <c r="H2989" s="9">
        <v>37470017</v>
      </c>
      <c r="I2989" s="5">
        <f>IMDB_Movies!$H2989-IMDB_Movies!$G2989</f>
        <v>27470017</v>
      </c>
    </row>
    <row r="2990" spans="1:9" ht="23">
      <c r="A2990" s="2" t="s">
        <v>4340</v>
      </c>
      <c r="B2990" s="9" t="s">
        <v>1205</v>
      </c>
      <c r="C2990" s="9" t="s">
        <v>24</v>
      </c>
      <c r="D2990" s="9" t="s">
        <v>11</v>
      </c>
      <c r="E2990" s="9">
        <v>90</v>
      </c>
      <c r="F2990" s="9">
        <v>6.9</v>
      </c>
      <c r="G2990" s="9">
        <v>10000000</v>
      </c>
      <c r="H2990" s="9">
        <v>40485039</v>
      </c>
      <c r="I2990" s="5">
        <f>IMDB_Movies!$H2990-IMDB_Movies!$G2990</f>
        <v>30485039</v>
      </c>
    </row>
    <row r="2991" spans="1:9" ht="23">
      <c r="A2991" s="2" t="s">
        <v>4341</v>
      </c>
      <c r="B2991" s="9" t="s">
        <v>4342</v>
      </c>
      <c r="C2991" s="9" t="s">
        <v>56</v>
      </c>
      <c r="D2991" s="9" t="s">
        <v>11</v>
      </c>
      <c r="E2991" s="9">
        <v>153</v>
      </c>
      <c r="F2991" s="9">
        <v>7.5</v>
      </c>
      <c r="G2991" s="9">
        <v>10000000</v>
      </c>
      <c r="H2991" s="9">
        <v>16800000</v>
      </c>
      <c r="I2991" s="5">
        <f>IMDB_Movies!$H2991-IMDB_Movies!$G2991</f>
        <v>6800000</v>
      </c>
    </row>
    <row r="2992" spans="1:9" ht="23">
      <c r="A2992" s="2" t="s">
        <v>4343</v>
      </c>
      <c r="B2992" s="9" t="s">
        <v>1227</v>
      </c>
      <c r="C2992" s="9" t="s">
        <v>138</v>
      </c>
      <c r="D2992" s="9" t="s">
        <v>11</v>
      </c>
      <c r="E2992" s="9">
        <v>124</v>
      </c>
      <c r="F2992" s="9">
        <v>7.3</v>
      </c>
      <c r="G2992" s="9">
        <v>10000000</v>
      </c>
      <c r="H2992" s="9">
        <v>46377022</v>
      </c>
      <c r="I2992" s="5">
        <f>IMDB_Movies!$H2992-IMDB_Movies!$G2992</f>
        <v>36377022</v>
      </c>
    </row>
    <row r="2993" spans="1:9" ht="23">
      <c r="A2993" s="2" t="s">
        <v>4344</v>
      </c>
      <c r="B2993" s="9" t="s">
        <v>4345</v>
      </c>
      <c r="C2993" s="9" t="s">
        <v>116</v>
      </c>
      <c r="D2993" s="9" t="s">
        <v>11</v>
      </c>
      <c r="E2993" s="9">
        <v>82</v>
      </c>
      <c r="F2993" s="9">
        <v>6.5</v>
      </c>
      <c r="G2993" s="9">
        <v>23000000</v>
      </c>
      <c r="H2993" s="9">
        <v>36696761</v>
      </c>
      <c r="I2993" s="5">
        <f>IMDB_Movies!$H2993-IMDB_Movies!$G2993</f>
        <v>13696761</v>
      </c>
    </row>
    <row r="2994" spans="1:9" ht="23">
      <c r="A2994" s="2" t="s">
        <v>4346</v>
      </c>
      <c r="B2994" s="9" t="s">
        <v>225</v>
      </c>
      <c r="C2994" s="9" t="s">
        <v>10</v>
      </c>
      <c r="D2994" s="9" t="s">
        <v>11</v>
      </c>
      <c r="E2994" s="9">
        <v>107</v>
      </c>
      <c r="F2994" s="9">
        <v>6.2</v>
      </c>
      <c r="G2994" s="9">
        <v>12305523</v>
      </c>
      <c r="H2994" s="9">
        <v>36200000</v>
      </c>
      <c r="I2994" s="5">
        <f>IMDB_Movies!$H2994-IMDB_Movies!$G2994</f>
        <v>23894477</v>
      </c>
    </row>
    <row r="2995" spans="1:9" ht="23">
      <c r="A2995" s="2" t="s">
        <v>4347</v>
      </c>
      <c r="B2995" s="9" t="s">
        <v>3742</v>
      </c>
      <c r="C2995" s="9" t="s">
        <v>10</v>
      </c>
      <c r="D2995" s="9" t="s">
        <v>11</v>
      </c>
      <c r="E2995" s="9">
        <v>75</v>
      </c>
      <c r="F2995" s="9">
        <v>6.7</v>
      </c>
      <c r="G2995" s="9">
        <v>10000000</v>
      </c>
      <c r="H2995" s="9">
        <v>25078937</v>
      </c>
      <c r="I2995" s="5">
        <f>IMDB_Movies!$H2995-IMDB_Movies!$G2995</f>
        <v>15078937</v>
      </c>
    </row>
    <row r="2996" spans="1:9" ht="23">
      <c r="A2996" s="2" t="s">
        <v>4348</v>
      </c>
      <c r="B2996" s="9" t="s">
        <v>3120</v>
      </c>
      <c r="C2996" s="9" t="s">
        <v>810</v>
      </c>
      <c r="D2996" s="9" t="s">
        <v>11</v>
      </c>
      <c r="E2996" s="9">
        <v>97</v>
      </c>
      <c r="F2996" s="9">
        <v>6</v>
      </c>
      <c r="G2996" s="9">
        <v>10000000</v>
      </c>
      <c r="H2996" s="9">
        <v>35794166</v>
      </c>
      <c r="I2996" s="5">
        <f>IMDB_Movies!$H2996-IMDB_Movies!$G2996</f>
        <v>25794166</v>
      </c>
    </row>
    <row r="2997" spans="1:9" ht="23">
      <c r="A2997" s="2" t="s">
        <v>4349</v>
      </c>
      <c r="B2997" s="9" t="s">
        <v>4109</v>
      </c>
      <c r="C2997" s="9" t="s">
        <v>810</v>
      </c>
      <c r="D2997" s="9" t="s">
        <v>11</v>
      </c>
      <c r="E2997" s="9">
        <v>80</v>
      </c>
      <c r="F2997" s="9">
        <v>6.3</v>
      </c>
      <c r="G2997" s="9">
        <v>10000000</v>
      </c>
      <c r="H2997" s="9">
        <v>33583175</v>
      </c>
      <c r="I2997" s="5">
        <f>IMDB_Movies!$H2997-IMDB_Movies!$G2997</f>
        <v>23583175</v>
      </c>
    </row>
    <row r="2998" spans="1:9" ht="23">
      <c r="A2998" s="2" t="s">
        <v>4350</v>
      </c>
      <c r="B2998" s="9" t="s">
        <v>4351</v>
      </c>
      <c r="C2998" s="9" t="s">
        <v>138</v>
      </c>
      <c r="D2998" s="9" t="s">
        <v>11</v>
      </c>
      <c r="E2998" s="9">
        <v>85</v>
      </c>
      <c r="F2998" s="9">
        <v>5.8</v>
      </c>
      <c r="G2998" s="9">
        <v>20000000</v>
      </c>
      <c r="H2998" s="9">
        <v>32983713</v>
      </c>
      <c r="I2998" s="5">
        <f>IMDB_Movies!$H2998-IMDB_Movies!$G2998</f>
        <v>12983713</v>
      </c>
    </row>
    <row r="2999" spans="1:9" ht="23">
      <c r="A2999" s="2" t="s">
        <v>4352</v>
      </c>
      <c r="B2999" s="9" t="s">
        <v>4353</v>
      </c>
      <c r="C2999" s="9" t="s">
        <v>713</v>
      </c>
      <c r="D2999" s="9" t="s">
        <v>11</v>
      </c>
      <c r="E2999" s="9">
        <v>97</v>
      </c>
      <c r="F2999" s="9">
        <v>6.1</v>
      </c>
      <c r="G2999" s="9">
        <v>10000000</v>
      </c>
      <c r="H2999" s="9">
        <v>52200504</v>
      </c>
      <c r="I2999" s="5">
        <f>IMDB_Movies!$H2999-IMDB_Movies!$G2999</f>
        <v>42200504</v>
      </c>
    </row>
    <row r="3000" spans="1:9" ht="23">
      <c r="A3000" s="2" t="s">
        <v>4354</v>
      </c>
      <c r="B3000" s="9" t="s">
        <v>4355</v>
      </c>
      <c r="C3000" s="9" t="s">
        <v>10</v>
      </c>
      <c r="D3000" s="9" t="s">
        <v>11</v>
      </c>
      <c r="E3000" s="9">
        <v>109</v>
      </c>
      <c r="F3000" s="9">
        <v>6.9</v>
      </c>
      <c r="G3000" s="9">
        <v>10000000</v>
      </c>
      <c r="H3000" s="9">
        <v>33000000</v>
      </c>
      <c r="I3000" s="5">
        <f>IMDB_Movies!$H3000-IMDB_Movies!$G3000</f>
        <v>23000000</v>
      </c>
    </row>
    <row r="3001" spans="1:9" ht="23">
      <c r="A3001" s="2" t="s">
        <v>4356</v>
      </c>
      <c r="B3001" s="9" t="s">
        <v>2371</v>
      </c>
      <c r="C3001" s="9" t="s">
        <v>810</v>
      </c>
      <c r="D3001" s="9" t="s">
        <v>11</v>
      </c>
      <c r="E3001" s="9">
        <v>140</v>
      </c>
      <c r="F3001" s="9">
        <v>5.4</v>
      </c>
      <c r="G3001" s="9">
        <v>10000000</v>
      </c>
      <c r="H3001" s="9">
        <v>32101000</v>
      </c>
      <c r="I3001" s="5">
        <f>IMDB_Movies!$H3001-IMDB_Movies!$G3001</f>
        <v>22101000</v>
      </c>
    </row>
    <row r="3002" spans="1:9" ht="23">
      <c r="A3002" s="2" t="s">
        <v>4357</v>
      </c>
      <c r="B3002" s="9" t="s">
        <v>4358</v>
      </c>
      <c r="C3002" s="9" t="s">
        <v>138</v>
      </c>
      <c r="D3002" s="9" t="s">
        <v>11</v>
      </c>
      <c r="E3002" s="9">
        <v>90</v>
      </c>
      <c r="F3002" s="9">
        <v>6.7</v>
      </c>
      <c r="G3002" s="9">
        <v>9000000</v>
      </c>
      <c r="H3002" s="9">
        <v>31487293</v>
      </c>
      <c r="I3002" s="5">
        <f>IMDB_Movies!$H3002-IMDB_Movies!$G3002</f>
        <v>22487293</v>
      </c>
    </row>
    <row r="3003" spans="1:9" ht="23">
      <c r="A3003" s="2" t="s">
        <v>4359</v>
      </c>
      <c r="B3003" s="9" t="s">
        <v>1973</v>
      </c>
      <c r="C3003" s="9" t="s">
        <v>24</v>
      </c>
      <c r="D3003" s="9" t="s">
        <v>11</v>
      </c>
      <c r="E3003" s="9">
        <v>130</v>
      </c>
      <c r="F3003" s="9">
        <v>7.4</v>
      </c>
      <c r="G3003" s="9">
        <v>10000000</v>
      </c>
      <c r="H3003" s="9">
        <v>30651422</v>
      </c>
      <c r="I3003" s="5">
        <f>IMDB_Movies!$H3003-IMDB_Movies!$G3003</f>
        <v>20651422</v>
      </c>
    </row>
    <row r="3004" spans="1:9" ht="23">
      <c r="A3004" s="2" t="s">
        <v>4360</v>
      </c>
      <c r="B3004" s="9" t="s">
        <v>4361</v>
      </c>
      <c r="C3004" s="9" t="s">
        <v>138</v>
      </c>
      <c r="D3004" s="9" t="s">
        <v>11</v>
      </c>
      <c r="E3004" s="9">
        <v>98</v>
      </c>
      <c r="F3004" s="9">
        <v>5.6</v>
      </c>
      <c r="G3004" s="9">
        <v>10000000</v>
      </c>
      <c r="H3004" s="9">
        <v>30306281</v>
      </c>
      <c r="I3004" s="5">
        <f>IMDB_Movies!$H3004-IMDB_Movies!$G3004</f>
        <v>20306281</v>
      </c>
    </row>
    <row r="3005" spans="1:9" ht="23">
      <c r="A3005" s="2" t="s">
        <v>4362</v>
      </c>
      <c r="B3005" s="9" t="s">
        <v>760</v>
      </c>
      <c r="C3005" s="9" t="s">
        <v>713</v>
      </c>
      <c r="D3005" s="9" t="s">
        <v>11</v>
      </c>
      <c r="E3005" s="9">
        <v>101</v>
      </c>
      <c r="F3005" s="9">
        <v>6.5</v>
      </c>
      <c r="G3005" s="9">
        <v>10000000</v>
      </c>
      <c r="H3005" s="9">
        <v>29500000</v>
      </c>
      <c r="I3005" s="5">
        <f>IMDB_Movies!$H3005-IMDB_Movies!$G3005</f>
        <v>19500000</v>
      </c>
    </row>
    <row r="3006" spans="1:9" ht="23">
      <c r="A3006" s="2" t="s">
        <v>4363</v>
      </c>
      <c r="B3006" s="9" t="s">
        <v>3516</v>
      </c>
      <c r="C3006" s="9" t="s">
        <v>10</v>
      </c>
      <c r="D3006" s="9" t="s">
        <v>11</v>
      </c>
      <c r="E3006" s="9">
        <v>114</v>
      </c>
      <c r="F3006" s="9">
        <v>6.5</v>
      </c>
      <c r="G3006" s="9">
        <v>17000000</v>
      </c>
      <c r="H3006" s="9">
        <v>30050028</v>
      </c>
      <c r="I3006" s="5">
        <f>IMDB_Movies!$H3006-IMDB_Movies!$G3006</f>
        <v>13050028</v>
      </c>
    </row>
    <row r="3007" spans="1:9" ht="23">
      <c r="A3007" s="2" t="s">
        <v>4364</v>
      </c>
      <c r="B3007" s="9" t="s">
        <v>1041</v>
      </c>
      <c r="C3007" s="9" t="s">
        <v>10</v>
      </c>
      <c r="D3007" s="9" t="s">
        <v>11</v>
      </c>
      <c r="E3007" s="9">
        <v>100</v>
      </c>
      <c r="F3007" s="9">
        <v>5.8</v>
      </c>
      <c r="G3007" s="9">
        <v>10000000</v>
      </c>
      <c r="H3007" s="9">
        <v>29392418</v>
      </c>
      <c r="I3007" s="5">
        <f>IMDB_Movies!$H3007-IMDB_Movies!$G3007</f>
        <v>19392418</v>
      </c>
    </row>
    <row r="3008" spans="1:9" ht="23">
      <c r="A3008" s="2" t="s">
        <v>4365</v>
      </c>
      <c r="B3008" s="9" t="s">
        <v>2673</v>
      </c>
      <c r="C3008" s="9" t="s">
        <v>56</v>
      </c>
      <c r="D3008" s="9" t="s">
        <v>11</v>
      </c>
      <c r="E3008" s="9">
        <v>85</v>
      </c>
      <c r="F3008" s="9">
        <v>5</v>
      </c>
      <c r="G3008" s="9">
        <v>8500000</v>
      </c>
      <c r="H3008" s="9">
        <v>28563926</v>
      </c>
      <c r="I3008" s="5">
        <f>IMDB_Movies!$H3008-IMDB_Movies!$G3008</f>
        <v>20063926</v>
      </c>
    </row>
    <row r="3009" spans="1:9" ht="23">
      <c r="A3009" s="2" t="s">
        <v>4366</v>
      </c>
      <c r="B3009" s="9" t="s">
        <v>4367</v>
      </c>
      <c r="C3009" s="9" t="s">
        <v>138</v>
      </c>
      <c r="D3009" s="9" t="s">
        <v>11</v>
      </c>
      <c r="E3009" s="9">
        <v>103</v>
      </c>
      <c r="F3009" s="9">
        <v>5.5</v>
      </c>
      <c r="G3009" s="9">
        <v>12000000</v>
      </c>
      <c r="H3009" s="9">
        <v>28435406</v>
      </c>
      <c r="I3009" s="5">
        <f>IMDB_Movies!$H3009-IMDB_Movies!$G3009</f>
        <v>16435406</v>
      </c>
    </row>
    <row r="3010" spans="1:9" ht="23">
      <c r="A3010" s="2" t="s">
        <v>4368</v>
      </c>
      <c r="B3010" s="9" t="s">
        <v>2954</v>
      </c>
      <c r="C3010" s="9" t="s">
        <v>138</v>
      </c>
      <c r="D3010" s="9" t="s">
        <v>11</v>
      </c>
      <c r="E3010" s="9">
        <v>100</v>
      </c>
      <c r="F3010" s="9">
        <v>6.5</v>
      </c>
      <c r="G3010" s="9">
        <v>10000000</v>
      </c>
      <c r="H3010" s="9">
        <v>25339117</v>
      </c>
      <c r="I3010" s="5">
        <f>IMDB_Movies!$H3010-IMDB_Movies!$G3010</f>
        <v>15339117</v>
      </c>
    </row>
    <row r="3011" spans="1:9" ht="23">
      <c r="A3011" s="2" t="s">
        <v>4369</v>
      </c>
      <c r="B3011" s="9" t="s">
        <v>1311</v>
      </c>
      <c r="C3011" s="9" t="s">
        <v>414</v>
      </c>
      <c r="D3011" s="9" t="s">
        <v>11</v>
      </c>
      <c r="E3011" s="9">
        <v>114</v>
      </c>
      <c r="F3011" s="9">
        <v>7.2</v>
      </c>
      <c r="G3011" s="9">
        <v>10000000</v>
      </c>
      <c r="H3011" s="9">
        <v>25600000</v>
      </c>
      <c r="I3011" s="5">
        <f>IMDB_Movies!$H3011-IMDB_Movies!$G3011</f>
        <v>15600000</v>
      </c>
    </row>
    <row r="3012" spans="1:9" ht="23">
      <c r="A3012" s="2" t="s">
        <v>4370</v>
      </c>
      <c r="B3012" s="9" t="s">
        <v>4371</v>
      </c>
      <c r="C3012" s="9" t="s">
        <v>24</v>
      </c>
      <c r="D3012" s="9" t="s">
        <v>11</v>
      </c>
      <c r="E3012" s="9">
        <v>102</v>
      </c>
      <c r="F3012" s="9">
        <v>7.3</v>
      </c>
      <c r="G3012" s="9">
        <v>65000000</v>
      </c>
      <c r="H3012" s="9">
        <v>25078937</v>
      </c>
      <c r="I3012" s="5">
        <f>IMDB_Movies!$H3012-IMDB_Movies!$G3012</f>
        <v>-39921063</v>
      </c>
    </row>
    <row r="3013" spans="1:9" ht="23">
      <c r="A3013" s="2" t="s">
        <v>4372</v>
      </c>
      <c r="B3013" s="9" t="s">
        <v>1479</v>
      </c>
      <c r="C3013" s="9" t="s">
        <v>810</v>
      </c>
      <c r="D3013" s="9" t="s">
        <v>11</v>
      </c>
      <c r="E3013" s="9">
        <v>103</v>
      </c>
      <c r="F3013" s="9">
        <v>7.2</v>
      </c>
      <c r="G3013" s="9">
        <v>10000000</v>
      </c>
      <c r="H3013" s="9">
        <v>25078937</v>
      </c>
      <c r="I3013" s="5">
        <f>IMDB_Movies!$H3013-IMDB_Movies!$G3013</f>
        <v>15078937</v>
      </c>
    </row>
    <row r="3014" spans="1:9" ht="23">
      <c r="A3014" s="2" t="s">
        <v>4373</v>
      </c>
      <c r="B3014" s="9" t="s">
        <v>4374</v>
      </c>
      <c r="C3014" s="9" t="s">
        <v>810</v>
      </c>
      <c r="D3014" s="9" t="s">
        <v>11</v>
      </c>
      <c r="E3014" s="9">
        <v>97</v>
      </c>
      <c r="F3014" s="9">
        <v>5.2</v>
      </c>
      <c r="G3014" s="9">
        <v>10000000</v>
      </c>
      <c r="H3014" s="9">
        <v>27736779</v>
      </c>
      <c r="I3014" s="5">
        <f>IMDB_Movies!$H3014-IMDB_Movies!$G3014</f>
        <v>17736779</v>
      </c>
    </row>
    <row r="3015" spans="1:9" ht="23">
      <c r="A3015" s="2" t="s">
        <v>4375</v>
      </c>
      <c r="B3015" s="9" t="s">
        <v>4376</v>
      </c>
      <c r="C3015" s="9" t="s">
        <v>56</v>
      </c>
      <c r="D3015" s="9" t="s">
        <v>11</v>
      </c>
      <c r="E3015" s="9">
        <v>116</v>
      </c>
      <c r="F3015" s="9">
        <v>5.7</v>
      </c>
      <c r="G3015" s="9">
        <v>17000000</v>
      </c>
      <c r="H3015" s="9">
        <v>24397469</v>
      </c>
      <c r="I3015" s="5">
        <f>IMDB_Movies!$H3015-IMDB_Movies!$G3015</f>
        <v>7397469</v>
      </c>
    </row>
    <row r="3016" spans="1:9" ht="23">
      <c r="A3016" s="2" t="s">
        <v>4377</v>
      </c>
      <c r="B3016" s="9" t="s">
        <v>3888</v>
      </c>
      <c r="C3016" s="9" t="s">
        <v>810</v>
      </c>
      <c r="D3016" s="9" t="s">
        <v>11</v>
      </c>
      <c r="E3016" s="9">
        <v>96</v>
      </c>
      <c r="F3016" s="9">
        <v>4.7</v>
      </c>
      <c r="G3016" s="9">
        <v>10000000</v>
      </c>
      <c r="H3016" s="9">
        <v>20384136</v>
      </c>
      <c r="I3016" s="5">
        <f>IMDB_Movies!$H3016-IMDB_Movies!$G3016</f>
        <v>10384136</v>
      </c>
    </row>
    <row r="3017" spans="1:9" ht="23">
      <c r="A3017" s="2" t="s">
        <v>4378</v>
      </c>
      <c r="B3017" s="9" t="s">
        <v>4379</v>
      </c>
      <c r="C3017" s="9" t="s">
        <v>228</v>
      </c>
      <c r="D3017" s="9" t="s">
        <v>11</v>
      </c>
      <c r="E3017" s="9">
        <v>98</v>
      </c>
      <c r="F3017" s="9">
        <v>5.9</v>
      </c>
      <c r="G3017" s="9">
        <v>10000000</v>
      </c>
      <c r="H3017" s="9">
        <v>25464480</v>
      </c>
      <c r="I3017" s="5">
        <f>IMDB_Movies!$H3017-IMDB_Movies!$G3017</f>
        <v>15464480</v>
      </c>
    </row>
    <row r="3018" spans="1:9" ht="23">
      <c r="A3018" s="2" t="s">
        <v>4380</v>
      </c>
      <c r="B3018" s="9" t="s">
        <v>3328</v>
      </c>
      <c r="C3018" s="9" t="s">
        <v>138</v>
      </c>
      <c r="D3018" s="9" t="s">
        <v>11</v>
      </c>
      <c r="E3018" s="9">
        <v>105</v>
      </c>
      <c r="F3018" s="9">
        <v>6.8</v>
      </c>
      <c r="G3018" s="9">
        <v>10000000</v>
      </c>
      <c r="H3018" s="9">
        <v>20338609</v>
      </c>
      <c r="I3018" s="5">
        <f>IMDB_Movies!$H3018-IMDB_Movies!$G3018</f>
        <v>10338609</v>
      </c>
    </row>
    <row r="3019" spans="1:9" ht="23">
      <c r="A3019" s="2" t="s">
        <v>4381</v>
      </c>
      <c r="B3019" s="9" t="s">
        <v>4382</v>
      </c>
      <c r="C3019" s="9" t="s">
        <v>56</v>
      </c>
      <c r="D3019" s="9" t="s">
        <v>11</v>
      </c>
      <c r="E3019" s="9">
        <v>123</v>
      </c>
      <c r="F3019" s="9">
        <v>5.9</v>
      </c>
      <c r="G3019" s="9">
        <v>10000000</v>
      </c>
      <c r="H3019" s="9">
        <v>18272447</v>
      </c>
      <c r="I3019" s="5">
        <f>IMDB_Movies!$H3019-IMDB_Movies!$G3019</f>
        <v>8272447</v>
      </c>
    </row>
    <row r="3020" spans="1:9" ht="23">
      <c r="A3020" s="2" t="s">
        <v>4383</v>
      </c>
      <c r="B3020" s="9" t="s">
        <v>4384</v>
      </c>
      <c r="C3020" s="9" t="s">
        <v>10</v>
      </c>
      <c r="D3020" s="9" t="s">
        <v>11</v>
      </c>
      <c r="E3020" s="9">
        <v>107</v>
      </c>
      <c r="F3020" s="9">
        <v>5.3</v>
      </c>
      <c r="G3020" s="9">
        <v>10000000</v>
      </c>
      <c r="H3020" s="9">
        <v>25078937</v>
      </c>
      <c r="I3020" s="5">
        <f>IMDB_Movies!$H3020-IMDB_Movies!$G3020</f>
        <v>15078937</v>
      </c>
    </row>
    <row r="3021" spans="1:9" ht="23">
      <c r="A3021" s="2" t="s">
        <v>4385</v>
      </c>
      <c r="B3021" s="9" t="s">
        <v>1875</v>
      </c>
      <c r="C3021" s="9" t="s">
        <v>138</v>
      </c>
      <c r="D3021" s="9" t="s">
        <v>11</v>
      </c>
      <c r="E3021" s="9">
        <v>112</v>
      </c>
      <c r="F3021" s="9">
        <v>6</v>
      </c>
      <c r="G3021" s="9">
        <v>20000000</v>
      </c>
      <c r="H3021" s="9">
        <v>17378977</v>
      </c>
      <c r="I3021" s="5">
        <f>IMDB_Movies!$H3021-IMDB_Movies!$G3021</f>
        <v>-2621023</v>
      </c>
    </row>
    <row r="3022" spans="1:9" ht="23">
      <c r="A3022" s="2" t="s">
        <v>4386</v>
      </c>
      <c r="B3022" s="9" t="s">
        <v>1473</v>
      </c>
      <c r="C3022" s="9" t="s">
        <v>138</v>
      </c>
      <c r="D3022" s="9" t="s">
        <v>11</v>
      </c>
      <c r="E3022" s="9">
        <v>93</v>
      </c>
      <c r="F3022" s="9">
        <v>7.7</v>
      </c>
      <c r="G3022" s="9">
        <v>9000000</v>
      </c>
      <c r="H3022" s="9">
        <v>17096053</v>
      </c>
      <c r="I3022" s="5">
        <f>IMDB_Movies!$H3022-IMDB_Movies!$G3022</f>
        <v>8096053</v>
      </c>
    </row>
    <row r="3023" spans="1:9" ht="23">
      <c r="A3023" s="2" t="s">
        <v>4387</v>
      </c>
      <c r="B3023" s="9" t="s">
        <v>1799</v>
      </c>
      <c r="C3023" s="9" t="s">
        <v>10</v>
      </c>
      <c r="D3023" s="9" t="s">
        <v>11</v>
      </c>
      <c r="E3023" s="9">
        <v>97</v>
      </c>
      <c r="F3023" s="9">
        <v>4.4000000000000004</v>
      </c>
      <c r="G3023" s="9">
        <v>10000000</v>
      </c>
      <c r="H3023" s="9">
        <v>21371425</v>
      </c>
      <c r="I3023" s="5">
        <f>IMDB_Movies!$H3023-IMDB_Movies!$G3023</f>
        <v>11371425</v>
      </c>
    </row>
    <row r="3024" spans="1:9" ht="23">
      <c r="A3024" s="2" t="s">
        <v>4388</v>
      </c>
      <c r="B3024" s="9" t="s">
        <v>1227</v>
      </c>
      <c r="C3024" s="9" t="s">
        <v>138</v>
      </c>
      <c r="D3024" s="9" t="s">
        <v>11</v>
      </c>
      <c r="E3024" s="9">
        <v>122</v>
      </c>
      <c r="F3024" s="9">
        <v>6.6</v>
      </c>
      <c r="G3024" s="9">
        <v>10000000</v>
      </c>
      <c r="H3024" s="9">
        <v>33071558</v>
      </c>
      <c r="I3024" s="5">
        <f>IMDB_Movies!$H3024-IMDB_Movies!$G3024</f>
        <v>23071558</v>
      </c>
    </row>
    <row r="3025" spans="1:9" ht="23">
      <c r="A3025" s="2" t="s">
        <v>4389</v>
      </c>
      <c r="B3025" s="9" t="s">
        <v>4390</v>
      </c>
      <c r="C3025" s="9" t="s">
        <v>56</v>
      </c>
      <c r="D3025" s="9" t="s">
        <v>11</v>
      </c>
      <c r="E3025" s="9">
        <v>101</v>
      </c>
      <c r="F3025" s="9">
        <v>6.7</v>
      </c>
      <c r="G3025" s="9">
        <v>10000000</v>
      </c>
      <c r="H3025" s="9">
        <v>17655201</v>
      </c>
      <c r="I3025" s="5">
        <f>IMDB_Movies!$H3025-IMDB_Movies!$G3025</f>
        <v>7655201</v>
      </c>
    </row>
    <row r="3026" spans="1:9" ht="23">
      <c r="A3026" s="2" t="s">
        <v>4391</v>
      </c>
      <c r="B3026" s="9" t="s">
        <v>3294</v>
      </c>
      <c r="C3026" s="9" t="s">
        <v>138</v>
      </c>
      <c r="D3026" s="9" t="s">
        <v>11</v>
      </c>
      <c r="E3026" s="9">
        <v>100</v>
      </c>
      <c r="F3026" s="9">
        <v>5.5</v>
      </c>
      <c r="G3026" s="9">
        <v>25000000</v>
      </c>
      <c r="H3026" s="9">
        <v>16247775</v>
      </c>
      <c r="I3026" s="5">
        <f>IMDB_Movies!$H3026-IMDB_Movies!$G3026</f>
        <v>-8752225</v>
      </c>
    </row>
    <row r="3027" spans="1:9" ht="23">
      <c r="A3027" s="2" t="s">
        <v>4392</v>
      </c>
      <c r="B3027" s="9" t="s">
        <v>1380</v>
      </c>
      <c r="C3027" s="9" t="s">
        <v>56</v>
      </c>
      <c r="D3027" s="9" t="s">
        <v>11</v>
      </c>
      <c r="E3027" s="9">
        <v>129</v>
      </c>
      <c r="F3027" s="9">
        <v>6.5</v>
      </c>
      <c r="G3027" s="9">
        <v>10000000</v>
      </c>
      <c r="H3027" s="9">
        <v>16153600</v>
      </c>
      <c r="I3027" s="5">
        <f>IMDB_Movies!$H3027-IMDB_Movies!$G3027</f>
        <v>6153600</v>
      </c>
    </row>
    <row r="3028" spans="1:9" ht="23">
      <c r="A3028" s="2" t="s">
        <v>4393</v>
      </c>
      <c r="B3028" s="9" t="s">
        <v>1352</v>
      </c>
      <c r="C3028" s="9" t="s">
        <v>10</v>
      </c>
      <c r="D3028" s="9" t="s">
        <v>11</v>
      </c>
      <c r="E3028" s="9">
        <v>81</v>
      </c>
      <c r="F3028" s="9">
        <v>6.2</v>
      </c>
      <c r="G3028" s="9">
        <v>10000000</v>
      </c>
      <c r="H3028" s="9">
        <v>16033556</v>
      </c>
      <c r="I3028" s="5">
        <f>IMDB_Movies!$H3028-IMDB_Movies!$G3028</f>
        <v>6033556</v>
      </c>
    </row>
    <row r="3029" spans="1:9" ht="23">
      <c r="A3029" s="2" t="s">
        <v>4394</v>
      </c>
      <c r="B3029" s="9" t="s">
        <v>511</v>
      </c>
      <c r="C3029" s="9" t="s">
        <v>138</v>
      </c>
      <c r="D3029" s="9" t="s">
        <v>11</v>
      </c>
      <c r="E3029" s="9">
        <v>96</v>
      </c>
      <c r="F3029" s="9">
        <v>7.1</v>
      </c>
      <c r="G3029" s="9">
        <v>11000000</v>
      </c>
      <c r="H3029" s="9">
        <v>16667084</v>
      </c>
      <c r="I3029" s="5">
        <f>IMDB_Movies!$H3029-IMDB_Movies!$G3029</f>
        <v>5667084</v>
      </c>
    </row>
    <row r="3030" spans="1:9" ht="23">
      <c r="A3030" s="2" t="s">
        <v>4395</v>
      </c>
      <c r="B3030" s="9" t="s">
        <v>4396</v>
      </c>
      <c r="C3030" s="9" t="s">
        <v>810</v>
      </c>
      <c r="D3030" s="9" t="s">
        <v>11</v>
      </c>
      <c r="E3030" s="9">
        <v>84</v>
      </c>
      <c r="F3030" s="9">
        <v>6.1</v>
      </c>
      <c r="G3030" s="9">
        <v>12600000</v>
      </c>
      <c r="H3030" s="9">
        <v>15417771</v>
      </c>
      <c r="I3030" s="5">
        <f>IMDB_Movies!$H3030-IMDB_Movies!$G3030</f>
        <v>2817771</v>
      </c>
    </row>
    <row r="3031" spans="1:9" ht="23">
      <c r="A3031" s="2" t="s">
        <v>4397</v>
      </c>
      <c r="B3031" s="9" t="s">
        <v>1180</v>
      </c>
      <c r="C3031" s="9" t="s">
        <v>4398</v>
      </c>
      <c r="D3031" s="9" t="s">
        <v>11</v>
      </c>
      <c r="E3031" s="9">
        <v>100</v>
      </c>
      <c r="F3031" s="9">
        <v>7.1</v>
      </c>
      <c r="G3031" s="9">
        <v>10000000</v>
      </c>
      <c r="H3031" s="9">
        <v>25078937</v>
      </c>
      <c r="I3031" s="5">
        <f>IMDB_Movies!$H3031-IMDB_Movies!$G3031</f>
        <v>15078937</v>
      </c>
    </row>
    <row r="3032" spans="1:9" ht="23">
      <c r="A3032" s="2" t="s">
        <v>4399</v>
      </c>
      <c r="B3032" s="9" t="s">
        <v>3762</v>
      </c>
      <c r="C3032" s="9" t="s">
        <v>10</v>
      </c>
      <c r="D3032" s="9" t="s">
        <v>11</v>
      </c>
      <c r="E3032" s="9">
        <v>110</v>
      </c>
      <c r="F3032" s="9">
        <v>6</v>
      </c>
      <c r="G3032" s="9">
        <v>30000000</v>
      </c>
      <c r="H3032" s="9">
        <v>15156200</v>
      </c>
      <c r="I3032" s="5">
        <f>IMDB_Movies!$H3032-IMDB_Movies!$G3032</f>
        <v>-14843800</v>
      </c>
    </row>
    <row r="3033" spans="1:9" ht="23">
      <c r="A3033" s="2" t="s">
        <v>4400</v>
      </c>
      <c r="B3033" s="9" t="s">
        <v>3423</v>
      </c>
      <c r="C3033" s="9" t="s">
        <v>56</v>
      </c>
      <c r="D3033" s="9" t="s">
        <v>11</v>
      </c>
      <c r="E3033" s="9">
        <v>130</v>
      </c>
      <c r="F3033" s="9">
        <v>7.4</v>
      </c>
      <c r="G3033" s="9">
        <v>10000000</v>
      </c>
      <c r="H3033" s="9">
        <v>21589307</v>
      </c>
      <c r="I3033" s="5">
        <f>IMDB_Movies!$H3033-IMDB_Movies!$G3033</f>
        <v>11589307</v>
      </c>
    </row>
    <row r="3034" spans="1:9" ht="23">
      <c r="A3034" s="2" t="s">
        <v>4401</v>
      </c>
      <c r="B3034" s="9" t="s">
        <v>4402</v>
      </c>
      <c r="C3034" s="9" t="s">
        <v>138</v>
      </c>
      <c r="D3034" s="9" t="s">
        <v>11</v>
      </c>
      <c r="E3034" s="9">
        <v>84</v>
      </c>
      <c r="F3034" s="9">
        <v>5.9</v>
      </c>
      <c r="G3034" s="9">
        <v>10000000</v>
      </c>
      <c r="H3034" s="9">
        <v>20339754</v>
      </c>
      <c r="I3034" s="5">
        <f>IMDB_Movies!$H3034-IMDB_Movies!$G3034</f>
        <v>10339754</v>
      </c>
    </row>
    <row r="3035" spans="1:9" ht="23">
      <c r="A3035" s="2" t="s">
        <v>4403</v>
      </c>
      <c r="B3035" s="9" t="s">
        <v>4404</v>
      </c>
      <c r="C3035" s="9" t="s">
        <v>772</v>
      </c>
      <c r="D3035" s="9" t="s">
        <v>11</v>
      </c>
      <c r="E3035" s="9">
        <v>106</v>
      </c>
      <c r="F3035" s="9">
        <v>4.0999999999999996</v>
      </c>
      <c r="G3035" s="9">
        <v>10000000</v>
      </c>
      <c r="H3035" s="9">
        <v>28873374</v>
      </c>
      <c r="I3035" s="5">
        <f>IMDB_Movies!$H3035-IMDB_Movies!$G3035</f>
        <v>18873374</v>
      </c>
    </row>
    <row r="3036" spans="1:9" ht="23">
      <c r="A3036" s="2" t="s">
        <v>4405</v>
      </c>
      <c r="B3036" s="9" t="s">
        <v>4406</v>
      </c>
      <c r="C3036" s="9" t="s">
        <v>138</v>
      </c>
      <c r="D3036" s="9" t="s">
        <v>11</v>
      </c>
      <c r="E3036" s="9">
        <v>89</v>
      </c>
      <c r="F3036" s="9">
        <v>5.8</v>
      </c>
      <c r="G3036" s="9">
        <v>20000000</v>
      </c>
      <c r="H3036" s="9">
        <v>15102127</v>
      </c>
      <c r="I3036" s="5">
        <f>IMDB_Movies!$H3036-IMDB_Movies!$G3036</f>
        <v>-4897873</v>
      </c>
    </row>
    <row r="3037" spans="1:9" ht="23">
      <c r="A3037" s="2" t="s">
        <v>4407</v>
      </c>
      <c r="B3037" s="9" t="s">
        <v>4408</v>
      </c>
      <c r="C3037" s="9" t="s">
        <v>24</v>
      </c>
      <c r="D3037" s="9" t="s">
        <v>11</v>
      </c>
      <c r="E3037" s="9">
        <v>76</v>
      </c>
      <c r="F3037" s="9">
        <v>5.9</v>
      </c>
      <c r="G3037" s="9">
        <v>3000000</v>
      </c>
      <c r="H3037" s="9">
        <v>13684949</v>
      </c>
      <c r="I3037" s="5">
        <f>IMDB_Movies!$H3037-IMDB_Movies!$G3037</f>
        <v>10684949</v>
      </c>
    </row>
    <row r="3038" spans="1:9" ht="23">
      <c r="A3038" s="2" t="s">
        <v>4409</v>
      </c>
      <c r="B3038" s="9" t="s">
        <v>4268</v>
      </c>
      <c r="C3038" s="9" t="s">
        <v>418</v>
      </c>
      <c r="D3038" s="9" t="s">
        <v>11</v>
      </c>
      <c r="E3038" s="9">
        <v>99</v>
      </c>
      <c r="F3038" s="9">
        <v>7</v>
      </c>
      <c r="G3038" s="9">
        <v>6400000</v>
      </c>
      <c r="H3038" s="9">
        <v>14597405</v>
      </c>
      <c r="I3038" s="5">
        <f>IMDB_Movies!$H3038-IMDB_Movies!$G3038</f>
        <v>8197405</v>
      </c>
    </row>
    <row r="3039" spans="1:9" ht="23">
      <c r="A3039" s="2" t="s">
        <v>4410</v>
      </c>
      <c r="B3039" s="9" t="s">
        <v>1896</v>
      </c>
      <c r="C3039" s="9" t="s">
        <v>138</v>
      </c>
      <c r="D3039" s="9" t="s">
        <v>11</v>
      </c>
      <c r="E3039" s="9">
        <v>96</v>
      </c>
      <c r="F3039" s="9">
        <v>6.8</v>
      </c>
      <c r="G3039" s="9">
        <v>10000000</v>
      </c>
      <c r="H3039" s="9">
        <v>12570442</v>
      </c>
      <c r="I3039" s="5">
        <f>IMDB_Movies!$H3039-IMDB_Movies!$G3039</f>
        <v>2570442</v>
      </c>
    </row>
    <row r="3040" spans="1:9" ht="23">
      <c r="A3040" s="2" t="s">
        <v>4411</v>
      </c>
      <c r="B3040" s="9" t="s">
        <v>4412</v>
      </c>
      <c r="C3040" s="9" t="s">
        <v>56</v>
      </c>
      <c r="D3040" s="9" t="s">
        <v>11</v>
      </c>
      <c r="E3040" s="9">
        <v>104</v>
      </c>
      <c r="F3040" s="9">
        <v>7.4</v>
      </c>
      <c r="G3040" s="9">
        <v>10000000</v>
      </c>
      <c r="H3040" s="9">
        <v>12514138</v>
      </c>
      <c r="I3040" s="5">
        <f>IMDB_Movies!$H3040-IMDB_Movies!$G3040</f>
        <v>2514138</v>
      </c>
    </row>
    <row r="3041" spans="1:9" ht="23">
      <c r="A3041" s="2" t="s">
        <v>4413</v>
      </c>
      <c r="B3041" s="9" t="s">
        <v>4414</v>
      </c>
      <c r="C3041" s="9" t="s">
        <v>228</v>
      </c>
      <c r="D3041" s="9" t="s">
        <v>11</v>
      </c>
      <c r="E3041" s="9">
        <v>108</v>
      </c>
      <c r="F3041" s="9">
        <v>7.1</v>
      </c>
      <c r="G3041" s="9">
        <v>5000000</v>
      </c>
      <c r="H3041" s="9">
        <v>43771291</v>
      </c>
      <c r="I3041" s="5">
        <f>IMDB_Movies!$H3041-IMDB_Movies!$G3041</f>
        <v>38771291</v>
      </c>
    </row>
    <row r="3042" spans="1:9" ht="23">
      <c r="A3042" s="2" t="s">
        <v>4415</v>
      </c>
      <c r="B3042" s="9" t="s">
        <v>4416</v>
      </c>
      <c r="C3042" s="9" t="s">
        <v>24</v>
      </c>
      <c r="D3042" s="9" t="s">
        <v>11</v>
      </c>
      <c r="E3042" s="9">
        <v>108</v>
      </c>
      <c r="F3042" s="9">
        <v>7</v>
      </c>
      <c r="G3042" s="9">
        <v>10000000</v>
      </c>
      <c r="H3042" s="9">
        <v>11703287</v>
      </c>
      <c r="I3042" s="5">
        <f>IMDB_Movies!$H3042-IMDB_Movies!$G3042</f>
        <v>1703287</v>
      </c>
    </row>
    <row r="3043" spans="1:9" ht="23">
      <c r="A3043" s="2" t="s">
        <v>4417</v>
      </c>
      <c r="B3043" s="9" t="s">
        <v>2091</v>
      </c>
      <c r="C3043" s="9" t="s">
        <v>138</v>
      </c>
      <c r="D3043" s="9" t="s">
        <v>11</v>
      </c>
      <c r="E3043" s="9">
        <v>87</v>
      </c>
      <c r="F3043" s="9">
        <v>5.8</v>
      </c>
      <c r="G3043" s="9">
        <v>22000000</v>
      </c>
      <c r="H3043" s="9">
        <v>11560259</v>
      </c>
      <c r="I3043" s="5">
        <f>IMDB_Movies!$H3043-IMDB_Movies!$G3043</f>
        <v>-10439741</v>
      </c>
    </row>
    <row r="3044" spans="1:9" ht="23">
      <c r="A3044" s="2" t="s">
        <v>4418</v>
      </c>
      <c r="B3044" s="9" t="s">
        <v>4095</v>
      </c>
      <c r="C3044" s="9" t="s">
        <v>138</v>
      </c>
      <c r="D3044" s="9" t="s">
        <v>11</v>
      </c>
      <c r="E3044" s="9">
        <v>89</v>
      </c>
      <c r="F3044" s="9">
        <v>7.8</v>
      </c>
      <c r="G3044" s="9">
        <v>10000000</v>
      </c>
      <c r="H3044" s="9">
        <v>10824921</v>
      </c>
      <c r="I3044" s="5">
        <f>IMDB_Movies!$H3044-IMDB_Movies!$G3044</f>
        <v>824921</v>
      </c>
    </row>
    <row r="3045" spans="1:9" ht="23">
      <c r="A3045" s="2" t="s">
        <v>4419</v>
      </c>
      <c r="B3045" s="9" t="s">
        <v>4420</v>
      </c>
      <c r="C3045" s="9" t="s">
        <v>138</v>
      </c>
      <c r="D3045" s="9" t="s">
        <v>11</v>
      </c>
      <c r="E3045" s="9">
        <v>97</v>
      </c>
      <c r="F3045" s="9">
        <v>6.5</v>
      </c>
      <c r="G3045" s="9">
        <v>10000000</v>
      </c>
      <c r="H3045" s="9">
        <v>10561238</v>
      </c>
      <c r="I3045" s="5">
        <f>IMDB_Movies!$H3045-IMDB_Movies!$G3045</f>
        <v>561238</v>
      </c>
    </row>
    <row r="3046" spans="1:9" ht="23">
      <c r="A3046" s="2" t="s">
        <v>4421</v>
      </c>
      <c r="B3046" s="9" t="s">
        <v>68</v>
      </c>
      <c r="C3046" s="9" t="s">
        <v>418</v>
      </c>
      <c r="D3046" s="9" t="s">
        <v>11</v>
      </c>
      <c r="E3046" s="9">
        <v>106</v>
      </c>
      <c r="F3046" s="9">
        <v>7</v>
      </c>
      <c r="G3046" s="9">
        <v>10000000</v>
      </c>
      <c r="H3046" s="9">
        <v>14479776</v>
      </c>
      <c r="I3046" s="5">
        <f>IMDB_Movies!$H3046-IMDB_Movies!$G3046</f>
        <v>4479776</v>
      </c>
    </row>
    <row r="3047" spans="1:9" ht="23">
      <c r="A3047" s="2" t="s">
        <v>4422</v>
      </c>
      <c r="B3047" s="9" t="s">
        <v>60</v>
      </c>
      <c r="C3047" s="9" t="s">
        <v>138</v>
      </c>
      <c r="D3047" s="9" t="s">
        <v>11</v>
      </c>
      <c r="E3047" s="9">
        <v>100</v>
      </c>
      <c r="F3047" s="9">
        <v>6.3</v>
      </c>
      <c r="G3047" s="9">
        <v>10000000</v>
      </c>
      <c r="H3047" s="9">
        <v>9801782</v>
      </c>
      <c r="I3047" s="5">
        <f>IMDB_Movies!$H3047-IMDB_Movies!$G3047</f>
        <v>-198218</v>
      </c>
    </row>
    <row r="3048" spans="1:9" ht="23">
      <c r="A3048" s="2" t="s">
        <v>4423</v>
      </c>
      <c r="B3048" s="9" t="s">
        <v>3541</v>
      </c>
      <c r="C3048" s="9" t="s">
        <v>138</v>
      </c>
      <c r="D3048" s="9" t="s">
        <v>11</v>
      </c>
      <c r="E3048" s="9">
        <v>89</v>
      </c>
      <c r="F3048" s="9">
        <v>5.3</v>
      </c>
      <c r="G3048" s="9">
        <v>10000000</v>
      </c>
      <c r="H3048" s="9">
        <v>8070311</v>
      </c>
      <c r="I3048" s="5">
        <f>IMDB_Movies!$H3048-IMDB_Movies!$G3048</f>
        <v>-1929689</v>
      </c>
    </row>
    <row r="3049" spans="1:9" ht="23">
      <c r="A3049" s="2" t="s">
        <v>4424</v>
      </c>
      <c r="B3049" s="9" t="s">
        <v>600</v>
      </c>
      <c r="C3049" s="9" t="s">
        <v>228</v>
      </c>
      <c r="D3049" s="9" t="s">
        <v>11</v>
      </c>
      <c r="E3049" s="9">
        <v>114</v>
      </c>
      <c r="F3049" s="9">
        <v>6.8</v>
      </c>
      <c r="G3049" s="9">
        <v>10000000</v>
      </c>
      <c r="H3049" s="9">
        <v>25078937</v>
      </c>
      <c r="I3049" s="5">
        <f>IMDB_Movies!$H3049-IMDB_Movies!$G3049</f>
        <v>15078937</v>
      </c>
    </row>
    <row r="3050" spans="1:9" ht="23">
      <c r="A3050" s="2" t="s">
        <v>4425</v>
      </c>
      <c r="B3050" s="9" t="s">
        <v>4426</v>
      </c>
      <c r="C3050" s="9" t="s">
        <v>10</v>
      </c>
      <c r="D3050" s="9" t="s">
        <v>11</v>
      </c>
      <c r="E3050" s="9">
        <v>95</v>
      </c>
      <c r="F3050" s="9">
        <v>5.5</v>
      </c>
      <c r="G3050" s="9">
        <v>10000000</v>
      </c>
      <c r="H3050" s="9">
        <v>8460995</v>
      </c>
      <c r="I3050" s="5">
        <f>IMDB_Movies!$H3050-IMDB_Movies!$G3050</f>
        <v>-1539005</v>
      </c>
    </row>
    <row r="3051" spans="1:9" ht="23">
      <c r="A3051" s="2" t="s">
        <v>4427</v>
      </c>
      <c r="B3051" s="9" t="s">
        <v>1548</v>
      </c>
      <c r="C3051" s="9" t="s">
        <v>414</v>
      </c>
      <c r="D3051" s="9" t="s">
        <v>11</v>
      </c>
      <c r="E3051" s="9">
        <v>97</v>
      </c>
      <c r="F3051" s="9">
        <v>7.4</v>
      </c>
      <c r="G3051" s="9">
        <v>10000000</v>
      </c>
      <c r="H3051" s="9">
        <v>8111360</v>
      </c>
      <c r="I3051" s="5">
        <f>IMDB_Movies!$H3051-IMDB_Movies!$G3051</f>
        <v>-1888640</v>
      </c>
    </row>
    <row r="3052" spans="1:9" ht="23">
      <c r="A3052" s="2" t="s">
        <v>4428</v>
      </c>
      <c r="B3052" s="9" t="s">
        <v>2465</v>
      </c>
      <c r="C3052" s="9" t="s">
        <v>138</v>
      </c>
      <c r="D3052" s="9" t="s">
        <v>11</v>
      </c>
      <c r="E3052" s="9">
        <v>94</v>
      </c>
      <c r="F3052" s="9">
        <v>4.3</v>
      </c>
      <c r="G3052" s="9">
        <v>6000000</v>
      </c>
      <c r="H3052" s="9">
        <v>8828771</v>
      </c>
      <c r="I3052" s="5">
        <f>IMDB_Movies!$H3052-IMDB_Movies!$G3052</f>
        <v>2828771</v>
      </c>
    </row>
    <row r="3053" spans="1:9" ht="23">
      <c r="A3053" s="2" t="s">
        <v>4429</v>
      </c>
      <c r="B3053" s="9" t="s">
        <v>4430</v>
      </c>
      <c r="C3053" s="9" t="s">
        <v>138</v>
      </c>
      <c r="D3053" s="9" t="s">
        <v>11</v>
      </c>
      <c r="E3053" s="9">
        <v>95</v>
      </c>
      <c r="F3053" s="9">
        <v>5.2</v>
      </c>
      <c r="G3053" s="9">
        <v>10000000</v>
      </c>
      <c r="H3053" s="9">
        <v>7563670</v>
      </c>
      <c r="I3053" s="5">
        <f>IMDB_Movies!$H3053-IMDB_Movies!$G3053</f>
        <v>-2436330</v>
      </c>
    </row>
    <row r="3054" spans="1:9" ht="23">
      <c r="A3054" s="2" t="s">
        <v>4431</v>
      </c>
      <c r="B3054" s="9" t="s">
        <v>4432</v>
      </c>
      <c r="C3054" s="9" t="s">
        <v>24</v>
      </c>
      <c r="D3054" s="9" t="s">
        <v>11</v>
      </c>
      <c r="E3054" s="9">
        <v>101</v>
      </c>
      <c r="F3054" s="9">
        <v>6.7</v>
      </c>
      <c r="G3054" s="9">
        <v>10000000</v>
      </c>
      <c r="H3054" s="9">
        <v>6619173</v>
      </c>
      <c r="I3054" s="5">
        <f>IMDB_Movies!$H3054-IMDB_Movies!$G3054</f>
        <v>-3380827</v>
      </c>
    </row>
    <row r="3055" spans="1:9" ht="23">
      <c r="A3055" s="2" t="s">
        <v>4433</v>
      </c>
      <c r="B3055" s="9" t="s">
        <v>2513</v>
      </c>
      <c r="C3055" s="9" t="s">
        <v>138</v>
      </c>
      <c r="D3055" s="9" t="s">
        <v>11</v>
      </c>
      <c r="E3055" s="9">
        <v>87</v>
      </c>
      <c r="F3055" s="9">
        <v>6.3</v>
      </c>
      <c r="G3055" s="9">
        <v>20000000</v>
      </c>
      <c r="H3055" s="9">
        <v>6857503</v>
      </c>
      <c r="I3055" s="5">
        <f>IMDB_Movies!$H3055-IMDB_Movies!$G3055</f>
        <v>-13142497</v>
      </c>
    </row>
    <row r="3056" spans="1:9" ht="23">
      <c r="A3056" s="2" t="s">
        <v>4434</v>
      </c>
      <c r="B3056" s="9" t="s">
        <v>4435</v>
      </c>
      <c r="C3056" s="9" t="s">
        <v>414</v>
      </c>
      <c r="D3056" s="9" t="s">
        <v>11</v>
      </c>
      <c r="E3056" s="9">
        <v>101</v>
      </c>
      <c r="F3056" s="9">
        <v>8.6</v>
      </c>
      <c r="G3056" s="9">
        <v>7500000</v>
      </c>
      <c r="H3056" s="9">
        <v>6712241</v>
      </c>
      <c r="I3056" s="5">
        <f>IMDB_Movies!$H3056-IMDB_Movies!$G3056</f>
        <v>-787759</v>
      </c>
    </row>
    <row r="3057" spans="1:9" ht="23">
      <c r="A3057" s="2" t="s">
        <v>4436</v>
      </c>
      <c r="B3057" s="9" t="s">
        <v>4437</v>
      </c>
      <c r="C3057" s="9" t="s">
        <v>10</v>
      </c>
      <c r="D3057" s="9" t="s">
        <v>11</v>
      </c>
      <c r="E3057" s="9">
        <v>82</v>
      </c>
      <c r="F3057" s="9">
        <v>6.1</v>
      </c>
      <c r="G3057" s="9">
        <v>10000000</v>
      </c>
      <c r="H3057" s="9">
        <v>6842058</v>
      </c>
      <c r="I3057" s="5">
        <f>IMDB_Movies!$H3057-IMDB_Movies!$G3057</f>
        <v>-3157942</v>
      </c>
    </row>
    <row r="3058" spans="1:9" ht="23">
      <c r="A3058" s="2" t="s">
        <v>4438</v>
      </c>
      <c r="B3058" s="9" t="s">
        <v>4439</v>
      </c>
      <c r="C3058" s="9" t="s">
        <v>116</v>
      </c>
      <c r="D3058" s="9" t="s">
        <v>11</v>
      </c>
      <c r="E3058" s="9">
        <v>74</v>
      </c>
      <c r="F3058" s="9">
        <v>5.8</v>
      </c>
      <c r="G3058" s="9">
        <v>10000000</v>
      </c>
      <c r="H3058" s="9">
        <v>6491350</v>
      </c>
      <c r="I3058" s="5">
        <f>IMDB_Movies!$H3058-IMDB_Movies!$G3058</f>
        <v>-3508650</v>
      </c>
    </row>
    <row r="3059" spans="1:9" ht="23">
      <c r="A3059" s="2" t="s">
        <v>4440</v>
      </c>
      <c r="B3059" s="9" t="s">
        <v>4441</v>
      </c>
      <c r="C3059" s="9" t="s">
        <v>56</v>
      </c>
      <c r="D3059" s="9" t="s">
        <v>394</v>
      </c>
      <c r="E3059" s="9">
        <v>130</v>
      </c>
      <c r="F3059" s="9">
        <v>7.7</v>
      </c>
      <c r="G3059" s="9">
        <v>10000000</v>
      </c>
      <c r="H3059" s="9">
        <v>9473382</v>
      </c>
      <c r="I3059" s="5">
        <f>IMDB_Movies!$H3059-IMDB_Movies!$G3059</f>
        <v>-526618</v>
      </c>
    </row>
    <row r="3060" spans="1:9" ht="23">
      <c r="A3060" s="2" t="s">
        <v>4442</v>
      </c>
      <c r="B3060" s="9" t="s">
        <v>1613</v>
      </c>
      <c r="C3060" s="9" t="s">
        <v>418</v>
      </c>
      <c r="D3060" s="9" t="s">
        <v>11</v>
      </c>
      <c r="E3060" s="9">
        <v>112</v>
      </c>
      <c r="F3060" s="9">
        <v>8</v>
      </c>
      <c r="G3060" s="9">
        <v>10000000</v>
      </c>
      <c r="H3060" s="9">
        <v>6197866</v>
      </c>
      <c r="I3060" s="5">
        <f>IMDB_Movies!$H3060-IMDB_Movies!$G3060</f>
        <v>-3802134</v>
      </c>
    </row>
    <row r="3061" spans="1:9" ht="23">
      <c r="A3061" s="2" t="s">
        <v>4443</v>
      </c>
      <c r="B3061" s="9" t="s">
        <v>4444</v>
      </c>
      <c r="C3061" s="9" t="s">
        <v>10</v>
      </c>
      <c r="D3061" s="9" t="s">
        <v>11</v>
      </c>
      <c r="E3061" s="9">
        <v>96</v>
      </c>
      <c r="F3061" s="9">
        <v>5.6</v>
      </c>
      <c r="G3061" s="9">
        <v>10000000</v>
      </c>
      <c r="H3061" s="9">
        <v>6044618</v>
      </c>
      <c r="I3061" s="5">
        <f>IMDB_Movies!$H3061-IMDB_Movies!$G3061</f>
        <v>-3955382</v>
      </c>
    </row>
    <row r="3062" spans="1:9" ht="23">
      <c r="A3062" s="2" t="s">
        <v>4445</v>
      </c>
      <c r="B3062" s="9" t="s">
        <v>4446</v>
      </c>
      <c r="C3062" s="9" t="s">
        <v>138</v>
      </c>
      <c r="D3062" s="9" t="s">
        <v>11</v>
      </c>
      <c r="E3062" s="9">
        <v>89</v>
      </c>
      <c r="F3062" s="9">
        <v>6.7</v>
      </c>
      <c r="G3062" s="9">
        <v>10000000</v>
      </c>
      <c r="H3062" s="9">
        <v>7764027</v>
      </c>
      <c r="I3062" s="5">
        <f>IMDB_Movies!$H3062-IMDB_Movies!$G3062</f>
        <v>-2235973</v>
      </c>
    </row>
    <row r="3063" spans="1:9" ht="23">
      <c r="A3063" s="2" t="s">
        <v>4447</v>
      </c>
      <c r="B3063" s="9" t="s">
        <v>4448</v>
      </c>
      <c r="C3063" s="9" t="s">
        <v>138</v>
      </c>
      <c r="D3063" s="9" t="s">
        <v>11</v>
      </c>
      <c r="E3063" s="9">
        <v>100</v>
      </c>
      <c r="F3063" s="9">
        <v>6.6</v>
      </c>
      <c r="G3063" s="9">
        <v>20000000</v>
      </c>
      <c r="H3063" s="9">
        <v>5998971</v>
      </c>
      <c r="I3063" s="5">
        <f>IMDB_Movies!$H3063-IMDB_Movies!$G3063</f>
        <v>-14001029</v>
      </c>
    </row>
    <row r="3064" spans="1:9" ht="23">
      <c r="A3064" s="2" t="s">
        <v>4449</v>
      </c>
      <c r="B3064" s="9" t="s">
        <v>4450</v>
      </c>
      <c r="C3064" s="9" t="s">
        <v>138</v>
      </c>
      <c r="D3064" s="9" t="s">
        <v>11</v>
      </c>
      <c r="E3064" s="9">
        <v>78</v>
      </c>
      <c r="F3064" s="9">
        <v>4.2</v>
      </c>
      <c r="G3064" s="9">
        <v>10000000</v>
      </c>
      <c r="H3064" s="9">
        <v>25078937</v>
      </c>
      <c r="I3064" s="5">
        <f>IMDB_Movies!$H3064-IMDB_Movies!$G3064</f>
        <v>15078937</v>
      </c>
    </row>
    <row r="3065" spans="1:9" ht="23">
      <c r="A3065" s="2" t="s">
        <v>4451</v>
      </c>
      <c r="B3065" s="9" t="s">
        <v>3145</v>
      </c>
      <c r="C3065" s="9" t="s">
        <v>56</v>
      </c>
      <c r="D3065" s="9" t="s">
        <v>11</v>
      </c>
      <c r="E3065" s="9">
        <v>121</v>
      </c>
      <c r="F3065" s="9">
        <v>6.6</v>
      </c>
      <c r="G3065" s="9">
        <v>9000000</v>
      </c>
      <c r="H3065" s="9">
        <v>21569041</v>
      </c>
      <c r="I3065" s="5">
        <f>IMDB_Movies!$H3065-IMDB_Movies!$G3065</f>
        <v>12569041</v>
      </c>
    </row>
    <row r="3066" spans="1:9" ht="23">
      <c r="A3066" s="2" t="s">
        <v>4452</v>
      </c>
      <c r="B3066" s="9" t="s">
        <v>4453</v>
      </c>
      <c r="C3066" s="9" t="s">
        <v>138</v>
      </c>
      <c r="D3066" s="9" t="s">
        <v>11</v>
      </c>
      <c r="E3066" s="9">
        <v>85</v>
      </c>
      <c r="F3066" s="9">
        <v>4.0999999999999996</v>
      </c>
      <c r="G3066" s="9">
        <v>16000000</v>
      </c>
      <c r="H3066" s="9">
        <v>4356743</v>
      </c>
      <c r="I3066" s="5">
        <f>IMDB_Movies!$H3066-IMDB_Movies!$G3066</f>
        <v>-11643257</v>
      </c>
    </row>
    <row r="3067" spans="1:9" ht="23">
      <c r="A3067" s="2" t="s">
        <v>4454</v>
      </c>
      <c r="B3067" s="9" t="s">
        <v>2823</v>
      </c>
      <c r="C3067" s="9" t="s">
        <v>24</v>
      </c>
      <c r="D3067" s="9" t="s">
        <v>11</v>
      </c>
      <c r="E3067" s="9">
        <v>120</v>
      </c>
      <c r="F3067" s="9">
        <v>7.3</v>
      </c>
      <c r="G3067" s="9">
        <v>10000000</v>
      </c>
      <c r="H3067" s="9">
        <v>5484375</v>
      </c>
      <c r="I3067" s="5">
        <f>IMDB_Movies!$H3067-IMDB_Movies!$G3067</f>
        <v>-4515625</v>
      </c>
    </row>
    <row r="3068" spans="1:9" ht="23">
      <c r="A3068" s="2" t="s">
        <v>4455</v>
      </c>
      <c r="B3068" s="9" t="s">
        <v>4456</v>
      </c>
      <c r="C3068" s="9" t="s">
        <v>138</v>
      </c>
      <c r="D3068" s="9" t="s">
        <v>11</v>
      </c>
      <c r="E3068" s="9">
        <v>106</v>
      </c>
      <c r="F3068" s="9">
        <v>7.1</v>
      </c>
      <c r="G3068" s="9">
        <v>10000000</v>
      </c>
      <c r="H3068" s="9">
        <v>5348317</v>
      </c>
      <c r="I3068" s="5">
        <f>IMDB_Movies!$H3068-IMDB_Movies!$G3068</f>
        <v>-4651683</v>
      </c>
    </row>
    <row r="3069" spans="1:9" ht="23">
      <c r="A3069" s="2" t="s">
        <v>4457</v>
      </c>
      <c r="B3069" s="9" t="s">
        <v>4458</v>
      </c>
      <c r="C3069" s="9" t="s">
        <v>138</v>
      </c>
      <c r="D3069" s="9" t="s">
        <v>11</v>
      </c>
      <c r="E3069" s="9">
        <v>83</v>
      </c>
      <c r="F3069" s="9">
        <v>6.5</v>
      </c>
      <c r="G3069" s="9">
        <v>10000000</v>
      </c>
      <c r="H3069" s="9">
        <v>4244155</v>
      </c>
      <c r="I3069" s="5">
        <f>IMDB_Movies!$H3069-IMDB_Movies!$G3069</f>
        <v>-5755845</v>
      </c>
    </row>
    <row r="3070" spans="1:9" ht="23">
      <c r="A3070" s="2" t="s">
        <v>4459</v>
      </c>
      <c r="B3070" s="9" t="s">
        <v>4460</v>
      </c>
      <c r="C3070" s="9" t="s">
        <v>56</v>
      </c>
      <c r="D3070" s="9" t="s">
        <v>2756</v>
      </c>
      <c r="E3070" s="9">
        <v>120</v>
      </c>
      <c r="F3070" s="9">
        <v>7</v>
      </c>
      <c r="G3070" s="9">
        <v>10000000</v>
      </c>
      <c r="H3070" s="9">
        <v>5004648</v>
      </c>
      <c r="I3070" s="5">
        <f>IMDB_Movies!$H3070-IMDB_Movies!$G3070</f>
        <v>-4995352</v>
      </c>
    </row>
    <row r="3071" spans="1:9" ht="23">
      <c r="A3071" s="2" t="s">
        <v>4461</v>
      </c>
      <c r="B3071" s="9" t="s">
        <v>4462</v>
      </c>
      <c r="C3071" s="9" t="s">
        <v>56</v>
      </c>
      <c r="D3071" s="9" t="s">
        <v>11</v>
      </c>
      <c r="E3071" s="9">
        <v>111</v>
      </c>
      <c r="F3071" s="9">
        <v>5.5</v>
      </c>
      <c r="G3071" s="9">
        <v>10000000</v>
      </c>
      <c r="H3071" s="9">
        <v>3333823</v>
      </c>
      <c r="I3071" s="5">
        <f>IMDB_Movies!$H3071-IMDB_Movies!$G3071</f>
        <v>-6666177</v>
      </c>
    </row>
    <row r="3072" spans="1:9" ht="23">
      <c r="A3072" s="2" t="s">
        <v>4463</v>
      </c>
      <c r="B3072" s="9" t="s">
        <v>4464</v>
      </c>
      <c r="C3072" s="9" t="s">
        <v>10</v>
      </c>
      <c r="D3072" s="9" t="s">
        <v>11</v>
      </c>
      <c r="E3072" s="9">
        <v>100</v>
      </c>
      <c r="F3072" s="9">
        <v>6.6</v>
      </c>
      <c r="G3072" s="9">
        <v>11500000</v>
      </c>
      <c r="H3072" s="9">
        <v>3275585</v>
      </c>
      <c r="I3072" s="5">
        <f>IMDB_Movies!$H3072-IMDB_Movies!$G3072</f>
        <v>-8224415</v>
      </c>
    </row>
    <row r="3073" spans="1:9" ht="23">
      <c r="A3073" s="2" t="s">
        <v>4465</v>
      </c>
      <c r="B3073" s="9" t="s">
        <v>413</v>
      </c>
      <c r="C3073" s="9" t="s">
        <v>414</v>
      </c>
      <c r="D3073" s="9" t="s">
        <v>11</v>
      </c>
      <c r="E3073" s="9">
        <v>89</v>
      </c>
      <c r="F3073" s="9">
        <v>7.1</v>
      </c>
      <c r="G3073" s="9">
        <v>9000000</v>
      </c>
      <c r="H3073" s="9">
        <v>3193102</v>
      </c>
      <c r="I3073" s="5">
        <f>IMDB_Movies!$H3073-IMDB_Movies!$G3073</f>
        <v>-5806898</v>
      </c>
    </row>
    <row r="3074" spans="1:9" ht="23">
      <c r="A3074" s="2" t="s">
        <v>4466</v>
      </c>
      <c r="B3074" s="9" t="s">
        <v>2382</v>
      </c>
      <c r="C3074" s="9" t="s">
        <v>414</v>
      </c>
      <c r="D3074" s="9" t="s">
        <v>11</v>
      </c>
      <c r="E3074" s="9">
        <v>115</v>
      </c>
      <c r="F3074" s="9">
        <v>7.9</v>
      </c>
      <c r="G3074" s="9">
        <v>6500000</v>
      </c>
      <c r="H3074" s="9">
        <v>54557348</v>
      </c>
      <c r="I3074" s="5">
        <f>IMDB_Movies!$H3074-IMDB_Movies!$G3074</f>
        <v>48057348</v>
      </c>
    </row>
    <row r="3075" spans="1:9" ht="23">
      <c r="A3075" s="2" t="s">
        <v>4467</v>
      </c>
      <c r="B3075" s="9" t="s">
        <v>4468</v>
      </c>
      <c r="C3075" s="9" t="s">
        <v>56</v>
      </c>
      <c r="D3075" s="9" t="s">
        <v>11</v>
      </c>
      <c r="E3075" s="9">
        <v>135</v>
      </c>
      <c r="F3075" s="9">
        <v>7.1</v>
      </c>
      <c r="G3075" s="9">
        <v>10000000</v>
      </c>
      <c r="H3075" s="9">
        <v>3041803</v>
      </c>
      <c r="I3075" s="5">
        <f>IMDB_Movies!$H3075-IMDB_Movies!$G3075</f>
        <v>-6958197</v>
      </c>
    </row>
    <row r="3076" spans="1:9" ht="23">
      <c r="A3076" s="2" t="s">
        <v>4469</v>
      </c>
      <c r="B3076" s="9" t="s">
        <v>4470</v>
      </c>
      <c r="C3076" s="9" t="s">
        <v>10</v>
      </c>
      <c r="D3076" s="9" t="s">
        <v>11</v>
      </c>
      <c r="E3076" s="9">
        <v>92</v>
      </c>
      <c r="F3076" s="9">
        <v>5.6</v>
      </c>
      <c r="G3076" s="9">
        <v>10000000</v>
      </c>
      <c r="H3076" s="9">
        <v>3060858</v>
      </c>
      <c r="I3076" s="5">
        <f>IMDB_Movies!$H3076-IMDB_Movies!$G3076</f>
        <v>-6939142</v>
      </c>
    </row>
    <row r="3077" spans="1:9" ht="23">
      <c r="A3077" s="2" t="s">
        <v>4471</v>
      </c>
      <c r="B3077" s="9" t="s">
        <v>2701</v>
      </c>
      <c r="C3077" s="9" t="s">
        <v>56</v>
      </c>
      <c r="D3077" s="9" t="s">
        <v>11</v>
      </c>
      <c r="E3077" s="9">
        <v>120</v>
      </c>
      <c r="F3077" s="9">
        <v>7.3</v>
      </c>
      <c r="G3077" s="9">
        <v>10000000</v>
      </c>
      <c r="H3077" s="9">
        <v>1055654</v>
      </c>
      <c r="I3077" s="5">
        <f>IMDB_Movies!$H3077-IMDB_Movies!$G3077</f>
        <v>-8944346</v>
      </c>
    </row>
    <row r="3078" spans="1:9" ht="23">
      <c r="A3078" s="2" t="s">
        <v>4472</v>
      </c>
      <c r="B3078" s="9" t="s">
        <v>4473</v>
      </c>
      <c r="C3078" s="9" t="s">
        <v>138</v>
      </c>
      <c r="D3078" s="9" t="s">
        <v>11</v>
      </c>
      <c r="E3078" s="9">
        <v>97</v>
      </c>
      <c r="F3078" s="9">
        <v>3.3</v>
      </c>
      <c r="G3078" s="9">
        <v>10000000</v>
      </c>
      <c r="H3078" s="9">
        <v>2331318</v>
      </c>
      <c r="I3078" s="5">
        <f>IMDB_Movies!$H3078-IMDB_Movies!$G3078</f>
        <v>-7668682</v>
      </c>
    </row>
    <row r="3079" spans="1:9" ht="23">
      <c r="A3079" s="2" t="s">
        <v>4474</v>
      </c>
      <c r="B3079" s="9" t="s">
        <v>1380</v>
      </c>
      <c r="C3079" s="9" t="s">
        <v>138</v>
      </c>
      <c r="D3079" s="9" t="s">
        <v>11</v>
      </c>
      <c r="E3079" s="9">
        <v>135</v>
      </c>
      <c r="F3079" s="9">
        <v>6.5</v>
      </c>
      <c r="G3079" s="9">
        <v>10000000</v>
      </c>
      <c r="H3079" s="9">
        <v>2185266</v>
      </c>
      <c r="I3079" s="5">
        <f>IMDB_Movies!$H3079-IMDB_Movies!$G3079</f>
        <v>-7814734</v>
      </c>
    </row>
    <row r="3080" spans="1:9" ht="23">
      <c r="A3080" s="2" t="s">
        <v>4475</v>
      </c>
      <c r="B3080" s="9" t="s">
        <v>4476</v>
      </c>
      <c r="C3080" s="9" t="s">
        <v>810</v>
      </c>
      <c r="D3080" s="9" t="s">
        <v>11</v>
      </c>
      <c r="E3080" s="9">
        <v>93</v>
      </c>
      <c r="F3080" s="9">
        <v>4.8</v>
      </c>
      <c r="G3080" s="9">
        <v>10000000</v>
      </c>
      <c r="H3080" s="9">
        <v>26583369</v>
      </c>
      <c r="I3080" s="5">
        <f>IMDB_Movies!$H3080-IMDB_Movies!$G3080</f>
        <v>16583369</v>
      </c>
    </row>
    <row r="3081" spans="1:9" ht="23">
      <c r="A3081" s="2" t="s">
        <v>4477</v>
      </c>
      <c r="B3081" s="9" t="s">
        <v>4106</v>
      </c>
      <c r="C3081" s="9" t="s">
        <v>24</v>
      </c>
      <c r="D3081" s="9" t="s">
        <v>11</v>
      </c>
      <c r="E3081" s="9">
        <v>118</v>
      </c>
      <c r="F3081" s="9">
        <v>5.2</v>
      </c>
      <c r="G3081" s="9">
        <v>14000000</v>
      </c>
      <c r="H3081" s="9">
        <v>800000</v>
      </c>
      <c r="I3081" s="5">
        <f>IMDB_Movies!$H3081-IMDB_Movies!$G3081</f>
        <v>-13200000</v>
      </c>
    </row>
    <row r="3082" spans="1:9" ht="23">
      <c r="A3082" s="2" t="s">
        <v>4478</v>
      </c>
      <c r="B3082" s="9" t="s">
        <v>4479</v>
      </c>
      <c r="C3082" s="9" t="s">
        <v>138</v>
      </c>
      <c r="D3082" s="9" t="s">
        <v>11</v>
      </c>
      <c r="E3082" s="9">
        <v>97</v>
      </c>
      <c r="F3082" s="9">
        <v>6.3</v>
      </c>
      <c r="G3082" s="9">
        <v>10000000</v>
      </c>
      <c r="H3082" s="9">
        <v>7574066</v>
      </c>
      <c r="I3082" s="5">
        <f>IMDB_Movies!$H3082-IMDB_Movies!$G3082</f>
        <v>-2425934</v>
      </c>
    </row>
    <row r="3083" spans="1:9" ht="23">
      <c r="A3083" s="2" t="s">
        <v>4480</v>
      </c>
      <c r="B3083" s="9" t="s">
        <v>53</v>
      </c>
      <c r="C3083" s="9" t="s">
        <v>56</v>
      </c>
      <c r="D3083" s="9" t="s">
        <v>11</v>
      </c>
      <c r="E3083" s="9">
        <v>98</v>
      </c>
      <c r="F3083" s="9">
        <v>7.2</v>
      </c>
      <c r="G3083" s="9">
        <v>10000000</v>
      </c>
      <c r="H3083" s="9">
        <v>1754319</v>
      </c>
      <c r="I3083" s="5">
        <f>IMDB_Movies!$H3083-IMDB_Movies!$G3083</f>
        <v>-8245681</v>
      </c>
    </row>
    <row r="3084" spans="1:9" ht="23">
      <c r="A3084" s="2" t="s">
        <v>4481</v>
      </c>
      <c r="B3084" s="9" t="s">
        <v>1479</v>
      </c>
      <c r="C3084" s="9" t="s">
        <v>56</v>
      </c>
      <c r="D3084" s="9" t="s">
        <v>11</v>
      </c>
      <c r="E3084" s="9">
        <v>98</v>
      </c>
      <c r="F3084" s="9">
        <v>6.8</v>
      </c>
      <c r="G3084" s="9">
        <v>8000000</v>
      </c>
      <c r="H3084" s="9">
        <v>1641788</v>
      </c>
      <c r="I3084" s="5">
        <f>IMDB_Movies!$H3084-IMDB_Movies!$G3084</f>
        <v>-6358212</v>
      </c>
    </row>
    <row r="3085" spans="1:9" ht="23">
      <c r="A3085" s="2" t="s">
        <v>4482</v>
      </c>
      <c r="B3085" s="9" t="s">
        <v>4483</v>
      </c>
      <c r="C3085" s="9" t="s">
        <v>138</v>
      </c>
      <c r="D3085" s="9" t="s">
        <v>11</v>
      </c>
      <c r="E3085" s="9">
        <v>101</v>
      </c>
      <c r="F3085" s="9">
        <v>5.7</v>
      </c>
      <c r="G3085" s="9">
        <v>10000000</v>
      </c>
      <c r="H3085" s="9">
        <v>1631839</v>
      </c>
      <c r="I3085" s="5">
        <f>IMDB_Movies!$H3085-IMDB_Movies!$G3085</f>
        <v>-8368161</v>
      </c>
    </row>
    <row r="3086" spans="1:9" ht="23">
      <c r="A3086" s="2" t="s">
        <v>4484</v>
      </c>
      <c r="B3086" s="9" t="s">
        <v>2872</v>
      </c>
      <c r="C3086" s="9" t="s">
        <v>56</v>
      </c>
      <c r="D3086" s="9" t="s">
        <v>11</v>
      </c>
      <c r="E3086" s="9">
        <v>132</v>
      </c>
      <c r="F3086" s="9">
        <v>7.2</v>
      </c>
      <c r="G3086" s="9">
        <v>10000000</v>
      </c>
      <c r="H3086" s="9">
        <v>1309849</v>
      </c>
      <c r="I3086" s="5">
        <f>IMDB_Movies!$H3086-IMDB_Movies!$G3086</f>
        <v>-8690151</v>
      </c>
    </row>
    <row r="3087" spans="1:9" ht="23">
      <c r="A3087" s="2" t="s">
        <v>4485</v>
      </c>
      <c r="B3087" s="9" t="s">
        <v>2238</v>
      </c>
      <c r="C3087" s="9" t="s">
        <v>418</v>
      </c>
      <c r="D3087" s="9" t="s">
        <v>11</v>
      </c>
      <c r="E3087" s="9">
        <v>106</v>
      </c>
      <c r="F3087" s="9">
        <v>6.9</v>
      </c>
      <c r="G3087" s="9">
        <v>10000000</v>
      </c>
      <c r="H3087" s="9">
        <v>1939441</v>
      </c>
      <c r="I3087" s="5">
        <f>IMDB_Movies!$H3087-IMDB_Movies!$G3087</f>
        <v>-8060559</v>
      </c>
    </row>
    <row r="3088" spans="1:9" ht="23">
      <c r="A3088" s="2" t="s">
        <v>4486</v>
      </c>
      <c r="B3088" s="9" t="s">
        <v>4487</v>
      </c>
      <c r="C3088" s="9" t="s">
        <v>10</v>
      </c>
      <c r="D3088" s="9" t="s">
        <v>1534</v>
      </c>
      <c r="E3088" s="9">
        <v>168</v>
      </c>
      <c r="F3088" s="9">
        <v>6.3</v>
      </c>
      <c r="G3088" s="9">
        <v>10000000</v>
      </c>
      <c r="H3088" s="9">
        <v>25078937</v>
      </c>
      <c r="I3088" s="5">
        <f>IMDB_Movies!$H3088-IMDB_Movies!$G3088</f>
        <v>15078937</v>
      </c>
    </row>
    <row r="3089" spans="1:9" ht="23">
      <c r="A3089" s="2" t="s">
        <v>4488</v>
      </c>
      <c r="B3089" s="9" t="s">
        <v>4009</v>
      </c>
      <c r="C3089" s="9" t="s">
        <v>138</v>
      </c>
      <c r="D3089" s="9" t="s">
        <v>11</v>
      </c>
      <c r="E3089" s="9">
        <v>87</v>
      </c>
      <c r="F3089" s="9">
        <v>6.2</v>
      </c>
      <c r="G3089" s="9">
        <v>10000000</v>
      </c>
      <c r="H3089" s="9">
        <v>1276984</v>
      </c>
      <c r="I3089" s="5">
        <f>IMDB_Movies!$H3089-IMDB_Movies!$G3089</f>
        <v>-8723016</v>
      </c>
    </row>
    <row r="3090" spans="1:9" ht="23">
      <c r="A3090" s="2" t="s">
        <v>4489</v>
      </c>
      <c r="B3090" s="9" t="s">
        <v>1278</v>
      </c>
      <c r="C3090" s="9" t="s">
        <v>414</v>
      </c>
      <c r="D3090" s="9" t="s">
        <v>11</v>
      </c>
      <c r="E3090" s="9">
        <v>98</v>
      </c>
      <c r="F3090" s="9">
        <v>6.7</v>
      </c>
      <c r="G3090" s="9">
        <v>11000000</v>
      </c>
      <c r="H3090" s="9">
        <v>1987762</v>
      </c>
      <c r="I3090" s="5">
        <f>IMDB_Movies!$H3090-IMDB_Movies!$G3090</f>
        <v>-9012238</v>
      </c>
    </row>
    <row r="3091" spans="1:9" ht="23">
      <c r="A3091" s="2" t="s">
        <v>4490</v>
      </c>
      <c r="B3091" s="9" t="s">
        <v>4491</v>
      </c>
      <c r="C3091" s="9" t="s">
        <v>138</v>
      </c>
      <c r="D3091" s="9" t="s">
        <v>11</v>
      </c>
      <c r="E3091" s="9">
        <v>96</v>
      </c>
      <c r="F3091" s="9">
        <v>6.5</v>
      </c>
      <c r="G3091" s="9">
        <v>5000000</v>
      </c>
      <c r="H3091" s="9">
        <v>1474508</v>
      </c>
      <c r="I3091" s="5">
        <f>IMDB_Movies!$H3091-IMDB_Movies!$G3091</f>
        <v>-3525492</v>
      </c>
    </row>
    <row r="3092" spans="1:9" ht="23">
      <c r="A3092" s="2" t="s">
        <v>4492</v>
      </c>
      <c r="B3092" s="9" t="s">
        <v>4493</v>
      </c>
      <c r="C3092" s="9" t="s">
        <v>414</v>
      </c>
      <c r="D3092" s="9" t="s">
        <v>11</v>
      </c>
      <c r="E3092" s="9">
        <v>104</v>
      </c>
      <c r="F3092" s="9">
        <v>7.2</v>
      </c>
      <c r="G3092" s="9">
        <v>10000000</v>
      </c>
      <c r="H3092" s="9">
        <v>1011054</v>
      </c>
      <c r="I3092" s="5">
        <f>IMDB_Movies!$H3092-IMDB_Movies!$G3092</f>
        <v>-8988946</v>
      </c>
    </row>
    <row r="3093" spans="1:9" ht="23">
      <c r="A3093" s="2" t="s">
        <v>4494</v>
      </c>
      <c r="B3093" s="9" t="s">
        <v>4495</v>
      </c>
      <c r="C3093" s="9" t="s">
        <v>138</v>
      </c>
      <c r="D3093" s="9" t="s">
        <v>11</v>
      </c>
      <c r="E3093" s="9">
        <v>93</v>
      </c>
      <c r="F3093" s="9">
        <v>5.3</v>
      </c>
      <c r="G3093" s="9">
        <v>10000000</v>
      </c>
      <c r="H3093" s="9">
        <v>900926</v>
      </c>
      <c r="I3093" s="5">
        <f>IMDB_Movies!$H3093-IMDB_Movies!$G3093</f>
        <v>-9099074</v>
      </c>
    </row>
    <row r="3094" spans="1:9" ht="23">
      <c r="A3094" s="2" t="s">
        <v>4496</v>
      </c>
      <c r="B3094" s="9" t="s">
        <v>1928</v>
      </c>
      <c r="C3094" s="9" t="s">
        <v>56</v>
      </c>
      <c r="D3094" s="9" t="s">
        <v>11</v>
      </c>
      <c r="E3094" s="9">
        <v>95</v>
      </c>
      <c r="F3094" s="9">
        <v>6.7</v>
      </c>
      <c r="G3094" s="9">
        <v>10000000</v>
      </c>
      <c r="H3094" s="9">
        <v>866778</v>
      </c>
      <c r="I3094" s="5">
        <f>IMDB_Movies!$H3094-IMDB_Movies!$G3094</f>
        <v>-9133222</v>
      </c>
    </row>
    <row r="3095" spans="1:9" ht="23">
      <c r="A3095" s="2" t="s">
        <v>4497</v>
      </c>
      <c r="B3095" s="9" t="s">
        <v>4287</v>
      </c>
      <c r="C3095" s="9" t="s">
        <v>56</v>
      </c>
      <c r="D3095" s="9" t="s">
        <v>11</v>
      </c>
      <c r="E3095" s="9">
        <v>119</v>
      </c>
      <c r="F3095" s="9">
        <v>6.2</v>
      </c>
      <c r="G3095" s="9">
        <v>20000000</v>
      </c>
      <c r="H3095" s="9">
        <v>836641</v>
      </c>
      <c r="I3095" s="5">
        <f>IMDB_Movies!$H3095-IMDB_Movies!$G3095</f>
        <v>-19163359</v>
      </c>
    </row>
    <row r="3096" spans="1:9" ht="23">
      <c r="A3096" s="2" t="s">
        <v>4498</v>
      </c>
      <c r="B3096" s="9" t="s">
        <v>348</v>
      </c>
      <c r="C3096" s="9" t="s">
        <v>138</v>
      </c>
      <c r="D3096" s="9" t="s">
        <v>11</v>
      </c>
      <c r="E3096" s="9">
        <v>89</v>
      </c>
      <c r="F3096" s="9">
        <v>3.6</v>
      </c>
      <c r="G3096" s="9">
        <v>10000000</v>
      </c>
      <c r="H3096" s="9">
        <v>598645</v>
      </c>
      <c r="I3096" s="5">
        <f>IMDB_Movies!$H3096-IMDB_Movies!$G3096</f>
        <v>-9401355</v>
      </c>
    </row>
    <row r="3097" spans="1:9" ht="23">
      <c r="A3097" s="2" t="s">
        <v>4499</v>
      </c>
      <c r="B3097" s="9" t="s">
        <v>4500</v>
      </c>
      <c r="C3097" s="9" t="s">
        <v>10</v>
      </c>
      <c r="D3097" s="9" t="s">
        <v>11</v>
      </c>
      <c r="E3097" s="9">
        <v>107</v>
      </c>
      <c r="F3097" s="9">
        <v>5.7</v>
      </c>
      <c r="G3097" s="9">
        <v>10000000</v>
      </c>
      <c r="H3097" s="9">
        <v>578527</v>
      </c>
      <c r="I3097" s="5">
        <f>IMDB_Movies!$H3097-IMDB_Movies!$G3097</f>
        <v>-9421473</v>
      </c>
    </row>
    <row r="3098" spans="1:9" ht="23">
      <c r="A3098" s="2" t="s">
        <v>4501</v>
      </c>
      <c r="B3098" s="9" t="s">
        <v>3155</v>
      </c>
      <c r="C3098" s="9" t="s">
        <v>10</v>
      </c>
      <c r="D3098" s="9" t="s">
        <v>2005</v>
      </c>
      <c r="E3098" s="9">
        <v>85</v>
      </c>
      <c r="F3098" s="9">
        <v>7.3</v>
      </c>
      <c r="G3098" s="9">
        <v>10000000</v>
      </c>
      <c r="H3098" s="9">
        <v>488872</v>
      </c>
      <c r="I3098" s="5">
        <f>IMDB_Movies!$H3098-IMDB_Movies!$G3098</f>
        <v>-9511128</v>
      </c>
    </row>
    <row r="3099" spans="1:9" ht="23">
      <c r="A3099" s="2" t="s">
        <v>4502</v>
      </c>
      <c r="B3099" s="9" t="s">
        <v>4503</v>
      </c>
      <c r="C3099" s="9" t="s">
        <v>56</v>
      </c>
      <c r="D3099" s="9" t="s">
        <v>11</v>
      </c>
      <c r="E3099" s="9">
        <v>93</v>
      </c>
      <c r="F3099" s="9">
        <v>5</v>
      </c>
      <c r="G3099" s="9">
        <v>10000000</v>
      </c>
      <c r="H3099" s="9">
        <v>365734</v>
      </c>
      <c r="I3099" s="5">
        <f>IMDB_Movies!$H3099-IMDB_Movies!$G3099</f>
        <v>-9634266</v>
      </c>
    </row>
    <row r="3100" spans="1:9" ht="23">
      <c r="A3100" s="2" t="s">
        <v>4504</v>
      </c>
      <c r="B3100" s="9" t="s">
        <v>4505</v>
      </c>
      <c r="C3100" s="9" t="s">
        <v>138</v>
      </c>
      <c r="D3100" s="9" t="s">
        <v>394</v>
      </c>
      <c r="E3100" s="9">
        <v>101</v>
      </c>
      <c r="F3100" s="9">
        <v>6.6</v>
      </c>
      <c r="G3100" s="9">
        <v>60000000</v>
      </c>
      <c r="H3100" s="9">
        <v>231417</v>
      </c>
      <c r="I3100" s="5">
        <f>IMDB_Movies!$H3100-IMDB_Movies!$G3100</f>
        <v>-59768583</v>
      </c>
    </row>
    <row r="3101" spans="1:9" ht="23">
      <c r="A3101" s="2" t="s">
        <v>4506</v>
      </c>
      <c r="B3101" s="9" t="s">
        <v>4507</v>
      </c>
      <c r="C3101" s="9" t="s">
        <v>418</v>
      </c>
      <c r="D3101" s="9" t="s">
        <v>11</v>
      </c>
      <c r="E3101" s="9">
        <v>103</v>
      </c>
      <c r="F3101" s="9">
        <v>6.6</v>
      </c>
      <c r="G3101" s="9">
        <v>5000000</v>
      </c>
      <c r="H3101" s="9">
        <v>3093491</v>
      </c>
      <c r="I3101" s="5">
        <f>IMDB_Movies!$H3101-IMDB_Movies!$G3101</f>
        <v>-1906509</v>
      </c>
    </row>
    <row r="3102" spans="1:9" ht="23">
      <c r="A3102" s="2" t="s">
        <v>4508</v>
      </c>
      <c r="B3102" s="9" t="s">
        <v>4509</v>
      </c>
      <c r="C3102" s="9" t="s">
        <v>56</v>
      </c>
      <c r="D3102" s="9" t="s">
        <v>394</v>
      </c>
      <c r="E3102" s="9">
        <v>101</v>
      </c>
      <c r="F3102" s="9">
        <v>6.8</v>
      </c>
      <c r="G3102" s="9">
        <v>20000000</v>
      </c>
      <c r="H3102" s="9">
        <v>244465</v>
      </c>
      <c r="I3102" s="5">
        <f>IMDB_Movies!$H3102-IMDB_Movies!$G3102</f>
        <v>-19755535</v>
      </c>
    </row>
    <row r="3103" spans="1:9" ht="23">
      <c r="A3103" s="2" t="s">
        <v>4510</v>
      </c>
      <c r="B3103" s="9" t="s">
        <v>4511</v>
      </c>
      <c r="C3103" s="9" t="s">
        <v>56</v>
      </c>
      <c r="D3103" s="9" t="s">
        <v>11</v>
      </c>
      <c r="E3103" s="9">
        <v>123</v>
      </c>
      <c r="F3103" s="9">
        <v>6.2</v>
      </c>
      <c r="G3103" s="9">
        <v>20000000</v>
      </c>
      <c r="H3103" s="9">
        <v>756452</v>
      </c>
      <c r="I3103" s="5">
        <f>IMDB_Movies!$H3103-IMDB_Movies!$G3103</f>
        <v>-19243548</v>
      </c>
    </row>
    <row r="3104" spans="1:9" ht="23">
      <c r="A3104" s="2" t="s">
        <v>4512</v>
      </c>
      <c r="B3104" s="9" t="s">
        <v>4513</v>
      </c>
      <c r="C3104" s="9" t="s">
        <v>138</v>
      </c>
      <c r="D3104" s="9" t="s">
        <v>11</v>
      </c>
      <c r="E3104" s="9">
        <v>111</v>
      </c>
      <c r="F3104" s="9">
        <v>7.3</v>
      </c>
      <c r="G3104" s="9">
        <v>4000000</v>
      </c>
      <c r="H3104" s="9">
        <v>228524</v>
      </c>
      <c r="I3104" s="5">
        <f>IMDB_Movies!$H3104-IMDB_Movies!$G3104</f>
        <v>-3771476</v>
      </c>
    </row>
    <row r="3105" spans="1:9" ht="23">
      <c r="A3105" s="2" t="s">
        <v>4514</v>
      </c>
      <c r="B3105" s="9" t="s">
        <v>4515</v>
      </c>
      <c r="C3105" s="9" t="s">
        <v>10</v>
      </c>
      <c r="D3105" s="9" t="s">
        <v>11</v>
      </c>
      <c r="E3105" s="9">
        <v>86</v>
      </c>
      <c r="F3105" s="9">
        <v>6.2</v>
      </c>
      <c r="G3105" s="9">
        <v>10000000</v>
      </c>
      <c r="H3105" s="9">
        <v>226792</v>
      </c>
      <c r="I3105" s="5">
        <f>IMDB_Movies!$H3105-IMDB_Movies!$G3105</f>
        <v>-9773208</v>
      </c>
    </row>
    <row r="3106" spans="1:9" ht="23">
      <c r="A3106" s="2" t="s">
        <v>4516</v>
      </c>
      <c r="B3106" s="9" t="s">
        <v>4517</v>
      </c>
      <c r="C3106" s="9" t="s">
        <v>138</v>
      </c>
      <c r="D3106" s="9" t="s">
        <v>11</v>
      </c>
      <c r="E3106" s="9">
        <v>99</v>
      </c>
      <c r="F3106" s="9">
        <v>6.9</v>
      </c>
      <c r="G3106" s="9">
        <v>20000000</v>
      </c>
      <c r="H3106" s="9">
        <v>221210</v>
      </c>
      <c r="I3106" s="5">
        <f>IMDB_Movies!$H3106-IMDB_Movies!$G3106</f>
        <v>-19778790</v>
      </c>
    </row>
    <row r="3107" spans="1:9" ht="23">
      <c r="A3107" s="2" t="s">
        <v>4518</v>
      </c>
      <c r="B3107" s="9" t="s">
        <v>4213</v>
      </c>
      <c r="C3107" s="9" t="s">
        <v>138</v>
      </c>
      <c r="D3107" s="9" t="s">
        <v>11</v>
      </c>
      <c r="E3107" s="9">
        <v>90</v>
      </c>
      <c r="F3107" s="9">
        <v>6.6</v>
      </c>
      <c r="G3107" s="9">
        <v>5000000</v>
      </c>
      <c r="H3107" s="9">
        <v>136432</v>
      </c>
      <c r="I3107" s="5">
        <f>IMDB_Movies!$H3107-IMDB_Movies!$G3107</f>
        <v>-4863568</v>
      </c>
    </row>
    <row r="3108" spans="1:9" ht="23">
      <c r="A3108" s="2" t="s">
        <v>4519</v>
      </c>
      <c r="B3108" s="9" t="s">
        <v>4161</v>
      </c>
      <c r="C3108" s="9" t="s">
        <v>56</v>
      </c>
      <c r="D3108" s="9" t="s">
        <v>11</v>
      </c>
      <c r="E3108" s="9">
        <v>82</v>
      </c>
      <c r="F3108" s="9">
        <v>6.3</v>
      </c>
      <c r="G3108" s="9">
        <v>10000000</v>
      </c>
      <c r="H3108" s="9">
        <v>131617</v>
      </c>
      <c r="I3108" s="5">
        <f>IMDB_Movies!$H3108-IMDB_Movies!$G3108</f>
        <v>-9868383</v>
      </c>
    </row>
    <row r="3109" spans="1:9" ht="23">
      <c r="A3109" s="2" t="s">
        <v>4520</v>
      </c>
      <c r="B3109" s="9" t="s">
        <v>4521</v>
      </c>
      <c r="C3109" s="9" t="s">
        <v>56</v>
      </c>
      <c r="D3109" s="9" t="s">
        <v>11</v>
      </c>
      <c r="E3109" s="9">
        <v>110</v>
      </c>
      <c r="F3109" s="9">
        <v>7</v>
      </c>
      <c r="G3109" s="9">
        <v>20000000</v>
      </c>
      <c r="H3109" s="9">
        <v>152857</v>
      </c>
      <c r="I3109" s="5">
        <f>IMDB_Movies!$H3109-IMDB_Movies!$G3109</f>
        <v>-19847143</v>
      </c>
    </row>
    <row r="3110" spans="1:9" ht="23">
      <c r="A3110" s="2" t="s">
        <v>4522</v>
      </c>
      <c r="B3110" s="9" t="s">
        <v>4523</v>
      </c>
      <c r="C3110" s="9" t="s">
        <v>138</v>
      </c>
      <c r="D3110" s="9" t="s">
        <v>11</v>
      </c>
      <c r="E3110" s="9">
        <v>83</v>
      </c>
      <c r="F3110" s="9">
        <v>3.3</v>
      </c>
      <c r="G3110" s="9">
        <v>6200000</v>
      </c>
      <c r="H3110" s="9">
        <v>126247</v>
      </c>
      <c r="I3110" s="5">
        <f>IMDB_Movies!$H3110-IMDB_Movies!$G3110</f>
        <v>-6073753</v>
      </c>
    </row>
    <row r="3111" spans="1:9" ht="23">
      <c r="A3111" s="2" t="s">
        <v>4524</v>
      </c>
      <c r="B3111" s="9" t="s">
        <v>1950</v>
      </c>
      <c r="C3111" s="9" t="s">
        <v>56</v>
      </c>
      <c r="D3111" s="9" t="s">
        <v>11</v>
      </c>
      <c r="E3111" s="9">
        <v>128</v>
      </c>
      <c r="F3111" s="9">
        <v>6.7</v>
      </c>
      <c r="G3111" s="9">
        <v>20000000</v>
      </c>
      <c r="H3111" s="9">
        <v>82739</v>
      </c>
      <c r="I3111" s="5">
        <f>IMDB_Movies!$H3111-IMDB_Movies!$G3111</f>
        <v>-19917261</v>
      </c>
    </row>
    <row r="3112" spans="1:9" ht="23">
      <c r="A3112" s="2" t="s">
        <v>4525</v>
      </c>
      <c r="B3112" s="9" t="s">
        <v>4526</v>
      </c>
      <c r="C3112" s="9" t="s">
        <v>56</v>
      </c>
      <c r="D3112" s="9" t="s">
        <v>741</v>
      </c>
      <c r="E3112" s="9">
        <v>125</v>
      </c>
      <c r="F3112" s="9">
        <v>6.2</v>
      </c>
      <c r="G3112" s="9">
        <v>10000000</v>
      </c>
      <c r="H3112" s="9">
        <v>169379</v>
      </c>
      <c r="I3112" s="5">
        <f>IMDB_Movies!$H3112-IMDB_Movies!$G3112</f>
        <v>-9830621</v>
      </c>
    </row>
    <row r="3113" spans="1:9" ht="23">
      <c r="A3113" s="2" t="s">
        <v>4527</v>
      </c>
      <c r="B3113" s="9" t="s">
        <v>2433</v>
      </c>
      <c r="C3113" s="9" t="s">
        <v>138</v>
      </c>
      <c r="D3113" s="9" t="s">
        <v>11</v>
      </c>
      <c r="E3113" s="9">
        <v>97</v>
      </c>
      <c r="F3113" s="9">
        <v>6.5</v>
      </c>
      <c r="G3113" s="9">
        <v>10000000</v>
      </c>
      <c r="H3113" s="9">
        <v>25078937</v>
      </c>
      <c r="I3113" s="5">
        <f>IMDB_Movies!$H3113-IMDB_Movies!$G3113</f>
        <v>15078937</v>
      </c>
    </row>
    <row r="3114" spans="1:9" ht="23">
      <c r="A3114" s="2" t="s">
        <v>4528</v>
      </c>
      <c r="B3114" s="9" t="s">
        <v>4529</v>
      </c>
      <c r="C3114" s="9" t="s">
        <v>138</v>
      </c>
      <c r="D3114" s="9" t="s">
        <v>11</v>
      </c>
      <c r="E3114" s="9">
        <v>86</v>
      </c>
      <c r="F3114" s="9">
        <v>3.5</v>
      </c>
      <c r="G3114" s="9">
        <v>10000000</v>
      </c>
      <c r="H3114" s="9">
        <v>15447</v>
      </c>
      <c r="I3114" s="5">
        <f>IMDB_Movies!$H3114-IMDB_Movies!$G3114</f>
        <v>-9984553</v>
      </c>
    </row>
    <row r="3115" spans="1:9" ht="23">
      <c r="A3115" s="2" t="s">
        <v>4530</v>
      </c>
      <c r="B3115" s="9" t="s">
        <v>4531</v>
      </c>
      <c r="C3115" s="9" t="s">
        <v>138</v>
      </c>
      <c r="D3115" s="9" t="s">
        <v>11</v>
      </c>
      <c r="E3115" s="9">
        <v>91</v>
      </c>
      <c r="F3115" s="9">
        <v>5.5</v>
      </c>
      <c r="G3115" s="9">
        <v>10000000</v>
      </c>
      <c r="H3115" s="9">
        <v>19348</v>
      </c>
      <c r="I3115" s="5">
        <f>IMDB_Movies!$H3115-IMDB_Movies!$G3115</f>
        <v>-9980652</v>
      </c>
    </row>
    <row r="3116" spans="1:9" ht="23">
      <c r="A3116" s="2" t="s">
        <v>4532</v>
      </c>
      <c r="B3116" s="9" t="s">
        <v>4533</v>
      </c>
      <c r="C3116" s="9" t="s">
        <v>138</v>
      </c>
      <c r="D3116" s="9" t="s">
        <v>11</v>
      </c>
      <c r="E3116" s="9">
        <v>90</v>
      </c>
      <c r="F3116" s="9">
        <v>5.9</v>
      </c>
      <c r="G3116" s="9">
        <v>8000000</v>
      </c>
      <c r="H3116" s="9">
        <v>100503</v>
      </c>
      <c r="I3116" s="5">
        <f>IMDB_Movies!$H3116-IMDB_Movies!$G3116</f>
        <v>-7899497</v>
      </c>
    </row>
    <row r="3117" spans="1:9" ht="23">
      <c r="A3117" s="2" t="s">
        <v>4534</v>
      </c>
      <c r="B3117" s="9" t="s">
        <v>4535</v>
      </c>
      <c r="C3117" s="9" t="s">
        <v>138</v>
      </c>
      <c r="D3117" s="9" t="s">
        <v>11</v>
      </c>
      <c r="E3117" s="9">
        <v>90</v>
      </c>
      <c r="F3117" s="9">
        <v>4.7</v>
      </c>
      <c r="G3117" s="9">
        <v>5000000</v>
      </c>
      <c r="H3117" s="9">
        <v>92900</v>
      </c>
      <c r="I3117" s="5">
        <f>IMDB_Movies!$H3117-IMDB_Movies!$G3117</f>
        <v>-4907100</v>
      </c>
    </row>
    <row r="3118" spans="1:9" ht="23">
      <c r="A3118" s="2" t="s">
        <v>4536</v>
      </c>
      <c r="B3118" s="9" t="s">
        <v>4077</v>
      </c>
      <c r="C3118" s="9" t="s">
        <v>56</v>
      </c>
      <c r="D3118" s="9" t="s">
        <v>11</v>
      </c>
      <c r="E3118" s="9">
        <v>94</v>
      </c>
      <c r="F3118" s="9">
        <v>4.2</v>
      </c>
      <c r="G3118" s="9">
        <v>20000000</v>
      </c>
      <c r="H3118" s="9">
        <v>140987</v>
      </c>
      <c r="I3118" s="5">
        <f>IMDB_Movies!$H3118-IMDB_Movies!$G3118</f>
        <v>-19859013</v>
      </c>
    </row>
    <row r="3119" spans="1:9" ht="23">
      <c r="A3119" s="2" t="s">
        <v>4537</v>
      </c>
      <c r="B3119" s="9" t="s">
        <v>4538</v>
      </c>
      <c r="C3119" s="9" t="s">
        <v>56</v>
      </c>
      <c r="D3119" s="9" t="s">
        <v>11</v>
      </c>
      <c r="E3119" s="9">
        <v>112</v>
      </c>
      <c r="F3119" s="9">
        <v>5.2</v>
      </c>
      <c r="G3119" s="9">
        <v>10000000</v>
      </c>
      <c r="H3119" s="9">
        <v>25078937</v>
      </c>
      <c r="I3119" s="5">
        <f>IMDB_Movies!$H3119-IMDB_Movies!$G3119</f>
        <v>15078937</v>
      </c>
    </row>
    <row r="3120" spans="1:9" ht="23">
      <c r="A3120" s="2" t="s">
        <v>4539</v>
      </c>
      <c r="B3120" s="9" t="s">
        <v>4351</v>
      </c>
      <c r="C3120" s="9" t="s">
        <v>138</v>
      </c>
      <c r="D3120" s="9" t="s">
        <v>11</v>
      </c>
      <c r="E3120" s="9">
        <v>85</v>
      </c>
      <c r="F3120" s="9">
        <v>5.2</v>
      </c>
      <c r="G3120" s="9">
        <v>20000000</v>
      </c>
      <c r="H3120" s="9">
        <v>25078937</v>
      </c>
      <c r="I3120" s="5">
        <f>IMDB_Movies!$H3120-IMDB_Movies!$G3120</f>
        <v>5078937</v>
      </c>
    </row>
    <row r="3121" spans="1:9" ht="23">
      <c r="A3121" s="2" t="s">
        <v>4540</v>
      </c>
      <c r="B3121" s="9" t="s">
        <v>4541</v>
      </c>
      <c r="C3121" s="9" t="s">
        <v>138</v>
      </c>
      <c r="D3121" s="9" t="s">
        <v>11</v>
      </c>
      <c r="E3121" s="9">
        <v>93</v>
      </c>
      <c r="F3121" s="9">
        <v>3.9</v>
      </c>
      <c r="G3121" s="9">
        <v>10000000</v>
      </c>
      <c r="H3121" s="9">
        <v>5561</v>
      </c>
      <c r="I3121" s="5">
        <f>IMDB_Movies!$H3121-IMDB_Movies!$G3121</f>
        <v>-9994439</v>
      </c>
    </row>
    <row r="3122" spans="1:9" ht="23">
      <c r="A3122" s="2" t="s">
        <v>4542</v>
      </c>
      <c r="B3122" s="9" t="s">
        <v>4543</v>
      </c>
      <c r="C3122" s="9" t="s">
        <v>414</v>
      </c>
      <c r="D3122" s="9" t="s">
        <v>11</v>
      </c>
      <c r="E3122" s="9">
        <v>104</v>
      </c>
      <c r="F3122" s="9">
        <v>6.1</v>
      </c>
      <c r="G3122" s="9">
        <v>10000000</v>
      </c>
      <c r="H3122" s="9">
        <v>3607</v>
      </c>
      <c r="I3122" s="5">
        <f>IMDB_Movies!$H3122-IMDB_Movies!$G3122</f>
        <v>-9996393</v>
      </c>
    </row>
    <row r="3123" spans="1:9" ht="23">
      <c r="A3123" s="2" t="s">
        <v>4544</v>
      </c>
      <c r="B3123" s="9" t="s">
        <v>4545</v>
      </c>
      <c r="C3123" s="9" t="s">
        <v>810</v>
      </c>
      <c r="D3123" s="9" t="s">
        <v>11</v>
      </c>
      <c r="E3123" s="9">
        <v>94</v>
      </c>
      <c r="F3123" s="9">
        <v>5.8</v>
      </c>
      <c r="G3123" s="9">
        <v>20000000</v>
      </c>
      <c r="H3123" s="9">
        <v>25078937</v>
      </c>
      <c r="I3123" s="5">
        <f>IMDB_Movies!$H3123-IMDB_Movies!$G3123</f>
        <v>5078937</v>
      </c>
    </row>
    <row r="3124" spans="1:9" ht="23">
      <c r="A3124" s="2" t="s">
        <v>4546</v>
      </c>
      <c r="B3124" s="9" t="s">
        <v>4547</v>
      </c>
      <c r="C3124" s="9" t="s">
        <v>138</v>
      </c>
      <c r="D3124" s="9" t="s">
        <v>11</v>
      </c>
      <c r="E3124" s="9">
        <v>85</v>
      </c>
      <c r="F3124" s="9">
        <v>6.7</v>
      </c>
      <c r="G3124" s="9">
        <v>6500000</v>
      </c>
      <c r="H3124" s="9">
        <v>70527</v>
      </c>
      <c r="I3124" s="5">
        <f>IMDB_Movies!$H3124-IMDB_Movies!$G3124</f>
        <v>-6429473</v>
      </c>
    </row>
    <row r="3125" spans="1:9" ht="23">
      <c r="A3125" s="2" t="s">
        <v>4548</v>
      </c>
      <c r="B3125" s="9" t="s">
        <v>1505</v>
      </c>
      <c r="C3125" s="9" t="s">
        <v>56</v>
      </c>
      <c r="D3125" s="9" t="s">
        <v>11</v>
      </c>
      <c r="E3125" s="9">
        <v>99</v>
      </c>
      <c r="F3125" s="9">
        <v>5.7</v>
      </c>
      <c r="G3125" s="9">
        <v>10000000</v>
      </c>
      <c r="H3125" s="9">
        <v>25078937</v>
      </c>
      <c r="I3125" s="5">
        <f>IMDB_Movies!$H3125-IMDB_Movies!$G3125</f>
        <v>15078937</v>
      </c>
    </row>
    <row r="3126" spans="1:9" ht="23">
      <c r="A3126" s="2" t="s">
        <v>4549</v>
      </c>
      <c r="B3126" s="9" t="s">
        <v>4550</v>
      </c>
      <c r="C3126" s="9" t="s">
        <v>56</v>
      </c>
      <c r="D3126" s="9" t="s">
        <v>11</v>
      </c>
      <c r="E3126" s="9">
        <v>91</v>
      </c>
      <c r="F3126" s="9">
        <v>4.5</v>
      </c>
      <c r="G3126" s="9">
        <v>10000000</v>
      </c>
      <c r="H3126" s="9">
        <v>25078937</v>
      </c>
      <c r="I3126" s="5">
        <f>IMDB_Movies!$H3126-IMDB_Movies!$G3126</f>
        <v>15078937</v>
      </c>
    </row>
    <row r="3127" spans="1:9" ht="23">
      <c r="A3127" s="2" t="s">
        <v>4551</v>
      </c>
      <c r="B3127" s="9" t="s">
        <v>4552</v>
      </c>
      <c r="C3127" s="9" t="s">
        <v>56</v>
      </c>
      <c r="D3127" s="9" t="s">
        <v>11</v>
      </c>
      <c r="E3127" s="9">
        <v>117</v>
      </c>
      <c r="F3127" s="9">
        <v>6.9</v>
      </c>
      <c r="G3127" s="9">
        <v>6000000</v>
      </c>
      <c r="H3127" s="9">
        <v>25078937</v>
      </c>
      <c r="I3127" s="5">
        <f>IMDB_Movies!$H3127-IMDB_Movies!$G3127</f>
        <v>19078937</v>
      </c>
    </row>
    <row r="3128" spans="1:9" ht="23">
      <c r="A3128" s="2" t="s">
        <v>4553</v>
      </c>
      <c r="B3128" s="9" t="s">
        <v>4554</v>
      </c>
      <c r="C3128" s="9" t="s">
        <v>24</v>
      </c>
      <c r="D3128" s="9" t="s">
        <v>11</v>
      </c>
      <c r="E3128" s="9">
        <v>85</v>
      </c>
      <c r="F3128" s="9">
        <v>4.8</v>
      </c>
      <c r="G3128" s="9">
        <v>10000000</v>
      </c>
      <c r="H3128" s="9">
        <v>25078937</v>
      </c>
      <c r="I3128" s="5">
        <f>IMDB_Movies!$H3128-IMDB_Movies!$G3128</f>
        <v>15078937</v>
      </c>
    </row>
    <row r="3129" spans="1:9" ht="23">
      <c r="A3129" s="2" t="s">
        <v>4555</v>
      </c>
      <c r="B3129" s="9" t="s">
        <v>4056</v>
      </c>
      <c r="C3129" s="9" t="s">
        <v>56</v>
      </c>
      <c r="D3129" s="9" t="s">
        <v>11</v>
      </c>
      <c r="E3129" s="9">
        <v>106</v>
      </c>
      <c r="F3129" s="9">
        <v>6.3</v>
      </c>
      <c r="G3129" s="9">
        <v>10000000</v>
      </c>
      <c r="H3129" s="9">
        <v>25078937</v>
      </c>
      <c r="I3129" s="5">
        <f>IMDB_Movies!$H3129-IMDB_Movies!$G3129</f>
        <v>15078937</v>
      </c>
    </row>
    <row r="3130" spans="1:9" ht="23">
      <c r="A3130" s="2" t="s">
        <v>4556</v>
      </c>
      <c r="B3130" s="9" t="s">
        <v>4557</v>
      </c>
      <c r="C3130" s="9" t="s">
        <v>138</v>
      </c>
      <c r="D3130" s="9" t="s">
        <v>4558</v>
      </c>
      <c r="E3130" s="9">
        <v>81</v>
      </c>
      <c r="F3130" s="9">
        <v>6.9</v>
      </c>
      <c r="G3130" s="9">
        <v>10000000</v>
      </c>
      <c r="H3130" s="9">
        <v>11835</v>
      </c>
      <c r="I3130" s="5">
        <f>IMDB_Movies!$H3130-IMDB_Movies!$G3130</f>
        <v>-9988165</v>
      </c>
    </row>
    <row r="3131" spans="1:9" ht="23">
      <c r="A3131" s="2" t="s">
        <v>4559</v>
      </c>
      <c r="B3131" s="9" t="s">
        <v>4560</v>
      </c>
      <c r="C3131" s="9" t="s">
        <v>138</v>
      </c>
      <c r="D3131" s="9" t="s">
        <v>11</v>
      </c>
      <c r="E3131" s="9">
        <v>100</v>
      </c>
      <c r="F3131" s="9">
        <v>5.4</v>
      </c>
      <c r="G3131" s="9">
        <v>10000000</v>
      </c>
      <c r="H3131" s="9">
        <v>25078937</v>
      </c>
      <c r="I3131" s="5">
        <f>IMDB_Movies!$H3131-IMDB_Movies!$G3131</f>
        <v>15078937</v>
      </c>
    </row>
    <row r="3132" spans="1:9" ht="23">
      <c r="A3132" s="2" t="s">
        <v>4561</v>
      </c>
      <c r="B3132" s="9" t="s">
        <v>4562</v>
      </c>
      <c r="C3132" s="9" t="s">
        <v>10</v>
      </c>
      <c r="D3132" s="9" t="s">
        <v>11</v>
      </c>
      <c r="E3132" s="9">
        <v>90</v>
      </c>
      <c r="F3132" s="9">
        <v>3.8</v>
      </c>
      <c r="G3132" s="9">
        <v>10000000</v>
      </c>
      <c r="H3132" s="9">
        <v>25078937</v>
      </c>
      <c r="I3132" s="5">
        <f>IMDB_Movies!$H3132-IMDB_Movies!$G3132</f>
        <v>15078937</v>
      </c>
    </row>
    <row r="3133" spans="1:9" ht="23">
      <c r="A3133" s="2" t="s">
        <v>4563</v>
      </c>
      <c r="B3133" s="9" t="s">
        <v>4564</v>
      </c>
      <c r="C3133" s="9" t="s">
        <v>56</v>
      </c>
      <c r="D3133" s="9" t="s">
        <v>11</v>
      </c>
      <c r="E3133" s="9">
        <v>116</v>
      </c>
      <c r="F3133" s="9">
        <v>7</v>
      </c>
      <c r="G3133" s="9">
        <v>10000000</v>
      </c>
      <c r="H3133" s="9">
        <v>25078937</v>
      </c>
      <c r="I3133" s="5">
        <f>IMDB_Movies!$H3133-IMDB_Movies!$G3133</f>
        <v>15078937</v>
      </c>
    </row>
    <row r="3134" spans="1:9" ht="23">
      <c r="A3134" s="2" t="s">
        <v>4565</v>
      </c>
      <c r="B3134" s="9" t="s">
        <v>4566</v>
      </c>
      <c r="C3134" s="9" t="s">
        <v>138</v>
      </c>
      <c r="D3134" s="9" t="s">
        <v>11</v>
      </c>
      <c r="E3134" s="9">
        <v>84</v>
      </c>
      <c r="F3134" s="9">
        <v>5.2</v>
      </c>
      <c r="G3134" s="9">
        <v>10000000</v>
      </c>
      <c r="H3134" s="9">
        <v>25078937</v>
      </c>
      <c r="I3134" s="5">
        <f>IMDB_Movies!$H3134-IMDB_Movies!$G3134</f>
        <v>15078937</v>
      </c>
    </row>
    <row r="3135" spans="1:9" ht="23">
      <c r="A3135" s="2" t="s">
        <v>4567</v>
      </c>
      <c r="B3135" s="9" t="s">
        <v>2414</v>
      </c>
      <c r="C3135" s="9" t="s">
        <v>10</v>
      </c>
      <c r="D3135" s="9" t="s">
        <v>3647</v>
      </c>
      <c r="E3135" s="9">
        <v>135</v>
      </c>
      <c r="F3135" s="9">
        <v>7.3</v>
      </c>
      <c r="G3135" s="9">
        <v>10000000</v>
      </c>
      <c r="H3135" s="9">
        <v>128486</v>
      </c>
      <c r="I3135" s="5">
        <f>IMDB_Movies!$H3135-IMDB_Movies!$G3135</f>
        <v>-9871514</v>
      </c>
    </row>
    <row r="3136" spans="1:9" ht="23">
      <c r="A3136" s="2" t="s">
        <v>4568</v>
      </c>
      <c r="B3136" s="9" t="s">
        <v>3752</v>
      </c>
      <c r="C3136" s="9" t="s">
        <v>810</v>
      </c>
      <c r="D3136" s="9" t="s">
        <v>11</v>
      </c>
      <c r="E3136" s="9">
        <v>84</v>
      </c>
      <c r="F3136" s="9">
        <v>4.5999999999999996</v>
      </c>
      <c r="G3136" s="9">
        <v>10000000</v>
      </c>
      <c r="H3136" s="9">
        <v>25078937</v>
      </c>
      <c r="I3136" s="5">
        <f>IMDB_Movies!$H3136-IMDB_Movies!$G3136</f>
        <v>15078937</v>
      </c>
    </row>
    <row r="3137" spans="1:9" ht="23">
      <c r="A3137" s="2" t="s">
        <v>4569</v>
      </c>
      <c r="B3137" s="9" t="s">
        <v>4570</v>
      </c>
      <c r="C3137" s="9" t="s">
        <v>10</v>
      </c>
      <c r="D3137" s="9" t="s">
        <v>11</v>
      </c>
      <c r="E3137" s="9">
        <v>89</v>
      </c>
      <c r="F3137" s="9">
        <v>6.5</v>
      </c>
      <c r="G3137" s="9">
        <v>10000000</v>
      </c>
      <c r="H3137" s="9">
        <v>25078937</v>
      </c>
      <c r="I3137" s="5">
        <f>IMDB_Movies!$H3137-IMDB_Movies!$G3137</f>
        <v>15078937</v>
      </c>
    </row>
    <row r="3138" spans="1:9" ht="23">
      <c r="A3138" s="2" t="s">
        <v>4571</v>
      </c>
      <c r="B3138" s="9" t="s">
        <v>1805</v>
      </c>
      <c r="C3138" s="9" t="s">
        <v>138</v>
      </c>
      <c r="D3138" s="9" t="s">
        <v>11</v>
      </c>
      <c r="E3138" s="9">
        <v>107</v>
      </c>
      <c r="F3138" s="9">
        <v>6.8</v>
      </c>
      <c r="G3138" s="9">
        <v>20000000</v>
      </c>
      <c r="H3138" s="9">
        <v>16025394</v>
      </c>
      <c r="I3138" s="5">
        <f>IMDB_Movies!$H3138-IMDB_Movies!$G3138</f>
        <v>-3974606</v>
      </c>
    </row>
    <row r="3139" spans="1:9" ht="23">
      <c r="A3139" s="2" t="s">
        <v>4572</v>
      </c>
      <c r="B3139" s="9" t="s">
        <v>4573</v>
      </c>
      <c r="C3139" s="9" t="s">
        <v>56</v>
      </c>
      <c r="D3139" s="9" t="s">
        <v>11</v>
      </c>
      <c r="E3139" s="9">
        <v>144</v>
      </c>
      <c r="F3139" s="9">
        <v>6.7</v>
      </c>
      <c r="G3139" s="9">
        <v>9600000</v>
      </c>
      <c r="H3139" s="9">
        <v>2483955</v>
      </c>
      <c r="I3139" s="5">
        <f>IMDB_Movies!$H3139-IMDB_Movies!$G3139</f>
        <v>-7116045</v>
      </c>
    </row>
    <row r="3140" spans="1:9" ht="23">
      <c r="A3140" s="2" t="s">
        <v>4574</v>
      </c>
      <c r="B3140" s="9" t="s">
        <v>866</v>
      </c>
      <c r="C3140" s="9" t="s">
        <v>138</v>
      </c>
      <c r="D3140" s="9" t="s">
        <v>11</v>
      </c>
      <c r="E3140" s="9">
        <v>98</v>
      </c>
      <c r="F3140" s="9">
        <v>6.1</v>
      </c>
      <c r="G3140" s="9">
        <v>9500000</v>
      </c>
      <c r="H3140" s="9">
        <v>57176582</v>
      </c>
      <c r="I3140" s="5">
        <f>IMDB_Movies!$H3140-IMDB_Movies!$G3140</f>
        <v>47676582</v>
      </c>
    </row>
    <row r="3141" spans="1:9" ht="23">
      <c r="A3141" s="2" t="s">
        <v>4575</v>
      </c>
      <c r="B3141" s="9" t="s">
        <v>4576</v>
      </c>
      <c r="C3141" s="9" t="s">
        <v>10</v>
      </c>
      <c r="D3141" s="9" t="s">
        <v>11</v>
      </c>
      <c r="E3141" s="9">
        <v>94</v>
      </c>
      <c r="F3141" s="9">
        <v>5.2</v>
      </c>
      <c r="G3141" s="9">
        <v>10000000</v>
      </c>
      <c r="H3141" s="9">
        <v>25078937</v>
      </c>
      <c r="I3141" s="5">
        <f>IMDB_Movies!$H3141-IMDB_Movies!$G3141</f>
        <v>15078937</v>
      </c>
    </row>
    <row r="3142" spans="1:9" ht="23">
      <c r="A3142" s="2" t="s">
        <v>4577</v>
      </c>
      <c r="B3142" s="9" t="s">
        <v>2242</v>
      </c>
      <c r="C3142" s="9" t="s">
        <v>10</v>
      </c>
      <c r="D3142" s="9" t="s">
        <v>11</v>
      </c>
      <c r="E3142" s="9">
        <v>117</v>
      </c>
      <c r="F3142" s="9">
        <v>6.9</v>
      </c>
      <c r="G3142" s="9">
        <v>9500000</v>
      </c>
      <c r="H3142" s="9">
        <v>43100000</v>
      </c>
      <c r="I3142" s="5">
        <f>IMDB_Movies!$H3142-IMDB_Movies!$G3142</f>
        <v>33600000</v>
      </c>
    </row>
    <row r="3143" spans="1:9" ht="23">
      <c r="A3143" s="2" t="s">
        <v>4578</v>
      </c>
      <c r="B3143" s="9" t="s">
        <v>4579</v>
      </c>
      <c r="C3143" s="9" t="s">
        <v>10</v>
      </c>
      <c r="D3143" s="9" t="s">
        <v>11</v>
      </c>
      <c r="E3143" s="9">
        <v>102</v>
      </c>
      <c r="F3143" s="9">
        <v>6</v>
      </c>
      <c r="G3143" s="9">
        <v>10000000</v>
      </c>
      <c r="H3143" s="9">
        <v>25078937</v>
      </c>
      <c r="I3143" s="5">
        <f>IMDB_Movies!$H3143-IMDB_Movies!$G3143</f>
        <v>15078937</v>
      </c>
    </row>
    <row r="3144" spans="1:9" ht="23">
      <c r="A3144" s="2" t="s">
        <v>4580</v>
      </c>
      <c r="B3144" s="9" t="s">
        <v>3428</v>
      </c>
      <c r="C3144" s="9" t="s">
        <v>56</v>
      </c>
      <c r="D3144" s="9" t="s">
        <v>394</v>
      </c>
      <c r="E3144" s="9">
        <v>127</v>
      </c>
      <c r="F3144" s="9">
        <v>7.9</v>
      </c>
      <c r="G3144" s="9">
        <v>8900000</v>
      </c>
      <c r="H3144" s="9">
        <v>225377</v>
      </c>
      <c r="I3144" s="5">
        <f>IMDB_Movies!$H3144-IMDB_Movies!$G3144</f>
        <v>-8674623</v>
      </c>
    </row>
    <row r="3145" spans="1:9" ht="23">
      <c r="A3145" s="2" t="s">
        <v>4581</v>
      </c>
      <c r="B3145" s="9" t="s">
        <v>4582</v>
      </c>
      <c r="C3145" s="9" t="s">
        <v>810</v>
      </c>
      <c r="D3145" s="9" t="s">
        <v>11</v>
      </c>
      <c r="E3145" s="9">
        <v>98</v>
      </c>
      <c r="F3145" s="9">
        <v>4.5</v>
      </c>
      <c r="G3145" s="9">
        <v>10500000</v>
      </c>
      <c r="H3145" s="9">
        <v>14114488</v>
      </c>
      <c r="I3145" s="5">
        <f>IMDB_Movies!$H3145-IMDB_Movies!$G3145</f>
        <v>3614488</v>
      </c>
    </row>
    <row r="3146" spans="1:9" ht="23">
      <c r="A3146" s="2" t="s">
        <v>4583</v>
      </c>
      <c r="B3146" s="9" t="s">
        <v>4584</v>
      </c>
      <c r="C3146" s="9" t="s">
        <v>10</v>
      </c>
      <c r="D3146" s="9" t="s">
        <v>11</v>
      </c>
      <c r="E3146" s="9">
        <v>88</v>
      </c>
      <c r="F3146" s="9">
        <v>5.0999999999999996</v>
      </c>
      <c r="G3146" s="9">
        <v>9500000</v>
      </c>
      <c r="H3146" s="9">
        <v>25078937</v>
      </c>
      <c r="I3146" s="5">
        <f>IMDB_Movies!$H3146-IMDB_Movies!$G3146</f>
        <v>15578937</v>
      </c>
    </row>
    <row r="3147" spans="1:9" ht="23">
      <c r="A3147" s="2" t="s">
        <v>4585</v>
      </c>
      <c r="B3147" s="9" t="s">
        <v>4586</v>
      </c>
      <c r="C3147" s="9" t="s">
        <v>10</v>
      </c>
      <c r="D3147" s="9" t="s">
        <v>11</v>
      </c>
      <c r="E3147" s="9">
        <v>197</v>
      </c>
      <c r="F3147" s="9">
        <v>7.6</v>
      </c>
      <c r="G3147" s="9">
        <v>9400000</v>
      </c>
      <c r="H3147" s="9">
        <v>46300000</v>
      </c>
      <c r="I3147" s="5">
        <f>IMDB_Movies!$H3147-IMDB_Movies!$G3147</f>
        <v>36900000</v>
      </c>
    </row>
    <row r="3148" spans="1:9" ht="23">
      <c r="A3148" s="2" t="s">
        <v>4587</v>
      </c>
      <c r="B3148" s="9" t="s">
        <v>4588</v>
      </c>
      <c r="C3148" s="9" t="s">
        <v>138</v>
      </c>
      <c r="D3148" s="9" t="s">
        <v>741</v>
      </c>
      <c r="E3148" s="9">
        <v>121</v>
      </c>
      <c r="F3148" s="9">
        <v>7.6</v>
      </c>
      <c r="G3148" s="9">
        <v>20000000</v>
      </c>
      <c r="H3148" s="9">
        <v>12899702</v>
      </c>
      <c r="I3148" s="5">
        <f>IMDB_Movies!$H3148-IMDB_Movies!$G3148</f>
        <v>-7100298</v>
      </c>
    </row>
    <row r="3149" spans="1:9" ht="23">
      <c r="A3149" s="2" t="s">
        <v>4589</v>
      </c>
      <c r="B3149" s="9" t="s">
        <v>4590</v>
      </c>
      <c r="C3149" s="9" t="s">
        <v>24</v>
      </c>
      <c r="D3149" s="9" t="s">
        <v>11</v>
      </c>
      <c r="E3149" s="9">
        <v>90</v>
      </c>
      <c r="F3149" s="9">
        <v>6.7</v>
      </c>
      <c r="G3149" s="9">
        <v>9300000</v>
      </c>
      <c r="H3149" s="9">
        <v>25078937</v>
      </c>
      <c r="I3149" s="5">
        <f>IMDB_Movies!$H3149-IMDB_Movies!$G3149</f>
        <v>15778937</v>
      </c>
    </row>
    <row r="3150" spans="1:9" ht="23">
      <c r="A3150" s="2" t="s">
        <v>4591</v>
      </c>
      <c r="B3150" s="9" t="s">
        <v>2197</v>
      </c>
      <c r="C3150" s="9" t="s">
        <v>24</v>
      </c>
      <c r="D3150" s="9" t="s">
        <v>11</v>
      </c>
      <c r="E3150" s="9">
        <v>89</v>
      </c>
      <c r="F3150" s="9">
        <v>6.1</v>
      </c>
      <c r="G3150" s="9">
        <v>20000000</v>
      </c>
      <c r="H3150" s="9">
        <v>113155</v>
      </c>
      <c r="I3150" s="5">
        <f>IMDB_Movies!$H3150-IMDB_Movies!$G3150</f>
        <v>-19886845</v>
      </c>
    </row>
    <row r="3151" spans="1:9" ht="23">
      <c r="A3151" s="2" t="s">
        <v>4592</v>
      </c>
      <c r="B3151" s="9" t="s">
        <v>1422</v>
      </c>
      <c r="C3151" s="9" t="s">
        <v>56</v>
      </c>
      <c r="D3151" s="9" t="s">
        <v>11</v>
      </c>
      <c r="E3151" s="9">
        <v>104</v>
      </c>
      <c r="F3151" s="9">
        <v>7.5</v>
      </c>
      <c r="G3151" s="9">
        <v>6000000</v>
      </c>
      <c r="H3151" s="9">
        <v>2600000</v>
      </c>
      <c r="I3151" s="5">
        <f>IMDB_Movies!$H3151-IMDB_Movies!$G3151</f>
        <v>-3400000</v>
      </c>
    </row>
    <row r="3152" spans="1:9" ht="23">
      <c r="A3152" s="2" t="s">
        <v>4593</v>
      </c>
      <c r="B3152" s="9" t="s">
        <v>4292</v>
      </c>
      <c r="C3152" s="9" t="s">
        <v>10</v>
      </c>
      <c r="D3152" s="9" t="s">
        <v>11</v>
      </c>
      <c r="E3152" s="9">
        <v>94</v>
      </c>
      <c r="F3152" s="9">
        <v>5.3</v>
      </c>
      <c r="G3152" s="9">
        <v>10000000</v>
      </c>
      <c r="H3152" s="9">
        <v>25078937</v>
      </c>
      <c r="I3152" s="5">
        <f>IMDB_Movies!$H3152-IMDB_Movies!$G3152</f>
        <v>15078937</v>
      </c>
    </row>
    <row r="3153" spans="1:9" ht="23">
      <c r="A3153" s="2" t="s">
        <v>4594</v>
      </c>
      <c r="B3153" s="9" t="s">
        <v>4595</v>
      </c>
      <c r="C3153" s="9" t="s">
        <v>10</v>
      </c>
      <c r="D3153" s="9" t="s">
        <v>11</v>
      </c>
      <c r="E3153" s="9">
        <v>90</v>
      </c>
      <c r="F3153" s="9">
        <v>6</v>
      </c>
      <c r="G3153" s="9">
        <v>600000000</v>
      </c>
      <c r="H3153" s="9">
        <v>1602466</v>
      </c>
      <c r="I3153" s="5">
        <f>IMDB_Movies!$H3153-IMDB_Movies!$G3153</f>
        <v>-598397534</v>
      </c>
    </row>
    <row r="3154" spans="1:9" ht="23">
      <c r="A3154" s="2" t="s">
        <v>4596</v>
      </c>
      <c r="B3154" s="9" t="s">
        <v>3872</v>
      </c>
      <c r="C3154" s="9" t="s">
        <v>56</v>
      </c>
      <c r="D3154" s="9" t="s">
        <v>11</v>
      </c>
      <c r="E3154" s="9">
        <v>130</v>
      </c>
      <c r="F3154" s="9">
        <v>7.1</v>
      </c>
      <c r="G3154" s="9">
        <v>7400000</v>
      </c>
      <c r="H3154" s="9">
        <v>3029870</v>
      </c>
      <c r="I3154" s="5">
        <f>IMDB_Movies!$H3154-IMDB_Movies!$G3154</f>
        <v>-4370130</v>
      </c>
    </row>
    <row r="3155" spans="1:9" ht="23">
      <c r="A3155" s="2" t="s">
        <v>4597</v>
      </c>
      <c r="B3155" s="9" t="s">
        <v>4598</v>
      </c>
      <c r="C3155" s="9" t="s">
        <v>418</v>
      </c>
      <c r="D3155" s="9" t="s">
        <v>11</v>
      </c>
      <c r="E3155" s="9">
        <v>92</v>
      </c>
      <c r="F3155" s="9">
        <v>7.5</v>
      </c>
      <c r="G3155" s="9">
        <v>8500000</v>
      </c>
      <c r="H3155" s="9">
        <v>25078937</v>
      </c>
      <c r="I3155" s="5">
        <f>IMDB_Movies!$H3155-IMDB_Movies!$G3155</f>
        <v>16578937</v>
      </c>
    </row>
    <row r="3156" spans="1:9" ht="23">
      <c r="A3156" s="2" t="s">
        <v>4599</v>
      </c>
      <c r="B3156" s="9" t="s">
        <v>4600</v>
      </c>
      <c r="C3156" s="9" t="s">
        <v>56</v>
      </c>
      <c r="D3156" s="9" t="s">
        <v>1534</v>
      </c>
      <c r="E3156" s="9">
        <v>176</v>
      </c>
      <c r="F3156" s="9">
        <v>6.9</v>
      </c>
      <c r="G3156" s="9">
        <v>7217600</v>
      </c>
      <c r="H3156" s="9">
        <v>3047539</v>
      </c>
      <c r="I3156" s="5">
        <f>IMDB_Movies!$H3156-IMDB_Movies!$G3156</f>
        <v>-4170061</v>
      </c>
    </row>
    <row r="3157" spans="1:9" ht="23">
      <c r="A3157" s="2" t="s">
        <v>4601</v>
      </c>
      <c r="B3157" s="9" t="s">
        <v>50</v>
      </c>
      <c r="C3157" s="9" t="s">
        <v>810</v>
      </c>
      <c r="D3157" s="9" t="s">
        <v>11</v>
      </c>
      <c r="E3157" s="9">
        <v>116</v>
      </c>
      <c r="F3157" s="9">
        <v>8.5</v>
      </c>
      <c r="G3157" s="9">
        <v>11000000</v>
      </c>
      <c r="H3157" s="9">
        <v>78900000</v>
      </c>
      <c r="I3157" s="5">
        <f>IMDB_Movies!$H3157-IMDB_Movies!$G3157</f>
        <v>67900000</v>
      </c>
    </row>
    <row r="3158" spans="1:9" ht="23">
      <c r="A3158" s="2" t="s">
        <v>4602</v>
      </c>
      <c r="B3158" s="9" t="s">
        <v>2051</v>
      </c>
      <c r="C3158" s="9" t="s">
        <v>810</v>
      </c>
      <c r="D3158" s="9" t="s">
        <v>11</v>
      </c>
      <c r="E3158" s="9">
        <v>88</v>
      </c>
      <c r="F3158" s="9">
        <v>7.5</v>
      </c>
      <c r="G3158" s="9">
        <v>83532</v>
      </c>
      <c r="H3158" s="9">
        <v>30859000</v>
      </c>
      <c r="I3158" s="5">
        <f>IMDB_Movies!$H3158-IMDB_Movies!$G3158</f>
        <v>30775468</v>
      </c>
    </row>
    <row r="3159" spans="1:9" ht="23">
      <c r="A3159" s="2" t="s">
        <v>4603</v>
      </c>
      <c r="B3159" s="9" t="s">
        <v>4604</v>
      </c>
      <c r="C3159" s="9" t="s">
        <v>418</v>
      </c>
      <c r="D3159" s="9" t="s">
        <v>11</v>
      </c>
      <c r="E3159" s="9">
        <v>106</v>
      </c>
      <c r="F3159" s="9">
        <v>6.6</v>
      </c>
      <c r="G3159" s="9">
        <v>10000000</v>
      </c>
      <c r="H3159" s="9">
        <v>3571735</v>
      </c>
      <c r="I3159" s="5">
        <f>IMDB_Movies!$H3159-IMDB_Movies!$G3159</f>
        <v>-6428265</v>
      </c>
    </row>
    <row r="3160" spans="1:9" ht="23">
      <c r="A3160" s="2" t="s">
        <v>4605</v>
      </c>
      <c r="B3160" s="9" t="s">
        <v>1933</v>
      </c>
      <c r="C3160" s="9" t="s">
        <v>56</v>
      </c>
      <c r="D3160" s="9" t="s">
        <v>11</v>
      </c>
      <c r="E3160" s="9">
        <v>181</v>
      </c>
      <c r="F3160" s="9">
        <v>8</v>
      </c>
      <c r="G3160" s="9">
        <v>9000000</v>
      </c>
      <c r="H3160" s="9">
        <v>50000000</v>
      </c>
      <c r="I3160" s="5">
        <f>IMDB_Movies!$H3160-IMDB_Movies!$G3160</f>
        <v>41000000</v>
      </c>
    </row>
    <row r="3161" spans="1:9" ht="23">
      <c r="A3161" s="2" t="s">
        <v>4606</v>
      </c>
      <c r="B3161" s="9" t="s">
        <v>1560</v>
      </c>
      <c r="C3161" s="9" t="s">
        <v>10</v>
      </c>
      <c r="D3161" s="9" t="s">
        <v>11</v>
      </c>
      <c r="E3161" s="9">
        <v>130</v>
      </c>
      <c r="F3161" s="9">
        <v>7</v>
      </c>
      <c r="G3161" s="9">
        <v>9000000</v>
      </c>
      <c r="H3161" s="9">
        <v>63600000</v>
      </c>
      <c r="I3161" s="5">
        <f>IMDB_Movies!$H3161-IMDB_Movies!$G3161</f>
        <v>54600000</v>
      </c>
    </row>
    <row r="3162" spans="1:9" ht="23">
      <c r="A3162" s="2" t="s">
        <v>4607</v>
      </c>
      <c r="B3162" s="9" t="s">
        <v>1847</v>
      </c>
      <c r="C3162" s="9" t="s">
        <v>138</v>
      </c>
      <c r="D3162" s="9" t="s">
        <v>11</v>
      </c>
      <c r="E3162" s="9">
        <v>93</v>
      </c>
      <c r="F3162" s="9">
        <v>5.8</v>
      </c>
      <c r="G3162" s="9">
        <v>10000000</v>
      </c>
      <c r="H3162" s="9">
        <v>25078937</v>
      </c>
      <c r="I3162" s="5">
        <f>IMDB_Movies!$H3162-IMDB_Movies!$G3162</f>
        <v>15078937</v>
      </c>
    </row>
    <row r="3163" spans="1:9" ht="23">
      <c r="A3163" s="2" t="s">
        <v>4608</v>
      </c>
      <c r="B3163" s="9" t="s">
        <v>4609</v>
      </c>
      <c r="C3163" s="9" t="s">
        <v>138</v>
      </c>
      <c r="D3163" s="9" t="s">
        <v>2756</v>
      </c>
      <c r="E3163" s="9">
        <v>110</v>
      </c>
      <c r="F3163" s="9">
        <v>7.3</v>
      </c>
      <c r="G3163" s="9">
        <v>20000000</v>
      </c>
      <c r="H3163" s="9">
        <v>25078937</v>
      </c>
      <c r="I3163" s="5">
        <f>IMDB_Movies!$H3163-IMDB_Movies!$G3163</f>
        <v>5078937</v>
      </c>
    </row>
    <row r="3164" spans="1:9" ht="23">
      <c r="A3164" s="2" t="s">
        <v>4610</v>
      </c>
      <c r="B3164" s="9" t="s">
        <v>823</v>
      </c>
      <c r="C3164" s="9" t="s">
        <v>10</v>
      </c>
      <c r="D3164" s="9" t="s">
        <v>11</v>
      </c>
      <c r="E3164" s="9">
        <v>123</v>
      </c>
      <c r="F3164" s="9">
        <v>6.8</v>
      </c>
      <c r="G3164" s="9">
        <v>9000000</v>
      </c>
      <c r="H3164" s="9">
        <v>36049108</v>
      </c>
      <c r="I3164" s="5">
        <f>IMDB_Movies!$H3164-IMDB_Movies!$G3164</f>
        <v>27049108</v>
      </c>
    </row>
    <row r="3165" spans="1:9" ht="23">
      <c r="A3165" s="2" t="s">
        <v>4611</v>
      </c>
      <c r="B3165" s="9" t="s">
        <v>1875</v>
      </c>
      <c r="C3165" s="9" t="s">
        <v>138</v>
      </c>
      <c r="D3165" s="9" t="s">
        <v>11</v>
      </c>
      <c r="E3165" s="9">
        <v>120</v>
      </c>
      <c r="F3165" s="9">
        <v>6.7</v>
      </c>
      <c r="G3165" s="9">
        <v>9000000</v>
      </c>
      <c r="H3165" s="9">
        <v>34074895</v>
      </c>
      <c r="I3165" s="5">
        <f>IMDB_Movies!$H3165-IMDB_Movies!$G3165</f>
        <v>25074895</v>
      </c>
    </row>
    <row r="3166" spans="1:9" ht="23">
      <c r="A3166" s="2" t="s">
        <v>4612</v>
      </c>
      <c r="B3166" s="9" t="s">
        <v>3909</v>
      </c>
      <c r="C3166" s="9" t="s">
        <v>713</v>
      </c>
      <c r="D3166" s="9" t="s">
        <v>11</v>
      </c>
      <c r="E3166" s="9">
        <v>87</v>
      </c>
      <c r="F3166" s="9">
        <v>6.5</v>
      </c>
      <c r="G3166" s="9">
        <v>9000000</v>
      </c>
      <c r="H3166" s="9">
        <v>33244684</v>
      </c>
      <c r="I3166" s="5">
        <f>IMDB_Movies!$H3166-IMDB_Movies!$G3166</f>
        <v>24244684</v>
      </c>
    </row>
    <row r="3167" spans="1:9" ht="23">
      <c r="A3167" s="2" t="s">
        <v>4613</v>
      </c>
      <c r="B3167" s="9" t="s">
        <v>3168</v>
      </c>
      <c r="C3167" s="9" t="s">
        <v>772</v>
      </c>
      <c r="D3167" s="9" t="s">
        <v>11</v>
      </c>
      <c r="E3167" s="9">
        <v>123</v>
      </c>
      <c r="F3167" s="9">
        <v>8</v>
      </c>
      <c r="G3167" s="9">
        <v>9000000</v>
      </c>
      <c r="H3167" s="9">
        <v>24530513</v>
      </c>
      <c r="I3167" s="5">
        <f>IMDB_Movies!$H3167-IMDB_Movies!$G3167</f>
        <v>15530513</v>
      </c>
    </row>
    <row r="3168" spans="1:9" ht="23">
      <c r="A3168" s="2" t="s">
        <v>4614</v>
      </c>
      <c r="B3168" s="9" t="s">
        <v>4328</v>
      </c>
      <c r="C3168" s="9" t="s">
        <v>10</v>
      </c>
      <c r="D3168" s="9" t="s">
        <v>11</v>
      </c>
      <c r="E3168" s="9">
        <v>103</v>
      </c>
      <c r="F3168" s="9">
        <v>6.5</v>
      </c>
      <c r="G3168" s="9">
        <v>9000000</v>
      </c>
      <c r="H3168" s="9">
        <v>71519230</v>
      </c>
      <c r="I3168" s="5">
        <f>IMDB_Movies!$H3168-IMDB_Movies!$G3168</f>
        <v>62519230</v>
      </c>
    </row>
    <row r="3169" spans="1:9" ht="23">
      <c r="A3169" s="2" t="s">
        <v>4615</v>
      </c>
      <c r="B3169" s="9" t="s">
        <v>4616</v>
      </c>
      <c r="C3169" s="9" t="s">
        <v>138</v>
      </c>
      <c r="D3169" s="9" t="s">
        <v>11</v>
      </c>
      <c r="E3169" s="9">
        <v>91</v>
      </c>
      <c r="F3169" s="9">
        <v>4.9000000000000004</v>
      </c>
      <c r="G3169" s="9">
        <v>9000000</v>
      </c>
      <c r="H3169" s="9">
        <v>20035310</v>
      </c>
      <c r="I3169" s="5">
        <f>IMDB_Movies!$H3169-IMDB_Movies!$G3169</f>
        <v>11035310</v>
      </c>
    </row>
    <row r="3170" spans="1:9" ht="23">
      <c r="A3170" s="2" t="s">
        <v>4617</v>
      </c>
      <c r="B3170" s="9" t="s">
        <v>3965</v>
      </c>
      <c r="C3170" s="9" t="s">
        <v>24</v>
      </c>
      <c r="D3170" s="9" t="s">
        <v>11</v>
      </c>
      <c r="E3170" s="9">
        <v>88</v>
      </c>
      <c r="F3170" s="9">
        <v>7.1</v>
      </c>
      <c r="G3170" s="9">
        <v>9000000</v>
      </c>
      <c r="H3170" s="9">
        <v>18225165</v>
      </c>
      <c r="I3170" s="5">
        <f>IMDB_Movies!$H3170-IMDB_Movies!$G3170</f>
        <v>9225165</v>
      </c>
    </row>
    <row r="3171" spans="1:9" ht="23">
      <c r="A3171" s="2" t="s">
        <v>4618</v>
      </c>
      <c r="B3171" s="9" t="s">
        <v>1178</v>
      </c>
      <c r="C3171" s="9" t="s">
        <v>56</v>
      </c>
      <c r="D3171" s="9" t="s">
        <v>11</v>
      </c>
      <c r="E3171" s="9">
        <v>126</v>
      </c>
      <c r="F3171" s="9">
        <v>7</v>
      </c>
      <c r="G3171" s="9">
        <v>20000000</v>
      </c>
      <c r="H3171" s="9">
        <v>17804273</v>
      </c>
      <c r="I3171" s="5">
        <f>IMDB_Movies!$H3171-IMDB_Movies!$G3171</f>
        <v>-2195727</v>
      </c>
    </row>
    <row r="3172" spans="1:9" ht="23">
      <c r="A3172" s="2" t="s">
        <v>4619</v>
      </c>
      <c r="B3172" s="9" t="s">
        <v>4620</v>
      </c>
      <c r="C3172" s="9" t="s">
        <v>414</v>
      </c>
      <c r="D3172" s="9" t="s">
        <v>11</v>
      </c>
      <c r="E3172" s="9">
        <v>120</v>
      </c>
      <c r="F3172" s="9">
        <v>7</v>
      </c>
      <c r="G3172" s="9">
        <v>8000000</v>
      </c>
      <c r="H3172" s="9">
        <v>16938179</v>
      </c>
      <c r="I3172" s="5">
        <f>IMDB_Movies!$H3172-IMDB_Movies!$G3172</f>
        <v>8938179</v>
      </c>
    </row>
    <row r="3173" spans="1:9" ht="23">
      <c r="A3173" s="2" t="s">
        <v>4621</v>
      </c>
      <c r="B3173" s="9" t="s">
        <v>1436</v>
      </c>
      <c r="C3173" s="9" t="s">
        <v>138</v>
      </c>
      <c r="D3173" s="9" t="s">
        <v>11</v>
      </c>
      <c r="E3173" s="9">
        <v>116</v>
      </c>
      <c r="F3173" s="9">
        <v>7.5</v>
      </c>
      <c r="G3173" s="9">
        <v>20000000</v>
      </c>
      <c r="H3173" s="9">
        <v>90400000</v>
      </c>
      <c r="I3173" s="5">
        <f>IMDB_Movies!$H3173-IMDB_Movies!$G3173</f>
        <v>70400000</v>
      </c>
    </row>
    <row r="3174" spans="1:9" ht="23">
      <c r="A3174" s="2" t="s">
        <v>4622</v>
      </c>
      <c r="B3174" s="9" t="s">
        <v>3218</v>
      </c>
      <c r="C3174" s="9" t="s">
        <v>810</v>
      </c>
      <c r="D3174" s="9" t="s">
        <v>11</v>
      </c>
      <c r="E3174" s="9">
        <v>94</v>
      </c>
      <c r="F3174" s="9">
        <v>4.5</v>
      </c>
      <c r="G3174" s="9">
        <v>9000000</v>
      </c>
      <c r="H3174" s="9">
        <v>16235293</v>
      </c>
      <c r="I3174" s="5">
        <f>IMDB_Movies!$H3174-IMDB_Movies!$G3174</f>
        <v>7235293</v>
      </c>
    </row>
    <row r="3175" spans="1:9" ht="23">
      <c r="A3175" s="2" t="s">
        <v>4623</v>
      </c>
      <c r="B3175" s="9" t="s">
        <v>4624</v>
      </c>
      <c r="C3175" s="9" t="s">
        <v>138</v>
      </c>
      <c r="D3175" s="9" t="s">
        <v>11</v>
      </c>
      <c r="E3175" s="9">
        <v>85</v>
      </c>
      <c r="F3175" s="9">
        <v>5.5</v>
      </c>
      <c r="G3175" s="9">
        <v>20000000</v>
      </c>
      <c r="H3175" s="9">
        <v>11827301</v>
      </c>
      <c r="I3175" s="5">
        <f>IMDB_Movies!$H3175-IMDB_Movies!$G3175</f>
        <v>-8172699</v>
      </c>
    </row>
    <row r="3176" spans="1:9" ht="23">
      <c r="A3176" s="2" t="s">
        <v>4625</v>
      </c>
      <c r="B3176" s="9" t="s">
        <v>230</v>
      </c>
      <c r="C3176" s="9" t="s">
        <v>10</v>
      </c>
      <c r="D3176" s="9" t="s">
        <v>11</v>
      </c>
      <c r="E3176" s="9">
        <v>137</v>
      </c>
      <c r="F3176" s="9">
        <v>7.7</v>
      </c>
      <c r="G3176" s="9">
        <v>9000000</v>
      </c>
      <c r="H3176" s="9">
        <v>10161099</v>
      </c>
      <c r="I3176" s="5">
        <f>IMDB_Movies!$H3176-IMDB_Movies!$G3176</f>
        <v>1161099</v>
      </c>
    </row>
    <row r="3177" spans="1:9" ht="23">
      <c r="A3177" s="2" t="s">
        <v>4626</v>
      </c>
      <c r="B3177" s="9" t="s">
        <v>4627</v>
      </c>
      <c r="C3177" s="9" t="s">
        <v>138</v>
      </c>
      <c r="D3177" s="9" t="s">
        <v>11</v>
      </c>
      <c r="E3177" s="9">
        <v>114</v>
      </c>
      <c r="F3177" s="9">
        <v>7.2</v>
      </c>
      <c r="G3177" s="9">
        <v>20000000</v>
      </c>
      <c r="H3177" s="9">
        <v>6610326</v>
      </c>
      <c r="I3177" s="5">
        <f>IMDB_Movies!$H3177-IMDB_Movies!$G3177</f>
        <v>-13389674</v>
      </c>
    </row>
    <row r="3178" spans="1:9" ht="23">
      <c r="A3178" s="2" t="s">
        <v>4628</v>
      </c>
      <c r="B3178" s="9" t="s">
        <v>4629</v>
      </c>
      <c r="C3178" s="9" t="s">
        <v>138</v>
      </c>
      <c r="D3178" s="9" t="s">
        <v>11</v>
      </c>
      <c r="E3178" s="9">
        <v>76</v>
      </c>
      <c r="F3178" s="9">
        <v>4.8</v>
      </c>
      <c r="G3178" s="9">
        <v>20000000</v>
      </c>
      <c r="H3178" s="9">
        <v>6126237</v>
      </c>
      <c r="I3178" s="5">
        <f>IMDB_Movies!$H3178-IMDB_Movies!$G3178</f>
        <v>-13873763</v>
      </c>
    </row>
    <row r="3179" spans="1:9" ht="23">
      <c r="A3179" s="2" t="s">
        <v>4630</v>
      </c>
      <c r="B3179" s="9" t="s">
        <v>239</v>
      </c>
      <c r="C3179" s="9" t="s">
        <v>10</v>
      </c>
      <c r="D3179" s="9" t="s">
        <v>11</v>
      </c>
      <c r="E3179" s="9">
        <v>119</v>
      </c>
      <c r="F3179" s="9">
        <v>6.7</v>
      </c>
      <c r="G3179" s="9">
        <v>8500000</v>
      </c>
      <c r="H3179" s="9">
        <v>6047856</v>
      </c>
      <c r="I3179" s="5">
        <f>IMDB_Movies!$H3179-IMDB_Movies!$G3179</f>
        <v>-2452144</v>
      </c>
    </row>
    <row r="3180" spans="1:9" ht="23">
      <c r="A3180" s="2" t="s">
        <v>4631</v>
      </c>
      <c r="B3180" s="9" t="s">
        <v>1671</v>
      </c>
      <c r="C3180" s="9" t="s">
        <v>138</v>
      </c>
      <c r="D3180" s="9" t="s">
        <v>11</v>
      </c>
      <c r="E3180" s="9">
        <v>99</v>
      </c>
      <c r="F3180" s="9">
        <v>7</v>
      </c>
      <c r="G3180" s="9">
        <v>9000000</v>
      </c>
      <c r="H3180" s="9">
        <v>4681503</v>
      </c>
      <c r="I3180" s="5">
        <f>IMDB_Movies!$H3180-IMDB_Movies!$G3180</f>
        <v>-4318497</v>
      </c>
    </row>
    <row r="3181" spans="1:9" ht="23">
      <c r="A3181" s="2" t="s">
        <v>4632</v>
      </c>
      <c r="B3181" s="9" t="s">
        <v>4633</v>
      </c>
      <c r="C3181" s="9" t="s">
        <v>138</v>
      </c>
      <c r="D3181" s="9" t="s">
        <v>11</v>
      </c>
      <c r="E3181" s="9">
        <v>79</v>
      </c>
      <c r="F3181" s="9">
        <v>6.5</v>
      </c>
      <c r="G3181" s="9">
        <v>8000000</v>
      </c>
      <c r="H3181" s="9">
        <v>4350774</v>
      </c>
      <c r="I3181" s="5">
        <f>IMDB_Movies!$H3181-IMDB_Movies!$G3181</f>
        <v>-3649226</v>
      </c>
    </row>
    <row r="3182" spans="1:9" ht="23">
      <c r="A3182" s="2" t="s">
        <v>4634</v>
      </c>
      <c r="B3182" s="9" t="s">
        <v>3184</v>
      </c>
      <c r="C3182" s="9" t="s">
        <v>56</v>
      </c>
      <c r="D3182" s="9" t="s">
        <v>11</v>
      </c>
      <c r="E3182" s="9">
        <v>114</v>
      </c>
      <c r="F3182" s="9">
        <v>7.4</v>
      </c>
      <c r="G3182" s="9">
        <v>20000000</v>
      </c>
      <c r="H3182" s="9">
        <v>3420871</v>
      </c>
      <c r="I3182" s="5">
        <f>IMDB_Movies!$H3182-IMDB_Movies!$G3182</f>
        <v>-16579129</v>
      </c>
    </row>
    <row r="3183" spans="1:9" ht="23">
      <c r="A3183" s="2" t="s">
        <v>4635</v>
      </c>
      <c r="B3183" s="9" t="s">
        <v>4636</v>
      </c>
      <c r="C3183" s="9" t="s">
        <v>10</v>
      </c>
      <c r="D3183" s="9" t="s">
        <v>11</v>
      </c>
      <c r="E3183" s="9">
        <v>91</v>
      </c>
      <c r="F3183" s="9">
        <v>5.7</v>
      </c>
      <c r="G3183" s="9">
        <v>9000000</v>
      </c>
      <c r="H3183" s="9">
        <v>25078937</v>
      </c>
      <c r="I3183" s="5">
        <f>IMDB_Movies!$H3183-IMDB_Movies!$G3183</f>
        <v>16078937</v>
      </c>
    </row>
    <row r="3184" spans="1:9" ht="23">
      <c r="A3184" s="2" t="s">
        <v>4637</v>
      </c>
      <c r="B3184" s="9" t="s">
        <v>3925</v>
      </c>
      <c r="C3184" s="9" t="s">
        <v>418</v>
      </c>
      <c r="D3184" s="9" t="s">
        <v>11</v>
      </c>
      <c r="E3184" s="9">
        <v>95</v>
      </c>
      <c r="F3184" s="9">
        <v>6.2</v>
      </c>
      <c r="G3184" s="9">
        <v>9000000</v>
      </c>
      <c r="H3184" s="9">
        <v>2955039</v>
      </c>
      <c r="I3184" s="5">
        <f>IMDB_Movies!$H3184-IMDB_Movies!$G3184</f>
        <v>-6044961</v>
      </c>
    </row>
    <row r="3185" spans="1:9" ht="23">
      <c r="A3185" s="2" t="s">
        <v>4638</v>
      </c>
      <c r="B3185" s="9" t="s">
        <v>3391</v>
      </c>
      <c r="C3185" s="9" t="s">
        <v>138</v>
      </c>
      <c r="D3185" s="9" t="s">
        <v>11</v>
      </c>
      <c r="E3185" s="9">
        <v>103</v>
      </c>
      <c r="F3185" s="9">
        <v>5.7</v>
      </c>
      <c r="G3185" s="9">
        <v>9000000</v>
      </c>
      <c r="H3185" s="9">
        <v>1530535</v>
      </c>
      <c r="I3185" s="5">
        <f>IMDB_Movies!$H3185-IMDB_Movies!$G3185</f>
        <v>-7469465</v>
      </c>
    </row>
    <row r="3186" spans="1:9" ht="23">
      <c r="A3186" s="2" t="s">
        <v>4639</v>
      </c>
      <c r="B3186" s="9" t="s">
        <v>3112</v>
      </c>
      <c r="C3186" s="9" t="s">
        <v>138</v>
      </c>
      <c r="D3186" s="9" t="s">
        <v>11</v>
      </c>
      <c r="E3186" s="9">
        <v>92</v>
      </c>
      <c r="F3186" s="9">
        <v>6.4</v>
      </c>
      <c r="G3186" s="9">
        <v>9000000</v>
      </c>
      <c r="H3186" s="9">
        <v>4881867</v>
      </c>
      <c r="I3186" s="5">
        <f>IMDB_Movies!$H3186-IMDB_Movies!$G3186</f>
        <v>-4118133</v>
      </c>
    </row>
    <row r="3187" spans="1:9" ht="23">
      <c r="A3187" s="2" t="s">
        <v>4640</v>
      </c>
      <c r="B3187" s="9" t="s">
        <v>3238</v>
      </c>
      <c r="C3187" s="9" t="s">
        <v>56</v>
      </c>
      <c r="D3187" s="9" t="s">
        <v>11</v>
      </c>
      <c r="E3187" s="9">
        <v>124</v>
      </c>
      <c r="F3187" s="9">
        <v>7</v>
      </c>
      <c r="G3187" s="9">
        <v>20000000</v>
      </c>
      <c r="H3187" s="9">
        <v>1043487</v>
      </c>
      <c r="I3187" s="5">
        <f>IMDB_Movies!$H3187-IMDB_Movies!$G3187</f>
        <v>-18956513</v>
      </c>
    </row>
    <row r="3188" spans="1:9" ht="23">
      <c r="A3188" s="2" t="s">
        <v>4641</v>
      </c>
      <c r="B3188" s="9" t="s">
        <v>4642</v>
      </c>
      <c r="C3188" s="9" t="s">
        <v>713</v>
      </c>
      <c r="D3188" s="9" t="s">
        <v>3647</v>
      </c>
      <c r="E3188" s="9">
        <v>156</v>
      </c>
      <c r="F3188" s="9">
        <v>7.7</v>
      </c>
      <c r="G3188" s="9">
        <v>20000000</v>
      </c>
      <c r="H3188" s="9">
        <v>770629</v>
      </c>
      <c r="I3188" s="5">
        <f>IMDB_Movies!$H3188-IMDB_Movies!$G3188</f>
        <v>-19229371</v>
      </c>
    </row>
    <row r="3189" spans="1:9" ht="23">
      <c r="A3189" s="2" t="s">
        <v>4643</v>
      </c>
      <c r="B3189" s="9" t="s">
        <v>3384</v>
      </c>
      <c r="C3189" s="9" t="s">
        <v>772</v>
      </c>
      <c r="D3189" s="9" t="s">
        <v>11</v>
      </c>
      <c r="E3189" s="9">
        <v>84</v>
      </c>
      <c r="F3189" s="9">
        <v>5.4</v>
      </c>
      <c r="G3189" s="9">
        <v>9000000</v>
      </c>
      <c r="H3189" s="9">
        <v>11860839</v>
      </c>
      <c r="I3189" s="5">
        <f>IMDB_Movies!$H3189-IMDB_Movies!$G3189</f>
        <v>2860839</v>
      </c>
    </row>
    <row r="3190" spans="1:9" ht="23">
      <c r="A3190" s="2" t="s">
        <v>4644</v>
      </c>
      <c r="B3190" s="9" t="s">
        <v>4645</v>
      </c>
      <c r="C3190" s="9" t="s">
        <v>10</v>
      </c>
      <c r="D3190" s="9" t="s">
        <v>3835</v>
      </c>
      <c r="E3190" s="9">
        <v>300</v>
      </c>
      <c r="F3190" s="9">
        <v>6.6</v>
      </c>
      <c r="G3190" s="9">
        <v>400000000</v>
      </c>
      <c r="H3190" s="9">
        <v>454255</v>
      </c>
      <c r="I3190" s="5">
        <f>IMDB_Movies!$H3190-IMDB_Movies!$G3190</f>
        <v>-399545745</v>
      </c>
    </row>
    <row r="3191" spans="1:9" ht="23">
      <c r="A3191" s="2" t="s">
        <v>4646</v>
      </c>
      <c r="B3191" s="9" t="s">
        <v>4647</v>
      </c>
      <c r="C3191" s="9" t="s">
        <v>810</v>
      </c>
      <c r="D3191" s="9" t="s">
        <v>11</v>
      </c>
      <c r="E3191" s="9">
        <v>120</v>
      </c>
      <c r="F3191" s="9">
        <v>6.1</v>
      </c>
      <c r="G3191" s="9">
        <v>9000000</v>
      </c>
      <c r="H3191" s="9">
        <v>349618</v>
      </c>
      <c r="I3191" s="5">
        <f>IMDB_Movies!$H3191-IMDB_Movies!$G3191</f>
        <v>-8650382</v>
      </c>
    </row>
    <row r="3192" spans="1:9" ht="23">
      <c r="A3192" s="2" t="s">
        <v>4648</v>
      </c>
      <c r="B3192" s="9" t="s">
        <v>4649</v>
      </c>
      <c r="C3192" s="9" t="s">
        <v>138</v>
      </c>
      <c r="D3192" s="9" t="s">
        <v>394</v>
      </c>
      <c r="E3192" s="9">
        <v>98</v>
      </c>
      <c r="F3192" s="9">
        <v>6.1</v>
      </c>
      <c r="G3192" s="9">
        <v>20000000</v>
      </c>
      <c r="H3192" s="9">
        <v>25078937</v>
      </c>
      <c r="I3192" s="5">
        <f>IMDB_Movies!$H3192-IMDB_Movies!$G3192</f>
        <v>5078937</v>
      </c>
    </row>
    <row r="3193" spans="1:9" ht="23">
      <c r="A3193" s="2" t="s">
        <v>4650</v>
      </c>
      <c r="B3193" s="9" t="s">
        <v>3221</v>
      </c>
      <c r="C3193" s="9" t="s">
        <v>56</v>
      </c>
      <c r="D3193" s="9" t="s">
        <v>11</v>
      </c>
      <c r="E3193" s="9">
        <v>121</v>
      </c>
      <c r="F3193" s="9">
        <v>7.6</v>
      </c>
      <c r="G3193" s="9">
        <v>9000000</v>
      </c>
      <c r="H3193" s="9">
        <v>112935</v>
      </c>
      <c r="I3193" s="5">
        <f>IMDB_Movies!$H3193-IMDB_Movies!$G3193</f>
        <v>-8887065</v>
      </c>
    </row>
    <row r="3194" spans="1:9" ht="23">
      <c r="A3194" s="2" t="s">
        <v>4651</v>
      </c>
      <c r="B3194" s="9" t="s">
        <v>4652</v>
      </c>
      <c r="C3194" s="9" t="s">
        <v>56</v>
      </c>
      <c r="D3194" s="9" t="s">
        <v>11</v>
      </c>
      <c r="E3194" s="9">
        <v>97</v>
      </c>
      <c r="F3194" s="9">
        <v>6.2</v>
      </c>
      <c r="G3194" s="9">
        <v>9000000</v>
      </c>
      <c r="H3194" s="9">
        <v>883887</v>
      </c>
      <c r="I3194" s="5">
        <f>IMDB_Movies!$H3194-IMDB_Movies!$G3194</f>
        <v>-8116113</v>
      </c>
    </row>
    <row r="3195" spans="1:9" ht="23">
      <c r="A3195" s="2" t="s">
        <v>4653</v>
      </c>
      <c r="B3195" s="9" t="s">
        <v>3795</v>
      </c>
      <c r="C3195" s="9" t="s">
        <v>56</v>
      </c>
      <c r="D3195" s="9" t="s">
        <v>11</v>
      </c>
      <c r="E3195" s="9">
        <v>86</v>
      </c>
      <c r="F3195" s="9">
        <v>6.6</v>
      </c>
      <c r="G3195" s="9">
        <v>11400000</v>
      </c>
      <c r="H3195" s="9">
        <v>13751</v>
      </c>
      <c r="I3195" s="5">
        <f>IMDB_Movies!$H3195-IMDB_Movies!$G3195</f>
        <v>-11386249</v>
      </c>
    </row>
    <row r="3196" spans="1:9" ht="23">
      <c r="A3196" s="2" t="s">
        <v>4654</v>
      </c>
      <c r="B3196" s="9" t="s">
        <v>4655</v>
      </c>
      <c r="C3196" s="9" t="s">
        <v>56</v>
      </c>
      <c r="D3196" s="9" t="s">
        <v>4656</v>
      </c>
      <c r="E3196" s="9">
        <v>45</v>
      </c>
      <c r="F3196" s="9">
        <v>7.3</v>
      </c>
      <c r="G3196" s="9">
        <v>45000000</v>
      </c>
      <c r="H3196" s="9">
        <v>145109</v>
      </c>
      <c r="I3196" s="5">
        <f>IMDB_Movies!$H3196-IMDB_Movies!$G3196</f>
        <v>-44854891</v>
      </c>
    </row>
    <row r="3197" spans="1:9" ht="23">
      <c r="A3197" s="2" t="s">
        <v>4657</v>
      </c>
      <c r="B3197" s="9" t="s">
        <v>4658</v>
      </c>
      <c r="C3197" s="9" t="s">
        <v>138</v>
      </c>
      <c r="D3197" s="9" t="s">
        <v>11</v>
      </c>
      <c r="E3197" s="9">
        <v>97</v>
      </c>
      <c r="F3197" s="9">
        <v>4.2</v>
      </c>
      <c r="G3197" s="9">
        <v>9000000</v>
      </c>
      <c r="H3197" s="9">
        <v>1046166</v>
      </c>
      <c r="I3197" s="5">
        <f>IMDB_Movies!$H3197-IMDB_Movies!$G3197</f>
        <v>-7953834</v>
      </c>
    </row>
    <row r="3198" spans="1:9" ht="23">
      <c r="A3198" s="2" t="s">
        <v>4659</v>
      </c>
      <c r="B3198" s="9" t="s">
        <v>3539</v>
      </c>
      <c r="C3198" s="9" t="s">
        <v>414</v>
      </c>
      <c r="D3198" s="9" t="s">
        <v>11</v>
      </c>
      <c r="E3198" s="9">
        <v>102</v>
      </c>
      <c r="F3198" s="9">
        <v>7.1</v>
      </c>
      <c r="G3198" s="9">
        <v>20000000</v>
      </c>
      <c r="H3198" s="9">
        <v>25078937</v>
      </c>
      <c r="I3198" s="5">
        <f>IMDB_Movies!$H3198-IMDB_Movies!$G3198</f>
        <v>5078937</v>
      </c>
    </row>
    <row r="3199" spans="1:9" ht="23">
      <c r="A3199" s="2" t="s">
        <v>4660</v>
      </c>
      <c r="B3199" s="9" t="s">
        <v>4661</v>
      </c>
      <c r="C3199" s="9" t="s">
        <v>56</v>
      </c>
      <c r="D3199" s="9" t="s">
        <v>394</v>
      </c>
      <c r="E3199" s="9">
        <v>105</v>
      </c>
      <c r="F3199" s="9">
        <v>6</v>
      </c>
      <c r="G3199" s="9">
        <v>20000000</v>
      </c>
      <c r="H3199" s="9">
        <v>2874</v>
      </c>
      <c r="I3199" s="5">
        <f>IMDB_Movies!$H3199-IMDB_Movies!$G3199</f>
        <v>-19997126</v>
      </c>
    </row>
    <row r="3200" spans="1:9" ht="23">
      <c r="A3200" s="2" t="s">
        <v>4662</v>
      </c>
      <c r="B3200" s="9" t="s">
        <v>4663</v>
      </c>
      <c r="C3200" s="9" t="s">
        <v>56</v>
      </c>
      <c r="D3200" s="9" t="s">
        <v>11</v>
      </c>
      <c r="E3200" s="9">
        <v>103</v>
      </c>
      <c r="F3200" s="9">
        <v>6.5</v>
      </c>
      <c r="G3200" s="9">
        <v>9000000</v>
      </c>
      <c r="H3200" s="9">
        <v>25078937</v>
      </c>
      <c r="I3200" s="5">
        <f>IMDB_Movies!$H3200-IMDB_Movies!$G3200</f>
        <v>16078937</v>
      </c>
    </row>
    <row r="3201" spans="1:9" ht="23">
      <c r="A3201" s="2" t="s">
        <v>4664</v>
      </c>
      <c r="B3201" s="9" t="s">
        <v>4665</v>
      </c>
      <c r="C3201" s="9" t="s">
        <v>24</v>
      </c>
      <c r="D3201" s="9" t="s">
        <v>11</v>
      </c>
      <c r="E3201" s="9">
        <v>93</v>
      </c>
      <c r="F3201" s="9">
        <v>6.5</v>
      </c>
      <c r="G3201" s="9">
        <v>8800000</v>
      </c>
      <c r="H3201" s="9">
        <v>174635000</v>
      </c>
      <c r="I3201" s="5">
        <f>IMDB_Movies!$H3201-IMDB_Movies!$G3201</f>
        <v>165835000</v>
      </c>
    </row>
    <row r="3202" spans="1:9" ht="23">
      <c r="A3202" s="2" t="s">
        <v>4666</v>
      </c>
      <c r="B3202" s="9" t="s">
        <v>4667</v>
      </c>
      <c r="C3202" s="9" t="s">
        <v>10</v>
      </c>
      <c r="D3202" s="9" t="s">
        <v>11</v>
      </c>
      <c r="E3202" s="9">
        <v>76</v>
      </c>
      <c r="F3202" s="9">
        <v>5.7</v>
      </c>
      <c r="G3202" s="9">
        <v>20000000</v>
      </c>
      <c r="H3202" s="9">
        <v>25078937</v>
      </c>
      <c r="I3202" s="5">
        <f>IMDB_Movies!$H3202-IMDB_Movies!$G3202</f>
        <v>5078937</v>
      </c>
    </row>
    <row r="3203" spans="1:9" ht="23">
      <c r="A3203" s="2" t="s">
        <v>4668</v>
      </c>
      <c r="B3203" s="9" t="s">
        <v>4669</v>
      </c>
      <c r="C3203" s="9" t="s">
        <v>228</v>
      </c>
      <c r="D3203" s="9" t="s">
        <v>11</v>
      </c>
      <c r="E3203" s="9">
        <v>90</v>
      </c>
      <c r="F3203" s="9">
        <v>6.1</v>
      </c>
      <c r="G3203" s="9">
        <v>8800000</v>
      </c>
      <c r="H3203" s="9">
        <v>25078937</v>
      </c>
      <c r="I3203" s="5">
        <f>IMDB_Movies!$H3203-IMDB_Movies!$G3203</f>
        <v>16278937</v>
      </c>
    </row>
    <row r="3204" spans="1:9" ht="23">
      <c r="A3204" s="2" t="s">
        <v>4670</v>
      </c>
      <c r="B3204" s="9" t="s">
        <v>4671</v>
      </c>
      <c r="C3204" s="9" t="s">
        <v>56</v>
      </c>
      <c r="D3204" s="9" t="s">
        <v>11</v>
      </c>
      <c r="E3204" s="9">
        <v>122</v>
      </c>
      <c r="F3204" s="9">
        <v>7.1</v>
      </c>
      <c r="G3204" s="9">
        <v>9000000</v>
      </c>
      <c r="H3204" s="9">
        <v>25078937</v>
      </c>
      <c r="I3204" s="5">
        <f>IMDB_Movies!$H3204-IMDB_Movies!$G3204</f>
        <v>16078937</v>
      </c>
    </row>
    <row r="3205" spans="1:9" ht="23">
      <c r="A3205" s="2" t="s">
        <v>4672</v>
      </c>
      <c r="B3205" s="9" t="s">
        <v>4673</v>
      </c>
      <c r="C3205" s="9" t="s">
        <v>414</v>
      </c>
      <c r="D3205" s="9" t="s">
        <v>394</v>
      </c>
      <c r="E3205" s="9">
        <v>127</v>
      </c>
      <c r="F3205" s="9">
        <v>7.3</v>
      </c>
      <c r="G3205" s="9">
        <v>20000000</v>
      </c>
      <c r="H3205" s="9">
        <v>171320</v>
      </c>
      <c r="I3205" s="5">
        <f>IMDB_Movies!$H3205-IMDB_Movies!$G3205</f>
        <v>-19828680</v>
      </c>
    </row>
    <row r="3206" spans="1:9" ht="23">
      <c r="A3206" s="2" t="s">
        <v>4674</v>
      </c>
      <c r="B3206" s="9" t="s">
        <v>4675</v>
      </c>
      <c r="C3206" s="9" t="s">
        <v>414</v>
      </c>
      <c r="D3206" s="9" t="s">
        <v>11</v>
      </c>
      <c r="E3206" s="9">
        <v>84</v>
      </c>
      <c r="F3206" s="9">
        <v>6.5</v>
      </c>
      <c r="G3206" s="9">
        <v>8600000</v>
      </c>
      <c r="H3206" s="9">
        <v>14373825</v>
      </c>
      <c r="I3206" s="5">
        <f>IMDB_Movies!$H3206-IMDB_Movies!$G3206</f>
        <v>5773825</v>
      </c>
    </row>
    <row r="3207" spans="1:9" ht="23">
      <c r="A3207" s="2" t="s">
        <v>4676</v>
      </c>
      <c r="B3207" s="9" t="s">
        <v>4677</v>
      </c>
      <c r="C3207" s="9" t="s">
        <v>10</v>
      </c>
      <c r="D3207" s="9" t="s">
        <v>11</v>
      </c>
      <c r="E3207" s="9">
        <v>96</v>
      </c>
      <c r="F3207" s="9">
        <v>5.7</v>
      </c>
      <c r="G3207" s="9">
        <v>9000000</v>
      </c>
      <c r="H3207" s="9">
        <v>162</v>
      </c>
      <c r="I3207" s="5">
        <f>IMDB_Movies!$H3207-IMDB_Movies!$G3207</f>
        <v>-8999838</v>
      </c>
    </row>
    <row r="3208" spans="1:9" ht="23">
      <c r="A3208" s="2" t="s">
        <v>4678</v>
      </c>
      <c r="B3208" s="9" t="s">
        <v>357</v>
      </c>
      <c r="C3208" s="9" t="s">
        <v>138</v>
      </c>
      <c r="D3208" s="9" t="s">
        <v>11</v>
      </c>
      <c r="E3208" s="9">
        <v>97</v>
      </c>
      <c r="F3208" s="9">
        <v>7.2</v>
      </c>
      <c r="G3208" s="9">
        <v>20000000</v>
      </c>
      <c r="H3208" s="9">
        <v>32222567</v>
      </c>
      <c r="I3208" s="5">
        <f>IMDB_Movies!$H3208-IMDB_Movies!$G3208</f>
        <v>12222567</v>
      </c>
    </row>
    <row r="3209" spans="1:9" ht="23">
      <c r="A3209" s="2" t="s">
        <v>4679</v>
      </c>
      <c r="B3209" s="9" t="s">
        <v>1323</v>
      </c>
      <c r="C3209" s="9" t="s">
        <v>56</v>
      </c>
      <c r="D3209" s="9" t="s">
        <v>11</v>
      </c>
      <c r="E3209" s="9">
        <v>112</v>
      </c>
      <c r="F3209" s="9">
        <v>7.3</v>
      </c>
      <c r="G3209" s="9">
        <v>7000000</v>
      </c>
      <c r="H3209" s="9">
        <v>39462438</v>
      </c>
      <c r="I3209" s="5">
        <f>IMDB_Movies!$H3209-IMDB_Movies!$G3209</f>
        <v>32462438</v>
      </c>
    </row>
    <row r="3210" spans="1:9" ht="23">
      <c r="A3210" s="2" t="s">
        <v>4680</v>
      </c>
      <c r="B3210" s="9" t="s">
        <v>4681</v>
      </c>
      <c r="C3210" s="9" t="s">
        <v>56</v>
      </c>
      <c r="D3210" s="9" t="s">
        <v>11</v>
      </c>
      <c r="E3210" s="9">
        <v>125</v>
      </c>
      <c r="F3210" s="9">
        <v>6.9</v>
      </c>
      <c r="G3210" s="9">
        <v>8500000</v>
      </c>
      <c r="H3210" s="9">
        <v>29200000</v>
      </c>
      <c r="I3210" s="5">
        <f>IMDB_Movies!$H3210-IMDB_Movies!$G3210</f>
        <v>20700000</v>
      </c>
    </row>
    <row r="3211" spans="1:9" ht="23">
      <c r="A3211" s="2" t="s">
        <v>4682</v>
      </c>
      <c r="B3211" s="9" t="s">
        <v>4683</v>
      </c>
      <c r="C3211" s="9" t="s">
        <v>138</v>
      </c>
      <c r="D3211" s="9" t="s">
        <v>11</v>
      </c>
      <c r="E3211" s="9">
        <v>96</v>
      </c>
      <c r="F3211" s="9">
        <v>5</v>
      </c>
      <c r="G3211" s="9">
        <v>8500000</v>
      </c>
      <c r="H3211" s="9">
        <v>21564616</v>
      </c>
      <c r="I3211" s="5">
        <f>IMDB_Movies!$H3211-IMDB_Movies!$G3211</f>
        <v>13064616</v>
      </c>
    </row>
    <row r="3212" spans="1:9" ht="23">
      <c r="A3212" s="2" t="s">
        <v>4684</v>
      </c>
      <c r="B3212" s="9" t="s">
        <v>4685</v>
      </c>
      <c r="C3212" s="9" t="s">
        <v>24</v>
      </c>
      <c r="D3212" s="9" t="s">
        <v>11</v>
      </c>
      <c r="E3212" s="9">
        <v>98</v>
      </c>
      <c r="F3212" s="9">
        <v>5.9</v>
      </c>
      <c r="G3212" s="9">
        <v>9000000</v>
      </c>
      <c r="H3212" s="9">
        <v>25078937</v>
      </c>
      <c r="I3212" s="5">
        <f>IMDB_Movies!$H3212-IMDB_Movies!$G3212</f>
        <v>16078937</v>
      </c>
    </row>
    <row r="3213" spans="1:9" ht="23">
      <c r="A3213" s="2" t="s">
        <v>4686</v>
      </c>
      <c r="B3213" s="9" t="s">
        <v>4687</v>
      </c>
      <c r="C3213" s="9" t="s">
        <v>24</v>
      </c>
      <c r="D3213" s="9" t="s">
        <v>11</v>
      </c>
      <c r="E3213" s="9">
        <v>92</v>
      </c>
      <c r="F3213" s="9">
        <v>6.7</v>
      </c>
      <c r="G3213" s="9">
        <v>60000000</v>
      </c>
      <c r="H3213" s="9">
        <v>25078937</v>
      </c>
      <c r="I3213" s="5">
        <f>IMDB_Movies!$H3213-IMDB_Movies!$G3213</f>
        <v>-34921063</v>
      </c>
    </row>
    <row r="3214" spans="1:9" ht="23">
      <c r="A3214" s="2" t="s">
        <v>4688</v>
      </c>
      <c r="B3214" s="9" t="s">
        <v>2285</v>
      </c>
      <c r="C3214" s="9" t="s">
        <v>138</v>
      </c>
      <c r="D3214" s="9" t="s">
        <v>11</v>
      </c>
      <c r="E3214" s="9">
        <v>103</v>
      </c>
      <c r="F3214" s="9">
        <v>7.3</v>
      </c>
      <c r="G3214" s="9">
        <v>8000000</v>
      </c>
      <c r="H3214" s="9">
        <v>14879556</v>
      </c>
      <c r="I3214" s="5">
        <f>IMDB_Movies!$H3214-IMDB_Movies!$G3214</f>
        <v>6879556</v>
      </c>
    </row>
    <row r="3215" spans="1:9" ht="23">
      <c r="A3215" s="2" t="s">
        <v>4689</v>
      </c>
      <c r="B3215" s="9" t="s">
        <v>2916</v>
      </c>
      <c r="C3215" s="9" t="s">
        <v>56</v>
      </c>
      <c r="D3215" s="9" t="s">
        <v>11</v>
      </c>
      <c r="E3215" s="9">
        <v>122</v>
      </c>
      <c r="F3215" s="9">
        <v>7.6</v>
      </c>
      <c r="G3215" s="9">
        <v>20000000</v>
      </c>
      <c r="H3215" s="9">
        <v>13569248</v>
      </c>
      <c r="I3215" s="5">
        <f>IMDB_Movies!$H3215-IMDB_Movies!$G3215</f>
        <v>-6430752</v>
      </c>
    </row>
    <row r="3216" spans="1:9" ht="23">
      <c r="A3216" s="2" t="s">
        <v>4690</v>
      </c>
      <c r="B3216" s="9" t="s">
        <v>4691</v>
      </c>
      <c r="C3216" s="9" t="s">
        <v>138</v>
      </c>
      <c r="D3216" s="9" t="s">
        <v>11</v>
      </c>
      <c r="E3216" s="9">
        <v>101</v>
      </c>
      <c r="F3216" s="9">
        <v>6.5</v>
      </c>
      <c r="G3216" s="9">
        <v>8500000</v>
      </c>
      <c r="H3216" s="9">
        <v>34017854</v>
      </c>
      <c r="I3216" s="5">
        <f>IMDB_Movies!$H3216-IMDB_Movies!$G3216</f>
        <v>25517854</v>
      </c>
    </row>
    <row r="3217" spans="1:9" ht="23">
      <c r="A3217" s="2" t="s">
        <v>4692</v>
      </c>
      <c r="B3217" s="9" t="s">
        <v>4693</v>
      </c>
      <c r="C3217" s="9" t="s">
        <v>56</v>
      </c>
      <c r="D3217" s="9" t="s">
        <v>11</v>
      </c>
      <c r="E3217" s="9">
        <v>104</v>
      </c>
      <c r="F3217" s="9">
        <v>2.1</v>
      </c>
      <c r="G3217" s="9">
        <v>22000000</v>
      </c>
      <c r="H3217" s="9">
        <v>4273372</v>
      </c>
      <c r="I3217" s="5">
        <f>IMDB_Movies!$H3217-IMDB_Movies!$G3217</f>
        <v>-17726628</v>
      </c>
    </row>
    <row r="3218" spans="1:9" ht="23">
      <c r="A3218" s="2" t="s">
        <v>4694</v>
      </c>
      <c r="B3218" s="9" t="s">
        <v>4695</v>
      </c>
      <c r="C3218" s="9" t="s">
        <v>56</v>
      </c>
      <c r="D3218" s="9" t="s">
        <v>11</v>
      </c>
      <c r="E3218" s="9">
        <v>101</v>
      </c>
      <c r="F3218" s="9">
        <v>5.3</v>
      </c>
      <c r="G3218" s="9">
        <v>9000000</v>
      </c>
      <c r="H3218" s="9">
        <v>25078937</v>
      </c>
      <c r="I3218" s="5">
        <f>IMDB_Movies!$H3218-IMDB_Movies!$G3218</f>
        <v>16078937</v>
      </c>
    </row>
    <row r="3219" spans="1:9" ht="23">
      <c r="A3219" s="2" t="s">
        <v>4696</v>
      </c>
      <c r="B3219" s="9" t="s">
        <v>4697</v>
      </c>
      <c r="C3219" s="9" t="s">
        <v>10</v>
      </c>
      <c r="D3219" s="9" t="s">
        <v>3647</v>
      </c>
      <c r="E3219" s="9">
        <v>135</v>
      </c>
      <c r="F3219" s="9">
        <v>7.2</v>
      </c>
      <c r="G3219" s="9">
        <v>8000000</v>
      </c>
      <c r="H3219" s="9">
        <v>25078937</v>
      </c>
      <c r="I3219" s="5">
        <f>IMDB_Movies!$H3219-IMDB_Movies!$G3219</f>
        <v>17078937</v>
      </c>
    </row>
    <row r="3220" spans="1:9" ht="23">
      <c r="A3220" s="2" t="s">
        <v>4698</v>
      </c>
      <c r="B3220" s="9" t="s">
        <v>4169</v>
      </c>
      <c r="C3220" s="9" t="s">
        <v>418</v>
      </c>
      <c r="D3220" s="9" t="s">
        <v>11</v>
      </c>
      <c r="E3220" s="9">
        <v>119</v>
      </c>
      <c r="F3220" s="9">
        <v>7</v>
      </c>
      <c r="G3220" s="9">
        <v>8500000</v>
      </c>
      <c r="H3220" s="9">
        <v>4440055</v>
      </c>
      <c r="I3220" s="5">
        <f>IMDB_Movies!$H3220-IMDB_Movies!$G3220</f>
        <v>-4059945</v>
      </c>
    </row>
    <row r="3221" spans="1:9" ht="23">
      <c r="A3221" s="2" t="s">
        <v>4699</v>
      </c>
      <c r="B3221" s="9" t="s">
        <v>4300</v>
      </c>
      <c r="C3221" s="9" t="s">
        <v>24</v>
      </c>
      <c r="D3221" s="9" t="s">
        <v>1534</v>
      </c>
      <c r="E3221" s="9">
        <v>128</v>
      </c>
      <c r="F3221" s="9">
        <v>8</v>
      </c>
      <c r="G3221" s="9">
        <v>12000000</v>
      </c>
      <c r="H3221" s="9">
        <v>4018695</v>
      </c>
      <c r="I3221" s="5">
        <f>IMDB_Movies!$H3221-IMDB_Movies!$G3221</f>
        <v>-7981305</v>
      </c>
    </row>
    <row r="3222" spans="1:9" ht="23">
      <c r="A3222" s="2" t="s">
        <v>4700</v>
      </c>
      <c r="B3222" s="9" t="s">
        <v>3232</v>
      </c>
      <c r="C3222" s="9" t="s">
        <v>10</v>
      </c>
      <c r="D3222" s="9" t="s">
        <v>11</v>
      </c>
      <c r="E3222" s="9">
        <v>106</v>
      </c>
      <c r="F3222" s="9">
        <v>6.9</v>
      </c>
      <c r="G3222" s="9">
        <v>9000000</v>
      </c>
      <c r="H3222" s="9">
        <v>6262942</v>
      </c>
      <c r="I3222" s="5">
        <f>IMDB_Movies!$H3222-IMDB_Movies!$G3222</f>
        <v>-2737058</v>
      </c>
    </row>
    <row r="3223" spans="1:9" ht="23">
      <c r="A3223" s="2" t="s">
        <v>4701</v>
      </c>
      <c r="B3223" s="9" t="s">
        <v>4702</v>
      </c>
      <c r="C3223" s="9" t="s">
        <v>24</v>
      </c>
      <c r="D3223" s="9" t="s">
        <v>11</v>
      </c>
      <c r="E3223" s="9">
        <v>126</v>
      </c>
      <c r="F3223" s="9">
        <v>7.1</v>
      </c>
      <c r="G3223" s="9">
        <v>8000000</v>
      </c>
      <c r="H3223" s="9">
        <v>1997807</v>
      </c>
      <c r="I3223" s="5">
        <f>IMDB_Movies!$H3223-IMDB_Movies!$G3223</f>
        <v>-6002193</v>
      </c>
    </row>
    <row r="3224" spans="1:9" ht="23">
      <c r="A3224" s="2" t="s">
        <v>4703</v>
      </c>
      <c r="B3224" s="9" t="s">
        <v>4704</v>
      </c>
      <c r="C3224" s="9" t="s">
        <v>138</v>
      </c>
      <c r="D3224" s="9" t="s">
        <v>1534</v>
      </c>
      <c r="E3224" s="9">
        <v>128</v>
      </c>
      <c r="F3224" s="9">
        <v>7.3</v>
      </c>
      <c r="G3224" s="9">
        <v>20000000</v>
      </c>
      <c r="H3224" s="9">
        <v>1207007</v>
      </c>
      <c r="I3224" s="5">
        <f>IMDB_Movies!$H3224-IMDB_Movies!$G3224</f>
        <v>-18792993</v>
      </c>
    </row>
    <row r="3225" spans="1:9" ht="23">
      <c r="A3225" s="2" t="s">
        <v>4705</v>
      </c>
      <c r="B3225" s="9" t="s">
        <v>4706</v>
      </c>
      <c r="C3225" s="9" t="s">
        <v>56</v>
      </c>
      <c r="D3225" s="9" t="s">
        <v>11</v>
      </c>
      <c r="E3225" s="9">
        <v>127</v>
      </c>
      <c r="F3225" s="9">
        <v>7.5</v>
      </c>
      <c r="G3225" s="9">
        <v>20000000</v>
      </c>
      <c r="H3225" s="9">
        <v>1829142</v>
      </c>
      <c r="I3225" s="5">
        <f>IMDB_Movies!$H3225-IMDB_Movies!$G3225</f>
        <v>-18170858</v>
      </c>
    </row>
    <row r="3226" spans="1:9" ht="23">
      <c r="A3226" s="2" t="s">
        <v>4707</v>
      </c>
      <c r="B3226" s="9" t="s">
        <v>4708</v>
      </c>
      <c r="C3226" s="9" t="s">
        <v>138</v>
      </c>
      <c r="D3226" s="9" t="s">
        <v>1534</v>
      </c>
      <c r="E3226" s="9">
        <v>160</v>
      </c>
      <c r="F3226" s="9">
        <v>6.9</v>
      </c>
      <c r="G3226" s="9">
        <v>20000000</v>
      </c>
      <c r="H3226" s="9">
        <v>3827466</v>
      </c>
      <c r="I3226" s="5">
        <f>IMDB_Movies!$H3226-IMDB_Movies!$G3226</f>
        <v>-16172534</v>
      </c>
    </row>
    <row r="3227" spans="1:9" ht="23">
      <c r="A3227" s="2" t="s">
        <v>4709</v>
      </c>
      <c r="B3227" s="9" t="s">
        <v>4710</v>
      </c>
      <c r="C3227" s="9" t="s">
        <v>418</v>
      </c>
      <c r="D3227" s="9" t="s">
        <v>11</v>
      </c>
      <c r="E3227" s="9">
        <v>171</v>
      </c>
      <c r="F3227" s="9">
        <v>7.2</v>
      </c>
      <c r="G3227" s="9">
        <v>7623000</v>
      </c>
      <c r="H3227" s="9">
        <v>25078937</v>
      </c>
      <c r="I3227" s="5">
        <f>IMDB_Movies!$H3227-IMDB_Movies!$G3227</f>
        <v>17455937</v>
      </c>
    </row>
    <row r="3228" spans="1:9" ht="23">
      <c r="A3228" s="2" t="s">
        <v>4711</v>
      </c>
      <c r="B3228" s="9" t="s">
        <v>4324</v>
      </c>
      <c r="C3228" s="9" t="s">
        <v>810</v>
      </c>
      <c r="D3228" s="9" t="s">
        <v>11</v>
      </c>
      <c r="E3228" s="9">
        <v>150</v>
      </c>
      <c r="F3228" s="9">
        <v>6.7</v>
      </c>
      <c r="G3228" s="9">
        <v>8500000</v>
      </c>
      <c r="H3228" s="9">
        <v>140244</v>
      </c>
      <c r="I3228" s="5">
        <f>IMDB_Movies!$H3228-IMDB_Movies!$G3228</f>
        <v>-8359756</v>
      </c>
    </row>
    <row r="3229" spans="1:9" ht="23">
      <c r="A3229" s="2" t="s">
        <v>4712</v>
      </c>
      <c r="B3229" s="9" t="s">
        <v>4713</v>
      </c>
      <c r="C3229" s="9" t="s">
        <v>10</v>
      </c>
      <c r="D3229" s="9" t="s">
        <v>4714</v>
      </c>
      <c r="E3229" s="9">
        <v>122</v>
      </c>
      <c r="F3229" s="9">
        <v>6</v>
      </c>
      <c r="G3229" s="9">
        <v>8300000</v>
      </c>
      <c r="H3229" s="9">
        <v>25078937</v>
      </c>
      <c r="I3229" s="5">
        <f>IMDB_Movies!$H3229-IMDB_Movies!$G3229</f>
        <v>16778937</v>
      </c>
    </row>
    <row r="3230" spans="1:9" ht="23">
      <c r="A3230" s="2" t="s">
        <v>4715</v>
      </c>
      <c r="B3230" s="9" t="s">
        <v>472</v>
      </c>
      <c r="C3230" s="9" t="s">
        <v>414</v>
      </c>
      <c r="D3230" s="9" t="s">
        <v>11</v>
      </c>
      <c r="E3230" s="9">
        <v>178</v>
      </c>
      <c r="F3230" s="9">
        <v>8.9</v>
      </c>
      <c r="G3230" s="9">
        <v>8000000</v>
      </c>
      <c r="H3230" s="9">
        <v>107930000</v>
      </c>
      <c r="I3230" s="5">
        <f>IMDB_Movies!$H3230-IMDB_Movies!$G3230</f>
        <v>99930000</v>
      </c>
    </row>
    <row r="3231" spans="1:9" ht="23">
      <c r="A3231" s="2" t="s">
        <v>4716</v>
      </c>
      <c r="B3231" s="9" t="s">
        <v>4717</v>
      </c>
      <c r="C3231" s="9" t="s">
        <v>24</v>
      </c>
      <c r="D3231" s="9" t="s">
        <v>11</v>
      </c>
      <c r="E3231" s="9">
        <v>95</v>
      </c>
      <c r="F3231" s="9">
        <v>7.7</v>
      </c>
      <c r="G3231" s="9">
        <v>20000000</v>
      </c>
      <c r="H3231" s="9">
        <v>76657000</v>
      </c>
      <c r="I3231" s="5">
        <f>IMDB_Movies!$H3231-IMDB_Movies!$G3231</f>
        <v>56657000</v>
      </c>
    </row>
    <row r="3232" spans="1:9" ht="23">
      <c r="A3232" s="2" t="s">
        <v>4718</v>
      </c>
      <c r="B3232" s="9" t="s">
        <v>4719</v>
      </c>
      <c r="C3232" s="9" t="s">
        <v>414</v>
      </c>
      <c r="D3232" s="9" t="s">
        <v>11</v>
      </c>
      <c r="E3232" s="9">
        <v>117</v>
      </c>
      <c r="F3232" s="9">
        <v>7.9</v>
      </c>
      <c r="G3232" s="9">
        <v>8500000</v>
      </c>
      <c r="H3232" s="9">
        <v>32279955</v>
      </c>
      <c r="I3232" s="5">
        <f>IMDB_Movies!$H3232-IMDB_Movies!$G3232</f>
        <v>23779955</v>
      </c>
    </row>
    <row r="3233" spans="1:9" ht="23">
      <c r="A3233" s="2" t="s">
        <v>4720</v>
      </c>
      <c r="B3233" s="9" t="s">
        <v>1338</v>
      </c>
      <c r="C3233" s="9" t="s">
        <v>138</v>
      </c>
      <c r="D3233" s="9" t="s">
        <v>11</v>
      </c>
      <c r="E3233" s="9">
        <v>119</v>
      </c>
      <c r="F3233" s="9">
        <v>5.6</v>
      </c>
      <c r="G3233" s="9">
        <v>8550000</v>
      </c>
      <c r="H3233" s="9">
        <v>4992159</v>
      </c>
      <c r="I3233" s="5">
        <f>IMDB_Movies!$H3233-IMDB_Movies!$G3233</f>
        <v>-3557841</v>
      </c>
    </row>
    <row r="3234" spans="1:9" ht="23">
      <c r="A3234" s="2" t="s">
        <v>4721</v>
      </c>
      <c r="B3234" s="9" t="s">
        <v>2016</v>
      </c>
      <c r="C3234" s="9" t="s">
        <v>418</v>
      </c>
      <c r="D3234" s="9" t="s">
        <v>11</v>
      </c>
      <c r="E3234" s="9">
        <v>174</v>
      </c>
      <c r="F3234" s="9">
        <v>8</v>
      </c>
      <c r="G3234" s="9">
        <v>8200000</v>
      </c>
      <c r="H3234" s="9">
        <v>163214286</v>
      </c>
      <c r="I3234" s="5">
        <f>IMDB_Movies!$H3234-IMDB_Movies!$G3234</f>
        <v>155014286</v>
      </c>
    </row>
    <row r="3235" spans="1:9" ht="23">
      <c r="A3235" s="2" t="s">
        <v>4722</v>
      </c>
      <c r="B3235" s="9" t="s">
        <v>227</v>
      </c>
      <c r="C3235" s="9" t="s">
        <v>138</v>
      </c>
      <c r="D3235" s="9" t="s">
        <v>11</v>
      </c>
      <c r="E3235" s="9">
        <v>111</v>
      </c>
      <c r="F3235" s="9">
        <v>6.2</v>
      </c>
      <c r="G3235" s="9">
        <v>8000000</v>
      </c>
      <c r="H3235" s="9">
        <v>69800000</v>
      </c>
      <c r="I3235" s="5">
        <f>IMDB_Movies!$H3235-IMDB_Movies!$G3235</f>
        <v>61800000</v>
      </c>
    </row>
    <row r="3236" spans="1:9" ht="23">
      <c r="A3236" s="2" t="s">
        <v>4723</v>
      </c>
      <c r="B3236" s="9" t="s">
        <v>4724</v>
      </c>
      <c r="C3236" s="9" t="s">
        <v>138</v>
      </c>
      <c r="D3236" s="9" t="s">
        <v>11</v>
      </c>
      <c r="E3236" s="9">
        <v>101</v>
      </c>
      <c r="F3236" s="9">
        <v>7.9</v>
      </c>
      <c r="G3236" s="9">
        <v>8000000</v>
      </c>
      <c r="H3236" s="9">
        <v>59889948</v>
      </c>
      <c r="I3236" s="5">
        <f>IMDB_Movies!$H3236-IMDB_Movies!$G3236</f>
        <v>51889948</v>
      </c>
    </row>
    <row r="3237" spans="1:9" ht="23">
      <c r="A3237" s="2" t="s">
        <v>4725</v>
      </c>
      <c r="B3237" s="9" t="s">
        <v>1044</v>
      </c>
      <c r="C3237" s="9" t="s">
        <v>24</v>
      </c>
      <c r="D3237" s="9" t="s">
        <v>11</v>
      </c>
      <c r="E3237" s="9">
        <v>89</v>
      </c>
      <c r="F3237" s="9">
        <v>8.1</v>
      </c>
      <c r="G3237" s="9">
        <v>8000000</v>
      </c>
      <c r="H3237" s="9">
        <v>52287414</v>
      </c>
      <c r="I3237" s="5">
        <f>IMDB_Movies!$H3237-IMDB_Movies!$G3237</f>
        <v>44287414</v>
      </c>
    </row>
    <row r="3238" spans="1:9" ht="23">
      <c r="A3238" s="2" t="s">
        <v>4726</v>
      </c>
      <c r="B3238" s="9" t="s">
        <v>1450</v>
      </c>
      <c r="C3238" s="9" t="s">
        <v>56</v>
      </c>
      <c r="D3238" s="9" t="s">
        <v>11</v>
      </c>
      <c r="E3238" s="9">
        <v>113</v>
      </c>
      <c r="F3238" s="9">
        <v>7.6</v>
      </c>
      <c r="G3238" s="9">
        <v>8000000</v>
      </c>
      <c r="H3238" s="9">
        <v>45063889</v>
      </c>
      <c r="I3238" s="5">
        <f>IMDB_Movies!$H3238-IMDB_Movies!$G3238</f>
        <v>37063889</v>
      </c>
    </row>
    <row r="3239" spans="1:9" ht="23">
      <c r="A3239" s="2" t="s">
        <v>4727</v>
      </c>
      <c r="B3239" s="9" t="s">
        <v>4728</v>
      </c>
      <c r="C3239" s="9" t="s">
        <v>56</v>
      </c>
      <c r="D3239" s="9" t="s">
        <v>11</v>
      </c>
      <c r="E3239" s="9">
        <v>95</v>
      </c>
      <c r="F3239" s="9">
        <v>3.5</v>
      </c>
      <c r="G3239" s="9">
        <v>8000000</v>
      </c>
      <c r="H3239" s="9">
        <v>40066497</v>
      </c>
      <c r="I3239" s="5">
        <f>IMDB_Movies!$H3239-IMDB_Movies!$G3239</f>
        <v>32066497</v>
      </c>
    </row>
    <row r="3240" spans="1:9" ht="23">
      <c r="A3240" s="2" t="s">
        <v>4729</v>
      </c>
      <c r="B3240" s="9" t="s">
        <v>4730</v>
      </c>
      <c r="C3240" s="9" t="s">
        <v>418</v>
      </c>
      <c r="D3240" s="9" t="s">
        <v>11</v>
      </c>
      <c r="E3240" s="9">
        <v>112</v>
      </c>
      <c r="F3240" s="9">
        <v>7.6</v>
      </c>
      <c r="G3240" s="9">
        <v>8000000</v>
      </c>
      <c r="H3240" s="9">
        <v>36500000</v>
      </c>
      <c r="I3240" s="5">
        <f>IMDB_Movies!$H3240-IMDB_Movies!$G3240</f>
        <v>28500000</v>
      </c>
    </row>
    <row r="3241" spans="1:9" ht="23">
      <c r="A3241" s="2" t="s">
        <v>4731</v>
      </c>
      <c r="B3241" s="9" t="s">
        <v>3903</v>
      </c>
      <c r="C3241" s="9" t="s">
        <v>138</v>
      </c>
      <c r="D3241" s="9" t="s">
        <v>11</v>
      </c>
      <c r="E3241" s="9">
        <v>109</v>
      </c>
      <c r="F3241" s="9">
        <v>6.5</v>
      </c>
      <c r="G3241" s="9">
        <v>8000000</v>
      </c>
      <c r="H3241" s="9">
        <v>27362712</v>
      </c>
      <c r="I3241" s="5">
        <f>IMDB_Movies!$H3241-IMDB_Movies!$G3241</f>
        <v>19362712</v>
      </c>
    </row>
    <row r="3242" spans="1:9" ht="23">
      <c r="A3242" s="2" t="s">
        <v>4732</v>
      </c>
      <c r="B3242" s="9" t="s">
        <v>4733</v>
      </c>
      <c r="C3242" s="9" t="s">
        <v>138</v>
      </c>
      <c r="D3242" s="9" t="s">
        <v>11</v>
      </c>
      <c r="E3242" s="9">
        <v>108</v>
      </c>
      <c r="F3242" s="9">
        <v>5.6</v>
      </c>
      <c r="G3242" s="9">
        <v>8000000</v>
      </c>
      <c r="H3242" s="9">
        <v>34746109</v>
      </c>
      <c r="I3242" s="5">
        <f>IMDB_Movies!$H3242-IMDB_Movies!$G3242</f>
        <v>26746109</v>
      </c>
    </row>
    <row r="3243" spans="1:9" ht="23">
      <c r="A3243" s="2" t="s">
        <v>4734</v>
      </c>
      <c r="B3243" s="9" t="s">
        <v>2287</v>
      </c>
      <c r="C3243" s="9" t="s">
        <v>138</v>
      </c>
      <c r="D3243" s="9" t="s">
        <v>11</v>
      </c>
      <c r="E3243" s="9">
        <v>100</v>
      </c>
      <c r="F3243" s="9">
        <v>7.7</v>
      </c>
      <c r="G3243" s="9">
        <v>8000000</v>
      </c>
      <c r="H3243" s="9">
        <v>34963967</v>
      </c>
      <c r="I3243" s="5">
        <f>IMDB_Movies!$H3243-IMDB_Movies!$G3243</f>
        <v>26963967</v>
      </c>
    </row>
    <row r="3244" spans="1:9" ht="23">
      <c r="A3244" s="2" t="s">
        <v>4735</v>
      </c>
      <c r="B3244" s="9" t="s">
        <v>4736</v>
      </c>
      <c r="C3244" s="9" t="s">
        <v>810</v>
      </c>
      <c r="D3244" s="9" t="s">
        <v>11</v>
      </c>
      <c r="E3244" s="9">
        <v>90</v>
      </c>
      <c r="F3244" s="9">
        <v>5.2</v>
      </c>
      <c r="G3244" s="9">
        <v>8000000</v>
      </c>
      <c r="H3244" s="9">
        <v>25926543</v>
      </c>
      <c r="I3244" s="5">
        <f>IMDB_Movies!$H3244-IMDB_Movies!$G3244</f>
        <v>17926543</v>
      </c>
    </row>
    <row r="3245" spans="1:9" ht="23">
      <c r="A3245" s="2" t="s">
        <v>4737</v>
      </c>
      <c r="B3245" s="9" t="s">
        <v>4738</v>
      </c>
      <c r="C3245" s="9" t="s">
        <v>138</v>
      </c>
      <c r="D3245" s="9" t="s">
        <v>11</v>
      </c>
      <c r="E3245" s="9">
        <v>94</v>
      </c>
      <c r="F3245" s="9">
        <v>6.1</v>
      </c>
      <c r="G3245" s="9">
        <v>8000000</v>
      </c>
      <c r="H3245" s="9">
        <v>26049082</v>
      </c>
      <c r="I3245" s="5">
        <f>IMDB_Movies!$H3245-IMDB_Movies!$G3245</f>
        <v>18049082</v>
      </c>
    </row>
    <row r="3246" spans="1:9" ht="23">
      <c r="A3246" s="2" t="s">
        <v>4739</v>
      </c>
      <c r="B3246" s="9" t="s">
        <v>4740</v>
      </c>
      <c r="C3246" s="9" t="s">
        <v>138</v>
      </c>
      <c r="D3246" s="9" t="s">
        <v>11</v>
      </c>
      <c r="E3246" s="9">
        <v>93</v>
      </c>
      <c r="F3246" s="9">
        <v>5</v>
      </c>
      <c r="G3246" s="9">
        <v>8000000</v>
      </c>
      <c r="H3246" s="9">
        <v>25078937</v>
      </c>
      <c r="I3246" s="5">
        <f>IMDB_Movies!$H3246-IMDB_Movies!$G3246</f>
        <v>17078937</v>
      </c>
    </row>
    <row r="3247" spans="1:9" ht="23">
      <c r="A3247" s="2" t="s">
        <v>4741</v>
      </c>
      <c r="B3247" s="9" t="s">
        <v>4742</v>
      </c>
      <c r="C3247" s="9" t="s">
        <v>24</v>
      </c>
      <c r="D3247" s="9" t="s">
        <v>11</v>
      </c>
      <c r="E3247" s="9">
        <v>80</v>
      </c>
      <c r="F3247" s="9">
        <v>7.8</v>
      </c>
      <c r="G3247" s="9">
        <v>20000000</v>
      </c>
      <c r="H3247" s="9">
        <v>25078937</v>
      </c>
      <c r="I3247" s="5">
        <f>IMDB_Movies!$H3247-IMDB_Movies!$G3247</f>
        <v>5078937</v>
      </c>
    </row>
    <row r="3248" spans="1:9" ht="23">
      <c r="A3248" s="2" t="s">
        <v>4743</v>
      </c>
      <c r="B3248" s="9" t="s">
        <v>230</v>
      </c>
      <c r="C3248" s="9" t="s">
        <v>138</v>
      </c>
      <c r="D3248" s="9" t="s">
        <v>11</v>
      </c>
      <c r="E3248" s="9">
        <v>111</v>
      </c>
      <c r="F3248" s="9">
        <v>7.4</v>
      </c>
      <c r="G3248" s="9">
        <v>8000000</v>
      </c>
      <c r="H3248" s="9">
        <v>22551000</v>
      </c>
      <c r="I3248" s="5">
        <f>IMDB_Movies!$H3248-IMDB_Movies!$G3248</f>
        <v>14551000</v>
      </c>
    </row>
    <row r="3249" spans="1:9" ht="23">
      <c r="A3249" s="2" t="s">
        <v>4744</v>
      </c>
      <c r="B3249" s="9" t="s">
        <v>4745</v>
      </c>
      <c r="C3249" s="9" t="s">
        <v>10</v>
      </c>
      <c r="D3249" s="9" t="s">
        <v>11</v>
      </c>
      <c r="E3249" s="9">
        <v>142</v>
      </c>
      <c r="F3249" s="9">
        <v>6.8</v>
      </c>
      <c r="G3249" s="9">
        <v>7000000</v>
      </c>
      <c r="H3249" s="9">
        <v>22800000</v>
      </c>
      <c r="I3249" s="5">
        <f>IMDB_Movies!$H3249-IMDB_Movies!$G3249</f>
        <v>15800000</v>
      </c>
    </row>
    <row r="3250" spans="1:9" ht="23">
      <c r="A3250" s="2" t="s">
        <v>4746</v>
      </c>
      <c r="B3250" s="9" t="s">
        <v>1739</v>
      </c>
      <c r="C3250" s="9" t="s">
        <v>713</v>
      </c>
      <c r="D3250" s="9" t="s">
        <v>11</v>
      </c>
      <c r="E3250" s="9">
        <v>107</v>
      </c>
      <c r="F3250" s="9">
        <v>6.4</v>
      </c>
      <c r="G3250" s="9">
        <v>8000000</v>
      </c>
      <c r="H3250" s="9">
        <v>18090181</v>
      </c>
      <c r="I3250" s="5">
        <f>IMDB_Movies!$H3250-IMDB_Movies!$G3250</f>
        <v>10090181</v>
      </c>
    </row>
    <row r="3251" spans="1:9" ht="23">
      <c r="A3251" s="2" t="s">
        <v>4747</v>
      </c>
      <c r="B3251" s="9" t="s">
        <v>1624</v>
      </c>
      <c r="C3251" s="9" t="s">
        <v>138</v>
      </c>
      <c r="D3251" s="9" t="s">
        <v>11</v>
      </c>
      <c r="E3251" s="9">
        <v>91</v>
      </c>
      <c r="F3251" s="9">
        <v>5.7</v>
      </c>
      <c r="G3251" s="9">
        <v>8000000</v>
      </c>
      <c r="H3251" s="9">
        <v>17843379</v>
      </c>
      <c r="I3251" s="5">
        <f>IMDB_Movies!$H3251-IMDB_Movies!$G3251</f>
        <v>9843379</v>
      </c>
    </row>
    <row r="3252" spans="1:9" ht="23">
      <c r="A3252" s="2" t="s">
        <v>4748</v>
      </c>
      <c r="B3252" s="9" t="s">
        <v>4749</v>
      </c>
      <c r="C3252" s="9" t="s">
        <v>56</v>
      </c>
      <c r="D3252" s="9" t="s">
        <v>11</v>
      </c>
      <c r="E3252" s="9">
        <v>112</v>
      </c>
      <c r="F3252" s="9">
        <v>7.5</v>
      </c>
      <c r="G3252" s="9">
        <v>20000000</v>
      </c>
      <c r="H3252" s="9">
        <v>18811135</v>
      </c>
      <c r="I3252" s="5">
        <f>IMDB_Movies!$H3252-IMDB_Movies!$G3252</f>
        <v>-1188865</v>
      </c>
    </row>
    <row r="3253" spans="1:9" ht="23">
      <c r="A3253" s="2" t="s">
        <v>4750</v>
      </c>
      <c r="B3253" s="9" t="s">
        <v>4102</v>
      </c>
      <c r="C3253" s="9" t="s">
        <v>138</v>
      </c>
      <c r="D3253" s="9" t="s">
        <v>11</v>
      </c>
      <c r="E3253" s="9">
        <v>82</v>
      </c>
      <c r="F3253" s="9">
        <v>6.7</v>
      </c>
      <c r="G3253" s="9">
        <v>8000000</v>
      </c>
      <c r="H3253" s="9">
        <v>17278980</v>
      </c>
      <c r="I3253" s="5">
        <f>IMDB_Movies!$H3253-IMDB_Movies!$G3253</f>
        <v>9278980</v>
      </c>
    </row>
    <row r="3254" spans="1:9" ht="23">
      <c r="A3254" s="2" t="s">
        <v>4751</v>
      </c>
      <c r="B3254" s="9" t="s">
        <v>4752</v>
      </c>
      <c r="C3254" s="9" t="s">
        <v>138</v>
      </c>
      <c r="D3254" s="9" t="s">
        <v>11</v>
      </c>
      <c r="E3254" s="9">
        <v>97</v>
      </c>
      <c r="F3254" s="9">
        <v>5.6</v>
      </c>
      <c r="G3254" s="9">
        <v>8000000</v>
      </c>
      <c r="H3254" s="9">
        <v>16699684</v>
      </c>
      <c r="I3254" s="5">
        <f>IMDB_Movies!$H3254-IMDB_Movies!$G3254</f>
        <v>8699684</v>
      </c>
    </row>
    <row r="3255" spans="1:9" ht="23">
      <c r="A3255" s="2" t="s">
        <v>4753</v>
      </c>
      <c r="B3255" s="9" t="s">
        <v>4754</v>
      </c>
      <c r="C3255" s="9" t="s">
        <v>414</v>
      </c>
      <c r="D3255" s="9" t="s">
        <v>11</v>
      </c>
      <c r="E3255" s="9">
        <v>102</v>
      </c>
      <c r="F3255" s="9">
        <v>7.6</v>
      </c>
      <c r="G3255" s="9">
        <v>7000000</v>
      </c>
      <c r="H3255" s="9">
        <v>15047419</v>
      </c>
      <c r="I3255" s="5">
        <f>IMDB_Movies!$H3255-IMDB_Movies!$G3255</f>
        <v>8047419</v>
      </c>
    </row>
    <row r="3256" spans="1:9" ht="23">
      <c r="A3256" s="2" t="s">
        <v>4755</v>
      </c>
      <c r="B3256" s="9" t="s">
        <v>2513</v>
      </c>
      <c r="C3256" s="9" t="s">
        <v>56</v>
      </c>
      <c r="D3256" s="9" t="s">
        <v>11</v>
      </c>
      <c r="E3256" s="9">
        <v>93</v>
      </c>
      <c r="F3256" s="9">
        <v>6.5</v>
      </c>
      <c r="G3256" s="9">
        <v>5000000</v>
      </c>
      <c r="H3256" s="9">
        <v>14015786</v>
      </c>
      <c r="I3256" s="5">
        <f>IMDB_Movies!$H3256-IMDB_Movies!$G3256</f>
        <v>9015786</v>
      </c>
    </row>
    <row r="3257" spans="1:9" ht="23">
      <c r="A3257" s="2" t="s">
        <v>4756</v>
      </c>
      <c r="B3257" s="9" t="s">
        <v>4757</v>
      </c>
      <c r="C3257" s="9" t="s">
        <v>10</v>
      </c>
      <c r="D3257" s="9" t="s">
        <v>11</v>
      </c>
      <c r="E3257" s="9">
        <v>116</v>
      </c>
      <c r="F3257" s="9">
        <v>7</v>
      </c>
      <c r="G3257" s="9">
        <v>8000000</v>
      </c>
      <c r="H3257" s="9">
        <v>25078937</v>
      </c>
      <c r="I3257" s="5">
        <f>IMDB_Movies!$H3257-IMDB_Movies!$G3257</f>
        <v>17078937</v>
      </c>
    </row>
    <row r="3258" spans="1:9" ht="23">
      <c r="A3258" s="2" t="s">
        <v>4758</v>
      </c>
      <c r="B3258" s="9" t="s">
        <v>4759</v>
      </c>
      <c r="C3258" s="9" t="s">
        <v>10</v>
      </c>
      <c r="D3258" s="9" t="s">
        <v>11</v>
      </c>
      <c r="E3258" s="9">
        <v>138</v>
      </c>
      <c r="F3258" s="9">
        <v>6.3</v>
      </c>
      <c r="G3258" s="9">
        <v>8000000</v>
      </c>
      <c r="H3258" s="9">
        <v>10269307</v>
      </c>
      <c r="I3258" s="5">
        <f>IMDB_Movies!$H3258-IMDB_Movies!$G3258</f>
        <v>2269307</v>
      </c>
    </row>
    <row r="3259" spans="1:9" ht="23">
      <c r="A3259" s="2" t="s">
        <v>4760</v>
      </c>
      <c r="B3259" s="9" t="s">
        <v>3607</v>
      </c>
      <c r="C3259" s="9" t="s">
        <v>56</v>
      </c>
      <c r="D3259" s="9" t="s">
        <v>11</v>
      </c>
      <c r="E3259" s="9">
        <v>117</v>
      </c>
      <c r="F3259" s="9">
        <v>6.4</v>
      </c>
      <c r="G3259" s="9">
        <v>8300000</v>
      </c>
      <c r="H3259" s="9">
        <v>25078937</v>
      </c>
      <c r="I3259" s="5">
        <f>IMDB_Movies!$H3259-IMDB_Movies!$G3259</f>
        <v>16778937</v>
      </c>
    </row>
    <row r="3260" spans="1:9" ht="23">
      <c r="A3260" s="2" t="s">
        <v>4761</v>
      </c>
      <c r="B3260" s="9" t="s">
        <v>4762</v>
      </c>
      <c r="C3260" s="9" t="s">
        <v>138</v>
      </c>
      <c r="D3260" s="9" t="s">
        <v>11</v>
      </c>
      <c r="E3260" s="9">
        <v>93</v>
      </c>
      <c r="F3260" s="9">
        <v>7.1</v>
      </c>
      <c r="G3260" s="9">
        <v>8000000</v>
      </c>
      <c r="H3260" s="9">
        <v>17536788</v>
      </c>
      <c r="I3260" s="5">
        <f>IMDB_Movies!$H3260-IMDB_Movies!$G3260</f>
        <v>9536788</v>
      </c>
    </row>
    <row r="3261" spans="1:9" ht="23">
      <c r="A3261" s="2" t="s">
        <v>4763</v>
      </c>
      <c r="B3261" s="9" t="s">
        <v>1003</v>
      </c>
      <c r="C3261" s="9" t="s">
        <v>138</v>
      </c>
      <c r="D3261" s="9" t="s">
        <v>11</v>
      </c>
      <c r="E3261" s="9">
        <v>92</v>
      </c>
      <c r="F3261" s="9">
        <v>7.1</v>
      </c>
      <c r="G3261" s="9">
        <v>8000000</v>
      </c>
      <c r="H3261" s="9">
        <v>58401464</v>
      </c>
      <c r="I3261" s="5">
        <f>IMDB_Movies!$H3261-IMDB_Movies!$G3261</f>
        <v>50401464</v>
      </c>
    </row>
    <row r="3262" spans="1:9" ht="23">
      <c r="A3262" s="2" t="s">
        <v>4764</v>
      </c>
      <c r="B3262" s="9" t="s">
        <v>4765</v>
      </c>
      <c r="C3262" s="9" t="s">
        <v>138</v>
      </c>
      <c r="D3262" s="9" t="s">
        <v>11</v>
      </c>
      <c r="E3262" s="9">
        <v>110</v>
      </c>
      <c r="F3262" s="9">
        <v>6.5</v>
      </c>
      <c r="G3262" s="9">
        <v>20000000</v>
      </c>
      <c r="H3262" s="9">
        <v>8880705</v>
      </c>
      <c r="I3262" s="5">
        <f>IMDB_Movies!$H3262-IMDB_Movies!$G3262</f>
        <v>-11119295</v>
      </c>
    </row>
    <row r="3263" spans="1:9" ht="23">
      <c r="A3263" s="2" t="s">
        <v>4766</v>
      </c>
      <c r="B3263" s="9" t="s">
        <v>2574</v>
      </c>
      <c r="C3263" s="9" t="s">
        <v>56</v>
      </c>
      <c r="D3263" s="9" t="s">
        <v>11</v>
      </c>
      <c r="E3263" s="9">
        <v>92</v>
      </c>
      <c r="F3263" s="9">
        <v>6.9</v>
      </c>
      <c r="G3263" s="9">
        <v>8000000</v>
      </c>
      <c r="H3263" s="9">
        <v>8279017</v>
      </c>
      <c r="I3263" s="5">
        <f>IMDB_Movies!$H3263-IMDB_Movies!$G3263</f>
        <v>279017</v>
      </c>
    </row>
    <row r="3264" spans="1:9" ht="23">
      <c r="A3264" s="2" t="s">
        <v>4767</v>
      </c>
      <c r="B3264" s="9" t="s">
        <v>3541</v>
      </c>
      <c r="C3264" s="9" t="s">
        <v>138</v>
      </c>
      <c r="D3264" s="9" t="s">
        <v>11</v>
      </c>
      <c r="E3264" s="9">
        <v>104</v>
      </c>
      <c r="F3264" s="9">
        <v>5.4</v>
      </c>
      <c r="G3264" s="9">
        <v>8000000</v>
      </c>
      <c r="H3264" s="9">
        <v>10106233</v>
      </c>
      <c r="I3264" s="5">
        <f>IMDB_Movies!$H3264-IMDB_Movies!$G3264</f>
        <v>2106233</v>
      </c>
    </row>
    <row r="3265" spans="1:9" ht="23">
      <c r="A3265" s="2" t="s">
        <v>4768</v>
      </c>
      <c r="B3265" s="9" t="s">
        <v>153</v>
      </c>
      <c r="C3265" s="9" t="s">
        <v>138</v>
      </c>
      <c r="D3265" s="9" t="s">
        <v>11</v>
      </c>
      <c r="E3265" s="9">
        <v>98</v>
      </c>
      <c r="F3265" s="9">
        <v>4.9000000000000004</v>
      </c>
      <c r="G3265" s="9">
        <v>8000000</v>
      </c>
      <c r="H3265" s="9">
        <v>25078937</v>
      </c>
      <c r="I3265" s="5">
        <f>IMDB_Movies!$H3265-IMDB_Movies!$G3265</f>
        <v>17078937</v>
      </c>
    </row>
    <row r="3266" spans="1:9" ht="23">
      <c r="A3266" s="2" t="s">
        <v>4769</v>
      </c>
      <c r="B3266" s="9" t="s">
        <v>3141</v>
      </c>
      <c r="C3266" s="9" t="s">
        <v>138</v>
      </c>
      <c r="D3266" s="9" t="s">
        <v>11</v>
      </c>
      <c r="E3266" s="9">
        <v>89</v>
      </c>
      <c r="F3266" s="9">
        <v>5.0999999999999996</v>
      </c>
      <c r="G3266" s="9">
        <v>8000000</v>
      </c>
      <c r="H3266" s="9">
        <v>4692814</v>
      </c>
      <c r="I3266" s="5">
        <f>IMDB_Movies!$H3266-IMDB_Movies!$G3266</f>
        <v>-3307186</v>
      </c>
    </row>
    <row r="3267" spans="1:9" ht="23">
      <c r="A3267" s="2" t="s">
        <v>4770</v>
      </c>
      <c r="B3267" s="9" t="s">
        <v>4771</v>
      </c>
      <c r="C3267" s="9" t="s">
        <v>138</v>
      </c>
      <c r="D3267" s="9" t="s">
        <v>11</v>
      </c>
      <c r="E3267" s="9">
        <v>92</v>
      </c>
      <c r="F3267" s="9">
        <v>5.3</v>
      </c>
      <c r="G3267" s="9">
        <v>8000000</v>
      </c>
      <c r="H3267" s="9">
        <v>5018450</v>
      </c>
      <c r="I3267" s="5">
        <f>IMDB_Movies!$H3267-IMDB_Movies!$G3267</f>
        <v>-2981550</v>
      </c>
    </row>
    <row r="3268" spans="1:9" ht="23">
      <c r="A3268" s="2" t="s">
        <v>4772</v>
      </c>
      <c r="B3268" s="9" t="s">
        <v>3607</v>
      </c>
      <c r="C3268" s="9" t="s">
        <v>56</v>
      </c>
      <c r="D3268" s="9" t="s">
        <v>11</v>
      </c>
      <c r="E3268" s="9">
        <v>140</v>
      </c>
      <c r="F3268" s="9">
        <v>7.5</v>
      </c>
      <c r="G3268" s="9">
        <v>20000000</v>
      </c>
      <c r="H3268" s="9">
        <v>25967000</v>
      </c>
      <c r="I3268" s="5">
        <f>IMDB_Movies!$H3268-IMDB_Movies!$G3268</f>
        <v>5967000</v>
      </c>
    </row>
    <row r="3269" spans="1:9" ht="23">
      <c r="A3269" s="2" t="s">
        <v>4773</v>
      </c>
      <c r="B3269" s="9" t="s">
        <v>4774</v>
      </c>
      <c r="C3269" s="9" t="s">
        <v>116</v>
      </c>
      <c r="D3269" s="9" t="s">
        <v>11</v>
      </c>
      <c r="E3269" s="9">
        <v>90</v>
      </c>
      <c r="F3269" s="9">
        <v>7.3</v>
      </c>
      <c r="G3269" s="9">
        <v>8000000</v>
      </c>
      <c r="H3269" s="9">
        <v>3442820</v>
      </c>
      <c r="I3269" s="5">
        <f>IMDB_Movies!$H3269-IMDB_Movies!$G3269</f>
        <v>-4557180</v>
      </c>
    </row>
    <row r="3270" spans="1:9" ht="23">
      <c r="A3270" s="2" t="s">
        <v>4775</v>
      </c>
      <c r="B3270" s="9" t="s">
        <v>3221</v>
      </c>
      <c r="C3270" s="9" t="s">
        <v>138</v>
      </c>
      <c r="D3270" s="9" t="s">
        <v>11</v>
      </c>
      <c r="E3270" s="9">
        <v>129</v>
      </c>
      <c r="F3270" s="9">
        <v>7.3</v>
      </c>
      <c r="G3270" s="9">
        <v>10000000</v>
      </c>
      <c r="H3270" s="9">
        <v>3205244</v>
      </c>
      <c r="I3270" s="5">
        <f>IMDB_Movies!$H3270-IMDB_Movies!$G3270</f>
        <v>-6794756</v>
      </c>
    </row>
    <row r="3271" spans="1:9" ht="23">
      <c r="A3271" s="2" t="s">
        <v>4776</v>
      </c>
      <c r="B3271" s="9" t="s">
        <v>4777</v>
      </c>
      <c r="C3271" s="9" t="s">
        <v>138</v>
      </c>
      <c r="D3271" s="9" t="s">
        <v>394</v>
      </c>
      <c r="E3271" s="9">
        <v>111</v>
      </c>
      <c r="F3271" s="9">
        <v>7.1</v>
      </c>
      <c r="G3271" s="9">
        <v>8000000</v>
      </c>
      <c r="H3271" s="9">
        <v>3076425</v>
      </c>
      <c r="I3271" s="5">
        <f>IMDB_Movies!$H3271-IMDB_Movies!$G3271</f>
        <v>-4923575</v>
      </c>
    </row>
    <row r="3272" spans="1:9" ht="23">
      <c r="A3272" s="2" t="s">
        <v>4778</v>
      </c>
      <c r="B3272" s="9" t="s">
        <v>3742</v>
      </c>
      <c r="C3272" s="9" t="s">
        <v>10</v>
      </c>
      <c r="D3272" s="9" t="s">
        <v>11</v>
      </c>
      <c r="E3272" s="9">
        <v>79</v>
      </c>
      <c r="F3272" s="9">
        <v>6</v>
      </c>
      <c r="G3272" s="9">
        <v>8000000</v>
      </c>
      <c r="H3272" s="9">
        <v>2275557</v>
      </c>
      <c r="I3272" s="5">
        <f>IMDB_Movies!$H3272-IMDB_Movies!$G3272</f>
        <v>-5724443</v>
      </c>
    </row>
    <row r="3273" spans="1:9" ht="23">
      <c r="A3273" s="2" t="s">
        <v>4779</v>
      </c>
      <c r="B3273" s="9" t="s">
        <v>1342</v>
      </c>
      <c r="C3273" s="9" t="s">
        <v>138</v>
      </c>
      <c r="D3273" s="9" t="s">
        <v>11</v>
      </c>
      <c r="E3273" s="9">
        <v>104</v>
      </c>
      <c r="F3273" s="9">
        <v>6.6</v>
      </c>
      <c r="G3273" s="9">
        <v>8000000</v>
      </c>
      <c r="H3273" s="9">
        <v>1789892</v>
      </c>
      <c r="I3273" s="5">
        <f>IMDB_Movies!$H3273-IMDB_Movies!$G3273</f>
        <v>-6210108</v>
      </c>
    </row>
    <row r="3274" spans="1:9" ht="23">
      <c r="A3274" s="2" t="s">
        <v>4780</v>
      </c>
      <c r="B3274" s="9" t="s">
        <v>4781</v>
      </c>
      <c r="C3274" s="9" t="s">
        <v>138</v>
      </c>
      <c r="D3274" s="9" t="s">
        <v>11</v>
      </c>
      <c r="E3274" s="9">
        <v>101</v>
      </c>
      <c r="F3274" s="9">
        <v>7.2</v>
      </c>
      <c r="G3274" s="9">
        <v>8000000</v>
      </c>
      <c r="H3274" s="9">
        <v>6350058</v>
      </c>
      <c r="I3274" s="5">
        <f>IMDB_Movies!$H3274-IMDB_Movies!$G3274</f>
        <v>-1649942</v>
      </c>
    </row>
    <row r="3275" spans="1:9" ht="23">
      <c r="A3275" s="2" t="s">
        <v>4782</v>
      </c>
      <c r="B3275" s="9" t="s">
        <v>2733</v>
      </c>
      <c r="C3275" s="9" t="s">
        <v>418</v>
      </c>
      <c r="D3275" s="9" t="s">
        <v>11</v>
      </c>
      <c r="E3275" s="9">
        <v>113</v>
      </c>
      <c r="F3275" s="9">
        <v>7.2</v>
      </c>
      <c r="G3275" s="9">
        <v>7200000</v>
      </c>
      <c r="H3275" s="9">
        <v>1094798</v>
      </c>
      <c r="I3275" s="5">
        <f>IMDB_Movies!$H3275-IMDB_Movies!$G3275</f>
        <v>-6105202</v>
      </c>
    </row>
    <row r="3276" spans="1:9" ht="23">
      <c r="A3276" s="2" t="s">
        <v>4783</v>
      </c>
      <c r="B3276" s="9" t="s">
        <v>3317</v>
      </c>
      <c r="C3276" s="9" t="s">
        <v>418</v>
      </c>
      <c r="D3276" s="9" t="s">
        <v>11</v>
      </c>
      <c r="E3276" s="9">
        <v>92</v>
      </c>
      <c r="F3276" s="9">
        <v>6.9</v>
      </c>
      <c r="G3276" s="9">
        <v>8000000</v>
      </c>
      <c r="H3276" s="9">
        <v>1071240</v>
      </c>
      <c r="I3276" s="5">
        <f>IMDB_Movies!$H3276-IMDB_Movies!$G3276</f>
        <v>-6928760</v>
      </c>
    </row>
    <row r="3277" spans="1:9" ht="23">
      <c r="A3277" s="2" t="s">
        <v>4784</v>
      </c>
      <c r="B3277" s="9" t="s">
        <v>4785</v>
      </c>
      <c r="C3277" s="9" t="s">
        <v>418</v>
      </c>
      <c r="D3277" s="9" t="s">
        <v>11</v>
      </c>
      <c r="E3277" s="9">
        <v>106</v>
      </c>
      <c r="F3277" s="9">
        <v>6.8</v>
      </c>
      <c r="G3277" s="9">
        <v>8000000</v>
      </c>
      <c r="H3277" s="9">
        <v>532190</v>
      </c>
      <c r="I3277" s="5">
        <f>IMDB_Movies!$H3277-IMDB_Movies!$G3277</f>
        <v>-7467810</v>
      </c>
    </row>
    <row r="3278" spans="1:9" ht="23">
      <c r="A3278" s="2" t="s">
        <v>4786</v>
      </c>
      <c r="B3278" s="9" t="s">
        <v>4787</v>
      </c>
      <c r="C3278" s="9" t="s">
        <v>24</v>
      </c>
      <c r="D3278" s="9" t="s">
        <v>11</v>
      </c>
      <c r="E3278" s="9">
        <v>98</v>
      </c>
      <c r="F3278" s="9">
        <v>4</v>
      </c>
      <c r="G3278" s="9">
        <v>8000000</v>
      </c>
      <c r="H3278" s="9">
        <v>25078937</v>
      </c>
      <c r="I3278" s="5">
        <f>IMDB_Movies!$H3278-IMDB_Movies!$G3278</f>
        <v>17078937</v>
      </c>
    </row>
    <row r="3279" spans="1:9" ht="23">
      <c r="A3279" s="2" t="s">
        <v>4788</v>
      </c>
      <c r="B3279" s="9" t="s">
        <v>4789</v>
      </c>
      <c r="C3279" s="9" t="s">
        <v>24</v>
      </c>
      <c r="D3279" s="9" t="s">
        <v>11</v>
      </c>
      <c r="E3279" s="9">
        <v>75</v>
      </c>
      <c r="F3279" s="9">
        <v>7.7</v>
      </c>
      <c r="G3279" s="9">
        <v>6500000</v>
      </c>
      <c r="H3279" s="9">
        <v>686383</v>
      </c>
      <c r="I3279" s="5">
        <f>IMDB_Movies!$H3279-IMDB_Movies!$G3279</f>
        <v>-5813617</v>
      </c>
    </row>
    <row r="3280" spans="1:9" ht="23">
      <c r="A3280" s="2" t="s">
        <v>4790</v>
      </c>
      <c r="B3280" s="9" t="s">
        <v>4791</v>
      </c>
      <c r="C3280" s="9" t="s">
        <v>56</v>
      </c>
      <c r="D3280" s="9" t="s">
        <v>11</v>
      </c>
      <c r="E3280" s="9">
        <v>104</v>
      </c>
      <c r="F3280" s="9">
        <v>7.4</v>
      </c>
      <c r="G3280" s="9">
        <v>8000000</v>
      </c>
      <c r="H3280" s="9">
        <v>16168741</v>
      </c>
      <c r="I3280" s="5">
        <f>IMDB_Movies!$H3280-IMDB_Movies!$G3280</f>
        <v>8168741</v>
      </c>
    </row>
    <row r="3281" spans="1:9" ht="23">
      <c r="A3281" s="2" t="s">
        <v>4792</v>
      </c>
      <c r="B3281" s="9" t="s">
        <v>4793</v>
      </c>
      <c r="C3281" s="9" t="s">
        <v>56</v>
      </c>
      <c r="D3281" s="9" t="s">
        <v>11</v>
      </c>
      <c r="E3281" s="9">
        <v>108</v>
      </c>
      <c r="F3281" s="9">
        <v>6.5</v>
      </c>
      <c r="G3281" s="9">
        <v>8000000</v>
      </c>
      <c r="H3281" s="9">
        <v>568695</v>
      </c>
      <c r="I3281" s="5">
        <f>IMDB_Movies!$H3281-IMDB_Movies!$G3281</f>
        <v>-7431305</v>
      </c>
    </row>
    <row r="3282" spans="1:9" ht="23">
      <c r="A3282" s="2" t="s">
        <v>4794</v>
      </c>
      <c r="B3282" s="9" t="s">
        <v>4795</v>
      </c>
      <c r="C3282" s="9" t="s">
        <v>414</v>
      </c>
      <c r="D3282" s="9" t="s">
        <v>11</v>
      </c>
      <c r="E3282" s="9">
        <v>99</v>
      </c>
      <c r="F3282" s="9">
        <v>6.4</v>
      </c>
      <c r="G3282" s="9">
        <v>8000000</v>
      </c>
      <c r="H3282" s="9">
        <v>398420</v>
      </c>
      <c r="I3282" s="5">
        <f>IMDB_Movies!$H3282-IMDB_Movies!$G3282</f>
        <v>-7601580</v>
      </c>
    </row>
    <row r="3283" spans="1:9" ht="23">
      <c r="A3283" s="2" t="s">
        <v>4796</v>
      </c>
      <c r="B3283" s="9" t="s">
        <v>4797</v>
      </c>
      <c r="C3283" s="9" t="s">
        <v>56</v>
      </c>
      <c r="D3283" s="9" t="s">
        <v>11</v>
      </c>
      <c r="E3283" s="9">
        <v>180</v>
      </c>
      <c r="F3283" s="9">
        <v>7.2</v>
      </c>
      <c r="G3283" s="9">
        <v>20000000</v>
      </c>
      <c r="H3283" s="9">
        <v>25078937</v>
      </c>
      <c r="I3283" s="5">
        <f>IMDB_Movies!$H3283-IMDB_Movies!$G3283</f>
        <v>5078937</v>
      </c>
    </row>
    <row r="3284" spans="1:9" ht="23">
      <c r="A3284" s="2" t="s">
        <v>4798</v>
      </c>
      <c r="B3284" s="9" t="s">
        <v>4799</v>
      </c>
      <c r="C3284" s="9" t="s">
        <v>138</v>
      </c>
      <c r="D3284" s="9" t="s">
        <v>11</v>
      </c>
      <c r="E3284" s="9">
        <v>109</v>
      </c>
      <c r="F3284" s="9">
        <v>5.6</v>
      </c>
      <c r="G3284" s="9">
        <v>8000000</v>
      </c>
      <c r="H3284" s="9">
        <v>336456</v>
      </c>
      <c r="I3284" s="5">
        <f>IMDB_Movies!$H3284-IMDB_Movies!$G3284</f>
        <v>-7663544</v>
      </c>
    </row>
    <row r="3285" spans="1:9" ht="23">
      <c r="A3285" s="2" t="s">
        <v>4800</v>
      </c>
      <c r="B3285" s="9" t="s">
        <v>1957</v>
      </c>
      <c r="C3285" s="9" t="s">
        <v>56</v>
      </c>
      <c r="D3285" s="9" t="s">
        <v>11</v>
      </c>
      <c r="E3285" s="9">
        <v>111</v>
      </c>
      <c r="F3285" s="9">
        <v>6.3</v>
      </c>
      <c r="G3285" s="9">
        <v>20000000</v>
      </c>
      <c r="H3285" s="9">
        <v>146083</v>
      </c>
      <c r="I3285" s="5">
        <f>IMDB_Movies!$H3285-IMDB_Movies!$G3285</f>
        <v>-19853917</v>
      </c>
    </row>
    <row r="3286" spans="1:9" ht="23">
      <c r="A3286" s="2" t="s">
        <v>4801</v>
      </c>
      <c r="B3286" s="9" t="s">
        <v>4802</v>
      </c>
      <c r="C3286" s="9" t="s">
        <v>138</v>
      </c>
      <c r="D3286" s="9" t="s">
        <v>11</v>
      </c>
      <c r="E3286" s="9">
        <v>93</v>
      </c>
      <c r="F3286" s="9">
        <v>6.8</v>
      </c>
      <c r="G3286" s="9">
        <v>8000000</v>
      </c>
      <c r="H3286" s="9">
        <v>298110</v>
      </c>
      <c r="I3286" s="5">
        <f>IMDB_Movies!$H3286-IMDB_Movies!$G3286</f>
        <v>-7701890</v>
      </c>
    </row>
    <row r="3287" spans="1:9" ht="23">
      <c r="A3287" s="2" t="s">
        <v>4803</v>
      </c>
      <c r="B3287" s="9" t="s">
        <v>4804</v>
      </c>
      <c r="C3287" s="9" t="s">
        <v>138</v>
      </c>
      <c r="D3287" s="9" t="s">
        <v>11</v>
      </c>
      <c r="E3287" s="9">
        <v>99</v>
      </c>
      <c r="F3287" s="9">
        <v>5.5</v>
      </c>
      <c r="G3287" s="9">
        <v>8000000</v>
      </c>
      <c r="H3287" s="9">
        <v>127144</v>
      </c>
      <c r="I3287" s="5">
        <f>IMDB_Movies!$H3287-IMDB_Movies!$G3287</f>
        <v>-7872856</v>
      </c>
    </row>
    <row r="3288" spans="1:9" ht="23">
      <c r="A3288" s="2" t="s">
        <v>4805</v>
      </c>
      <c r="B3288" s="9" t="s">
        <v>1923</v>
      </c>
      <c r="C3288" s="9" t="s">
        <v>10</v>
      </c>
      <c r="D3288" s="9" t="s">
        <v>11</v>
      </c>
      <c r="E3288" s="9">
        <v>98</v>
      </c>
      <c r="F3288" s="9">
        <v>6.9</v>
      </c>
      <c r="G3288" s="9">
        <v>8000000</v>
      </c>
      <c r="H3288" s="9">
        <v>117190</v>
      </c>
      <c r="I3288" s="5">
        <f>IMDB_Movies!$H3288-IMDB_Movies!$G3288</f>
        <v>-7882810</v>
      </c>
    </row>
    <row r="3289" spans="1:9" ht="23">
      <c r="A3289" s="2" t="s">
        <v>4806</v>
      </c>
      <c r="B3289" s="9" t="s">
        <v>4807</v>
      </c>
      <c r="C3289" s="9" t="s">
        <v>414</v>
      </c>
      <c r="D3289" s="9" t="s">
        <v>11</v>
      </c>
      <c r="E3289" s="9">
        <v>95</v>
      </c>
      <c r="F3289" s="9">
        <v>6</v>
      </c>
      <c r="G3289" s="9">
        <v>8000000</v>
      </c>
      <c r="H3289" s="9">
        <v>108662</v>
      </c>
      <c r="I3289" s="5">
        <f>IMDB_Movies!$H3289-IMDB_Movies!$G3289</f>
        <v>-7891338</v>
      </c>
    </row>
    <row r="3290" spans="1:9" ht="23">
      <c r="A3290" s="2" t="s">
        <v>4808</v>
      </c>
      <c r="B3290" s="9" t="s">
        <v>4809</v>
      </c>
      <c r="C3290" s="9" t="s">
        <v>414</v>
      </c>
      <c r="D3290" s="9" t="s">
        <v>11</v>
      </c>
      <c r="E3290" s="9">
        <v>107</v>
      </c>
      <c r="F3290" s="9">
        <v>6.4</v>
      </c>
      <c r="G3290" s="9">
        <v>8000000</v>
      </c>
      <c r="H3290" s="9">
        <v>53481</v>
      </c>
      <c r="I3290" s="5">
        <f>IMDB_Movies!$H3290-IMDB_Movies!$G3290</f>
        <v>-7946519</v>
      </c>
    </row>
    <row r="3291" spans="1:9" ht="23">
      <c r="A3291" s="2" t="s">
        <v>4810</v>
      </c>
      <c r="B3291" s="9" t="s">
        <v>4811</v>
      </c>
      <c r="C3291" s="9" t="s">
        <v>138</v>
      </c>
      <c r="D3291" s="9" t="s">
        <v>11</v>
      </c>
      <c r="E3291" s="9">
        <v>102</v>
      </c>
      <c r="F3291" s="9">
        <v>6.6</v>
      </c>
      <c r="G3291" s="9">
        <v>50000000</v>
      </c>
      <c r="H3291" s="9">
        <v>23106</v>
      </c>
      <c r="I3291" s="5">
        <f>IMDB_Movies!$H3291-IMDB_Movies!$G3291</f>
        <v>-49976894</v>
      </c>
    </row>
    <row r="3292" spans="1:9" ht="23">
      <c r="A3292" s="2" t="s">
        <v>4812</v>
      </c>
      <c r="B3292" s="9" t="s">
        <v>4813</v>
      </c>
      <c r="C3292" s="9" t="s">
        <v>56</v>
      </c>
      <c r="D3292" s="9" t="s">
        <v>11</v>
      </c>
      <c r="E3292" s="9">
        <v>97</v>
      </c>
      <c r="F3292" s="9">
        <v>5.3</v>
      </c>
      <c r="G3292" s="9">
        <v>8000000</v>
      </c>
      <c r="H3292" s="9">
        <v>52961</v>
      </c>
      <c r="I3292" s="5">
        <f>IMDB_Movies!$H3292-IMDB_Movies!$G3292</f>
        <v>-7947039</v>
      </c>
    </row>
    <row r="3293" spans="1:9" ht="23">
      <c r="A3293" s="2" t="s">
        <v>4814</v>
      </c>
      <c r="B3293" s="9" t="s">
        <v>3259</v>
      </c>
      <c r="C3293" s="9" t="s">
        <v>10</v>
      </c>
      <c r="D3293" s="9" t="s">
        <v>179</v>
      </c>
      <c r="E3293" s="9">
        <v>124</v>
      </c>
      <c r="F3293" s="9">
        <v>8.1</v>
      </c>
      <c r="G3293" s="9">
        <v>1100000000</v>
      </c>
      <c r="H3293" s="9">
        <v>439162</v>
      </c>
      <c r="I3293" s="5">
        <f>IMDB_Movies!$H3293-IMDB_Movies!$G3293</f>
        <v>-1099560838</v>
      </c>
    </row>
    <row r="3294" spans="1:9" ht="23">
      <c r="A3294" s="2" t="s">
        <v>4815</v>
      </c>
      <c r="B3294" s="9" t="s">
        <v>1695</v>
      </c>
      <c r="C3294" s="9" t="s">
        <v>10</v>
      </c>
      <c r="D3294" s="9" t="s">
        <v>11</v>
      </c>
      <c r="E3294" s="9">
        <v>97</v>
      </c>
      <c r="F3294" s="9">
        <v>5.9</v>
      </c>
      <c r="G3294" s="9">
        <v>22000000</v>
      </c>
      <c r="H3294" s="9">
        <v>25078937</v>
      </c>
      <c r="I3294" s="5">
        <f>IMDB_Movies!$H3294-IMDB_Movies!$G3294</f>
        <v>3078937</v>
      </c>
    </row>
    <row r="3295" spans="1:9" ht="23">
      <c r="A3295" s="2" t="s">
        <v>4816</v>
      </c>
      <c r="B3295" s="9" t="s">
        <v>4817</v>
      </c>
      <c r="C3295" s="9" t="s">
        <v>418</v>
      </c>
      <c r="D3295" s="9" t="s">
        <v>394</v>
      </c>
      <c r="E3295" s="9">
        <v>124</v>
      </c>
      <c r="F3295" s="9">
        <v>7.7</v>
      </c>
      <c r="G3295" s="9">
        <v>8000000</v>
      </c>
      <c r="H3295" s="9">
        <v>25078937</v>
      </c>
      <c r="I3295" s="5">
        <f>IMDB_Movies!$H3295-IMDB_Movies!$G3295</f>
        <v>17078937</v>
      </c>
    </row>
    <row r="3296" spans="1:9" ht="23">
      <c r="A3296" s="2" t="s">
        <v>4818</v>
      </c>
      <c r="B3296" s="9" t="s">
        <v>4819</v>
      </c>
      <c r="C3296" s="9" t="s">
        <v>10</v>
      </c>
      <c r="D3296" s="9" t="s">
        <v>11</v>
      </c>
      <c r="E3296" s="9">
        <v>96</v>
      </c>
      <c r="F3296" s="9">
        <v>4.5999999999999996</v>
      </c>
      <c r="G3296" s="9">
        <v>8000000</v>
      </c>
      <c r="H3296" s="9">
        <v>25078937</v>
      </c>
      <c r="I3296" s="5">
        <f>IMDB_Movies!$H3296-IMDB_Movies!$G3296</f>
        <v>17078937</v>
      </c>
    </row>
    <row r="3297" spans="1:9" ht="23">
      <c r="A3297" s="2" t="s">
        <v>4820</v>
      </c>
      <c r="B3297" s="9" t="s">
        <v>1864</v>
      </c>
      <c r="C3297" s="9" t="s">
        <v>10</v>
      </c>
      <c r="D3297" s="9" t="s">
        <v>3337</v>
      </c>
      <c r="E3297" s="9">
        <v>114</v>
      </c>
      <c r="F3297" s="9">
        <v>5.0999999999999996</v>
      </c>
      <c r="G3297" s="9">
        <v>20000000</v>
      </c>
      <c r="H3297" s="9">
        <v>50000</v>
      </c>
      <c r="I3297" s="5">
        <f>IMDB_Movies!$H3297-IMDB_Movies!$G3297</f>
        <v>-19950000</v>
      </c>
    </row>
    <row r="3298" spans="1:9" ht="23">
      <c r="A3298" s="2" t="s">
        <v>4821</v>
      </c>
      <c r="B3298" s="9" t="s">
        <v>4822</v>
      </c>
      <c r="C3298" s="9" t="s">
        <v>138</v>
      </c>
      <c r="D3298" s="9" t="s">
        <v>11</v>
      </c>
      <c r="E3298" s="9">
        <v>90</v>
      </c>
      <c r="F3298" s="9">
        <v>6.9</v>
      </c>
      <c r="G3298" s="9">
        <v>7900000</v>
      </c>
      <c r="H3298" s="9">
        <v>671240</v>
      </c>
      <c r="I3298" s="5">
        <f>IMDB_Movies!$H3298-IMDB_Movies!$G3298</f>
        <v>-7228760</v>
      </c>
    </row>
    <row r="3299" spans="1:9" ht="23">
      <c r="A3299" s="2" t="s">
        <v>4823</v>
      </c>
      <c r="B3299" s="9" t="s">
        <v>1723</v>
      </c>
      <c r="C3299" s="9" t="s">
        <v>56</v>
      </c>
      <c r="D3299" s="9" t="s">
        <v>11</v>
      </c>
      <c r="E3299" s="9">
        <v>104</v>
      </c>
      <c r="F3299" s="9">
        <v>8</v>
      </c>
      <c r="G3299" s="9">
        <v>8000000</v>
      </c>
      <c r="H3299" s="9">
        <v>25078937</v>
      </c>
      <c r="I3299" s="5">
        <f>IMDB_Movies!$H3299-IMDB_Movies!$G3299</f>
        <v>17078937</v>
      </c>
    </row>
    <row r="3300" spans="1:9" ht="23">
      <c r="A3300" s="2" t="s">
        <v>4824</v>
      </c>
      <c r="B3300" s="9" t="s">
        <v>4777</v>
      </c>
      <c r="C3300" s="9" t="s">
        <v>414</v>
      </c>
      <c r="D3300" s="9" t="s">
        <v>11</v>
      </c>
      <c r="E3300" s="9">
        <v>102</v>
      </c>
      <c r="F3300" s="9">
        <v>6.8</v>
      </c>
      <c r="G3300" s="9">
        <v>20000000</v>
      </c>
      <c r="H3300" s="9">
        <v>10105505</v>
      </c>
      <c r="I3300" s="5">
        <f>IMDB_Movies!$H3300-IMDB_Movies!$G3300</f>
        <v>-9894495</v>
      </c>
    </row>
    <row r="3301" spans="1:9" ht="23">
      <c r="A3301" s="2" t="s">
        <v>4825</v>
      </c>
      <c r="B3301" s="9" t="s">
        <v>4826</v>
      </c>
      <c r="C3301" s="9" t="s">
        <v>10</v>
      </c>
      <c r="D3301" s="9" t="s">
        <v>11</v>
      </c>
      <c r="E3301" s="9">
        <v>93</v>
      </c>
      <c r="F3301" s="9">
        <v>5.4</v>
      </c>
      <c r="G3301" s="9">
        <v>20000000</v>
      </c>
      <c r="H3301" s="9">
        <v>25078937</v>
      </c>
      <c r="I3301" s="5">
        <f>IMDB_Movies!$H3301-IMDB_Movies!$G3301</f>
        <v>5078937</v>
      </c>
    </row>
    <row r="3302" spans="1:9" ht="23">
      <c r="A3302" s="2" t="s">
        <v>4827</v>
      </c>
      <c r="B3302" s="9" t="s">
        <v>4828</v>
      </c>
      <c r="C3302" s="9" t="s">
        <v>10</v>
      </c>
      <c r="D3302" s="9" t="s">
        <v>11</v>
      </c>
      <c r="E3302" s="9">
        <v>90</v>
      </c>
      <c r="F3302" s="9">
        <v>6.5</v>
      </c>
      <c r="G3302" s="9">
        <v>10000000</v>
      </c>
      <c r="H3302" s="9">
        <v>882290</v>
      </c>
      <c r="I3302" s="5">
        <f>IMDB_Movies!$H3302-IMDB_Movies!$G3302</f>
        <v>-9117710</v>
      </c>
    </row>
    <row r="3303" spans="1:9" ht="23">
      <c r="A3303" s="2" t="s">
        <v>4829</v>
      </c>
      <c r="B3303" s="9" t="s">
        <v>4830</v>
      </c>
      <c r="C3303" s="9" t="s">
        <v>10</v>
      </c>
      <c r="D3303" s="9" t="s">
        <v>11</v>
      </c>
      <c r="E3303" s="9">
        <v>106</v>
      </c>
      <c r="F3303" s="9">
        <v>4.2</v>
      </c>
      <c r="G3303" s="9">
        <v>8000000</v>
      </c>
      <c r="H3303" s="9">
        <v>25078937</v>
      </c>
      <c r="I3303" s="5">
        <f>IMDB_Movies!$H3303-IMDB_Movies!$G3303</f>
        <v>17078937</v>
      </c>
    </row>
    <row r="3304" spans="1:9" ht="23">
      <c r="A3304" s="2" t="s">
        <v>4831</v>
      </c>
      <c r="B3304" s="9" t="s">
        <v>1723</v>
      </c>
      <c r="C3304" s="9" t="s">
        <v>138</v>
      </c>
      <c r="D3304" s="9" t="s">
        <v>11</v>
      </c>
      <c r="E3304" s="9">
        <v>99</v>
      </c>
      <c r="F3304" s="9">
        <v>7.4</v>
      </c>
      <c r="G3304" s="9">
        <v>7500000</v>
      </c>
      <c r="H3304" s="9">
        <v>106593296</v>
      </c>
      <c r="I3304" s="5">
        <f>IMDB_Movies!$H3304-IMDB_Movies!$G3304</f>
        <v>99093296</v>
      </c>
    </row>
    <row r="3305" spans="1:9" ht="23">
      <c r="A3305" s="2" t="s">
        <v>4832</v>
      </c>
      <c r="B3305" s="9" t="s">
        <v>2158</v>
      </c>
      <c r="C3305" s="9" t="s">
        <v>138</v>
      </c>
      <c r="D3305" s="9" t="s">
        <v>11</v>
      </c>
      <c r="E3305" s="9">
        <v>115</v>
      </c>
      <c r="F3305" s="9">
        <v>6.9</v>
      </c>
      <c r="G3305" s="9">
        <v>7500000</v>
      </c>
      <c r="H3305" s="9">
        <v>43490057</v>
      </c>
      <c r="I3305" s="5">
        <f>IMDB_Movies!$H3305-IMDB_Movies!$G3305</f>
        <v>35990057</v>
      </c>
    </row>
    <row r="3306" spans="1:9" ht="23">
      <c r="A3306" s="2" t="s">
        <v>4833</v>
      </c>
      <c r="B3306" s="9" t="s">
        <v>4834</v>
      </c>
      <c r="C3306" s="9" t="s">
        <v>10</v>
      </c>
      <c r="D3306" s="9" t="s">
        <v>2005</v>
      </c>
      <c r="E3306" s="9">
        <v>89</v>
      </c>
      <c r="F3306" s="9">
        <v>6.7</v>
      </c>
      <c r="G3306" s="9">
        <v>7500000</v>
      </c>
      <c r="H3306" s="9">
        <v>32333860</v>
      </c>
      <c r="I3306" s="5">
        <f>IMDB_Movies!$H3306-IMDB_Movies!$G3306</f>
        <v>24833860</v>
      </c>
    </row>
    <row r="3307" spans="1:9" ht="23">
      <c r="A3307" s="2" t="s">
        <v>4835</v>
      </c>
      <c r="B3307" s="9" t="s">
        <v>4836</v>
      </c>
      <c r="C3307" s="9" t="s">
        <v>56</v>
      </c>
      <c r="D3307" s="9" t="s">
        <v>394</v>
      </c>
      <c r="E3307" s="9">
        <v>101</v>
      </c>
      <c r="F3307" s="9">
        <v>7.3</v>
      </c>
      <c r="G3307" s="9">
        <v>7700000</v>
      </c>
      <c r="H3307" s="9">
        <v>25078937</v>
      </c>
      <c r="I3307" s="5">
        <f>IMDB_Movies!$H3307-IMDB_Movies!$G3307</f>
        <v>17378937</v>
      </c>
    </row>
    <row r="3308" spans="1:9" ht="23">
      <c r="A3308" s="2" t="s">
        <v>4837</v>
      </c>
      <c r="B3308" s="9" t="s">
        <v>2283</v>
      </c>
      <c r="C3308" s="9" t="s">
        <v>138</v>
      </c>
      <c r="D3308" s="9" t="s">
        <v>11</v>
      </c>
      <c r="E3308" s="9">
        <v>92</v>
      </c>
      <c r="F3308" s="9">
        <v>7.6</v>
      </c>
      <c r="G3308" s="9">
        <v>6500000</v>
      </c>
      <c r="H3308" s="9">
        <v>24792061</v>
      </c>
      <c r="I3308" s="5">
        <f>IMDB_Movies!$H3308-IMDB_Movies!$G3308</f>
        <v>18292061</v>
      </c>
    </row>
    <row r="3309" spans="1:9" ht="23">
      <c r="A3309" s="2" t="s">
        <v>4838</v>
      </c>
      <c r="B3309" s="9" t="s">
        <v>4839</v>
      </c>
      <c r="C3309" s="9" t="s">
        <v>810</v>
      </c>
      <c r="D3309" s="9" t="s">
        <v>11</v>
      </c>
      <c r="E3309" s="9">
        <v>94</v>
      </c>
      <c r="F3309" s="9">
        <v>5.4</v>
      </c>
      <c r="G3309" s="9">
        <v>10000000</v>
      </c>
      <c r="H3309" s="9">
        <v>17544812</v>
      </c>
      <c r="I3309" s="5">
        <f>IMDB_Movies!$H3309-IMDB_Movies!$G3309</f>
        <v>7544812</v>
      </c>
    </row>
    <row r="3310" spans="1:9" ht="23">
      <c r="A3310" s="2" t="s">
        <v>4840</v>
      </c>
      <c r="B3310" s="9" t="s">
        <v>3756</v>
      </c>
      <c r="C3310" s="9" t="s">
        <v>56</v>
      </c>
      <c r="D3310" s="9" t="s">
        <v>11</v>
      </c>
      <c r="E3310" s="9">
        <v>100</v>
      </c>
      <c r="F3310" s="9">
        <v>7.3</v>
      </c>
      <c r="G3310" s="9">
        <v>4500000</v>
      </c>
      <c r="H3310" s="9">
        <v>12574715</v>
      </c>
      <c r="I3310" s="5">
        <f>IMDB_Movies!$H3310-IMDB_Movies!$G3310</f>
        <v>8074715</v>
      </c>
    </row>
    <row r="3311" spans="1:9" ht="23">
      <c r="A3311" s="2" t="s">
        <v>4841</v>
      </c>
      <c r="B3311" s="9" t="s">
        <v>3317</v>
      </c>
      <c r="C3311" s="9" t="s">
        <v>56</v>
      </c>
      <c r="D3311" s="9" t="s">
        <v>11</v>
      </c>
      <c r="E3311" s="9">
        <v>106</v>
      </c>
      <c r="F3311" s="9">
        <v>6.4</v>
      </c>
      <c r="G3311" s="9">
        <v>20000000</v>
      </c>
      <c r="H3311" s="9">
        <v>10281585</v>
      </c>
      <c r="I3311" s="5">
        <f>IMDB_Movies!$H3311-IMDB_Movies!$G3311</f>
        <v>-9718415</v>
      </c>
    </row>
    <row r="3312" spans="1:9" ht="23">
      <c r="A3312" s="2" t="s">
        <v>4842</v>
      </c>
      <c r="B3312" s="9" t="s">
        <v>4843</v>
      </c>
      <c r="C3312" s="9" t="s">
        <v>138</v>
      </c>
      <c r="D3312" s="9" t="s">
        <v>11</v>
      </c>
      <c r="E3312" s="9">
        <v>109</v>
      </c>
      <c r="F3312" s="9">
        <v>6</v>
      </c>
      <c r="G3312" s="9">
        <v>7500000</v>
      </c>
      <c r="H3312" s="9">
        <v>5100000</v>
      </c>
      <c r="I3312" s="5">
        <f>IMDB_Movies!$H3312-IMDB_Movies!$G3312</f>
        <v>-2400000</v>
      </c>
    </row>
    <row r="3313" spans="1:9" ht="23">
      <c r="A3313" s="2" t="s">
        <v>4844</v>
      </c>
      <c r="B3313" s="9" t="s">
        <v>2671</v>
      </c>
      <c r="C3313" s="9" t="s">
        <v>414</v>
      </c>
      <c r="D3313" s="9" t="s">
        <v>11</v>
      </c>
      <c r="E3313" s="9">
        <v>105</v>
      </c>
      <c r="F3313" s="9">
        <v>7.2</v>
      </c>
      <c r="G3313" s="9">
        <v>7500000</v>
      </c>
      <c r="H3313" s="9">
        <v>10460089</v>
      </c>
      <c r="I3313" s="5">
        <f>IMDB_Movies!$H3313-IMDB_Movies!$G3313</f>
        <v>2960089</v>
      </c>
    </row>
    <row r="3314" spans="1:9" ht="23">
      <c r="A3314" s="2" t="s">
        <v>4845</v>
      </c>
      <c r="B3314" s="9" t="s">
        <v>3234</v>
      </c>
      <c r="C3314" s="9" t="s">
        <v>138</v>
      </c>
      <c r="D3314" s="9" t="s">
        <v>11</v>
      </c>
      <c r="E3314" s="9">
        <v>102</v>
      </c>
      <c r="F3314" s="9">
        <v>6</v>
      </c>
      <c r="G3314" s="9">
        <v>7500000</v>
      </c>
      <c r="H3314" s="9">
        <v>4239767</v>
      </c>
      <c r="I3314" s="5">
        <f>IMDB_Movies!$H3314-IMDB_Movies!$G3314</f>
        <v>-3260233</v>
      </c>
    </row>
    <row r="3315" spans="1:9" ht="23">
      <c r="A3315" s="2" t="s">
        <v>4846</v>
      </c>
      <c r="B3315" s="9" t="s">
        <v>4847</v>
      </c>
      <c r="C3315" s="9" t="s">
        <v>138</v>
      </c>
      <c r="D3315" s="9" t="s">
        <v>11</v>
      </c>
      <c r="E3315" s="9">
        <v>97</v>
      </c>
      <c r="F3315" s="9">
        <v>3.1</v>
      </c>
      <c r="G3315" s="9">
        <v>7500000</v>
      </c>
      <c r="H3315" s="9">
        <v>4131640</v>
      </c>
      <c r="I3315" s="5">
        <f>IMDB_Movies!$H3315-IMDB_Movies!$G3315</f>
        <v>-3368360</v>
      </c>
    </row>
    <row r="3316" spans="1:9" ht="23">
      <c r="A3316" s="2" t="s">
        <v>4848</v>
      </c>
      <c r="B3316" s="9" t="s">
        <v>4849</v>
      </c>
      <c r="C3316" s="9" t="s">
        <v>56</v>
      </c>
      <c r="D3316" s="9" t="s">
        <v>11</v>
      </c>
      <c r="E3316" s="9">
        <v>118</v>
      </c>
      <c r="F3316" s="9">
        <v>6.9</v>
      </c>
      <c r="G3316" s="9">
        <v>7500000</v>
      </c>
      <c r="H3316" s="9">
        <v>3347439</v>
      </c>
      <c r="I3316" s="5">
        <f>IMDB_Movies!$H3316-IMDB_Movies!$G3316</f>
        <v>-4152561</v>
      </c>
    </row>
    <row r="3317" spans="1:9" ht="23">
      <c r="A3317" s="2" t="s">
        <v>4850</v>
      </c>
      <c r="B3317" s="9" t="s">
        <v>4095</v>
      </c>
      <c r="C3317" s="9" t="s">
        <v>138</v>
      </c>
      <c r="D3317" s="9" t="s">
        <v>11</v>
      </c>
      <c r="E3317" s="9">
        <v>92</v>
      </c>
      <c r="F3317" s="9">
        <v>6.2</v>
      </c>
      <c r="G3317" s="9">
        <v>8000000</v>
      </c>
      <c r="H3317" s="9">
        <v>10814185</v>
      </c>
      <c r="I3317" s="5">
        <f>IMDB_Movies!$H3317-IMDB_Movies!$G3317</f>
        <v>2814185</v>
      </c>
    </row>
    <row r="3318" spans="1:9" ht="23">
      <c r="A3318" s="2" t="s">
        <v>4851</v>
      </c>
      <c r="B3318" s="9" t="s">
        <v>999</v>
      </c>
      <c r="C3318" s="9" t="s">
        <v>138</v>
      </c>
      <c r="D3318" s="9" t="s">
        <v>11</v>
      </c>
      <c r="E3318" s="9">
        <v>112</v>
      </c>
      <c r="F3318" s="9">
        <v>5.5</v>
      </c>
      <c r="G3318" s="9">
        <v>20000000</v>
      </c>
      <c r="H3318" s="9">
        <v>533344</v>
      </c>
      <c r="I3318" s="5">
        <f>IMDB_Movies!$H3318-IMDB_Movies!$G3318</f>
        <v>-19466656</v>
      </c>
    </row>
    <row r="3319" spans="1:9" ht="23">
      <c r="A3319" s="2" t="s">
        <v>4852</v>
      </c>
      <c r="B3319" s="9" t="s">
        <v>4853</v>
      </c>
      <c r="C3319" s="9" t="s">
        <v>138</v>
      </c>
      <c r="D3319" s="9" t="s">
        <v>394</v>
      </c>
      <c r="E3319" s="9">
        <v>103</v>
      </c>
      <c r="F3319" s="9">
        <v>6.9</v>
      </c>
      <c r="G3319" s="9">
        <v>50000000</v>
      </c>
      <c r="H3319" s="9">
        <v>206400</v>
      </c>
      <c r="I3319" s="5">
        <f>IMDB_Movies!$H3319-IMDB_Movies!$G3319</f>
        <v>-49793600</v>
      </c>
    </row>
    <row r="3320" spans="1:9" ht="23">
      <c r="A3320" s="2" t="s">
        <v>4854</v>
      </c>
      <c r="B3320" s="9" t="s">
        <v>2645</v>
      </c>
      <c r="C3320" s="9" t="s">
        <v>56</v>
      </c>
      <c r="D3320" s="9" t="s">
        <v>11</v>
      </c>
      <c r="E3320" s="9">
        <v>93</v>
      </c>
      <c r="F3320" s="9">
        <v>6.3</v>
      </c>
      <c r="G3320" s="9">
        <v>7500000</v>
      </c>
      <c r="H3320" s="9">
        <v>197148</v>
      </c>
      <c r="I3320" s="5">
        <f>IMDB_Movies!$H3320-IMDB_Movies!$G3320</f>
        <v>-7302852</v>
      </c>
    </row>
    <row r="3321" spans="1:9" ht="23">
      <c r="A3321" s="2" t="s">
        <v>4855</v>
      </c>
      <c r="B3321" s="9" t="s">
        <v>4856</v>
      </c>
      <c r="C3321" s="9" t="s">
        <v>138</v>
      </c>
      <c r="D3321" s="9" t="s">
        <v>11</v>
      </c>
      <c r="E3321" s="9">
        <v>101</v>
      </c>
      <c r="F3321" s="9">
        <v>4.8</v>
      </c>
      <c r="G3321" s="9">
        <v>7500000</v>
      </c>
      <c r="H3321" s="9">
        <v>25078937</v>
      </c>
      <c r="I3321" s="5">
        <f>IMDB_Movies!$H3321-IMDB_Movies!$G3321</f>
        <v>17578937</v>
      </c>
    </row>
    <row r="3322" spans="1:9" ht="23">
      <c r="A3322" s="2" t="s">
        <v>4857</v>
      </c>
      <c r="B3322" s="9" t="s">
        <v>4858</v>
      </c>
      <c r="C3322" s="9" t="s">
        <v>56</v>
      </c>
      <c r="D3322" s="9" t="s">
        <v>11</v>
      </c>
      <c r="E3322" s="9">
        <v>113</v>
      </c>
      <c r="F3322" s="9">
        <v>6.7</v>
      </c>
      <c r="G3322" s="9">
        <v>8000000</v>
      </c>
      <c r="H3322" s="9">
        <v>3014541</v>
      </c>
      <c r="I3322" s="5">
        <f>IMDB_Movies!$H3322-IMDB_Movies!$G3322</f>
        <v>-4985459</v>
      </c>
    </row>
    <row r="3323" spans="1:9" ht="23">
      <c r="A3323" s="2" t="s">
        <v>4859</v>
      </c>
      <c r="B3323" s="9" t="s">
        <v>4860</v>
      </c>
      <c r="C3323" s="9" t="s">
        <v>10</v>
      </c>
      <c r="D3323" s="9" t="s">
        <v>11</v>
      </c>
      <c r="E3323" s="9">
        <v>95</v>
      </c>
      <c r="F3323" s="9">
        <v>5.6</v>
      </c>
      <c r="G3323" s="9">
        <v>7500000</v>
      </c>
      <c r="H3323" s="9">
        <v>25078937</v>
      </c>
      <c r="I3323" s="5">
        <f>IMDB_Movies!$H3323-IMDB_Movies!$G3323</f>
        <v>17578937</v>
      </c>
    </row>
    <row r="3324" spans="1:9" ht="23">
      <c r="A3324" s="2" t="s">
        <v>4861</v>
      </c>
      <c r="B3324" s="9" t="s">
        <v>4862</v>
      </c>
      <c r="C3324" s="9" t="s">
        <v>138</v>
      </c>
      <c r="D3324" s="9" t="s">
        <v>1534</v>
      </c>
      <c r="E3324" s="9">
        <v>153</v>
      </c>
      <c r="F3324" s="9">
        <v>5.4</v>
      </c>
      <c r="G3324" s="9">
        <v>6000000</v>
      </c>
      <c r="H3324" s="9">
        <v>872643</v>
      </c>
      <c r="I3324" s="5">
        <f>IMDB_Movies!$H3324-IMDB_Movies!$G3324</f>
        <v>-5127357</v>
      </c>
    </row>
    <row r="3325" spans="1:9" ht="23">
      <c r="A3325" s="2" t="s">
        <v>4863</v>
      </c>
      <c r="B3325" s="9" t="s">
        <v>4864</v>
      </c>
      <c r="C3325" s="9" t="s">
        <v>116</v>
      </c>
      <c r="D3325" s="9" t="s">
        <v>394</v>
      </c>
      <c r="E3325" s="9">
        <v>89</v>
      </c>
      <c r="F3325" s="9">
        <v>8</v>
      </c>
      <c r="G3325" s="9">
        <v>7300000</v>
      </c>
      <c r="H3325" s="9">
        <v>4443403</v>
      </c>
      <c r="I3325" s="5">
        <f>IMDB_Movies!$H3325-IMDB_Movies!$G3325</f>
        <v>-2856597</v>
      </c>
    </row>
    <row r="3326" spans="1:9" ht="23">
      <c r="A3326" s="2" t="s">
        <v>4865</v>
      </c>
      <c r="B3326" s="9" t="s">
        <v>760</v>
      </c>
      <c r="C3326" s="9" t="s">
        <v>24</v>
      </c>
      <c r="D3326" s="9" t="s">
        <v>11</v>
      </c>
      <c r="E3326" s="9">
        <v>92</v>
      </c>
      <c r="F3326" s="9">
        <v>5.7</v>
      </c>
      <c r="G3326" s="9">
        <v>12000000</v>
      </c>
      <c r="H3326" s="9">
        <v>25078937</v>
      </c>
      <c r="I3326" s="5">
        <f>IMDB_Movies!$H3326-IMDB_Movies!$G3326</f>
        <v>13078937</v>
      </c>
    </row>
    <row r="3327" spans="1:9" ht="23">
      <c r="A3327" s="2" t="s">
        <v>4866</v>
      </c>
      <c r="B3327" s="9" t="s">
        <v>4867</v>
      </c>
      <c r="C3327" s="9" t="s">
        <v>56</v>
      </c>
      <c r="D3327" s="9" t="s">
        <v>2452</v>
      </c>
      <c r="E3327" s="9">
        <v>107</v>
      </c>
      <c r="F3327" s="9">
        <v>7.6</v>
      </c>
      <c r="G3327" s="9">
        <v>5000000</v>
      </c>
      <c r="H3327" s="9">
        <v>25078937</v>
      </c>
      <c r="I3327" s="5">
        <f>IMDB_Movies!$H3327-IMDB_Movies!$G3327</f>
        <v>20078937</v>
      </c>
    </row>
    <row r="3328" spans="1:9" ht="23">
      <c r="A3328" s="2" t="s">
        <v>4868</v>
      </c>
      <c r="B3328" s="9" t="s">
        <v>3699</v>
      </c>
      <c r="C3328" s="9" t="s">
        <v>810</v>
      </c>
      <c r="D3328" s="9" t="s">
        <v>11</v>
      </c>
      <c r="E3328" s="9">
        <v>118</v>
      </c>
      <c r="F3328" s="9">
        <v>7</v>
      </c>
      <c r="G3328" s="9">
        <v>7000000</v>
      </c>
      <c r="H3328" s="9">
        <v>1330827</v>
      </c>
      <c r="I3328" s="5">
        <f>IMDB_Movies!$H3328-IMDB_Movies!$G3328</f>
        <v>-5669173</v>
      </c>
    </row>
    <row r="3329" spans="1:9" ht="23">
      <c r="A3329" s="2" t="s">
        <v>4869</v>
      </c>
      <c r="B3329" s="9" t="s">
        <v>4870</v>
      </c>
      <c r="C3329" s="9" t="s">
        <v>10</v>
      </c>
      <c r="D3329" s="9" t="s">
        <v>11</v>
      </c>
      <c r="E3329" s="9">
        <v>97</v>
      </c>
      <c r="F3329" s="9">
        <v>7.2</v>
      </c>
      <c r="G3329" s="9">
        <v>7300000</v>
      </c>
      <c r="H3329" s="9">
        <v>1818681</v>
      </c>
      <c r="I3329" s="5">
        <f>IMDB_Movies!$H3329-IMDB_Movies!$G3329</f>
        <v>-5481319</v>
      </c>
    </row>
    <row r="3330" spans="1:9" ht="23">
      <c r="A3330" s="2" t="s">
        <v>4871</v>
      </c>
      <c r="B3330" s="9" t="s">
        <v>4872</v>
      </c>
      <c r="C3330" s="9" t="s">
        <v>10</v>
      </c>
      <c r="D3330" s="9" t="s">
        <v>11</v>
      </c>
      <c r="E3330" s="9">
        <v>100</v>
      </c>
      <c r="F3330" s="9">
        <v>3.5</v>
      </c>
      <c r="G3330" s="9">
        <v>7500000</v>
      </c>
      <c r="H3330" s="9">
        <v>12610552</v>
      </c>
      <c r="I3330" s="5">
        <f>IMDB_Movies!$H3330-IMDB_Movies!$G3330</f>
        <v>5110552</v>
      </c>
    </row>
    <row r="3331" spans="1:9" ht="23">
      <c r="A3331" s="2" t="s">
        <v>4873</v>
      </c>
      <c r="B3331" s="9" t="s">
        <v>2283</v>
      </c>
      <c r="C3331" s="9" t="s">
        <v>138</v>
      </c>
      <c r="D3331" s="9" t="s">
        <v>11</v>
      </c>
      <c r="E3331" s="9">
        <v>96</v>
      </c>
      <c r="F3331" s="9">
        <v>7.5</v>
      </c>
      <c r="G3331" s="9">
        <v>7500000</v>
      </c>
      <c r="H3331" s="9">
        <v>143492840</v>
      </c>
      <c r="I3331" s="5">
        <f>IMDB_Movies!$H3331-IMDB_Movies!$G3331</f>
        <v>135992840</v>
      </c>
    </row>
    <row r="3332" spans="1:9" ht="23">
      <c r="A3332" s="2" t="s">
        <v>4874</v>
      </c>
      <c r="B3332" s="9" t="s">
        <v>4875</v>
      </c>
      <c r="C3332" s="9" t="s">
        <v>10</v>
      </c>
      <c r="D3332" s="9" t="s">
        <v>11</v>
      </c>
      <c r="E3332" s="9">
        <v>104</v>
      </c>
      <c r="F3332" s="9">
        <v>5.0999999999999996</v>
      </c>
      <c r="G3332" s="9">
        <v>7500000</v>
      </c>
      <c r="H3332" s="9">
        <v>25078937</v>
      </c>
      <c r="I3332" s="5">
        <f>IMDB_Movies!$H3332-IMDB_Movies!$G3332</f>
        <v>17578937</v>
      </c>
    </row>
    <row r="3333" spans="1:9" ht="23">
      <c r="A3333" s="2" t="s">
        <v>4876</v>
      </c>
      <c r="B3333" s="9" t="s">
        <v>4877</v>
      </c>
      <c r="C3333" s="9" t="s">
        <v>10</v>
      </c>
      <c r="D3333" s="9" t="s">
        <v>11</v>
      </c>
      <c r="E3333" s="9">
        <v>120</v>
      </c>
      <c r="F3333" s="9">
        <v>6.7</v>
      </c>
      <c r="G3333" s="9">
        <v>7200000</v>
      </c>
      <c r="H3333" s="9">
        <v>43800000</v>
      </c>
      <c r="I3333" s="5">
        <f>IMDB_Movies!$H3333-IMDB_Movies!$G3333</f>
        <v>36600000</v>
      </c>
    </row>
    <row r="3334" spans="1:9" ht="23">
      <c r="A3334" s="2" t="s">
        <v>4878</v>
      </c>
      <c r="B3334" s="9" t="s">
        <v>1311</v>
      </c>
      <c r="C3334" s="9" t="s">
        <v>414</v>
      </c>
      <c r="D3334" s="9" t="s">
        <v>11</v>
      </c>
      <c r="E3334" s="9">
        <v>175</v>
      </c>
      <c r="F3334" s="9">
        <v>9.1999999999999993</v>
      </c>
      <c r="G3334" s="9">
        <v>6000000</v>
      </c>
      <c r="H3334" s="9">
        <v>134821952</v>
      </c>
      <c r="I3334" s="5">
        <f>IMDB_Movies!$H3334-IMDB_Movies!$G3334</f>
        <v>128821952</v>
      </c>
    </row>
    <row r="3335" spans="1:9" ht="23">
      <c r="A3335" s="2" t="s">
        <v>4879</v>
      </c>
      <c r="B3335" s="9" t="s">
        <v>1414</v>
      </c>
      <c r="C3335" s="9" t="s">
        <v>56</v>
      </c>
      <c r="D3335" s="9" t="s">
        <v>11</v>
      </c>
      <c r="E3335" s="9">
        <v>95</v>
      </c>
      <c r="F3335" s="9">
        <v>6.1</v>
      </c>
      <c r="G3335" s="9">
        <v>4000000</v>
      </c>
      <c r="H3335" s="9">
        <v>94900000</v>
      </c>
      <c r="I3335" s="5">
        <f>IMDB_Movies!$H3335-IMDB_Movies!$G3335</f>
        <v>90900000</v>
      </c>
    </row>
    <row r="3336" spans="1:9" ht="23">
      <c r="A3336" s="2" t="s">
        <v>4880</v>
      </c>
      <c r="B3336" s="9" t="s">
        <v>48</v>
      </c>
      <c r="C3336" s="9" t="s">
        <v>138</v>
      </c>
      <c r="D3336" s="9" t="s">
        <v>11</v>
      </c>
      <c r="E3336" s="9">
        <v>95</v>
      </c>
      <c r="F3336" s="9">
        <v>7.7</v>
      </c>
      <c r="G3336" s="9">
        <v>7500000</v>
      </c>
      <c r="H3336" s="9">
        <v>32391374</v>
      </c>
      <c r="I3336" s="5">
        <f>IMDB_Movies!$H3336-IMDB_Movies!$G3336</f>
        <v>24891374</v>
      </c>
    </row>
    <row r="3337" spans="1:9" ht="23">
      <c r="A3337" s="2" t="s">
        <v>4881</v>
      </c>
      <c r="B3337" s="9" t="s">
        <v>4169</v>
      </c>
      <c r="C3337" s="9" t="s">
        <v>56</v>
      </c>
      <c r="D3337" s="9" t="s">
        <v>11</v>
      </c>
      <c r="E3337" s="9">
        <v>121</v>
      </c>
      <c r="F3337" s="9">
        <v>7.6</v>
      </c>
      <c r="G3337" s="9">
        <v>7000000</v>
      </c>
      <c r="H3337" s="9">
        <v>40158000</v>
      </c>
      <c r="I3337" s="5">
        <f>IMDB_Movies!$H3337-IMDB_Movies!$G3337</f>
        <v>33158000</v>
      </c>
    </row>
    <row r="3338" spans="1:9" ht="23">
      <c r="A3338" s="2" t="s">
        <v>4882</v>
      </c>
      <c r="B3338" s="9" t="s">
        <v>413</v>
      </c>
      <c r="C3338" s="9" t="s">
        <v>138</v>
      </c>
      <c r="D3338" s="9" t="s">
        <v>11</v>
      </c>
      <c r="E3338" s="9">
        <v>110</v>
      </c>
      <c r="F3338" s="9">
        <v>6.1</v>
      </c>
      <c r="G3338" s="9">
        <v>7000000</v>
      </c>
      <c r="H3338" s="9">
        <v>113709992</v>
      </c>
      <c r="I3338" s="5">
        <f>IMDB_Movies!$H3338-IMDB_Movies!$G3338</f>
        <v>106709992</v>
      </c>
    </row>
    <row r="3339" spans="1:9" ht="23">
      <c r="A3339" s="2" t="s">
        <v>4883</v>
      </c>
      <c r="B3339" s="9" t="s">
        <v>236</v>
      </c>
      <c r="C3339" s="9" t="s">
        <v>810</v>
      </c>
      <c r="D3339" s="9" t="s">
        <v>11</v>
      </c>
      <c r="E3339" s="9">
        <v>96</v>
      </c>
      <c r="F3339" s="9">
        <v>4.9000000000000004</v>
      </c>
      <c r="G3339" s="9">
        <v>11000000</v>
      </c>
      <c r="H3339" s="9">
        <v>32131483</v>
      </c>
      <c r="I3339" s="5">
        <f>IMDB_Movies!$H3339-IMDB_Movies!$G3339</f>
        <v>21131483</v>
      </c>
    </row>
    <row r="3340" spans="1:9" ht="23">
      <c r="A3340" s="2" t="s">
        <v>4884</v>
      </c>
      <c r="B3340" s="9" t="s">
        <v>4877</v>
      </c>
      <c r="C3340" s="9" t="s">
        <v>10</v>
      </c>
      <c r="D3340" s="9" t="s">
        <v>11</v>
      </c>
      <c r="E3340" s="9">
        <v>121</v>
      </c>
      <c r="F3340" s="9">
        <v>6.8</v>
      </c>
      <c r="G3340" s="9">
        <v>7000000</v>
      </c>
      <c r="H3340" s="9">
        <v>35400000</v>
      </c>
      <c r="I3340" s="5">
        <f>IMDB_Movies!$H3340-IMDB_Movies!$G3340</f>
        <v>28400000</v>
      </c>
    </row>
    <row r="3341" spans="1:9" ht="23">
      <c r="A3341" s="2" t="s">
        <v>4885</v>
      </c>
      <c r="B3341" s="9" t="s">
        <v>1091</v>
      </c>
      <c r="C3341" s="9" t="s">
        <v>56</v>
      </c>
      <c r="D3341" s="9" t="s">
        <v>11</v>
      </c>
      <c r="E3341" s="9">
        <v>95</v>
      </c>
      <c r="F3341" s="9">
        <v>7</v>
      </c>
      <c r="G3341" s="9">
        <v>5000000</v>
      </c>
      <c r="H3341" s="9">
        <v>34099640</v>
      </c>
      <c r="I3341" s="5">
        <f>IMDB_Movies!$H3341-IMDB_Movies!$G3341</f>
        <v>29099640</v>
      </c>
    </row>
    <row r="3342" spans="1:9" ht="23">
      <c r="A3342" s="2" t="s">
        <v>4886</v>
      </c>
      <c r="B3342" s="9" t="s">
        <v>4887</v>
      </c>
      <c r="C3342" s="9" t="s">
        <v>138</v>
      </c>
      <c r="D3342" s="9" t="s">
        <v>11</v>
      </c>
      <c r="E3342" s="9">
        <v>112</v>
      </c>
      <c r="F3342" s="9">
        <v>7.2</v>
      </c>
      <c r="G3342" s="9">
        <v>20000000</v>
      </c>
      <c r="H3342" s="9">
        <v>31973840</v>
      </c>
      <c r="I3342" s="5">
        <f>IMDB_Movies!$H3342-IMDB_Movies!$G3342</f>
        <v>11973840</v>
      </c>
    </row>
    <row r="3343" spans="1:9" ht="23">
      <c r="A3343" s="2" t="s">
        <v>4888</v>
      </c>
      <c r="B3343" s="9" t="s">
        <v>4376</v>
      </c>
      <c r="C3343" s="9" t="s">
        <v>138</v>
      </c>
      <c r="D3343" s="9" t="s">
        <v>11</v>
      </c>
      <c r="E3343" s="9">
        <v>112</v>
      </c>
      <c r="F3343" s="9">
        <v>5.7</v>
      </c>
      <c r="G3343" s="9">
        <v>6600000</v>
      </c>
      <c r="H3343" s="9">
        <v>37295394</v>
      </c>
      <c r="I3343" s="5">
        <f>IMDB_Movies!$H3343-IMDB_Movies!$G3343</f>
        <v>30695394</v>
      </c>
    </row>
    <row r="3344" spans="1:9" ht="23">
      <c r="A3344" s="2" t="s">
        <v>4889</v>
      </c>
      <c r="B3344" s="9" t="s">
        <v>908</v>
      </c>
      <c r="C3344" s="9" t="s">
        <v>418</v>
      </c>
      <c r="D3344" s="9" t="s">
        <v>11</v>
      </c>
      <c r="E3344" s="9">
        <v>93</v>
      </c>
      <c r="F3344" s="9">
        <v>7.5</v>
      </c>
      <c r="G3344" s="9">
        <v>7500000</v>
      </c>
      <c r="H3344" s="9">
        <v>31501218</v>
      </c>
      <c r="I3344" s="5">
        <f>IMDB_Movies!$H3344-IMDB_Movies!$G3344</f>
        <v>24001218</v>
      </c>
    </row>
    <row r="3345" spans="1:9" ht="23">
      <c r="A3345" s="2" t="s">
        <v>4890</v>
      </c>
      <c r="B3345" s="9" t="s">
        <v>1396</v>
      </c>
      <c r="C3345" s="9" t="s">
        <v>418</v>
      </c>
      <c r="D3345" s="9" t="s">
        <v>11</v>
      </c>
      <c r="E3345" s="9">
        <v>110</v>
      </c>
      <c r="F3345" s="9">
        <v>7.4</v>
      </c>
      <c r="G3345" s="9">
        <v>7000000</v>
      </c>
      <c r="H3345" s="9">
        <v>28747570</v>
      </c>
      <c r="I3345" s="5">
        <f>IMDB_Movies!$H3345-IMDB_Movies!$G3345</f>
        <v>21747570</v>
      </c>
    </row>
    <row r="3346" spans="1:9" ht="23">
      <c r="A3346" s="2" t="s">
        <v>4891</v>
      </c>
      <c r="B3346" s="9" t="s">
        <v>1327</v>
      </c>
      <c r="C3346" s="9" t="s">
        <v>10</v>
      </c>
      <c r="D3346" s="9" t="s">
        <v>11</v>
      </c>
      <c r="E3346" s="9">
        <v>104</v>
      </c>
      <c r="F3346" s="9">
        <v>7.2</v>
      </c>
      <c r="G3346" s="9">
        <v>7000000</v>
      </c>
      <c r="H3346" s="9">
        <v>25625110</v>
      </c>
      <c r="I3346" s="5">
        <f>IMDB_Movies!$H3346-IMDB_Movies!$G3346</f>
        <v>18625110</v>
      </c>
    </row>
    <row r="3347" spans="1:9" ht="23">
      <c r="A3347" s="2" t="s">
        <v>4892</v>
      </c>
      <c r="B3347" s="9" t="s">
        <v>4893</v>
      </c>
      <c r="C3347" s="9" t="s">
        <v>10</v>
      </c>
      <c r="D3347" s="9" t="s">
        <v>11</v>
      </c>
      <c r="E3347" s="9">
        <v>119</v>
      </c>
      <c r="F3347" s="9">
        <v>6.8</v>
      </c>
      <c r="G3347" s="9">
        <v>9000000</v>
      </c>
      <c r="H3347" s="9">
        <v>25000000</v>
      </c>
      <c r="I3347" s="5">
        <f>IMDB_Movies!$H3347-IMDB_Movies!$G3347</f>
        <v>16000000</v>
      </c>
    </row>
    <row r="3348" spans="1:9" ht="23">
      <c r="A3348" s="2" t="s">
        <v>4894</v>
      </c>
      <c r="B3348" s="9" t="s">
        <v>4877</v>
      </c>
      <c r="C3348" s="9" t="s">
        <v>10</v>
      </c>
      <c r="D3348" s="9" t="s">
        <v>11</v>
      </c>
      <c r="E3348" s="9">
        <v>125</v>
      </c>
      <c r="F3348" s="9">
        <v>6.8</v>
      </c>
      <c r="G3348" s="9">
        <v>13000000</v>
      </c>
      <c r="H3348" s="9">
        <v>21000000</v>
      </c>
      <c r="I3348" s="5">
        <f>IMDB_Movies!$H3348-IMDB_Movies!$G3348</f>
        <v>8000000</v>
      </c>
    </row>
    <row r="3349" spans="1:9" ht="23">
      <c r="A3349" s="2" t="s">
        <v>4895</v>
      </c>
      <c r="B3349" s="9" t="s">
        <v>2798</v>
      </c>
      <c r="C3349" s="9" t="s">
        <v>10</v>
      </c>
      <c r="D3349" s="9" t="s">
        <v>11</v>
      </c>
      <c r="E3349" s="9">
        <v>96</v>
      </c>
      <c r="F3349" s="9">
        <v>5.2</v>
      </c>
      <c r="G3349" s="9">
        <v>7000000</v>
      </c>
      <c r="H3349" s="9">
        <v>20257000</v>
      </c>
      <c r="I3349" s="5">
        <f>IMDB_Movies!$H3349-IMDB_Movies!$G3349</f>
        <v>13257000</v>
      </c>
    </row>
    <row r="3350" spans="1:9" ht="23">
      <c r="A3350" s="2" t="s">
        <v>4896</v>
      </c>
      <c r="B3350" s="9" t="s">
        <v>2188</v>
      </c>
      <c r="C3350" s="9" t="s">
        <v>24</v>
      </c>
      <c r="D3350" s="9" t="s">
        <v>11</v>
      </c>
      <c r="E3350" s="9">
        <v>100</v>
      </c>
      <c r="F3350" s="9">
        <v>7.2</v>
      </c>
      <c r="G3350" s="9">
        <v>3500000</v>
      </c>
      <c r="H3350" s="9">
        <v>26005908</v>
      </c>
      <c r="I3350" s="5">
        <f>IMDB_Movies!$H3350-IMDB_Movies!$G3350</f>
        <v>22505908</v>
      </c>
    </row>
    <row r="3351" spans="1:9" ht="23">
      <c r="A3351" s="2" t="s">
        <v>4897</v>
      </c>
      <c r="B3351" s="9" t="s">
        <v>4898</v>
      </c>
      <c r="C3351" s="9" t="s">
        <v>772</v>
      </c>
      <c r="D3351" s="9" t="s">
        <v>11</v>
      </c>
      <c r="E3351" s="9">
        <v>46</v>
      </c>
      <c r="F3351" s="9">
        <v>7.5</v>
      </c>
      <c r="G3351" s="9">
        <v>20000000</v>
      </c>
      <c r="H3351" s="9">
        <v>18642318</v>
      </c>
      <c r="I3351" s="5">
        <f>IMDB_Movies!$H3351-IMDB_Movies!$G3351</f>
        <v>-1357682</v>
      </c>
    </row>
    <row r="3352" spans="1:9" ht="23">
      <c r="A3352" s="2" t="s">
        <v>4899</v>
      </c>
      <c r="B3352" s="9" t="s">
        <v>4900</v>
      </c>
      <c r="C3352" s="9" t="s">
        <v>810</v>
      </c>
      <c r="D3352" s="9" t="s">
        <v>11</v>
      </c>
      <c r="E3352" s="9">
        <v>89</v>
      </c>
      <c r="F3352" s="9">
        <v>4</v>
      </c>
      <c r="G3352" s="9">
        <v>7000000</v>
      </c>
      <c r="H3352" s="9">
        <v>15818967</v>
      </c>
      <c r="I3352" s="5">
        <f>IMDB_Movies!$H3352-IMDB_Movies!$G3352</f>
        <v>8818967</v>
      </c>
    </row>
    <row r="3353" spans="1:9" ht="23">
      <c r="A3353" s="2" t="s">
        <v>4901</v>
      </c>
      <c r="B3353" s="9" t="s">
        <v>1124</v>
      </c>
      <c r="C3353" s="9" t="s">
        <v>138</v>
      </c>
      <c r="D3353" s="9" t="s">
        <v>11</v>
      </c>
      <c r="E3353" s="9">
        <v>92</v>
      </c>
      <c r="F3353" s="9">
        <v>6.8</v>
      </c>
      <c r="G3353" s="9">
        <v>7000000</v>
      </c>
      <c r="H3353" s="9">
        <v>14891000</v>
      </c>
      <c r="I3353" s="5">
        <f>IMDB_Movies!$H3353-IMDB_Movies!$G3353</f>
        <v>7891000</v>
      </c>
    </row>
    <row r="3354" spans="1:9" ht="23">
      <c r="A3354" s="2" t="s">
        <v>4902</v>
      </c>
      <c r="B3354" s="9" t="s">
        <v>3688</v>
      </c>
      <c r="C3354" s="9" t="s">
        <v>414</v>
      </c>
      <c r="D3354" s="9" t="s">
        <v>11</v>
      </c>
      <c r="E3354" s="9">
        <v>109</v>
      </c>
      <c r="F3354" s="9">
        <v>6.9</v>
      </c>
      <c r="G3354" s="9">
        <v>7000000</v>
      </c>
      <c r="H3354" s="9">
        <v>16901126</v>
      </c>
      <c r="I3354" s="5">
        <f>IMDB_Movies!$H3354-IMDB_Movies!$G3354</f>
        <v>9901126</v>
      </c>
    </row>
    <row r="3355" spans="1:9" ht="23">
      <c r="A3355" s="2" t="s">
        <v>4903</v>
      </c>
      <c r="B3355" s="9" t="s">
        <v>3903</v>
      </c>
      <c r="C3355" s="9" t="s">
        <v>138</v>
      </c>
      <c r="D3355" s="9" t="s">
        <v>11</v>
      </c>
      <c r="E3355" s="9">
        <v>103</v>
      </c>
      <c r="F3355" s="9">
        <v>7.3</v>
      </c>
      <c r="G3355" s="9">
        <v>7000000</v>
      </c>
      <c r="H3355" s="9">
        <v>17474107</v>
      </c>
      <c r="I3355" s="5">
        <f>IMDB_Movies!$H3355-IMDB_Movies!$G3355</f>
        <v>10474107</v>
      </c>
    </row>
    <row r="3356" spans="1:9" ht="23">
      <c r="A3356" s="2" t="s">
        <v>4904</v>
      </c>
      <c r="B3356" s="9" t="s">
        <v>2073</v>
      </c>
      <c r="C3356" s="9" t="s">
        <v>414</v>
      </c>
      <c r="D3356" s="9" t="s">
        <v>11</v>
      </c>
      <c r="E3356" s="9">
        <v>95</v>
      </c>
      <c r="F3356" s="9">
        <v>6.1</v>
      </c>
      <c r="G3356" s="9">
        <v>7000000</v>
      </c>
      <c r="H3356" s="9">
        <v>14003141</v>
      </c>
      <c r="I3356" s="5">
        <f>IMDB_Movies!$H3356-IMDB_Movies!$G3356</f>
        <v>7003141</v>
      </c>
    </row>
    <row r="3357" spans="1:9" ht="23">
      <c r="A3357" s="2" t="s">
        <v>4905</v>
      </c>
      <c r="B3357" s="9" t="s">
        <v>3688</v>
      </c>
      <c r="C3357" s="9" t="s">
        <v>810</v>
      </c>
      <c r="D3357" s="9" t="s">
        <v>11</v>
      </c>
      <c r="E3357" s="9">
        <v>105</v>
      </c>
      <c r="F3357" s="9">
        <v>6</v>
      </c>
      <c r="G3357" s="9">
        <v>7000000</v>
      </c>
      <c r="H3357" s="9">
        <v>12583510</v>
      </c>
      <c r="I3357" s="5">
        <f>IMDB_Movies!$H3357-IMDB_Movies!$G3357</f>
        <v>5583510</v>
      </c>
    </row>
    <row r="3358" spans="1:9" ht="23">
      <c r="A3358" s="2" t="s">
        <v>4906</v>
      </c>
      <c r="B3358" s="9" t="s">
        <v>4907</v>
      </c>
      <c r="C3358" s="9" t="s">
        <v>810</v>
      </c>
      <c r="D3358" s="9" t="s">
        <v>11</v>
      </c>
      <c r="E3358" s="9">
        <v>79</v>
      </c>
      <c r="F3358" s="9">
        <v>4.0999999999999996</v>
      </c>
      <c r="G3358" s="9">
        <v>350000</v>
      </c>
      <c r="H3358" s="9">
        <v>25078937</v>
      </c>
      <c r="I3358" s="5">
        <f>IMDB_Movies!$H3358-IMDB_Movies!$G3358</f>
        <v>24728937</v>
      </c>
    </row>
    <row r="3359" spans="1:9" ht="23">
      <c r="A3359" s="2" t="s">
        <v>4908</v>
      </c>
      <c r="B3359" s="9" t="s">
        <v>1967</v>
      </c>
      <c r="C3359" s="9" t="s">
        <v>138</v>
      </c>
      <c r="D3359" s="9" t="s">
        <v>11</v>
      </c>
      <c r="E3359" s="9">
        <v>106</v>
      </c>
      <c r="F3359" s="9">
        <v>7</v>
      </c>
      <c r="G3359" s="9">
        <v>7000000</v>
      </c>
      <c r="H3359" s="9">
        <v>9190525</v>
      </c>
      <c r="I3359" s="5">
        <f>IMDB_Movies!$H3359-IMDB_Movies!$G3359</f>
        <v>2190525</v>
      </c>
    </row>
    <row r="3360" spans="1:9" ht="23">
      <c r="A3360" s="2" t="s">
        <v>4909</v>
      </c>
      <c r="B3360" s="9" t="s">
        <v>4910</v>
      </c>
      <c r="C3360" s="9" t="s">
        <v>56</v>
      </c>
      <c r="D3360" s="9" t="s">
        <v>11</v>
      </c>
      <c r="E3360" s="9">
        <v>100</v>
      </c>
      <c r="F3360" s="9">
        <v>7.1</v>
      </c>
      <c r="G3360" s="9">
        <v>7500000</v>
      </c>
      <c r="H3360" s="9">
        <v>9176553</v>
      </c>
      <c r="I3360" s="5">
        <f>IMDB_Movies!$H3360-IMDB_Movies!$G3360</f>
        <v>1676553</v>
      </c>
    </row>
    <row r="3361" spans="1:9" ht="23">
      <c r="A3361" s="2" t="s">
        <v>4911</v>
      </c>
      <c r="B3361" s="9" t="s">
        <v>1952</v>
      </c>
      <c r="C3361" s="9" t="s">
        <v>10</v>
      </c>
      <c r="D3361" s="9" t="s">
        <v>11</v>
      </c>
      <c r="E3361" s="9">
        <v>103</v>
      </c>
      <c r="F3361" s="9">
        <v>6.2</v>
      </c>
      <c r="G3361" s="9">
        <v>7000000</v>
      </c>
      <c r="H3361" s="9">
        <v>9094451</v>
      </c>
      <c r="I3361" s="5">
        <f>IMDB_Movies!$H3361-IMDB_Movies!$G3361</f>
        <v>2094451</v>
      </c>
    </row>
    <row r="3362" spans="1:9" ht="23">
      <c r="A3362" s="2" t="s">
        <v>4912</v>
      </c>
      <c r="B3362" s="9" t="s">
        <v>3708</v>
      </c>
      <c r="C3362" s="9" t="s">
        <v>56</v>
      </c>
      <c r="D3362" s="9" t="s">
        <v>11</v>
      </c>
      <c r="E3362" s="9">
        <v>116</v>
      </c>
      <c r="F3362" s="9">
        <v>6.9</v>
      </c>
      <c r="G3362" s="9">
        <v>7000000</v>
      </c>
      <c r="H3362" s="9">
        <v>14612840</v>
      </c>
      <c r="I3362" s="5">
        <f>IMDB_Movies!$H3362-IMDB_Movies!$G3362</f>
        <v>7612840</v>
      </c>
    </row>
    <row r="3363" spans="1:9" ht="23">
      <c r="A3363" s="2" t="s">
        <v>4913</v>
      </c>
      <c r="B3363" s="9" t="s">
        <v>4914</v>
      </c>
      <c r="C3363" s="9" t="s">
        <v>56</v>
      </c>
      <c r="D3363" s="9" t="s">
        <v>11</v>
      </c>
      <c r="E3363" s="9">
        <v>99</v>
      </c>
      <c r="F3363" s="9">
        <v>7.6</v>
      </c>
      <c r="G3363" s="9">
        <v>7000000</v>
      </c>
      <c r="H3363" s="9">
        <v>9166863</v>
      </c>
      <c r="I3363" s="5">
        <f>IMDB_Movies!$H3363-IMDB_Movies!$G3363</f>
        <v>2166863</v>
      </c>
    </row>
    <row r="3364" spans="1:9" ht="23">
      <c r="A3364" s="2" t="s">
        <v>4915</v>
      </c>
      <c r="B3364" s="9" t="s">
        <v>130</v>
      </c>
      <c r="C3364" s="9" t="s">
        <v>56</v>
      </c>
      <c r="D3364" s="9" t="s">
        <v>11</v>
      </c>
      <c r="E3364" s="9">
        <v>164</v>
      </c>
      <c r="F3364" s="9">
        <v>7.6</v>
      </c>
      <c r="G3364" s="9">
        <v>7000000</v>
      </c>
      <c r="H3364" s="9">
        <v>8373585</v>
      </c>
      <c r="I3364" s="5">
        <f>IMDB_Movies!$H3364-IMDB_Movies!$G3364</f>
        <v>1373585</v>
      </c>
    </row>
    <row r="3365" spans="1:9" ht="23">
      <c r="A3365" s="2" t="s">
        <v>4916</v>
      </c>
      <c r="B3365" s="9" t="s">
        <v>4795</v>
      </c>
      <c r="C3365" s="9" t="s">
        <v>138</v>
      </c>
      <c r="D3365" s="9" t="s">
        <v>11</v>
      </c>
      <c r="E3365" s="9">
        <v>96</v>
      </c>
      <c r="F3365" s="9">
        <v>6.4</v>
      </c>
      <c r="G3365" s="9">
        <v>7000000</v>
      </c>
      <c r="H3365" s="9">
        <v>7292175</v>
      </c>
      <c r="I3365" s="5">
        <f>IMDB_Movies!$H3365-IMDB_Movies!$G3365</f>
        <v>292175</v>
      </c>
    </row>
    <row r="3366" spans="1:9" ht="23">
      <c r="A3366" s="2" t="s">
        <v>4917</v>
      </c>
      <c r="B3366" s="9" t="s">
        <v>4560</v>
      </c>
      <c r="C3366" s="9" t="s">
        <v>138</v>
      </c>
      <c r="D3366" s="9" t="s">
        <v>11</v>
      </c>
      <c r="E3366" s="9">
        <v>122</v>
      </c>
      <c r="F3366" s="9">
        <v>6.2</v>
      </c>
      <c r="G3366" s="9">
        <v>7000000</v>
      </c>
      <c r="H3366" s="9">
        <v>6601079</v>
      </c>
      <c r="I3366" s="5">
        <f>IMDB_Movies!$H3366-IMDB_Movies!$G3366</f>
        <v>-398921</v>
      </c>
    </row>
    <row r="3367" spans="1:9" ht="23">
      <c r="A3367" s="2" t="s">
        <v>4918</v>
      </c>
      <c r="B3367" s="9" t="s">
        <v>323</v>
      </c>
      <c r="C3367" s="9" t="s">
        <v>24</v>
      </c>
      <c r="D3367" s="9" t="s">
        <v>592</v>
      </c>
      <c r="E3367" s="9">
        <v>94</v>
      </c>
      <c r="F3367" s="9">
        <v>7.5</v>
      </c>
      <c r="G3367" s="9">
        <v>6000000</v>
      </c>
      <c r="H3367" s="9">
        <v>6165429</v>
      </c>
      <c r="I3367" s="5">
        <f>IMDB_Movies!$H3367-IMDB_Movies!$G3367</f>
        <v>165429</v>
      </c>
    </row>
    <row r="3368" spans="1:9" ht="23">
      <c r="A3368" s="2" t="s">
        <v>4919</v>
      </c>
      <c r="B3368" s="9" t="s">
        <v>2750</v>
      </c>
      <c r="C3368" s="9" t="s">
        <v>138</v>
      </c>
      <c r="D3368" s="9" t="s">
        <v>11</v>
      </c>
      <c r="E3368" s="9">
        <v>93</v>
      </c>
      <c r="F3368" s="9">
        <v>2</v>
      </c>
      <c r="G3368" s="9">
        <v>7000000</v>
      </c>
      <c r="H3368" s="9">
        <v>5694308</v>
      </c>
      <c r="I3368" s="5">
        <f>IMDB_Movies!$H3368-IMDB_Movies!$G3368</f>
        <v>-1305692</v>
      </c>
    </row>
    <row r="3369" spans="1:9" ht="23">
      <c r="A3369" s="2" t="s">
        <v>4920</v>
      </c>
      <c r="B3369" s="9" t="s">
        <v>4921</v>
      </c>
      <c r="C3369" s="9" t="s">
        <v>10</v>
      </c>
      <c r="D3369" s="9" t="s">
        <v>11</v>
      </c>
      <c r="E3369" s="9">
        <v>96</v>
      </c>
      <c r="F3369" s="9">
        <v>6.2</v>
      </c>
      <c r="G3369" s="9">
        <v>7000000</v>
      </c>
      <c r="H3369" s="9">
        <v>5430822</v>
      </c>
      <c r="I3369" s="5">
        <f>IMDB_Movies!$H3369-IMDB_Movies!$G3369</f>
        <v>-1569178</v>
      </c>
    </row>
    <row r="3370" spans="1:9" ht="23">
      <c r="A3370" s="2" t="s">
        <v>4922</v>
      </c>
      <c r="B3370" s="9" t="s">
        <v>4923</v>
      </c>
      <c r="C3370" s="9" t="s">
        <v>24</v>
      </c>
      <c r="D3370" s="9" t="s">
        <v>11</v>
      </c>
      <c r="E3370" s="9">
        <v>113</v>
      </c>
      <c r="F3370" s="9">
        <v>6.5</v>
      </c>
      <c r="G3370" s="9">
        <v>7000000</v>
      </c>
      <c r="H3370" s="9">
        <v>4720371</v>
      </c>
      <c r="I3370" s="5">
        <f>IMDB_Movies!$H3370-IMDB_Movies!$G3370</f>
        <v>-2279629</v>
      </c>
    </row>
    <row r="3371" spans="1:9" ht="23">
      <c r="A3371" s="2" t="s">
        <v>4924</v>
      </c>
      <c r="B3371" s="9" t="s">
        <v>4600</v>
      </c>
      <c r="C3371" s="9" t="s">
        <v>56</v>
      </c>
      <c r="D3371" s="9" t="s">
        <v>1534</v>
      </c>
      <c r="E3371" s="9">
        <v>192</v>
      </c>
      <c r="F3371" s="9">
        <v>7.9</v>
      </c>
      <c r="G3371" s="9">
        <v>7000000</v>
      </c>
      <c r="H3371" s="9">
        <v>2921738</v>
      </c>
      <c r="I3371" s="5">
        <f>IMDB_Movies!$H3371-IMDB_Movies!$G3371</f>
        <v>-4078262</v>
      </c>
    </row>
    <row r="3372" spans="1:9" ht="23">
      <c r="A3372" s="2" t="s">
        <v>4925</v>
      </c>
      <c r="B3372" s="9" t="s">
        <v>516</v>
      </c>
      <c r="C3372" s="9" t="s">
        <v>56</v>
      </c>
      <c r="D3372" s="9" t="s">
        <v>11</v>
      </c>
      <c r="E3372" s="9">
        <v>99</v>
      </c>
      <c r="F3372" s="9">
        <v>6.8</v>
      </c>
      <c r="G3372" s="9">
        <v>7000000</v>
      </c>
      <c r="H3372" s="9">
        <v>2344847</v>
      </c>
      <c r="I3372" s="5">
        <f>IMDB_Movies!$H3372-IMDB_Movies!$G3372</f>
        <v>-4655153</v>
      </c>
    </row>
    <row r="3373" spans="1:9" ht="23">
      <c r="A3373" s="2" t="s">
        <v>4926</v>
      </c>
      <c r="B3373" s="9" t="s">
        <v>4458</v>
      </c>
      <c r="C3373" s="9" t="s">
        <v>138</v>
      </c>
      <c r="D3373" s="9" t="s">
        <v>11</v>
      </c>
      <c r="E3373" s="9">
        <v>91</v>
      </c>
      <c r="F3373" s="9">
        <v>6.3</v>
      </c>
      <c r="G3373" s="9">
        <v>7000000</v>
      </c>
      <c r="H3373" s="9">
        <v>7455447</v>
      </c>
      <c r="I3373" s="5">
        <f>IMDB_Movies!$H3373-IMDB_Movies!$G3373</f>
        <v>455447</v>
      </c>
    </row>
    <row r="3374" spans="1:9" ht="23">
      <c r="A3374" s="2" t="s">
        <v>4927</v>
      </c>
      <c r="B3374" s="9" t="s">
        <v>4928</v>
      </c>
      <c r="C3374" s="9" t="s">
        <v>56</v>
      </c>
      <c r="D3374" s="9" t="s">
        <v>11</v>
      </c>
      <c r="E3374" s="9">
        <v>100</v>
      </c>
      <c r="F3374" s="9">
        <v>6.3</v>
      </c>
      <c r="G3374" s="9">
        <v>7000000</v>
      </c>
      <c r="H3374" s="9">
        <v>2148212</v>
      </c>
      <c r="I3374" s="5">
        <f>IMDB_Movies!$H3374-IMDB_Movies!$G3374</f>
        <v>-4851788</v>
      </c>
    </row>
    <row r="3375" spans="1:9" ht="23">
      <c r="A3375" s="2" t="s">
        <v>4929</v>
      </c>
      <c r="B3375" s="9" t="s">
        <v>4056</v>
      </c>
      <c r="C3375" s="9" t="s">
        <v>418</v>
      </c>
      <c r="D3375" s="9" t="s">
        <v>11</v>
      </c>
      <c r="E3375" s="9">
        <v>105</v>
      </c>
      <c r="F3375" s="9">
        <v>6.6</v>
      </c>
      <c r="G3375" s="9">
        <v>7000000</v>
      </c>
      <c r="H3375" s="9">
        <v>2062066</v>
      </c>
      <c r="I3375" s="5">
        <f>IMDB_Movies!$H3375-IMDB_Movies!$G3375</f>
        <v>-4937934</v>
      </c>
    </row>
    <row r="3376" spans="1:9" ht="23">
      <c r="A3376" s="2" t="s">
        <v>4930</v>
      </c>
      <c r="B3376" s="9" t="s">
        <v>4072</v>
      </c>
      <c r="C3376" s="9" t="s">
        <v>418</v>
      </c>
      <c r="D3376" s="9" t="s">
        <v>11</v>
      </c>
      <c r="E3376" s="9">
        <v>99</v>
      </c>
      <c r="F3376" s="9">
        <v>6.4</v>
      </c>
      <c r="G3376" s="9">
        <v>7000000</v>
      </c>
      <c r="H3376" s="9">
        <v>1654367</v>
      </c>
      <c r="I3376" s="5">
        <f>IMDB_Movies!$H3376-IMDB_Movies!$G3376</f>
        <v>-5345633</v>
      </c>
    </row>
    <row r="3377" spans="1:9" ht="23">
      <c r="A3377" s="2" t="s">
        <v>4931</v>
      </c>
      <c r="B3377" s="9" t="s">
        <v>4932</v>
      </c>
      <c r="C3377" s="9" t="s">
        <v>56</v>
      </c>
      <c r="D3377" s="9" t="s">
        <v>11</v>
      </c>
      <c r="E3377" s="9">
        <v>112</v>
      </c>
      <c r="F3377" s="9">
        <v>7.5</v>
      </c>
      <c r="G3377" s="9">
        <v>7000000</v>
      </c>
      <c r="H3377" s="9">
        <v>1738692</v>
      </c>
      <c r="I3377" s="5">
        <f>IMDB_Movies!$H3377-IMDB_Movies!$G3377</f>
        <v>-5261308</v>
      </c>
    </row>
    <row r="3378" spans="1:9" ht="23">
      <c r="A3378" s="2" t="s">
        <v>4933</v>
      </c>
      <c r="B3378" s="9" t="s">
        <v>4934</v>
      </c>
      <c r="C3378" s="9" t="s">
        <v>56</v>
      </c>
      <c r="D3378" s="9" t="s">
        <v>11</v>
      </c>
      <c r="E3378" s="9">
        <v>100</v>
      </c>
      <c r="F3378" s="9">
        <v>5.8</v>
      </c>
      <c r="G3378" s="9">
        <v>20000000</v>
      </c>
      <c r="H3378" s="9">
        <v>2209479</v>
      </c>
      <c r="I3378" s="5">
        <f>IMDB_Movies!$H3378-IMDB_Movies!$G3378</f>
        <v>-17790521</v>
      </c>
    </row>
    <row r="3379" spans="1:9" ht="23">
      <c r="A3379" s="2" t="s">
        <v>4935</v>
      </c>
      <c r="B3379" s="9" t="s">
        <v>4936</v>
      </c>
      <c r="C3379" s="9" t="s">
        <v>56</v>
      </c>
      <c r="D3379" s="9" t="s">
        <v>11</v>
      </c>
      <c r="E3379" s="9">
        <v>99</v>
      </c>
      <c r="F3379" s="9">
        <v>6.5</v>
      </c>
      <c r="G3379" s="9">
        <v>7000000</v>
      </c>
      <c r="H3379" s="9">
        <v>1889522</v>
      </c>
      <c r="I3379" s="5">
        <f>IMDB_Movies!$H3379-IMDB_Movies!$G3379</f>
        <v>-5110478</v>
      </c>
    </row>
    <row r="3380" spans="1:9" ht="23">
      <c r="A3380" s="2" t="s">
        <v>4937</v>
      </c>
      <c r="B3380" s="9" t="s">
        <v>1330</v>
      </c>
      <c r="C3380" s="9" t="s">
        <v>138</v>
      </c>
      <c r="D3380" s="9" t="s">
        <v>11</v>
      </c>
      <c r="E3380" s="9">
        <v>100</v>
      </c>
      <c r="F3380" s="9">
        <v>4.8</v>
      </c>
      <c r="G3380" s="9">
        <v>7000000</v>
      </c>
      <c r="H3380" s="9">
        <v>25078937</v>
      </c>
      <c r="I3380" s="5">
        <f>IMDB_Movies!$H3380-IMDB_Movies!$G3380</f>
        <v>18078937</v>
      </c>
    </row>
    <row r="3381" spans="1:9" ht="23">
      <c r="A3381" s="2" t="s">
        <v>4938</v>
      </c>
      <c r="B3381" s="9" t="s">
        <v>4858</v>
      </c>
      <c r="C3381" s="9" t="s">
        <v>56</v>
      </c>
      <c r="D3381" s="9" t="s">
        <v>11</v>
      </c>
      <c r="E3381" s="9">
        <v>125</v>
      </c>
      <c r="F3381" s="9">
        <v>7.2</v>
      </c>
      <c r="G3381" s="9">
        <v>4825000</v>
      </c>
      <c r="H3381" s="9">
        <v>1110286</v>
      </c>
      <c r="I3381" s="5">
        <f>IMDB_Movies!$H3381-IMDB_Movies!$G3381</f>
        <v>-3714714</v>
      </c>
    </row>
    <row r="3382" spans="1:9" ht="23">
      <c r="A3382" s="2" t="s">
        <v>4939</v>
      </c>
      <c r="B3382" s="9" t="s">
        <v>4940</v>
      </c>
      <c r="C3382" s="9" t="s">
        <v>24</v>
      </c>
      <c r="D3382" s="9" t="s">
        <v>11</v>
      </c>
      <c r="E3382" s="9">
        <v>107</v>
      </c>
      <c r="F3382" s="9">
        <v>6.3</v>
      </c>
      <c r="G3382" s="9">
        <v>9000000</v>
      </c>
      <c r="H3382" s="9">
        <v>1000000</v>
      </c>
      <c r="I3382" s="5">
        <f>IMDB_Movies!$H3382-IMDB_Movies!$G3382</f>
        <v>-8000000</v>
      </c>
    </row>
    <row r="3383" spans="1:9" ht="23">
      <c r="A3383" s="2" t="s">
        <v>4941</v>
      </c>
      <c r="B3383" s="9" t="s">
        <v>1885</v>
      </c>
      <c r="C3383" s="9" t="s">
        <v>138</v>
      </c>
      <c r="D3383" s="9" t="s">
        <v>394</v>
      </c>
      <c r="E3383" s="9">
        <v>107</v>
      </c>
      <c r="F3383" s="9">
        <v>7</v>
      </c>
      <c r="G3383" s="9">
        <v>50000000</v>
      </c>
      <c r="H3383" s="9">
        <v>700000</v>
      </c>
      <c r="I3383" s="5">
        <f>IMDB_Movies!$H3383-IMDB_Movies!$G3383</f>
        <v>-49300000</v>
      </c>
    </row>
    <row r="3384" spans="1:9" ht="23">
      <c r="A3384" s="2" t="s">
        <v>4942</v>
      </c>
      <c r="B3384" s="9" t="s">
        <v>1851</v>
      </c>
      <c r="C3384" s="9" t="s">
        <v>138</v>
      </c>
      <c r="D3384" s="9" t="s">
        <v>11</v>
      </c>
      <c r="E3384" s="9">
        <v>97</v>
      </c>
      <c r="F3384" s="9">
        <v>6.3</v>
      </c>
      <c r="G3384" s="9">
        <v>7000000</v>
      </c>
      <c r="H3384" s="9">
        <v>1768416</v>
      </c>
      <c r="I3384" s="5">
        <f>IMDB_Movies!$H3384-IMDB_Movies!$G3384</f>
        <v>-5231584</v>
      </c>
    </row>
    <row r="3385" spans="1:9" ht="23">
      <c r="A3385" s="2" t="s">
        <v>4943</v>
      </c>
      <c r="B3385" s="9" t="s">
        <v>4944</v>
      </c>
      <c r="C3385" s="9" t="s">
        <v>138</v>
      </c>
      <c r="D3385" s="9" t="s">
        <v>11</v>
      </c>
      <c r="E3385" s="9">
        <v>105</v>
      </c>
      <c r="F3385" s="9">
        <v>5.3</v>
      </c>
      <c r="G3385" s="9">
        <v>20000000</v>
      </c>
      <c r="H3385" s="9">
        <v>1425993</v>
      </c>
      <c r="I3385" s="5">
        <f>IMDB_Movies!$H3385-IMDB_Movies!$G3385</f>
        <v>-18574007</v>
      </c>
    </row>
    <row r="3386" spans="1:9" ht="23">
      <c r="A3386" s="2" t="s">
        <v>4945</v>
      </c>
      <c r="B3386" s="9" t="s">
        <v>4946</v>
      </c>
      <c r="C3386" s="9" t="s">
        <v>138</v>
      </c>
      <c r="D3386" s="9" t="s">
        <v>11</v>
      </c>
      <c r="E3386" s="9">
        <v>95</v>
      </c>
      <c r="F3386" s="9">
        <v>2.2999999999999998</v>
      </c>
      <c r="G3386" s="9">
        <v>10000000</v>
      </c>
      <c r="H3386" s="9">
        <v>306715</v>
      </c>
      <c r="I3386" s="5">
        <f>IMDB_Movies!$H3386-IMDB_Movies!$G3386</f>
        <v>-9693285</v>
      </c>
    </row>
    <row r="3387" spans="1:9" ht="23">
      <c r="A3387" s="2" t="s">
        <v>4947</v>
      </c>
      <c r="B3387" s="9" t="s">
        <v>4948</v>
      </c>
      <c r="C3387" s="9" t="s">
        <v>56</v>
      </c>
      <c r="D3387" s="9" t="s">
        <v>11</v>
      </c>
      <c r="E3387" s="9">
        <v>106</v>
      </c>
      <c r="F3387" s="9">
        <v>7.1</v>
      </c>
      <c r="G3387" s="9">
        <v>7000000</v>
      </c>
      <c r="H3387" s="9">
        <v>382946</v>
      </c>
      <c r="I3387" s="5">
        <f>IMDB_Movies!$H3387-IMDB_Movies!$G3387</f>
        <v>-6617054</v>
      </c>
    </row>
    <row r="3388" spans="1:9" ht="23">
      <c r="A3388" s="2" t="s">
        <v>4949</v>
      </c>
      <c r="B3388" s="9" t="s">
        <v>1896</v>
      </c>
      <c r="C3388" s="9" t="s">
        <v>138</v>
      </c>
      <c r="D3388" s="9" t="s">
        <v>11</v>
      </c>
      <c r="E3388" s="9">
        <v>93</v>
      </c>
      <c r="F3388" s="9">
        <v>6.2</v>
      </c>
      <c r="G3388" s="9">
        <v>20000000</v>
      </c>
      <c r="H3388" s="9">
        <v>518134</v>
      </c>
      <c r="I3388" s="5">
        <f>IMDB_Movies!$H3388-IMDB_Movies!$G3388</f>
        <v>-19481866</v>
      </c>
    </row>
    <row r="3389" spans="1:9" ht="23">
      <c r="A3389" s="2" t="s">
        <v>4950</v>
      </c>
      <c r="B3389" s="9" t="s">
        <v>1664</v>
      </c>
      <c r="C3389" s="9" t="s">
        <v>24</v>
      </c>
      <c r="D3389" s="9" t="s">
        <v>11</v>
      </c>
      <c r="E3389" s="9">
        <v>103</v>
      </c>
      <c r="F3389" s="9">
        <v>6.2</v>
      </c>
      <c r="G3389" s="9">
        <v>3500000</v>
      </c>
      <c r="H3389" s="9">
        <v>236266</v>
      </c>
      <c r="I3389" s="5">
        <f>IMDB_Movies!$H3389-IMDB_Movies!$G3389</f>
        <v>-3263734</v>
      </c>
    </row>
    <row r="3390" spans="1:9" ht="23">
      <c r="A3390" s="2" t="s">
        <v>4951</v>
      </c>
      <c r="B3390" s="9" t="s">
        <v>4952</v>
      </c>
      <c r="C3390" s="9" t="s">
        <v>56</v>
      </c>
      <c r="D3390" s="9" t="s">
        <v>11</v>
      </c>
      <c r="E3390" s="9">
        <v>96</v>
      </c>
      <c r="F3390" s="9">
        <v>6.7</v>
      </c>
      <c r="G3390" s="9">
        <v>7000000</v>
      </c>
      <c r="H3390" s="9">
        <v>196067</v>
      </c>
      <c r="I3390" s="5">
        <f>IMDB_Movies!$H3390-IMDB_Movies!$G3390</f>
        <v>-6803933</v>
      </c>
    </row>
    <row r="3391" spans="1:9" ht="23">
      <c r="A3391" s="2" t="s">
        <v>4953</v>
      </c>
      <c r="B3391" s="9" t="s">
        <v>4358</v>
      </c>
      <c r="C3391" s="9" t="s">
        <v>418</v>
      </c>
      <c r="D3391" s="9" t="s">
        <v>11</v>
      </c>
      <c r="E3391" s="9">
        <v>103</v>
      </c>
      <c r="F3391" s="9">
        <v>6.5</v>
      </c>
      <c r="G3391" s="9">
        <v>7000000</v>
      </c>
      <c r="H3391" s="9">
        <v>532988</v>
      </c>
      <c r="I3391" s="5">
        <f>IMDB_Movies!$H3391-IMDB_Movies!$G3391</f>
        <v>-6467012</v>
      </c>
    </row>
    <row r="3392" spans="1:9" ht="23">
      <c r="A3392" s="2" t="s">
        <v>4954</v>
      </c>
      <c r="B3392" s="9" t="s">
        <v>4955</v>
      </c>
      <c r="C3392" s="9" t="s">
        <v>138</v>
      </c>
      <c r="D3392" s="9" t="s">
        <v>11</v>
      </c>
      <c r="E3392" s="9">
        <v>108</v>
      </c>
      <c r="F3392" s="9">
        <v>5.9</v>
      </c>
      <c r="G3392" s="9">
        <v>7000000</v>
      </c>
      <c r="H3392" s="9">
        <v>453079</v>
      </c>
      <c r="I3392" s="5">
        <f>IMDB_Movies!$H3392-IMDB_Movies!$G3392</f>
        <v>-6546921</v>
      </c>
    </row>
    <row r="3393" spans="1:9" ht="23">
      <c r="A3393" s="2" t="s">
        <v>4956</v>
      </c>
      <c r="B3393" s="9" t="s">
        <v>4957</v>
      </c>
      <c r="C3393" s="9" t="s">
        <v>56</v>
      </c>
      <c r="D3393" s="9" t="s">
        <v>1544</v>
      </c>
      <c r="E3393" s="9">
        <v>177</v>
      </c>
      <c r="F3393" s="9">
        <v>6.7</v>
      </c>
      <c r="G3393" s="9">
        <v>7000000</v>
      </c>
      <c r="H3393" s="9">
        <v>25078937</v>
      </c>
      <c r="I3393" s="5">
        <f>IMDB_Movies!$H3393-IMDB_Movies!$G3393</f>
        <v>18078937</v>
      </c>
    </row>
    <row r="3394" spans="1:9" ht="23">
      <c r="A3394" s="2" t="s">
        <v>4958</v>
      </c>
      <c r="B3394" s="9" t="s">
        <v>4959</v>
      </c>
      <c r="C3394" s="9" t="s">
        <v>138</v>
      </c>
      <c r="D3394" s="9" t="s">
        <v>11</v>
      </c>
      <c r="E3394" s="9">
        <v>118</v>
      </c>
      <c r="F3394" s="9">
        <v>6</v>
      </c>
      <c r="G3394" s="9">
        <v>7000000</v>
      </c>
      <c r="H3394" s="9">
        <v>46451</v>
      </c>
      <c r="I3394" s="5">
        <f>IMDB_Movies!$H3394-IMDB_Movies!$G3394</f>
        <v>-6953549</v>
      </c>
    </row>
    <row r="3395" spans="1:9" ht="23">
      <c r="A3395" s="2" t="s">
        <v>4960</v>
      </c>
      <c r="B3395" s="9" t="s">
        <v>4961</v>
      </c>
      <c r="C3395" s="9" t="s">
        <v>56</v>
      </c>
      <c r="D3395" s="9" t="s">
        <v>11</v>
      </c>
      <c r="E3395" s="9">
        <v>97</v>
      </c>
      <c r="F3395" s="9">
        <v>6.9</v>
      </c>
      <c r="G3395" s="9">
        <v>7000000</v>
      </c>
      <c r="H3395" s="9">
        <v>233103</v>
      </c>
      <c r="I3395" s="5">
        <f>IMDB_Movies!$H3395-IMDB_Movies!$G3395</f>
        <v>-6766897</v>
      </c>
    </row>
    <row r="3396" spans="1:9" ht="23">
      <c r="A3396" s="2" t="s">
        <v>4962</v>
      </c>
      <c r="B3396" s="9" t="s">
        <v>4759</v>
      </c>
      <c r="C3396" s="9" t="s">
        <v>10</v>
      </c>
      <c r="D3396" s="9" t="s">
        <v>11</v>
      </c>
      <c r="E3396" s="9">
        <v>102</v>
      </c>
      <c r="F3396" s="9">
        <v>7.9</v>
      </c>
      <c r="G3396" s="9">
        <v>7000000</v>
      </c>
      <c r="H3396" s="9">
        <v>25078937</v>
      </c>
      <c r="I3396" s="5">
        <f>IMDB_Movies!$H3396-IMDB_Movies!$G3396</f>
        <v>18078937</v>
      </c>
    </row>
    <row r="3397" spans="1:9" ht="23">
      <c r="A3397" s="2" t="s">
        <v>4963</v>
      </c>
      <c r="B3397" s="9" t="s">
        <v>4964</v>
      </c>
      <c r="C3397" s="9" t="s">
        <v>10</v>
      </c>
      <c r="D3397" s="9" t="s">
        <v>2005</v>
      </c>
      <c r="E3397" s="9">
        <v>92</v>
      </c>
      <c r="F3397" s="9">
        <v>5.3</v>
      </c>
      <c r="G3397" s="9">
        <v>7000000</v>
      </c>
      <c r="H3397" s="9">
        <v>25078937</v>
      </c>
      <c r="I3397" s="5">
        <f>IMDB_Movies!$H3397-IMDB_Movies!$G3397</f>
        <v>18078937</v>
      </c>
    </row>
    <row r="3398" spans="1:9" ht="23">
      <c r="A3398" s="2" t="s">
        <v>4965</v>
      </c>
      <c r="B3398" s="9" t="s">
        <v>1311</v>
      </c>
      <c r="C3398" s="9" t="s">
        <v>138</v>
      </c>
      <c r="D3398" s="9" t="s">
        <v>11</v>
      </c>
      <c r="E3398" s="9">
        <v>88</v>
      </c>
      <c r="F3398" s="9">
        <v>4.8</v>
      </c>
      <c r="G3398" s="9">
        <v>7000000</v>
      </c>
      <c r="H3398" s="9">
        <v>25078937</v>
      </c>
      <c r="I3398" s="5">
        <f>IMDB_Movies!$H3398-IMDB_Movies!$G3398</f>
        <v>18078937</v>
      </c>
    </row>
    <row r="3399" spans="1:9" ht="23">
      <c r="A3399" s="2" t="s">
        <v>4966</v>
      </c>
      <c r="B3399" s="9" t="s">
        <v>4967</v>
      </c>
      <c r="C3399" s="9" t="s">
        <v>24</v>
      </c>
      <c r="D3399" s="9" t="s">
        <v>1544</v>
      </c>
      <c r="E3399" s="9">
        <v>80</v>
      </c>
      <c r="F3399" s="9">
        <v>5.3</v>
      </c>
      <c r="G3399" s="9">
        <v>7000000</v>
      </c>
      <c r="H3399" s="9">
        <v>25078937</v>
      </c>
      <c r="I3399" s="5">
        <f>IMDB_Movies!$H3399-IMDB_Movies!$G3399</f>
        <v>18078937</v>
      </c>
    </row>
    <row r="3400" spans="1:9" ht="23">
      <c r="A3400" s="2" t="s">
        <v>4968</v>
      </c>
      <c r="B3400" s="9" t="s">
        <v>992</v>
      </c>
      <c r="C3400" s="9" t="s">
        <v>4398</v>
      </c>
      <c r="D3400" s="9" t="s">
        <v>11</v>
      </c>
      <c r="E3400" s="9">
        <v>115</v>
      </c>
      <c r="F3400" s="9">
        <v>7.3</v>
      </c>
      <c r="G3400" s="9">
        <v>6900000</v>
      </c>
      <c r="H3400" s="9">
        <v>41400000</v>
      </c>
      <c r="I3400" s="5">
        <f>IMDB_Movies!$H3400-IMDB_Movies!$G3400</f>
        <v>34500000</v>
      </c>
    </row>
    <row r="3401" spans="1:9" ht="23">
      <c r="A3401" s="2" t="s">
        <v>4969</v>
      </c>
      <c r="B3401" s="9" t="s">
        <v>4970</v>
      </c>
      <c r="C3401" s="9" t="s">
        <v>10</v>
      </c>
      <c r="D3401" s="9" t="s">
        <v>11</v>
      </c>
      <c r="E3401" s="9">
        <v>97</v>
      </c>
      <c r="F3401" s="9">
        <v>7.4</v>
      </c>
      <c r="G3401" s="9">
        <v>20000000</v>
      </c>
      <c r="H3401" s="9">
        <v>25078937</v>
      </c>
      <c r="I3401" s="5">
        <f>IMDB_Movies!$H3401-IMDB_Movies!$G3401</f>
        <v>5078937</v>
      </c>
    </row>
    <row r="3402" spans="1:9" ht="23">
      <c r="A3402" s="2" t="s">
        <v>4971</v>
      </c>
      <c r="B3402" s="9" t="s">
        <v>2571</v>
      </c>
      <c r="C3402" s="9" t="s">
        <v>138</v>
      </c>
      <c r="D3402" s="9" t="s">
        <v>11</v>
      </c>
      <c r="E3402" s="9">
        <v>102</v>
      </c>
      <c r="F3402" s="9">
        <v>7.7</v>
      </c>
      <c r="G3402" s="9">
        <v>6900000</v>
      </c>
      <c r="H3402" s="9">
        <v>7993039</v>
      </c>
      <c r="I3402" s="5">
        <f>IMDB_Movies!$H3402-IMDB_Movies!$G3402</f>
        <v>1093039</v>
      </c>
    </row>
    <row r="3403" spans="1:9" ht="23">
      <c r="A3403" s="2" t="s">
        <v>4972</v>
      </c>
      <c r="B3403" s="9" t="s">
        <v>1095</v>
      </c>
      <c r="C3403" s="9" t="s">
        <v>138</v>
      </c>
      <c r="D3403" s="9" t="s">
        <v>11</v>
      </c>
      <c r="E3403" s="9">
        <v>111</v>
      </c>
      <c r="F3403" s="9">
        <v>4.8</v>
      </c>
      <c r="G3403" s="9">
        <v>7000000</v>
      </c>
      <c r="H3403" s="9">
        <v>25078937</v>
      </c>
      <c r="I3403" s="5">
        <f>IMDB_Movies!$H3403-IMDB_Movies!$G3403</f>
        <v>18078937</v>
      </c>
    </row>
    <row r="3404" spans="1:9" ht="23">
      <c r="A3404" s="2" t="s">
        <v>4973</v>
      </c>
      <c r="B3404" s="9" t="s">
        <v>4974</v>
      </c>
      <c r="C3404" s="9" t="s">
        <v>56</v>
      </c>
      <c r="D3404" s="9" t="s">
        <v>11</v>
      </c>
      <c r="E3404" s="9">
        <v>96</v>
      </c>
      <c r="F3404" s="9">
        <v>7.2</v>
      </c>
      <c r="G3404" s="9">
        <v>8700000</v>
      </c>
      <c r="H3404" s="9">
        <v>25078937</v>
      </c>
      <c r="I3404" s="5">
        <f>IMDB_Movies!$H3404-IMDB_Movies!$G3404</f>
        <v>16378937</v>
      </c>
    </row>
    <row r="3405" spans="1:9" ht="23">
      <c r="A3405" s="2" t="s">
        <v>4975</v>
      </c>
      <c r="B3405" s="9" t="s">
        <v>4976</v>
      </c>
      <c r="C3405" s="9" t="s">
        <v>414</v>
      </c>
      <c r="D3405" s="9" t="s">
        <v>11</v>
      </c>
      <c r="E3405" s="9">
        <v>94</v>
      </c>
      <c r="F3405" s="9">
        <v>5.8</v>
      </c>
      <c r="G3405" s="9">
        <v>7000000</v>
      </c>
      <c r="H3405" s="9">
        <v>25078937</v>
      </c>
      <c r="I3405" s="5">
        <f>IMDB_Movies!$H3405-IMDB_Movies!$G3405</f>
        <v>18078937</v>
      </c>
    </row>
    <row r="3406" spans="1:9" ht="23">
      <c r="A3406" s="2" t="s">
        <v>4977</v>
      </c>
      <c r="B3406" s="9" t="s">
        <v>4978</v>
      </c>
      <c r="C3406" s="9" t="s">
        <v>418</v>
      </c>
      <c r="D3406" s="9" t="s">
        <v>2452</v>
      </c>
      <c r="E3406" s="9">
        <v>125</v>
      </c>
      <c r="F3406" s="9">
        <v>7.3</v>
      </c>
      <c r="G3406" s="9">
        <v>15000000</v>
      </c>
      <c r="H3406" s="9">
        <v>927107</v>
      </c>
      <c r="I3406" s="5">
        <f>IMDB_Movies!$H3406-IMDB_Movies!$G3406</f>
        <v>-14072893</v>
      </c>
    </row>
    <row r="3407" spans="1:9" ht="23">
      <c r="A3407" s="2" t="s">
        <v>4979</v>
      </c>
      <c r="B3407" s="9" t="s">
        <v>4980</v>
      </c>
      <c r="C3407" s="9" t="s">
        <v>138</v>
      </c>
      <c r="D3407" s="9" t="s">
        <v>11</v>
      </c>
      <c r="E3407" s="9">
        <v>108</v>
      </c>
      <c r="F3407" s="9">
        <v>7</v>
      </c>
      <c r="G3407" s="9">
        <v>6800000</v>
      </c>
      <c r="H3407" s="9">
        <v>49526</v>
      </c>
      <c r="I3407" s="5">
        <f>IMDB_Movies!$H3407-IMDB_Movies!$G3407</f>
        <v>-6750474</v>
      </c>
    </row>
    <row r="3408" spans="1:9" ht="23">
      <c r="A3408" s="2" t="s">
        <v>4981</v>
      </c>
      <c r="B3408" s="9" t="s">
        <v>4982</v>
      </c>
      <c r="C3408" s="9" t="s">
        <v>414</v>
      </c>
      <c r="D3408" s="9" t="s">
        <v>11</v>
      </c>
      <c r="E3408" s="9">
        <v>101</v>
      </c>
      <c r="F3408" s="9">
        <v>6.4</v>
      </c>
      <c r="G3408" s="9">
        <v>6800000</v>
      </c>
      <c r="H3408" s="9">
        <v>10696</v>
      </c>
      <c r="I3408" s="5">
        <f>IMDB_Movies!$H3408-IMDB_Movies!$G3408</f>
        <v>-6789304</v>
      </c>
    </row>
    <row r="3409" spans="1:9" ht="23">
      <c r="A3409" s="2" t="s">
        <v>4983</v>
      </c>
      <c r="B3409" s="9" t="s">
        <v>4984</v>
      </c>
      <c r="C3409" s="9" t="s">
        <v>56</v>
      </c>
      <c r="D3409" s="9" t="s">
        <v>11</v>
      </c>
      <c r="E3409" s="9">
        <v>101</v>
      </c>
      <c r="F3409" s="9">
        <v>5.6</v>
      </c>
      <c r="G3409" s="9">
        <v>6900000</v>
      </c>
      <c r="H3409" s="9">
        <v>31607598</v>
      </c>
      <c r="I3409" s="5">
        <f>IMDB_Movies!$H3409-IMDB_Movies!$G3409</f>
        <v>24707598</v>
      </c>
    </row>
    <row r="3410" spans="1:9" ht="23">
      <c r="A3410" s="2" t="s">
        <v>4985</v>
      </c>
      <c r="B3410" s="9" t="s">
        <v>1574</v>
      </c>
      <c r="C3410" s="9" t="s">
        <v>56</v>
      </c>
      <c r="D3410" s="9" t="s">
        <v>394</v>
      </c>
      <c r="E3410" s="9">
        <v>139</v>
      </c>
      <c r="F3410" s="9">
        <v>8.1999999999999993</v>
      </c>
      <c r="G3410" s="9">
        <v>6800000</v>
      </c>
      <c r="H3410" s="9">
        <v>6857096</v>
      </c>
      <c r="I3410" s="5">
        <f>IMDB_Movies!$H3410-IMDB_Movies!$G3410</f>
        <v>57096</v>
      </c>
    </row>
    <row r="3411" spans="1:9" ht="23">
      <c r="A3411" s="2" t="s">
        <v>4986</v>
      </c>
      <c r="B3411" s="9" t="s">
        <v>1251</v>
      </c>
      <c r="C3411" s="9" t="s">
        <v>138</v>
      </c>
      <c r="D3411" s="9" t="s">
        <v>2756</v>
      </c>
      <c r="E3411" s="9">
        <v>125</v>
      </c>
      <c r="F3411" s="9">
        <v>6.5</v>
      </c>
      <c r="G3411" s="9">
        <v>5000000</v>
      </c>
      <c r="H3411" s="9">
        <v>223878</v>
      </c>
      <c r="I3411" s="5">
        <f>IMDB_Movies!$H3411-IMDB_Movies!$G3411</f>
        <v>-4776122</v>
      </c>
    </row>
    <row r="3412" spans="1:9" ht="23">
      <c r="A3412" s="2" t="s">
        <v>4987</v>
      </c>
      <c r="B3412" s="9" t="s">
        <v>4988</v>
      </c>
      <c r="C3412" s="9" t="s">
        <v>10</v>
      </c>
      <c r="D3412" s="9" t="s">
        <v>11</v>
      </c>
      <c r="E3412" s="9">
        <v>88</v>
      </c>
      <c r="F3412" s="9">
        <v>6.4</v>
      </c>
      <c r="G3412" s="9">
        <v>20000000</v>
      </c>
      <c r="H3412" s="9">
        <v>828</v>
      </c>
      <c r="I3412" s="5">
        <f>IMDB_Movies!$H3412-IMDB_Movies!$G3412</f>
        <v>-19999172</v>
      </c>
    </row>
    <row r="3413" spans="1:9" ht="23">
      <c r="A3413" s="2" t="s">
        <v>4989</v>
      </c>
      <c r="B3413" s="9" t="s">
        <v>377</v>
      </c>
      <c r="C3413" s="9" t="s">
        <v>10</v>
      </c>
      <c r="D3413" s="9" t="s">
        <v>4233</v>
      </c>
      <c r="E3413" s="9">
        <v>115</v>
      </c>
      <c r="F3413" s="9">
        <v>8.1</v>
      </c>
      <c r="G3413" s="9">
        <v>4000000</v>
      </c>
      <c r="H3413" s="9">
        <v>8060</v>
      </c>
      <c r="I3413" s="5">
        <f>IMDB_Movies!$H3413-IMDB_Movies!$G3413</f>
        <v>-3991940</v>
      </c>
    </row>
    <row r="3414" spans="1:9" ht="23">
      <c r="A3414" s="2" t="s">
        <v>4990</v>
      </c>
      <c r="B3414" s="9" t="s">
        <v>2347</v>
      </c>
      <c r="C3414" s="9" t="s">
        <v>810</v>
      </c>
      <c r="D3414" s="9" t="s">
        <v>11</v>
      </c>
      <c r="E3414" s="9">
        <v>99</v>
      </c>
      <c r="F3414" s="9">
        <v>5.4</v>
      </c>
      <c r="G3414" s="9">
        <v>6500000</v>
      </c>
      <c r="H3414" s="9">
        <v>84263837</v>
      </c>
      <c r="I3414" s="5">
        <f>IMDB_Movies!$H3414-IMDB_Movies!$G3414</f>
        <v>77763837</v>
      </c>
    </row>
    <row r="3415" spans="1:9" ht="23">
      <c r="A3415" s="2" t="s">
        <v>4991</v>
      </c>
      <c r="B3415" s="9" t="s">
        <v>4992</v>
      </c>
      <c r="C3415" s="9" t="s">
        <v>138</v>
      </c>
      <c r="D3415" s="9" t="s">
        <v>11</v>
      </c>
      <c r="E3415" s="9">
        <v>88</v>
      </c>
      <c r="F3415" s="9">
        <v>6.3</v>
      </c>
      <c r="G3415" s="9">
        <v>6500000</v>
      </c>
      <c r="H3415" s="9">
        <v>110029</v>
      </c>
      <c r="I3415" s="5">
        <f>IMDB_Movies!$H3415-IMDB_Movies!$G3415</f>
        <v>-6389971</v>
      </c>
    </row>
    <row r="3416" spans="1:9" ht="23">
      <c r="A3416" s="2" t="s">
        <v>4993</v>
      </c>
      <c r="B3416" s="9" t="s">
        <v>786</v>
      </c>
      <c r="C3416" s="9" t="s">
        <v>414</v>
      </c>
      <c r="D3416" s="9" t="s">
        <v>11</v>
      </c>
      <c r="E3416" s="9">
        <v>112</v>
      </c>
      <c r="F3416" s="9">
        <v>7.8</v>
      </c>
      <c r="G3416" s="9">
        <v>6000000</v>
      </c>
      <c r="H3416" s="9">
        <v>57504069</v>
      </c>
      <c r="I3416" s="5">
        <f>IMDB_Movies!$H3416-IMDB_Movies!$G3416</f>
        <v>51504069</v>
      </c>
    </row>
    <row r="3417" spans="1:9" ht="23">
      <c r="A3417" s="2" t="s">
        <v>4994</v>
      </c>
      <c r="B3417" s="9" t="s">
        <v>4995</v>
      </c>
      <c r="C3417" s="9" t="s">
        <v>418</v>
      </c>
      <c r="D3417" s="9" t="s">
        <v>11</v>
      </c>
      <c r="E3417" s="9">
        <v>108</v>
      </c>
      <c r="F3417" s="9">
        <v>6.8</v>
      </c>
      <c r="G3417" s="9">
        <v>6500000</v>
      </c>
      <c r="H3417" s="9">
        <v>54215416</v>
      </c>
      <c r="I3417" s="5">
        <f>IMDB_Movies!$H3417-IMDB_Movies!$G3417</f>
        <v>47715416</v>
      </c>
    </row>
    <row r="3418" spans="1:9" ht="23">
      <c r="A3418" s="2" t="s">
        <v>4996</v>
      </c>
      <c r="B3418" s="9" t="s">
        <v>4997</v>
      </c>
      <c r="C3418" s="9" t="s">
        <v>138</v>
      </c>
      <c r="D3418" s="9" t="s">
        <v>11</v>
      </c>
      <c r="E3418" s="9">
        <v>107</v>
      </c>
      <c r="F3418" s="9">
        <v>7.2</v>
      </c>
      <c r="G3418" s="9">
        <v>20000000</v>
      </c>
      <c r="H3418" s="9">
        <v>25078937</v>
      </c>
      <c r="I3418" s="5">
        <f>IMDB_Movies!$H3418-IMDB_Movies!$G3418</f>
        <v>5078937</v>
      </c>
    </row>
    <row r="3419" spans="1:9" ht="23">
      <c r="A3419" s="2" t="s">
        <v>4998</v>
      </c>
      <c r="B3419" s="9" t="s">
        <v>600</v>
      </c>
      <c r="C3419" s="9" t="s">
        <v>228</v>
      </c>
      <c r="D3419" s="9" t="s">
        <v>11</v>
      </c>
      <c r="E3419" s="9">
        <v>104</v>
      </c>
      <c r="F3419" s="9">
        <v>7.1</v>
      </c>
      <c r="G3419" s="9">
        <v>6500000</v>
      </c>
      <c r="H3419" s="9">
        <v>31899000</v>
      </c>
      <c r="I3419" s="5">
        <f>IMDB_Movies!$H3419-IMDB_Movies!$G3419</f>
        <v>25399000</v>
      </c>
    </row>
    <row r="3420" spans="1:9" ht="23">
      <c r="A3420" s="2" t="s">
        <v>4999</v>
      </c>
      <c r="B3420" s="9" t="s">
        <v>144</v>
      </c>
      <c r="C3420" s="9" t="s">
        <v>24</v>
      </c>
      <c r="D3420" s="9" t="s">
        <v>11</v>
      </c>
      <c r="E3420" s="9">
        <v>108</v>
      </c>
      <c r="F3420" s="9">
        <v>6.2</v>
      </c>
      <c r="G3420" s="9">
        <v>6500000</v>
      </c>
      <c r="H3420" s="9">
        <v>24103594</v>
      </c>
      <c r="I3420" s="5">
        <f>IMDB_Movies!$H3420-IMDB_Movies!$G3420</f>
        <v>17603594</v>
      </c>
    </row>
    <row r="3421" spans="1:9" ht="23">
      <c r="A3421" s="2" t="s">
        <v>5000</v>
      </c>
      <c r="B3421" s="9" t="s">
        <v>140</v>
      </c>
      <c r="C3421" s="9" t="s">
        <v>138</v>
      </c>
      <c r="D3421" s="9" t="s">
        <v>11</v>
      </c>
      <c r="E3421" s="9">
        <v>102</v>
      </c>
      <c r="F3421" s="9">
        <v>7.3</v>
      </c>
      <c r="G3421" s="9">
        <v>6500000</v>
      </c>
      <c r="H3421" s="9">
        <v>16842303</v>
      </c>
      <c r="I3421" s="5">
        <f>IMDB_Movies!$H3421-IMDB_Movies!$G3421</f>
        <v>10342303</v>
      </c>
    </row>
    <row r="3422" spans="1:9" ht="23">
      <c r="A3422" s="2" t="s">
        <v>5001</v>
      </c>
      <c r="B3422" s="9" t="s">
        <v>4762</v>
      </c>
      <c r="C3422" s="9" t="s">
        <v>138</v>
      </c>
      <c r="D3422" s="9" t="s">
        <v>11</v>
      </c>
      <c r="E3422" s="9">
        <v>88</v>
      </c>
      <c r="F3422" s="9">
        <v>5.9</v>
      </c>
      <c r="G3422" s="9">
        <v>6500000</v>
      </c>
      <c r="H3422" s="9">
        <v>13367101</v>
      </c>
      <c r="I3422" s="5">
        <f>IMDB_Movies!$H3422-IMDB_Movies!$G3422</f>
        <v>6867101</v>
      </c>
    </row>
    <row r="3423" spans="1:9" ht="23">
      <c r="A3423" s="2" t="s">
        <v>5002</v>
      </c>
      <c r="B3423" s="9" t="s">
        <v>2016</v>
      </c>
      <c r="C3423" s="9" t="s">
        <v>790</v>
      </c>
      <c r="D3423" s="9" t="s">
        <v>11</v>
      </c>
      <c r="E3423" s="9">
        <v>115</v>
      </c>
      <c r="F3423" s="9">
        <v>7.2</v>
      </c>
      <c r="G3423" s="9">
        <v>6500000</v>
      </c>
      <c r="H3423" s="9">
        <v>25078937</v>
      </c>
      <c r="I3423" s="5">
        <f>IMDB_Movies!$H3423-IMDB_Movies!$G3423</f>
        <v>18578937</v>
      </c>
    </row>
    <row r="3424" spans="1:9" ht="23">
      <c r="A3424" s="2" t="s">
        <v>5003</v>
      </c>
      <c r="B3424" s="9" t="s">
        <v>5004</v>
      </c>
      <c r="C3424" s="9" t="s">
        <v>810</v>
      </c>
      <c r="D3424" s="9" t="s">
        <v>11</v>
      </c>
      <c r="E3424" s="9">
        <v>91</v>
      </c>
      <c r="F3424" s="9">
        <v>3.6</v>
      </c>
      <c r="G3424" s="9">
        <v>6500000</v>
      </c>
      <c r="H3424" s="9">
        <v>10149779</v>
      </c>
      <c r="I3424" s="5">
        <f>IMDB_Movies!$H3424-IMDB_Movies!$G3424</f>
        <v>3649779</v>
      </c>
    </row>
    <row r="3425" spans="1:9" ht="23">
      <c r="A3425" s="2" t="s">
        <v>5005</v>
      </c>
      <c r="B3425" s="9" t="s">
        <v>5006</v>
      </c>
      <c r="C3425" s="9" t="s">
        <v>418</v>
      </c>
      <c r="D3425" s="9" t="s">
        <v>11</v>
      </c>
      <c r="E3425" s="9">
        <v>141</v>
      </c>
      <c r="F3425" s="9">
        <v>7.7</v>
      </c>
      <c r="G3425" s="9">
        <v>7000000</v>
      </c>
      <c r="H3425" s="9">
        <v>6173485</v>
      </c>
      <c r="I3425" s="5">
        <f>IMDB_Movies!$H3425-IMDB_Movies!$G3425</f>
        <v>-826515</v>
      </c>
    </row>
    <row r="3426" spans="1:9" ht="23">
      <c r="A3426" s="2" t="s">
        <v>5007</v>
      </c>
      <c r="B3426" s="9" t="s">
        <v>3040</v>
      </c>
      <c r="C3426" s="9" t="s">
        <v>56</v>
      </c>
      <c r="D3426" s="9" t="s">
        <v>11</v>
      </c>
      <c r="E3426" s="9">
        <v>101</v>
      </c>
      <c r="F3426" s="9">
        <v>7.3</v>
      </c>
      <c r="G3426" s="9">
        <v>6500000</v>
      </c>
      <c r="H3426" s="9">
        <v>4000304</v>
      </c>
      <c r="I3426" s="5">
        <f>IMDB_Movies!$H3426-IMDB_Movies!$G3426</f>
        <v>-2499696</v>
      </c>
    </row>
    <row r="3427" spans="1:9" ht="23">
      <c r="A3427" s="2" t="s">
        <v>5008</v>
      </c>
      <c r="B3427" s="9" t="s">
        <v>185</v>
      </c>
      <c r="C3427" s="9" t="s">
        <v>414</v>
      </c>
      <c r="D3427" s="9" t="s">
        <v>11</v>
      </c>
      <c r="E3427" s="9">
        <v>105</v>
      </c>
      <c r="F3427" s="9">
        <v>7.4</v>
      </c>
      <c r="G3427" s="9">
        <v>4000000</v>
      </c>
      <c r="H3427" s="9">
        <v>2338695</v>
      </c>
      <c r="I3427" s="5">
        <f>IMDB_Movies!$H3427-IMDB_Movies!$G3427</f>
        <v>-1661305</v>
      </c>
    </row>
    <row r="3428" spans="1:9" ht="23">
      <c r="A3428" s="2" t="s">
        <v>5009</v>
      </c>
      <c r="B3428" s="9" t="s">
        <v>5010</v>
      </c>
      <c r="C3428" s="9" t="s">
        <v>56</v>
      </c>
      <c r="D3428" s="9" t="s">
        <v>11</v>
      </c>
      <c r="E3428" s="9">
        <v>100</v>
      </c>
      <c r="F3428" s="9">
        <v>6.6</v>
      </c>
      <c r="G3428" s="9">
        <v>6500000</v>
      </c>
      <c r="H3428" s="9">
        <v>2024854</v>
      </c>
      <c r="I3428" s="5">
        <f>IMDB_Movies!$H3428-IMDB_Movies!$G3428</f>
        <v>-4475146</v>
      </c>
    </row>
    <row r="3429" spans="1:9" ht="23">
      <c r="A3429" s="2" t="s">
        <v>5011</v>
      </c>
      <c r="B3429" s="9" t="s">
        <v>5012</v>
      </c>
      <c r="C3429" s="9" t="s">
        <v>56</v>
      </c>
      <c r="D3429" s="9" t="s">
        <v>11</v>
      </c>
      <c r="E3429" s="9">
        <v>116</v>
      </c>
      <c r="F3429" s="9">
        <v>6.9</v>
      </c>
      <c r="G3429" s="9">
        <v>6500000</v>
      </c>
      <c r="H3429" s="9">
        <v>2268296</v>
      </c>
      <c r="I3429" s="5">
        <f>IMDB_Movies!$H3429-IMDB_Movies!$G3429</f>
        <v>-4231704</v>
      </c>
    </row>
    <row r="3430" spans="1:9" ht="23">
      <c r="A3430" s="2" t="s">
        <v>5013</v>
      </c>
      <c r="B3430" s="9" t="s">
        <v>3722</v>
      </c>
      <c r="C3430" s="9" t="s">
        <v>56</v>
      </c>
      <c r="D3430" s="9" t="s">
        <v>11</v>
      </c>
      <c r="E3430" s="9">
        <v>97</v>
      </c>
      <c r="F3430" s="9">
        <v>6.8</v>
      </c>
      <c r="G3430" s="9">
        <v>6500000</v>
      </c>
      <c r="H3430" s="9">
        <v>1029017</v>
      </c>
      <c r="I3430" s="5">
        <f>IMDB_Movies!$H3430-IMDB_Movies!$G3430</f>
        <v>-5470983</v>
      </c>
    </row>
    <row r="3431" spans="1:9" ht="23">
      <c r="A3431" s="2" t="s">
        <v>5014</v>
      </c>
      <c r="B3431" s="9" t="s">
        <v>5015</v>
      </c>
      <c r="C3431" s="9" t="s">
        <v>56</v>
      </c>
      <c r="D3431" s="9" t="s">
        <v>11</v>
      </c>
      <c r="E3431" s="9">
        <v>106</v>
      </c>
      <c r="F3431" s="9">
        <v>7.3</v>
      </c>
      <c r="G3431" s="9">
        <v>6500000</v>
      </c>
      <c r="H3431" s="9">
        <v>64148</v>
      </c>
      <c r="I3431" s="5">
        <f>IMDB_Movies!$H3431-IMDB_Movies!$G3431</f>
        <v>-6435852</v>
      </c>
    </row>
    <row r="3432" spans="1:9" ht="23">
      <c r="A3432" s="2" t="s">
        <v>5016</v>
      </c>
      <c r="B3432" s="9" t="s">
        <v>5017</v>
      </c>
      <c r="C3432" s="9" t="s">
        <v>56</v>
      </c>
      <c r="D3432" s="9" t="s">
        <v>11</v>
      </c>
      <c r="E3432" s="9">
        <v>105</v>
      </c>
      <c r="F3432" s="9">
        <v>7.2</v>
      </c>
      <c r="G3432" s="9">
        <v>6500000</v>
      </c>
      <c r="H3432" s="9">
        <v>66637</v>
      </c>
      <c r="I3432" s="5">
        <f>IMDB_Movies!$H3432-IMDB_Movies!$G3432</f>
        <v>-6433363</v>
      </c>
    </row>
    <row r="3433" spans="1:9" ht="23">
      <c r="A3433" s="2" t="s">
        <v>5018</v>
      </c>
      <c r="B3433" s="9" t="s">
        <v>5019</v>
      </c>
      <c r="C3433" s="9" t="s">
        <v>10</v>
      </c>
      <c r="D3433" s="9" t="s">
        <v>11</v>
      </c>
      <c r="E3433" s="9">
        <v>102</v>
      </c>
      <c r="F3433" s="9">
        <v>6.5</v>
      </c>
      <c r="G3433" s="9">
        <v>6500000</v>
      </c>
      <c r="H3433" s="9">
        <v>25078937</v>
      </c>
      <c r="I3433" s="5">
        <f>IMDB_Movies!$H3433-IMDB_Movies!$G3433</f>
        <v>18578937</v>
      </c>
    </row>
    <row r="3434" spans="1:9" ht="23">
      <c r="A3434" s="2" t="s">
        <v>5020</v>
      </c>
      <c r="B3434" s="9" t="s">
        <v>3077</v>
      </c>
      <c r="C3434" s="9" t="s">
        <v>418</v>
      </c>
      <c r="D3434" s="9" t="s">
        <v>11</v>
      </c>
      <c r="E3434" s="9">
        <v>122</v>
      </c>
      <c r="F3434" s="9">
        <v>7.7</v>
      </c>
      <c r="G3434" s="9">
        <v>4500000</v>
      </c>
      <c r="H3434" s="9">
        <v>871577</v>
      </c>
      <c r="I3434" s="5">
        <f>IMDB_Movies!$H3434-IMDB_Movies!$G3434</f>
        <v>-3628423</v>
      </c>
    </row>
    <row r="3435" spans="1:9" ht="23">
      <c r="A3435" s="2" t="s">
        <v>5021</v>
      </c>
      <c r="B3435" s="9" t="s">
        <v>9</v>
      </c>
      <c r="C3435" s="9" t="s">
        <v>10</v>
      </c>
      <c r="D3435" s="9" t="s">
        <v>11</v>
      </c>
      <c r="E3435" s="9">
        <v>107</v>
      </c>
      <c r="F3435" s="9">
        <v>8.1</v>
      </c>
      <c r="G3435" s="9">
        <v>6500000</v>
      </c>
      <c r="H3435" s="9">
        <v>38400000</v>
      </c>
      <c r="I3435" s="5">
        <f>IMDB_Movies!$H3435-IMDB_Movies!$G3435</f>
        <v>31900000</v>
      </c>
    </row>
    <row r="3436" spans="1:9" ht="23">
      <c r="A3436" s="2" t="s">
        <v>5022</v>
      </c>
      <c r="B3436" s="9" t="s">
        <v>5023</v>
      </c>
      <c r="C3436" s="9" t="s">
        <v>56</v>
      </c>
      <c r="D3436" s="9" t="s">
        <v>2452</v>
      </c>
      <c r="E3436" s="9">
        <v>121</v>
      </c>
      <c r="F3436" s="9">
        <v>7.7</v>
      </c>
      <c r="G3436" s="9">
        <v>4800000</v>
      </c>
      <c r="H3436" s="9">
        <v>4063859</v>
      </c>
      <c r="I3436" s="5">
        <f>IMDB_Movies!$H3436-IMDB_Movies!$G3436</f>
        <v>-736141</v>
      </c>
    </row>
    <row r="3437" spans="1:9" ht="23">
      <c r="A3437" s="2" t="s">
        <v>5024</v>
      </c>
      <c r="B3437" s="9" t="s">
        <v>983</v>
      </c>
      <c r="C3437" s="9" t="s">
        <v>418</v>
      </c>
      <c r="D3437" s="9" t="s">
        <v>11</v>
      </c>
      <c r="E3437" s="9">
        <v>98</v>
      </c>
      <c r="F3437" s="9">
        <v>7.6</v>
      </c>
      <c r="G3437" s="9">
        <v>10000000</v>
      </c>
      <c r="H3437" s="9">
        <v>449558</v>
      </c>
      <c r="I3437" s="5">
        <f>IMDB_Movies!$H3437-IMDB_Movies!$G3437</f>
        <v>-9550442</v>
      </c>
    </row>
    <row r="3438" spans="1:9" ht="23">
      <c r="A3438" s="2" t="s">
        <v>5025</v>
      </c>
      <c r="B3438" s="9" t="s">
        <v>5026</v>
      </c>
      <c r="C3438" s="9" t="s">
        <v>138</v>
      </c>
      <c r="D3438" s="9" t="s">
        <v>11</v>
      </c>
      <c r="E3438" s="9">
        <v>108</v>
      </c>
      <c r="F3438" s="9">
        <v>7.3</v>
      </c>
      <c r="G3438" s="9">
        <v>4000000</v>
      </c>
      <c r="H3438" s="9">
        <v>25078937</v>
      </c>
      <c r="I3438" s="5">
        <f>IMDB_Movies!$H3438-IMDB_Movies!$G3438</f>
        <v>21078937</v>
      </c>
    </row>
    <row r="3439" spans="1:9" ht="23">
      <c r="A3439" s="2" t="s">
        <v>5027</v>
      </c>
      <c r="B3439" s="9" t="s">
        <v>1973</v>
      </c>
      <c r="C3439" s="9" t="s">
        <v>138</v>
      </c>
      <c r="D3439" s="9" t="s">
        <v>11</v>
      </c>
      <c r="E3439" s="9">
        <v>123</v>
      </c>
      <c r="F3439" s="9">
        <v>7.2</v>
      </c>
      <c r="G3439" s="9">
        <v>6000000</v>
      </c>
      <c r="H3439" s="9">
        <v>2122561</v>
      </c>
      <c r="I3439" s="5">
        <f>IMDB_Movies!$H3439-IMDB_Movies!$G3439</f>
        <v>-3877439</v>
      </c>
    </row>
    <row r="3440" spans="1:9" ht="23">
      <c r="A3440" s="2" t="s">
        <v>5028</v>
      </c>
      <c r="B3440" s="9" t="s">
        <v>3891</v>
      </c>
      <c r="C3440" s="9" t="s">
        <v>5029</v>
      </c>
      <c r="D3440" s="9" t="s">
        <v>11</v>
      </c>
      <c r="E3440" s="9">
        <v>110</v>
      </c>
      <c r="F3440" s="9">
        <v>7.2</v>
      </c>
      <c r="G3440" s="9">
        <v>6000000</v>
      </c>
      <c r="H3440" s="9">
        <v>181360000</v>
      </c>
      <c r="I3440" s="5">
        <f>IMDB_Movies!$H3440-IMDB_Movies!$G3440</f>
        <v>175360000</v>
      </c>
    </row>
    <row r="3441" spans="1:9" ht="23">
      <c r="A3441" s="2" t="s">
        <v>5030</v>
      </c>
      <c r="B3441" s="9" t="s">
        <v>205</v>
      </c>
      <c r="C3441" s="9" t="s">
        <v>56</v>
      </c>
      <c r="D3441" s="9" t="s">
        <v>11</v>
      </c>
      <c r="E3441" s="9">
        <v>120</v>
      </c>
      <c r="F3441" s="9">
        <v>8.1</v>
      </c>
      <c r="G3441" s="9">
        <v>6000000</v>
      </c>
      <c r="H3441" s="9">
        <v>137963328</v>
      </c>
      <c r="I3441" s="5">
        <f>IMDB_Movies!$H3441-IMDB_Movies!$G3441</f>
        <v>131963328</v>
      </c>
    </row>
    <row r="3442" spans="1:9" ht="23">
      <c r="A3442" s="2" t="s">
        <v>5031</v>
      </c>
      <c r="B3442" s="9" t="s">
        <v>3168</v>
      </c>
      <c r="C3442" s="9" t="s">
        <v>772</v>
      </c>
      <c r="D3442" s="9" t="s">
        <v>11</v>
      </c>
      <c r="E3442" s="9">
        <v>122</v>
      </c>
      <c r="F3442" s="9">
        <v>7.5</v>
      </c>
      <c r="G3442" s="9">
        <v>6000000</v>
      </c>
      <c r="H3442" s="9">
        <v>119078393</v>
      </c>
      <c r="I3442" s="5">
        <f>IMDB_Movies!$H3442-IMDB_Movies!$G3442</f>
        <v>113078393</v>
      </c>
    </row>
    <row r="3443" spans="1:9" ht="23">
      <c r="A3443" s="2" t="s">
        <v>5032</v>
      </c>
      <c r="B3443" s="9" t="s">
        <v>5033</v>
      </c>
      <c r="C3443" s="9" t="s">
        <v>418</v>
      </c>
      <c r="D3443" s="9" t="s">
        <v>11</v>
      </c>
      <c r="E3443" s="9">
        <v>110</v>
      </c>
      <c r="F3443" s="9">
        <v>8.1</v>
      </c>
      <c r="G3443" s="9">
        <v>6000000</v>
      </c>
      <c r="H3443" s="9">
        <v>102308900</v>
      </c>
      <c r="I3443" s="5">
        <f>IMDB_Movies!$H3443-IMDB_Movies!$G3443</f>
        <v>96308900</v>
      </c>
    </row>
    <row r="3444" spans="1:9" ht="23">
      <c r="A3444" s="2" t="s">
        <v>5034</v>
      </c>
      <c r="B3444" s="9" t="s">
        <v>5035</v>
      </c>
      <c r="C3444" s="9" t="s">
        <v>138</v>
      </c>
      <c r="D3444" s="9" t="s">
        <v>11</v>
      </c>
      <c r="E3444" s="9">
        <v>139</v>
      </c>
      <c r="F3444" s="9">
        <v>7.8</v>
      </c>
      <c r="G3444" s="9">
        <v>6000000</v>
      </c>
      <c r="H3444" s="9">
        <v>102300000</v>
      </c>
      <c r="I3444" s="5">
        <f>IMDB_Movies!$H3444-IMDB_Movies!$G3444</f>
        <v>96300000</v>
      </c>
    </row>
    <row r="3445" spans="1:9" ht="23">
      <c r="A3445" s="2" t="s">
        <v>5036</v>
      </c>
      <c r="B3445" s="9" t="s">
        <v>1087</v>
      </c>
      <c r="C3445" s="9" t="s">
        <v>56</v>
      </c>
      <c r="D3445" s="9" t="s">
        <v>11</v>
      </c>
      <c r="E3445" s="9">
        <v>124</v>
      </c>
      <c r="F3445" s="9">
        <v>7.8</v>
      </c>
      <c r="G3445" s="9">
        <v>6000000</v>
      </c>
      <c r="H3445" s="9">
        <v>54800000</v>
      </c>
      <c r="I3445" s="5">
        <f>IMDB_Movies!$H3445-IMDB_Movies!$G3445</f>
        <v>48800000</v>
      </c>
    </row>
    <row r="3446" spans="1:9" ht="23">
      <c r="A3446" s="2" t="s">
        <v>5037</v>
      </c>
      <c r="B3446" s="9" t="s">
        <v>5038</v>
      </c>
      <c r="C3446" s="9" t="s">
        <v>414</v>
      </c>
      <c r="D3446" s="9" t="s">
        <v>11</v>
      </c>
      <c r="E3446" s="9">
        <v>152</v>
      </c>
      <c r="F3446" s="9">
        <v>7.6</v>
      </c>
      <c r="G3446" s="9">
        <v>6000000</v>
      </c>
      <c r="H3446" s="9">
        <v>43650000</v>
      </c>
      <c r="I3446" s="5">
        <f>IMDB_Movies!$H3446-IMDB_Movies!$G3446</f>
        <v>37650000</v>
      </c>
    </row>
    <row r="3447" spans="1:9" ht="23">
      <c r="A3447" s="2" t="s">
        <v>5039</v>
      </c>
      <c r="B3447" s="9" t="s">
        <v>1141</v>
      </c>
      <c r="C3447" s="9" t="s">
        <v>138</v>
      </c>
      <c r="D3447" s="9" t="s">
        <v>11</v>
      </c>
      <c r="E3447" s="9">
        <v>98</v>
      </c>
      <c r="F3447" s="9">
        <v>7.4</v>
      </c>
      <c r="G3447" s="9">
        <v>6000000</v>
      </c>
      <c r="H3447" s="9">
        <v>39800000</v>
      </c>
      <c r="I3447" s="5">
        <f>IMDB_Movies!$H3447-IMDB_Movies!$G3447</f>
        <v>33800000</v>
      </c>
    </row>
    <row r="3448" spans="1:9" ht="23">
      <c r="A3448" s="2" t="s">
        <v>5040</v>
      </c>
      <c r="B3448" s="9" t="s">
        <v>5041</v>
      </c>
      <c r="C3448" s="9" t="s">
        <v>138</v>
      </c>
      <c r="D3448" s="9" t="s">
        <v>11</v>
      </c>
      <c r="E3448" s="9">
        <v>106</v>
      </c>
      <c r="F3448" s="9">
        <v>6.3</v>
      </c>
      <c r="G3448" s="9">
        <v>6000000</v>
      </c>
      <c r="H3448" s="9">
        <v>27457409</v>
      </c>
      <c r="I3448" s="5">
        <f>IMDB_Movies!$H3448-IMDB_Movies!$G3448</f>
        <v>21457409</v>
      </c>
    </row>
    <row r="3449" spans="1:9" ht="23">
      <c r="A3449" s="2" t="s">
        <v>5042</v>
      </c>
      <c r="B3449" s="9" t="s">
        <v>3903</v>
      </c>
      <c r="C3449" s="9" t="s">
        <v>138</v>
      </c>
      <c r="D3449" s="9" t="s">
        <v>11</v>
      </c>
      <c r="E3449" s="9">
        <v>106</v>
      </c>
      <c r="F3449" s="9">
        <v>6.9</v>
      </c>
      <c r="G3449" s="9">
        <v>6000000</v>
      </c>
      <c r="H3449" s="9">
        <v>25047631</v>
      </c>
      <c r="I3449" s="5">
        <f>IMDB_Movies!$H3449-IMDB_Movies!$G3449</f>
        <v>19047631</v>
      </c>
    </row>
    <row r="3450" spans="1:9" ht="23">
      <c r="A3450" s="2" t="s">
        <v>5043</v>
      </c>
      <c r="B3450" s="9" t="s">
        <v>32</v>
      </c>
      <c r="C3450" s="9" t="s">
        <v>414</v>
      </c>
      <c r="D3450" s="9" t="s">
        <v>11</v>
      </c>
      <c r="E3450" s="9">
        <v>106</v>
      </c>
      <c r="F3450" s="9">
        <v>8.6</v>
      </c>
      <c r="G3450" s="9">
        <v>6000000</v>
      </c>
      <c r="H3450" s="9">
        <v>23272306</v>
      </c>
      <c r="I3450" s="5">
        <f>IMDB_Movies!$H3450-IMDB_Movies!$G3450</f>
        <v>17272306</v>
      </c>
    </row>
    <row r="3451" spans="1:9" ht="23">
      <c r="A3451" s="2" t="s">
        <v>5044</v>
      </c>
      <c r="B3451" s="9" t="s">
        <v>729</v>
      </c>
      <c r="C3451" s="9" t="s">
        <v>713</v>
      </c>
      <c r="D3451" s="9" t="s">
        <v>11</v>
      </c>
      <c r="E3451" s="9">
        <v>89</v>
      </c>
      <c r="F3451" s="9">
        <v>5.0999999999999996</v>
      </c>
      <c r="G3451" s="9">
        <v>8000000</v>
      </c>
      <c r="H3451" s="9">
        <v>22168359</v>
      </c>
      <c r="I3451" s="5">
        <f>IMDB_Movies!$H3451-IMDB_Movies!$G3451</f>
        <v>14168359</v>
      </c>
    </row>
    <row r="3452" spans="1:9" ht="23">
      <c r="A3452" s="2" t="s">
        <v>5045</v>
      </c>
      <c r="B3452" s="9" t="s">
        <v>581</v>
      </c>
      <c r="C3452" s="9" t="s">
        <v>138</v>
      </c>
      <c r="D3452" s="9" t="s">
        <v>11</v>
      </c>
      <c r="E3452" s="9">
        <v>94</v>
      </c>
      <c r="F3452" s="9">
        <v>6.4</v>
      </c>
      <c r="G3452" s="9">
        <v>6000000</v>
      </c>
      <c r="H3452" s="9">
        <v>21005329</v>
      </c>
      <c r="I3452" s="5">
        <f>IMDB_Movies!$H3452-IMDB_Movies!$G3452</f>
        <v>15005329</v>
      </c>
    </row>
    <row r="3453" spans="1:9" ht="23">
      <c r="A3453" s="2" t="s">
        <v>5046</v>
      </c>
      <c r="B3453" s="9" t="s">
        <v>325</v>
      </c>
      <c r="C3453" s="9" t="s">
        <v>56</v>
      </c>
      <c r="D3453" s="9" t="s">
        <v>11</v>
      </c>
      <c r="E3453" s="9">
        <v>109</v>
      </c>
      <c r="F3453" s="9">
        <v>7.9</v>
      </c>
      <c r="G3453" s="9">
        <v>6000000</v>
      </c>
      <c r="H3453" s="9">
        <v>26236603</v>
      </c>
      <c r="I3453" s="5">
        <f>IMDB_Movies!$H3453-IMDB_Movies!$G3453</f>
        <v>20236603</v>
      </c>
    </row>
    <row r="3454" spans="1:9" ht="23">
      <c r="A3454" s="2" t="s">
        <v>5047</v>
      </c>
      <c r="B3454" s="9" t="s">
        <v>5048</v>
      </c>
      <c r="C3454" s="9" t="s">
        <v>56</v>
      </c>
      <c r="D3454" s="9" t="s">
        <v>11</v>
      </c>
      <c r="E3454" s="9">
        <v>144</v>
      </c>
      <c r="F3454" s="9">
        <v>6.9</v>
      </c>
      <c r="G3454" s="9">
        <v>8000000</v>
      </c>
      <c r="H3454" s="9">
        <v>20400000</v>
      </c>
      <c r="I3454" s="5">
        <f>IMDB_Movies!$H3454-IMDB_Movies!$G3454</f>
        <v>12400000</v>
      </c>
    </row>
    <row r="3455" spans="1:9" ht="23">
      <c r="A3455" s="2" t="s">
        <v>5049</v>
      </c>
      <c r="B3455" s="9" t="s">
        <v>4163</v>
      </c>
      <c r="C3455" s="9" t="s">
        <v>138</v>
      </c>
      <c r="D3455" s="9" t="s">
        <v>11</v>
      </c>
      <c r="E3455" s="9">
        <v>90</v>
      </c>
      <c r="F3455" s="9">
        <v>7.5</v>
      </c>
      <c r="G3455" s="9">
        <v>6000000</v>
      </c>
      <c r="H3455" s="9">
        <v>18621249</v>
      </c>
      <c r="I3455" s="5">
        <f>IMDB_Movies!$H3455-IMDB_Movies!$G3455</f>
        <v>12621249</v>
      </c>
    </row>
    <row r="3456" spans="1:9" ht="23">
      <c r="A3456" s="2" t="s">
        <v>5050</v>
      </c>
      <c r="B3456" s="9" t="s">
        <v>1470</v>
      </c>
      <c r="C3456" s="9" t="s">
        <v>10</v>
      </c>
      <c r="D3456" s="9" t="s">
        <v>11</v>
      </c>
      <c r="E3456" s="9">
        <v>106</v>
      </c>
      <c r="F3456" s="9">
        <v>7.2</v>
      </c>
      <c r="G3456" s="9">
        <v>6000000</v>
      </c>
      <c r="H3456" s="9">
        <v>25244700</v>
      </c>
      <c r="I3456" s="5">
        <f>IMDB_Movies!$H3456-IMDB_Movies!$G3456</f>
        <v>19244700</v>
      </c>
    </row>
    <row r="3457" spans="1:9" ht="23">
      <c r="A3457" s="2" t="s">
        <v>5051</v>
      </c>
      <c r="B3457" s="9" t="s">
        <v>1380</v>
      </c>
      <c r="C3457" s="9" t="s">
        <v>138</v>
      </c>
      <c r="D3457" s="9" t="s">
        <v>11</v>
      </c>
      <c r="E3457" s="9">
        <v>121</v>
      </c>
      <c r="F3457" s="9">
        <v>5.8</v>
      </c>
      <c r="G3457" s="9">
        <v>6500000</v>
      </c>
      <c r="H3457" s="9">
        <v>14545844</v>
      </c>
      <c r="I3457" s="5">
        <f>IMDB_Movies!$H3457-IMDB_Movies!$G3457</f>
        <v>8045844</v>
      </c>
    </row>
    <row r="3458" spans="1:9" ht="23">
      <c r="A3458" s="2" t="s">
        <v>5052</v>
      </c>
      <c r="B3458" s="9" t="s">
        <v>5053</v>
      </c>
      <c r="C3458" s="9" t="s">
        <v>138</v>
      </c>
      <c r="D3458" s="9" t="s">
        <v>11</v>
      </c>
      <c r="E3458" s="9">
        <v>89</v>
      </c>
      <c r="F3458" s="9">
        <v>2.9</v>
      </c>
      <c r="G3458" s="9">
        <v>6000000</v>
      </c>
      <c r="H3458" s="9">
        <v>13235267</v>
      </c>
      <c r="I3458" s="5">
        <f>IMDB_Movies!$H3458-IMDB_Movies!$G3458</f>
        <v>7235267</v>
      </c>
    </row>
    <row r="3459" spans="1:9" ht="23">
      <c r="A3459" s="2" t="s">
        <v>5054</v>
      </c>
      <c r="B3459" s="9" t="s">
        <v>5055</v>
      </c>
      <c r="C3459" s="9" t="s">
        <v>10</v>
      </c>
      <c r="D3459" s="9" t="s">
        <v>11</v>
      </c>
      <c r="E3459" s="9">
        <v>86</v>
      </c>
      <c r="F3459" s="9">
        <v>6.2</v>
      </c>
      <c r="G3459" s="9">
        <v>20000000</v>
      </c>
      <c r="H3459" s="9">
        <v>12674183</v>
      </c>
      <c r="I3459" s="5">
        <f>IMDB_Movies!$H3459-IMDB_Movies!$G3459</f>
        <v>-7325817</v>
      </c>
    </row>
    <row r="3460" spans="1:9" ht="23">
      <c r="A3460" s="2" t="s">
        <v>5056</v>
      </c>
      <c r="B3460" s="9" t="s">
        <v>4163</v>
      </c>
      <c r="C3460" s="9" t="s">
        <v>138</v>
      </c>
      <c r="D3460" s="9" t="s">
        <v>11</v>
      </c>
      <c r="E3460" s="9">
        <v>91</v>
      </c>
      <c r="F3460" s="9">
        <v>7.3</v>
      </c>
      <c r="G3460" s="9">
        <v>20000000</v>
      </c>
      <c r="H3460" s="9">
        <v>17508936</v>
      </c>
      <c r="I3460" s="5">
        <f>IMDB_Movies!$H3460-IMDB_Movies!$G3460</f>
        <v>-2491064</v>
      </c>
    </row>
    <row r="3461" spans="1:9" ht="23">
      <c r="A3461" s="2" t="s">
        <v>5057</v>
      </c>
      <c r="B3461" s="9" t="s">
        <v>1147</v>
      </c>
      <c r="C3461" s="9" t="s">
        <v>138</v>
      </c>
      <c r="D3461" s="9" t="s">
        <v>11</v>
      </c>
      <c r="E3461" s="9">
        <v>104</v>
      </c>
      <c r="F3461" s="9">
        <v>6.2</v>
      </c>
      <c r="G3461" s="9">
        <v>6000000</v>
      </c>
      <c r="H3461" s="9">
        <v>12793213</v>
      </c>
      <c r="I3461" s="5">
        <f>IMDB_Movies!$H3461-IMDB_Movies!$G3461</f>
        <v>6793213</v>
      </c>
    </row>
    <row r="3462" spans="1:9" ht="23">
      <c r="A3462" s="2" t="s">
        <v>5058</v>
      </c>
      <c r="B3462" s="9" t="s">
        <v>1609</v>
      </c>
      <c r="C3462" s="9" t="s">
        <v>138</v>
      </c>
      <c r="D3462" s="9" t="s">
        <v>11</v>
      </c>
      <c r="E3462" s="9">
        <v>99</v>
      </c>
      <c r="F3462" s="9">
        <v>6.8</v>
      </c>
      <c r="G3462" s="9">
        <v>9000000</v>
      </c>
      <c r="H3462" s="9">
        <v>11883495</v>
      </c>
      <c r="I3462" s="5">
        <f>IMDB_Movies!$H3462-IMDB_Movies!$G3462</f>
        <v>2883495</v>
      </c>
    </row>
    <row r="3463" spans="1:9" ht="23">
      <c r="A3463" s="2" t="s">
        <v>5059</v>
      </c>
      <c r="B3463" s="9" t="s">
        <v>5060</v>
      </c>
      <c r="C3463" s="9" t="s">
        <v>138</v>
      </c>
      <c r="D3463" s="9" t="s">
        <v>11</v>
      </c>
      <c r="E3463" s="9">
        <v>98</v>
      </c>
      <c r="F3463" s="9">
        <v>6.1</v>
      </c>
      <c r="G3463" s="9">
        <v>6000000</v>
      </c>
      <c r="H3463" s="9">
        <v>11797927</v>
      </c>
      <c r="I3463" s="5">
        <f>IMDB_Movies!$H3463-IMDB_Movies!$G3463</f>
        <v>5797927</v>
      </c>
    </row>
    <row r="3464" spans="1:9" ht="23">
      <c r="A3464" s="2" t="s">
        <v>5061</v>
      </c>
      <c r="B3464" s="9" t="s">
        <v>1144</v>
      </c>
      <c r="C3464" s="9" t="s">
        <v>418</v>
      </c>
      <c r="D3464" s="9" t="s">
        <v>11</v>
      </c>
      <c r="E3464" s="9">
        <v>121</v>
      </c>
      <c r="F3464" s="9">
        <v>7.7</v>
      </c>
      <c r="G3464" s="9">
        <v>6000000</v>
      </c>
      <c r="H3464" s="9">
        <v>17605861</v>
      </c>
      <c r="I3464" s="5">
        <f>IMDB_Movies!$H3464-IMDB_Movies!$G3464</f>
        <v>11605861</v>
      </c>
    </row>
    <row r="3465" spans="1:9" ht="23">
      <c r="A3465" s="2" t="s">
        <v>5062</v>
      </c>
      <c r="B3465" s="9" t="s">
        <v>5063</v>
      </c>
      <c r="C3465" s="9" t="s">
        <v>810</v>
      </c>
      <c r="D3465" s="9" t="s">
        <v>11</v>
      </c>
      <c r="E3465" s="9">
        <v>96</v>
      </c>
      <c r="F3465" s="9">
        <v>5.2</v>
      </c>
      <c r="G3465" s="9">
        <v>3000000</v>
      </c>
      <c r="H3465" s="9">
        <v>11642254</v>
      </c>
      <c r="I3465" s="5">
        <f>IMDB_Movies!$H3465-IMDB_Movies!$G3465</f>
        <v>8642254</v>
      </c>
    </row>
    <row r="3466" spans="1:9" ht="23">
      <c r="A3466" s="2" t="s">
        <v>5064</v>
      </c>
      <c r="B3466" s="9" t="s">
        <v>2571</v>
      </c>
      <c r="C3466" s="9" t="s">
        <v>138</v>
      </c>
      <c r="D3466" s="9" t="s">
        <v>11</v>
      </c>
      <c r="E3466" s="9">
        <v>99</v>
      </c>
      <c r="F3466" s="9">
        <v>6.8</v>
      </c>
      <c r="G3466" s="9">
        <v>5000000</v>
      </c>
      <c r="H3466" s="9">
        <v>9203192</v>
      </c>
      <c r="I3466" s="5">
        <f>IMDB_Movies!$H3466-IMDB_Movies!$G3466</f>
        <v>4203192</v>
      </c>
    </row>
    <row r="3467" spans="1:9" ht="23">
      <c r="A3467" s="2" t="s">
        <v>5065</v>
      </c>
      <c r="B3467" s="9" t="s">
        <v>5066</v>
      </c>
      <c r="C3467" s="9" t="s">
        <v>24</v>
      </c>
      <c r="D3467" s="9" t="s">
        <v>11</v>
      </c>
      <c r="E3467" s="9">
        <v>42</v>
      </c>
      <c r="F3467" s="9">
        <v>6.5</v>
      </c>
      <c r="G3467" s="9">
        <v>6000000</v>
      </c>
      <c r="H3467" s="9">
        <v>7518876</v>
      </c>
      <c r="I3467" s="5">
        <f>IMDB_Movies!$H3467-IMDB_Movies!$G3467</f>
        <v>1518876</v>
      </c>
    </row>
    <row r="3468" spans="1:9" ht="23">
      <c r="A3468" s="2" t="s">
        <v>5067</v>
      </c>
      <c r="B3468" s="9" t="s">
        <v>3132</v>
      </c>
      <c r="C3468" s="9" t="s">
        <v>418</v>
      </c>
      <c r="D3468" s="9" t="s">
        <v>11</v>
      </c>
      <c r="E3468" s="9">
        <v>122</v>
      </c>
      <c r="F3468" s="9">
        <v>7</v>
      </c>
      <c r="G3468" s="9">
        <v>6000000</v>
      </c>
      <c r="H3468" s="9">
        <v>8596914</v>
      </c>
      <c r="I3468" s="5">
        <f>IMDB_Movies!$H3468-IMDB_Movies!$G3468</f>
        <v>2596914</v>
      </c>
    </row>
    <row r="3469" spans="1:9" ht="23">
      <c r="A3469" s="2" t="s">
        <v>5068</v>
      </c>
      <c r="B3469" s="9" t="s">
        <v>5069</v>
      </c>
      <c r="C3469" s="9" t="s">
        <v>138</v>
      </c>
      <c r="D3469" s="9" t="s">
        <v>11</v>
      </c>
      <c r="E3469" s="9">
        <v>101</v>
      </c>
      <c r="F3469" s="9">
        <v>5.9</v>
      </c>
      <c r="G3469" s="9">
        <v>6000000</v>
      </c>
      <c r="H3469" s="9">
        <v>6851636</v>
      </c>
      <c r="I3469" s="5">
        <f>IMDB_Movies!$H3469-IMDB_Movies!$G3469</f>
        <v>851636</v>
      </c>
    </row>
    <row r="3470" spans="1:9" ht="23">
      <c r="A3470" s="2" t="s">
        <v>5070</v>
      </c>
      <c r="B3470" s="9" t="s">
        <v>5071</v>
      </c>
      <c r="C3470" s="9" t="s">
        <v>56</v>
      </c>
      <c r="D3470" s="9" t="s">
        <v>11</v>
      </c>
      <c r="E3470" s="9">
        <v>102</v>
      </c>
      <c r="F3470" s="9">
        <v>7.1</v>
      </c>
      <c r="G3470" s="9">
        <v>6000000</v>
      </c>
      <c r="H3470" s="9">
        <v>11434867</v>
      </c>
      <c r="I3470" s="5">
        <f>IMDB_Movies!$H3470-IMDB_Movies!$G3470</f>
        <v>5434867</v>
      </c>
    </row>
    <row r="3471" spans="1:9" ht="23">
      <c r="A3471" s="2" t="s">
        <v>5072</v>
      </c>
      <c r="B3471" s="9" t="s">
        <v>5073</v>
      </c>
      <c r="C3471" s="9" t="s">
        <v>138</v>
      </c>
      <c r="D3471" s="9" t="s">
        <v>741</v>
      </c>
      <c r="E3471" s="9">
        <v>84</v>
      </c>
      <c r="F3471" s="9">
        <v>5.5</v>
      </c>
      <c r="G3471" s="9">
        <v>6000000</v>
      </c>
      <c r="H3471" s="9">
        <v>5895238</v>
      </c>
      <c r="I3471" s="5">
        <f>IMDB_Movies!$H3471-IMDB_Movies!$G3471</f>
        <v>-104762</v>
      </c>
    </row>
    <row r="3472" spans="1:9" ht="23">
      <c r="A3472" s="2" t="s">
        <v>5074</v>
      </c>
      <c r="B3472" s="9" t="s">
        <v>5075</v>
      </c>
      <c r="C3472" s="9" t="s">
        <v>138</v>
      </c>
      <c r="D3472" s="9" t="s">
        <v>11</v>
      </c>
      <c r="E3472" s="9">
        <v>104</v>
      </c>
      <c r="F3472" s="9">
        <v>7.4</v>
      </c>
      <c r="G3472" s="9">
        <v>6000000</v>
      </c>
      <c r="H3472" s="9">
        <v>6670712</v>
      </c>
      <c r="I3472" s="5">
        <f>IMDB_Movies!$H3472-IMDB_Movies!$G3472</f>
        <v>670712</v>
      </c>
    </row>
    <row r="3473" spans="1:9" ht="23">
      <c r="A3473" s="2" t="s">
        <v>5076</v>
      </c>
      <c r="B3473" s="9" t="s">
        <v>5077</v>
      </c>
      <c r="C3473" s="9" t="s">
        <v>138</v>
      </c>
      <c r="D3473" s="9" t="s">
        <v>11</v>
      </c>
      <c r="E3473" s="9">
        <v>96</v>
      </c>
      <c r="F3473" s="9">
        <v>7.3</v>
      </c>
      <c r="G3473" s="9">
        <v>6000000</v>
      </c>
      <c r="H3473" s="9">
        <v>5359774</v>
      </c>
      <c r="I3473" s="5">
        <f>IMDB_Movies!$H3473-IMDB_Movies!$G3473</f>
        <v>-640226</v>
      </c>
    </row>
    <row r="3474" spans="1:9" ht="23">
      <c r="A3474" s="2" t="s">
        <v>5078</v>
      </c>
      <c r="B3474" s="9" t="s">
        <v>5079</v>
      </c>
      <c r="C3474" s="9" t="s">
        <v>138</v>
      </c>
      <c r="D3474" s="9" t="s">
        <v>11</v>
      </c>
      <c r="E3474" s="9">
        <v>94</v>
      </c>
      <c r="F3474" s="9">
        <v>4.5999999999999996</v>
      </c>
      <c r="G3474" s="9">
        <v>6500000</v>
      </c>
      <c r="H3474" s="9">
        <v>4693919</v>
      </c>
      <c r="I3474" s="5">
        <f>IMDB_Movies!$H3474-IMDB_Movies!$G3474</f>
        <v>-1806081</v>
      </c>
    </row>
    <row r="3475" spans="1:9" ht="23">
      <c r="A3475" s="2" t="s">
        <v>5080</v>
      </c>
      <c r="B3475" s="9" t="s">
        <v>1851</v>
      </c>
      <c r="C3475" s="9" t="s">
        <v>56</v>
      </c>
      <c r="D3475" s="9" t="s">
        <v>11</v>
      </c>
      <c r="E3475" s="9">
        <v>90</v>
      </c>
      <c r="F3475" s="9">
        <v>7.2</v>
      </c>
      <c r="G3475" s="9">
        <v>6000000</v>
      </c>
      <c r="H3475" s="9">
        <v>4859475</v>
      </c>
      <c r="I3475" s="5">
        <f>IMDB_Movies!$H3475-IMDB_Movies!$G3475</f>
        <v>-1140525</v>
      </c>
    </row>
    <row r="3476" spans="1:9" ht="23">
      <c r="A3476" s="2" t="s">
        <v>5081</v>
      </c>
      <c r="B3476" s="9" t="s">
        <v>4063</v>
      </c>
      <c r="C3476" s="9" t="s">
        <v>138</v>
      </c>
      <c r="D3476" s="9" t="s">
        <v>11</v>
      </c>
      <c r="E3476" s="9">
        <v>97</v>
      </c>
      <c r="F3476" s="9">
        <v>7</v>
      </c>
      <c r="G3476" s="9">
        <v>20000000</v>
      </c>
      <c r="H3476" s="9">
        <v>4595000</v>
      </c>
      <c r="I3476" s="5">
        <f>IMDB_Movies!$H3476-IMDB_Movies!$G3476</f>
        <v>-15405000</v>
      </c>
    </row>
    <row r="3477" spans="1:9" ht="23">
      <c r="A3477" s="2" t="s">
        <v>5082</v>
      </c>
      <c r="B3477" s="9" t="s">
        <v>5083</v>
      </c>
      <c r="C3477" s="9" t="s">
        <v>138</v>
      </c>
      <c r="D3477" s="9" t="s">
        <v>11</v>
      </c>
      <c r="E3477" s="9">
        <v>90</v>
      </c>
      <c r="F3477" s="9">
        <v>5.0999999999999996</v>
      </c>
      <c r="G3477" s="9">
        <v>6000000</v>
      </c>
      <c r="H3477" s="9">
        <v>4542775</v>
      </c>
      <c r="I3477" s="5">
        <f>IMDB_Movies!$H3477-IMDB_Movies!$G3477</f>
        <v>-1457225</v>
      </c>
    </row>
    <row r="3478" spans="1:9" ht="23">
      <c r="A3478" s="2" t="s">
        <v>5084</v>
      </c>
      <c r="B3478" s="9" t="s">
        <v>5085</v>
      </c>
      <c r="C3478" s="9" t="s">
        <v>138</v>
      </c>
      <c r="D3478" s="9" t="s">
        <v>11</v>
      </c>
      <c r="E3478" s="9">
        <v>106</v>
      </c>
      <c r="F3478" s="9">
        <v>6.7</v>
      </c>
      <c r="G3478" s="9">
        <v>6000000</v>
      </c>
      <c r="H3478" s="9">
        <v>3588432</v>
      </c>
      <c r="I3478" s="5">
        <f>IMDB_Movies!$H3478-IMDB_Movies!$G3478</f>
        <v>-2411568</v>
      </c>
    </row>
    <row r="3479" spans="1:9" ht="23">
      <c r="A3479" s="2" t="s">
        <v>5086</v>
      </c>
      <c r="B3479" s="9" t="s">
        <v>5087</v>
      </c>
      <c r="C3479" s="9" t="s">
        <v>138</v>
      </c>
      <c r="D3479" s="9" t="s">
        <v>11</v>
      </c>
      <c r="E3479" s="9">
        <v>96</v>
      </c>
      <c r="F3479" s="9">
        <v>5.3</v>
      </c>
      <c r="G3479" s="9">
        <v>6000000</v>
      </c>
      <c r="H3479" s="9">
        <v>4394936</v>
      </c>
      <c r="I3479" s="5">
        <f>IMDB_Movies!$H3479-IMDB_Movies!$G3479</f>
        <v>-1605064</v>
      </c>
    </row>
    <row r="3480" spans="1:9" ht="23">
      <c r="A3480" s="2" t="s">
        <v>5088</v>
      </c>
      <c r="B3480" s="9" t="s">
        <v>5089</v>
      </c>
      <c r="C3480" s="9" t="s">
        <v>138</v>
      </c>
      <c r="D3480" s="9" t="s">
        <v>11</v>
      </c>
      <c r="E3480" s="9">
        <v>95</v>
      </c>
      <c r="F3480" s="9">
        <v>7.8</v>
      </c>
      <c r="G3480" s="9">
        <v>6000000</v>
      </c>
      <c r="H3480" s="9">
        <v>3029081</v>
      </c>
      <c r="I3480" s="5">
        <f>IMDB_Movies!$H3480-IMDB_Movies!$G3480</f>
        <v>-2970919</v>
      </c>
    </row>
    <row r="3481" spans="1:9" ht="23">
      <c r="A3481" s="2" t="s">
        <v>5090</v>
      </c>
      <c r="B3481" s="9" t="s">
        <v>3567</v>
      </c>
      <c r="C3481" s="9" t="s">
        <v>10</v>
      </c>
      <c r="D3481" s="9" t="s">
        <v>11</v>
      </c>
      <c r="E3481" s="9">
        <v>99</v>
      </c>
      <c r="F3481" s="9">
        <v>6.7</v>
      </c>
      <c r="G3481" s="9">
        <v>6000000</v>
      </c>
      <c r="H3481" s="9">
        <v>3273588</v>
      </c>
      <c r="I3481" s="5">
        <f>IMDB_Movies!$H3481-IMDB_Movies!$G3481</f>
        <v>-2726412</v>
      </c>
    </row>
    <row r="3482" spans="1:9" ht="23">
      <c r="A3482" s="2" t="s">
        <v>5091</v>
      </c>
      <c r="B3482" s="9" t="s">
        <v>5092</v>
      </c>
      <c r="C3482" s="9" t="s">
        <v>56</v>
      </c>
      <c r="D3482" s="9" t="s">
        <v>11</v>
      </c>
      <c r="E3482" s="9">
        <v>93</v>
      </c>
      <c r="F3482" s="9">
        <v>5.4</v>
      </c>
      <c r="G3482" s="9">
        <v>20000000</v>
      </c>
      <c r="H3482" s="9">
        <v>25078937</v>
      </c>
      <c r="I3482" s="5">
        <f>IMDB_Movies!$H3482-IMDB_Movies!$G3482</f>
        <v>5078937</v>
      </c>
    </row>
    <row r="3483" spans="1:9" ht="23">
      <c r="A3483" s="2" t="s">
        <v>5093</v>
      </c>
      <c r="B3483" s="9" t="s">
        <v>3172</v>
      </c>
      <c r="C3483" s="9" t="s">
        <v>56</v>
      </c>
      <c r="D3483" s="9" t="s">
        <v>11</v>
      </c>
      <c r="E3483" s="9">
        <v>99</v>
      </c>
      <c r="F3483" s="9">
        <v>7.2</v>
      </c>
      <c r="G3483" s="9">
        <v>6000000</v>
      </c>
      <c r="H3483" s="9">
        <v>2207975</v>
      </c>
      <c r="I3483" s="5">
        <f>IMDB_Movies!$H3483-IMDB_Movies!$G3483</f>
        <v>-3792025</v>
      </c>
    </row>
    <row r="3484" spans="1:9" ht="23">
      <c r="A3484" s="2" t="s">
        <v>5094</v>
      </c>
      <c r="B3484" s="9" t="s">
        <v>5095</v>
      </c>
      <c r="C3484" s="9" t="s">
        <v>138</v>
      </c>
      <c r="D3484" s="9" t="s">
        <v>11</v>
      </c>
      <c r="E3484" s="9">
        <v>95</v>
      </c>
      <c r="F3484" s="9">
        <v>5.8</v>
      </c>
      <c r="G3484" s="9">
        <v>6000000</v>
      </c>
      <c r="H3484" s="9">
        <v>2025238</v>
      </c>
      <c r="I3484" s="5">
        <f>IMDB_Movies!$H3484-IMDB_Movies!$G3484</f>
        <v>-3974762</v>
      </c>
    </row>
    <row r="3485" spans="1:9" ht="23">
      <c r="A3485" s="2" t="s">
        <v>5096</v>
      </c>
      <c r="B3485" s="9" t="s">
        <v>5097</v>
      </c>
      <c r="C3485" s="9" t="s">
        <v>56</v>
      </c>
      <c r="D3485" s="9" t="s">
        <v>11</v>
      </c>
      <c r="E3485" s="9">
        <v>84</v>
      </c>
      <c r="F3485" s="9">
        <v>6.4</v>
      </c>
      <c r="G3485" s="9">
        <v>20000000</v>
      </c>
      <c r="H3485" s="9">
        <v>1028337</v>
      </c>
      <c r="I3485" s="5">
        <f>IMDB_Movies!$H3485-IMDB_Movies!$G3485</f>
        <v>-18971663</v>
      </c>
    </row>
    <row r="3486" spans="1:9" ht="23">
      <c r="A3486" s="2" t="s">
        <v>5098</v>
      </c>
      <c r="B3486" s="9" t="s">
        <v>5099</v>
      </c>
      <c r="C3486" s="9" t="s">
        <v>10</v>
      </c>
      <c r="D3486" s="9" t="s">
        <v>11</v>
      </c>
      <c r="E3486" s="9">
        <v>144</v>
      </c>
      <c r="F3486" s="9">
        <v>8</v>
      </c>
      <c r="G3486" s="9">
        <v>6244087</v>
      </c>
      <c r="H3486" s="9">
        <v>25078937</v>
      </c>
      <c r="I3486" s="5">
        <f>IMDB_Movies!$H3486-IMDB_Movies!$G3486</f>
        <v>18834850</v>
      </c>
    </row>
    <row r="3487" spans="1:9" ht="23">
      <c r="A3487" s="2" t="s">
        <v>5100</v>
      </c>
      <c r="B3487" s="9" t="s">
        <v>2287</v>
      </c>
      <c r="C3487" s="9" t="s">
        <v>138</v>
      </c>
      <c r="D3487" s="9" t="s">
        <v>11</v>
      </c>
      <c r="E3487" s="9">
        <v>99</v>
      </c>
      <c r="F3487" s="9">
        <v>7</v>
      </c>
      <c r="G3487" s="9">
        <v>6000000</v>
      </c>
      <c r="H3487" s="9">
        <v>2077046</v>
      </c>
      <c r="I3487" s="5">
        <f>IMDB_Movies!$H3487-IMDB_Movies!$G3487</f>
        <v>-3922954</v>
      </c>
    </row>
    <row r="3488" spans="1:9" ht="23">
      <c r="A3488" s="2" t="s">
        <v>5101</v>
      </c>
      <c r="B3488" s="9" t="s">
        <v>5102</v>
      </c>
      <c r="C3488" s="9" t="s">
        <v>24</v>
      </c>
      <c r="D3488" s="9" t="s">
        <v>11</v>
      </c>
      <c r="E3488" s="9">
        <v>110</v>
      </c>
      <c r="F3488" s="9">
        <v>7</v>
      </c>
      <c r="G3488" s="9">
        <v>6000000</v>
      </c>
      <c r="H3488" s="9">
        <v>25078937</v>
      </c>
      <c r="I3488" s="5">
        <f>IMDB_Movies!$H3488-IMDB_Movies!$G3488</f>
        <v>19078937</v>
      </c>
    </row>
    <row r="3489" spans="1:9" ht="23">
      <c r="A3489" s="2" t="s">
        <v>5103</v>
      </c>
      <c r="B3489" s="9" t="s">
        <v>4932</v>
      </c>
      <c r="C3489" s="9" t="s">
        <v>56</v>
      </c>
      <c r="D3489" s="9" t="s">
        <v>11</v>
      </c>
      <c r="E3489" s="9">
        <v>97</v>
      </c>
      <c r="F3489" s="9">
        <v>6.7</v>
      </c>
      <c r="G3489" s="9">
        <v>20000000</v>
      </c>
      <c r="H3489" s="9">
        <v>267194</v>
      </c>
      <c r="I3489" s="5">
        <f>IMDB_Movies!$H3489-IMDB_Movies!$G3489</f>
        <v>-19732806</v>
      </c>
    </row>
    <row r="3490" spans="1:9" ht="23">
      <c r="A3490" s="2" t="s">
        <v>5104</v>
      </c>
      <c r="B3490" s="9" t="s">
        <v>5105</v>
      </c>
      <c r="C3490" s="9" t="s">
        <v>10</v>
      </c>
      <c r="D3490" s="9" t="s">
        <v>11</v>
      </c>
      <c r="E3490" s="9">
        <v>107</v>
      </c>
      <c r="F3490" s="9">
        <v>3.8</v>
      </c>
      <c r="G3490" s="9">
        <v>6000000</v>
      </c>
      <c r="H3490" s="9">
        <v>869325</v>
      </c>
      <c r="I3490" s="5">
        <f>IMDB_Movies!$H3490-IMDB_Movies!$G3490</f>
        <v>-5130675</v>
      </c>
    </row>
    <row r="3491" spans="1:9" ht="23">
      <c r="A3491" s="2" t="s">
        <v>5106</v>
      </c>
      <c r="B3491" s="9" t="s">
        <v>5107</v>
      </c>
      <c r="C3491" s="9" t="s">
        <v>418</v>
      </c>
      <c r="D3491" s="9" t="s">
        <v>11</v>
      </c>
      <c r="E3491" s="9">
        <v>90</v>
      </c>
      <c r="F3491" s="9">
        <v>5.7</v>
      </c>
      <c r="G3491" s="9">
        <v>6000000</v>
      </c>
      <c r="H3491" s="9">
        <v>399611</v>
      </c>
      <c r="I3491" s="5">
        <f>IMDB_Movies!$H3491-IMDB_Movies!$G3491</f>
        <v>-5600389</v>
      </c>
    </row>
    <row r="3492" spans="1:9" ht="23">
      <c r="A3492" s="2" t="s">
        <v>5108</v>
      </c>
      <c r="B3492" s="9" t="s">
        <v>4505</v>
      </c>
      <c r="C3492" s="9" t="s">
        <v>56</v>
      </c>
      <c r="D3492" s="9" t="s">
        <v>394</v>
      </c>
      <c r="E3492" s="9">
        <v>104</v>
      </c>
      <c r="F3492" s="9">
        <v>6.6</v>
      </c>
      <c r="G3492" s="9">
        <v>20000000</v>
      </c>
      <c r="H3492" s="9">
        <v>181798</v>
      </c>
      <c r="I3492" s="5">
        <f>IMDB_Movies!$H3492-IMDB_Movies!$G3492</f>
        <v>-19818202</v>
      </c>
    </row>
    <row r="3493" spans="1:9" ht="23">
      <c r="A3493" s="2" t="s">
        <v>5109</v>
      </c>
      <c r="B3493" s="9" t="s">
        <v>3138</v>
      </c>
      <c r="C3493" s="9" t="s">
        <v>56</v>
      </c>
      <c r="D3493" s="9" t="s">
        <v>11</v>
      </c>
      <c r="E3493" s="9">
        <v>96</v>
      </c>
      <c r="F3493" s="9">
        <v>6.7</v>
      </c>
      <c r="G3493" s="9">
        <v>6000000</v>
      </c>
      <c r="H3493" s="9">
        <v>115862</v>
      </c>
      <c r="I3493" s="5">
        <f>IMDB_Movies!$H3493-IMDB_Movies!$G3493</f>
        <v>-5884138</v>
      </c>
    </row>
    <row r="3494" spans="1:9" ht="23">
      <c r="A3494" s="2" t="s">
        <v>5110</v>
      </c>
      <c r="B3494" s="9" t="s">
        <v>1248</v>
      </c>
      <c r="C3494" s="9" t="s">
        <v>56</v>
      </c>
      <c r="D3494" s="9" t="s">
        <v>11</v>
      </c>
      <c r="E3494" s="9">
        <v>104</v>
      </c>
      <c r="F3494" s="9">
        <v>6.1</v>
      </c>
      <c r="G3494" s="9">
        <v>6000000</v>
      </c>
      <c r="H3494" s="9">
        <v>1346503</v>
      </c>
      <c r="I3494" s="5">
        <f>IMDB_Movies!$H3494-IMDB_Movies!$G3494</f>
        <v>-4653497</v>
      </c>
    </row>
    <row r="3495" spans="1:9" ht="23">
      <c r="A3495" s="2" t="s">
        <v>5111</v>
      </c>
      <c r="B3495" s="9" t="s">
        <v>5112</v>
      </c>
      <c r="C3495" s="9" t="s">
        <v>56</v>
      </c>
      <c r="D3495" s="9" t="s">
        <v>11</v>
      </c>
      <c r="E3495" s="9">
        <v>97</v>
      </c>
      <c r="F3495" s="9">
        <v>6.2</v>
      </c>
      <c r="G3495" s="9">
        <v>6000000</v>
      </c>
      <c r="H3495" s="9">
        <v>117560</v>
      </c>
      <c r="I3495" s="5">
        <f>IMDB_Movies!$H3495-IMDB_Movies!$G3495</f>
        <v>-5882440</v>
      </c>
    </row>
    <row r="3496" spans="1:9" ht="23">
      <c r="A3496" s="2" t="s">
        <v>5113</v>
      </c>
      <c r="B3496" s="9" t="s">
        <v>3795</v>
      </c>
      <c r="C3496" s="9" t="s">
        <v>138</v>
      </c>
      <c r="D3496" s="9" t="s">
        <v>11</v>
      </c>
      <c r="E3496" s="9">
        <v>107</v>
      </c>
      <c r="F3496" s="9">
        <v>6.2</v>
      </c>
      <c r="G3496" s="9">
        <v>6000000</v>
      </c>
      <c r="H3496" s="9">
        <v>54606</v>
      </c>
      <c r="I3496" s="5">
        <f>IMDB_Movies!$H3496-IMDB_Movies!$G3496</f>
        <v>-5945394</v>
      </c>
    </row>
    <row r="3497" spans="1:9" ht="23">
      <c r="A3497" s="2" t="s">
        <v>5114</v>
      </c>
      <c r="B3497" s="9" t="s">
        <v>5115</v>
      </c>
      <c r="C3497" s="9" t="s">
        <v>56</v>
      </c>
      <c r="D3497" s="9" t="s">
        <v>11</v>
      </c>
      <c r="E3497" s="9">
        <v>117</v>
      </c>
      <c r="F3497" s="9">
        <v>7.4</v>
      </c>
      <c r="G3497" s="9">
        <v>7840000</v>
      </c>
      <c r="H3497" s="9">
        <v>25078937</v>
      </c>
      <c r="I3497" s="5">
        <f>IMDB_Movies!$H3497-IMDB_Movies!$G3497</f>
        <v>17238937</v>
      </c>
    </row>
    <row r="3498" spans="1:9" ht="23">
      <c r="A3498" s="2" t="s">
        <v>5116</v>
      </c>
      <c r="B3498" s="9" t="s">
        <v>5117</v>
      </c>
      <c r="C3498" s="9" t="s">
        <v>138</v>
      </c>
      <c r="D3498" s="9" t="s">
        <v>11</v>
      </c>
      <c r="E3498" s="9">
        <v>85</v>
      </c>
      <c r="F3498" s="9">
        <v>4.7</v>
      </c>
      <c r="G3498" s="9">
        <v>6000000</v>
      </c>
      <c r="H3498" s="9">
        <v>36497</v>
      </c>
      <c r="I3498" s="5">
        <f>IMDB_Movies!$H3498-IMDB_Movies!$G3498</f>
        <v>-5963503</v>
      </c>
    </row>
    <row r="3499" spans="1:9" ht="23">
      <c r="A3499" s="2" t="s">
        <v>5118</v>
      </c>
      <c r="B3499" s="9" t="s">
        <v>4435</v>
      </c>
      <c r="C3499" s="9" t="s">
        <v>772</v>
      </c>
      <c r="D3499" s="9" t="s">
        <v>11</v>
      </c>
      <c r="E3499" s="9">
        <v>152</v>
      </c>
      <c r="F3499" s="9">
        <v>8.3000000000000007</v>
      </c>
      <c r="G3499" s="9">
        <v>20000000</v>
      </c>
      <c r="H3499" s="9">
        <v>23807</v>
      </c>
      <c r="I3499" s="5">
        <f>IMDB_Movies!$H3499-IMDB_Movies!$G3499</f>
        <v>-19976193</v>
      </c>
    </row>
    <row r="3500" spans="1:9" ht="23">
      <c r="A3500" s="2" t="s">
        <v>5119</v>
      </c>
      <c r="B3500" s="9" t="s">
        <v>5120</v>
      </c>
      <c r="C3500" s="9" t="s">
        <v>138</v>
      </c>
      <c r="D3500" s="9" t="s">
        <v>11</v>
      </c>
      <c r="E3500" s="9">
        <v>85</v>
      </c>
      <c r="F3500" s="9">
        <v>7.2</v>
      </c>
      <c r="G3500" s="9">
        <v>6000000</v>
      </c>
      <c r="H3500" s="9">
        <v>25078937</v>
      </c>
      <c r="I3500" s="5">
        <f>IMDB_Movies!$H3500-IMDB_Movies!$G3500</f>
        <v>19078937</v>
      </c>
    </row>
    <row r="3501" spans="1:9" ht="23">
      <c r="A3501" s="2" t="s">
        <v>5121</v>
      </c>
      <c r="B3501" s="9" t="s">
        <v>5122</v>
      </c>
      <c r="C3501" s="9" t="s">
        <v>10</v>
      </c>
      <c r="D3501" s="9" t="s">
        <v>11</v>
      </c>
      <c r="E3501" s="9">
        <v>76</v>
      </c>
      <c r="F3501" s="9">
        <v>5.8</v>
      </c>
      <c r="G3501" s="9">
        <v>8600000</v>
      </c>
      <c r="H3501" s="9">
        <v>25078937</v>
      </c>
      <c r="I3501" s="5">
        <f>IMDB_Movies!$H3501-IMDB_Movies!$G3501</f>
        <v>16478937</v>
      </c>
    </row>
    <row r="3502" spans="1:9" ht="23">
      <c r="A3502" s="2" t="s">
        <v>5123</v>
      </c>
      <c r="B3502" s="9" t="s">
        <v>5124</v>
      </c>
      <c r="C3502" s="9" t="s">
        <v>56</v>
      </c>
      <c r="D3502" s="9" t="s">
        <v>11</v>
      </c>
      <c r="E3502" s="9">
        <v>87</v>
      </c>
      <c r="F3502" s="9">
        <v>5.9</v>
      </c>
      <c r="G3502" s="9">
        <v>20000000</v>
      </c>
      <c r="H3502" s="9">
        <v>25078937</v>
      </c>
      <c r="I3502" s="5">
        <f>IMDB_Movies!$H3502-IMDB_Movies!$G3502</f>
        <v>5078937</v>
      </c>
    </row>
    <row r="3503" spans="1:9" ht="23">
      <c r="A3503" s="2" t="s">
        <v>5125</v>
      </c>
      <c r="B3503" s="9" t="s">
        <v>3845</v>
      </c>
      <c r="C3503" s="9" t="s">
        <v>414</v>
      </c>
      <c r="D3503" s="9" t="s">
        <v>11</v>
      </c>
      <c r="E3503" s="9">
        <v>95</v>
      </c>
      <c r="F3503" s="9">
        <v>6.3</v>
      </c>
      <c r="G3503" s="9">
        <v>12000000</v>
      </c>
      <c r="H3503" s="9">
        <v>65804</v>
      </c>
      <c r="I3503" s="5">
        <f>IMDB_Movies!$H3503-IMDB_Movies!$G3503</f>
        <v>-11934196</v>
      </c>
    </row>
    <row r="3504" spans="1:9" ht="23">
      <c r="A3504" s="2" t="s">
        <v>5126</v>
      </c>
      <c r="B3504" s="9" t="s">
        <v>4564</v>
      </c>
      <c r="C3504" s="9" t="s">
        <v>56</v>
      </c>
      <c r="D3504" s="9" t="s">
        <v>11</v>
      </c>
      <c r="E3504" s="9">
        <v>101</v>
      </c>
      <c r="F3504" s="9">
        <v>7.2</v>
      </c>
      <c r="G3504" s="9">
        <v>6000000</v>
      </c>
      <c r="H3504" s="9">
        <v>25078937</v>
      </c>
      <c r="I3504" s="5">
        <f>IMDB_Movies!$H3504-IMDB_Movies!$G3504</f>
        <v>19078937</v>
      </c>
    </row>
    <row r="3505" spans="1:9" ht="23">
      <c r="A3505" s="2" t="s">
        <v>5127</v>
      </c>
      <c r="B3505" s="9" t="s">
        <v>5128</v>
      </c>
      <c r="C3505" s="9" t="s">
        <v>10</v>
      </c>
      <c r="D3505" s="9" t="s">
        <v>11</v>
      </c>
      <c r="E3505" s="9">
        <v>90</v>
      </c>
      <c r="F3505" s="9">
        <v>5.4</v>
      </c>
      <c r="G3505" s="9">
        <v>6000000</v>
      </c>
      <c r="H3505" s="9">
        <v>25078937</v>
      </c>
      <c r="I3505" s="5">
        <f>IMDB_Movies!$H3505-IMDB_Movies!$G3505</f>
        <v>19078937</v>
      </c>
    </row>
    <row r="3506" spans="1:9" ht="23">
      <c r="A3506" s="2" t="s">
        <v>5129</v>
      </c>
      <c r="B3506" s="9" t="s">
        <v>1479</v>
      </c>
      <c r="C3506" s="9" t="s">
        <v>810</v>
      </c>
      <c r="D3506" s="9" t="s">
        <v>11</v>
      </c>
      <c r="E3506" s="9">
        <v>89</v>
      </c>
      <c r="F3506" s="9">
        <v>7.3</v>
      </c>
      <c r="G3506" s="9">
        <v>5952000</v>
      </c>
      <c r="H3506" s="9">
        <v>25078937</v>
      </c>
      <c r="I3506" s="5">
        <f>IMDB_Movies!$H3506-IMDB_Movies!$G3506</f>
        <v>19126937</v>
      </c>
    </row>
    <row r="3507" spans="1:9" ht="23">
      <c r="A3507" s="2" t="s">
        <v>5130</v>
      </c>
      <c r="B3507" s="9" t="s">
        <v>5131</v>
      </c>
      <c r="C3507" s="9" t="s">
        <v>138</v>
      </c>
      <c r="D3507" s="9" t="s">
        <v>394</v>
      </c>
      <c r="E3507" s="9">
        <v>111</v>
      </c>
      <c r="F3507" s="9">
        <v>7.3</v>
      </c>
      <c r="G3507" s="9">
        <v>5300000</v>
      </c>
      <c r="H3507" s="9">
        <v>3895664</v>
      </c>
      <c r="I3507" s="5">
        <f>IMDB_Movies!$H3507-IMDB_Movies!$G3507</f>
        <v>-1404336</v>
      </c>
    </row>
    <row r="3508" spans="1:9" ht="23">
      <c r="A3508" s="2" t="s">
        <v>5132</v>
      </c>
      <c r="B3508" s="9" t="s">
        <v>5133</v>
      </c>
      <c r="C3508" s="9" t="s">
        <v>56</v>
      </c>
      <c r="D3508" s="9" t="s">
        <v>11</v>
      </c>
      <c r="E3508" s="9">
        <v>86</v>
      </c>
      <c r="F3508" s="9">
        <v>5.8</v>
      </c>
      <c r="G3508" s="9">
        <v>6000000</v>
      </c>
      <c r="H3508" s="9">
        <v>20200</v>
      </c>
      <c r="I3508" s="5">
        <f>IMDB_Movies!$H3508-IMDB_Movies!$G3508</f>
        <v>-5979800</v>
      </c>
    </row>
    <row r="3509" spans="1:9" ht="23">
      <c r="A3509" s="2" t="s">
        <v>5134</v>
      </c>
      <c r="B3509" s="9" t="s">
        <v>5135</v>
      </c>
      <c r="C3509" s="9" t="s">
        <v>56</v>
      </c>
      <c r="D3509" s="9" t="s">
        <v>2970</v>
      </c>
      <c r="E3509" s="9">
        <v>103</v>
      </c>
      <c r="F3509" s="9">
        <v>7.1</v>
      </c>
      <c r="G3509" s="9">
        <v>4000000</v>
      </c>
      <c r="H3509" s="9">
        <v>542860</v>
      </c>
      <c r="I3509" s="5">
        <f>IMDB_Movies!$H3509-IMDB_Movies!$G3509</f>
        <v>-3457140</v>
      </c>
    </row>
    <row r="3510" spans="1:9" ht="23">
      <c r="A3510" s="2" t="s">
        <v>5136</v>
      </c>
      <c r="B3510" s="9" t="s">
        <v>5137</v>
      </c>
      <c r="C3510" s="9" t="s">
        <v>138</v>
      </c>
      <c r="D3510" s="9" t="s">
        <v>11</v>
      </c>
      <c r="E3510" s="9">
        <v>90</v>
      </c>
      <c r="F3510" s="9">
        <v>6.5</v>
      </c>
      <c r="G3510" s="9">
        <v>6000000</v>
      </c>
      <c r="H3510" s="9">
        <v>25078937</v>
      </c>
      <c r="I3510" s="5">
        <f>IMDB_Movies!$H3510-IMDB_Movies!$G3510</f>
        <v>19078937</v>
      </c>
    </row>
    <row r="3511" spans="1:9" ht="23">
      <c r="A3511" s="2" t="s">
        <v>5138</v>
      </c>
      <c r="B3511" s="9" t="s">
        <v>1271</v>
      </c>
      <c r="C3511" s="9" t="s">
        <v>2945</v>
      </c>
      <c r="D3511" s="9" t="s">
        <v>11</v>
      </c>
      <c r="E3511" s="9">
        <v>133</v>
      </c>
      <c r="F3511" s="9">
        <v>7.9</v>
      </c>
      <c r="G3511" s="9">
        <v>6700000</v>
      </c>
      <c r="H3511" s="9">
        <v>25078937</v>
      </c>
      <c r="I3511" s="5">
        <f>IMDB_Movies!$H3511-IMDB_Movies!$G3511</f>
        <v>18378937</v>
      </c>
    </row>
    <row r="3512" spans="1:9" ht="23">
      <c r="A3512" s="2" t="s">
        <v>5139</v>
      </c>
      <c r="B3512" s="9" t="s">
        <v>5140</v>
      </c>
      <c r="C3512" s="9" t="s">
        <v>56</v>
      </c>
      <c r="D3512" s="9" t="s">
        <v>11</v>
      </c>
      <c r="E3512" s="9">
        <v>88</v>
      </c>
      <c r="F3512" s="9">
        <v>5.4</v>
      </c>
      <c r="G3512" s="9">
        <v>20000000</v>
      </c>
      <c r="H3512" s="9">
        <v>15059</v>
      </c>
      <c r="I3512" s="5">
        <f>IMDB_Movies!$H3512-IMDB_Movies!$G3512</f>
        <v>-19984941</v>
      </c>
    </row>
    <row r="3513" spans="1:9" ht="23">
      <c r="A3513" s="2" t="s">
        <v>5141</v>
      </c>
      <c r="B3513" s="9" t="s">
        <v>5142</v>
      </c>
      <c r="C3513" s="9" t="s">
        <v>10</v>
      </c>
      <c r="D3513" s="9" t="s">
        <v>3835</v>
      </c>
      <c r="E3513" s="9">
        <v>111</v>
      </c>
      <c r="F3513" s="9">
        <v>7.1</v>
      </c>
      <c r="G3513" s="9">
        <v>200000000</v>
      </c>
      <c r="H3513" s="9">
        <v>11905519</v>
      </c>
      <c r="I3513" s="5">
        <f>IMDB_Movies!$H3513-IMDB_Movies!$G3513</f>
        <v>-188094481</v>
      </c>
    </row>
    <row r="3514" spans="1:9" ht="23">
      <c r="A3514" s="2" t="s">
        <v>5143</v>
      </c>
      <c r="B3514" s="9" t="s">
        <v>5144</v>
      </c>
      <c r="C3514" s="9" t="s">
        <v>138</v>
      </c>
      <c r="D3514" s="9" t="s">
        <v>11</v>
      </c>
      <c r="E3514" s="9">
        <v>94</v>
      </c>
      <c r="F3514" s="9">
        <v>6.4</v>
      </c>
      <c r="G3514" s="9">
        <v>20000000</v>
      </c>
      <c r="H3514" s="9">
        <v>69582</v>
      </c>
      <c r="I3514" s="5">
        <f>IMDB_Movies!$H3514-IMDB_Movies!$G3514</f>
        <v>-19930418</v>
      </c>
    </row>
    <row r="3515" spans="1:9" ht="23">
      <c r="A3515" s="2" t="s">
        <v>5145</v>
      </c>
      <c r="B3515" s="9" t="s">
        <v>4560</v>
      </c>
      <c r="C3515" s="9" t="s">
        <v>138</v>
      </c>
      <c r="D3515" s="9" t="s">
        <v>11</v>
      </c>
      <c r="E3515" s="9">
        <v>112</v>
      </c>
      <c r="F3515" s="9">
        <v>6.7</v>
      </c>
      <c r="G3515" s="9">
        <v>3500159</v>
      </c>
      <c r="H3515" s="9">
        <v>32541719</v>
      </c>
      <c r="I3515" s="5">
        <f>IMDB_Movies!$H3515-IMDB_Movies!$G3515</f>
        <v>29041560</v>
      </c>
    </row>
    <row r="3516" spans="1:9" ht="23">
      <c r="A3516" s="2" t="s">
        <v>5146</v>
      </c>
      <c r="B3516" s="9" t="s">
        <v>4702</v>
      </c>
      <c r="C3516" s="9" t="s">
        <v>56</v>
      </c>
      <c r="D3516" s="9" t="s">
        <v>11</v>
      </c>
      <c r="E3516" s="9">
        <v>141</v>
      </c>
      <c r="F3516" s="9">
        <v>6.9</v>
      </c>
      <c r="G3516" s="9">
        <v>5600000</v>
      </c>
      <c r="H3516" s="9">
        <v>3064356</v>
      </c>
      <c r="I3516" s="5">
        <f>IMDB_Movies!$H3516-IMDB_Movies!$G3516</f>
        <v>-2535644</v>
      </c>
    </row>
    <row r="3517" spans="1:9" ht="23">
      <c r="A3517" s="2" t="s">
        <v>5147</v>
      </c>
      <c r="B3517" s="9" t="s">
        <v>3981</v>
      </c>
      <c r="C3517" s="9" t="s">
        <v>10</v>
      </c>
      <c r="D3517" s="9" t="s">
        <v>11</v>
      </c>
      <c r="E3517" s="9">
        <v>95</v>
      </c>
      <c r="F3517" s="9">
        <v>2.1</v>
      </c>
      <c r="G3517" s="9">
        <v>5600000</v>
      </c>
      <c r="H3517" s="9">
        <v>7009668</v>
      </c>
      <c r="I3517" s="5">
        <f>IMDB_Movies!$H3517-IMDB_Movies!$G3517</f>
        <v>1409668</v>
      </c>
    </row>
    <row r="3518" spans="1:9" ht="23">
      <c r="A3518" s="2" t="s">
        <v>5148</v>
      </c>
      <c r="B3518" s="9" t="s">
        <v>5149</v>
      </c>
      <c r="C3518" s="9" t="s">
        <v>10</v>
      </c>
      <c r="D3518" s="9" t="s">
        <v>1534</v>
      </c>
      <c r="E3518" s="9">
        <v>141</v>
      </c>
      <c r="F3518" s="9">
        <v>4.3</v>
      </c>
      <c r="G3518" s="9">
        <v>20000000</v>
      </c>
      <c r="H3518" s="9">
        <v>352684</v>
      </c>
      <c r="I3518" s="5">
        <f>IMDB_Movies!$H3518-IMDB_Movies!$G3518</f>
        <v>-19647316</v>
      </c>
    </row>
    <row r="3519" spans="1:9" ht="23">
      <c r="A3519" s="2" t="s">
        <v>5150</v>
      </c>
      <c r="B3519" s="9" t="s">
        <v>4305</v>
      </c>
      <c r="C3519" s="9" t="s">
        <v>810</v>
      </c>
      <c r="D3519" s="9" t="s">
        <v>741</v>
      </c>
      <c r="E3519" s="9">
        <v>85</v>
      </c>
      <c r="F3519" s="9">
        <v>6.6</v>
      </c>
      <c r="G3519" s="9">
        <v>5600000</v>
      </c>
      <c r="H3519" s="9">
        <v>27024</v>
      </c>
      <c r="I3519" s="5">
        <f>IMDB_Movies!$H3519-IMDB_Movies!$G3519</f>
        <v>-5572976</v>
      </c>
    </row>
    <row r="3520" spans="1:9" ht="23">
      <c r="A3520" s="2" t="s">
        <v>5151</v>
      </c>
      <c r="B3520" s="9" t="s">
        <v>4636</v>
      </c>
      <c r="C3520" s="9" t="s">
        <v>5029</v>
      </c>
      <c r="D3520" s="9" t="s">
        <v>11</v>
      </c>
      <c r="E3520" s="9">
        <v>105</v>
      </c>
      <c r="F3520" s="9">
        <v>3.4</v>
      </c>
      <c r="G3520" s="9">
        <v>20000000</v>
      </c>
      <c r="H3520" s="9">
        <v>531806</v>
      </c>
      <c r="I3520" s="5">
        <f>IMDB_Movies!$H3520-IMDB_Movies!$G3520</f>
        <v>-19468194</v>
      </c>
    </row>
    <row r="3521" spans="1:9" ht="23">
      <c r="A3521" s="2" t="s">
        <v>5152</v>
      </c>
      <c r="B3521" s="9" t="s">
        <v>5033</v>
      </c>
      <c r="C3521" s="9" t="s">
        <v>138</v>
      </c>
      <c r="D3521" s="9" t="s">
        <v>11</v>
      </c>
      <c r="E3521" s="9">
        <v>129</v>
      </c>
      <c r="F3521" s="9">
        <v>8.3000000000000007</v>
      </c>
      <c r="G3521" s="9">
        <v>5500000</v>
      </c>
      <c r="H3521" s="9">
        <v>159600000</v>
      </c>
      <c r="I3521" s="5">
        <f>IMDB_Movies!$H3521-IMDB_Movies!$G3521</f>
        <v>154100000</v>
      </c>
    </row>
    <row r="3522" spans="1:9" ht="23">
      <c r="A3522" s="2" t="s">
        <v>5153</v>
      </c>
      <c r="B3522" s="9" t="s">
        <v>2162</v>
      </c>
      <c r="C3522" s="9" t="s">
        <v>418</v>
      </c>
      <c r="D3522" s="9" t="s">
        <v>11</v>
      </c>
      <c r="E3522" s="9">
        <v>125</v>
      </c>
      <c r="F3522" s="9">
        <v>7.2</v>
      </c>
      <c r="G3522" s="9">
        <v>5500000</v>
      </c>
      <c r="H3522" s="9">
        <v>58800000</v>
      </c>
      <c r="I3522" s="5">
        <f>IMDB_Movies!$H3522-IMDB_Movies!$G3522</f>
        <v>53300000</v>
      </c>
    </row>
    <row r="3523" spans="1:9" ht="23">
      <c r="A3523" s="2" t="s">
        <v>5154</v>
      </c>
      <c r="B3523" s="9" t="s">
        <v>5155</v>
      </c>
      <c r="C3523" s="9" t="s">
        <v>138</v>
      </c>
      <c r="D3523" s="9" t="s">
        <v>11</v>
      </c>
      <c r="E3523" s="9">
        <v>116</v>
      </c>
      <c r="F3523" s="9">
        <v>5.6</v>
      </c>
      <c r="G3523" s="9">
        <v>5500000</v>
      </c>
      <c r="H3523" s="9">
        <v>50382128</v>
      </c>
      <c r="I3523" s="5">
        <f>IMDB_Movies!$H3523-IMDB_Movies!$G3523</f>
        <v>44882128</v>
      </c>
    </row>
    <row r="3524" spans="1:9" ht="23">
      <c r="A3524" s="2" t="s">
        <v>5156</v>
      </c>
      <c r="B3524" s="9" t="s">
        <v>1995</v>
      </c>
      <c r="C3524" s="9" t="s">
        <v>418</v>
      </c>
      <c r="D3524" s="9" t="s">
        <v>11</v>
      </c>
      <c r="E3524" s="9">
        <v>105</v>
      </c>
      <c r="F3524" s="9">
        <v>7.7</v>
      </c>
      <c r="G3524" s="9">
        <v>5500000</v>
      </c>
      <c r="H3524" s="9">
        <v>35811509</v>
      </c>
      <c r="I3524" s="5">
        <f>IMDB_Movies!$H3524-IMDB_Movies!$G3524</f>
        <v>30311509</v>
      </c>
    </row>
    <row r="3525" spans="1:9" ht="23">
      <c r="A3525" s="2" t="s">
        <v>5157</v>
      </c>
      <c r="B3525" s="9" t="s">
        <v>5158</v>
      </c>
      <c r="C3525" s="9" t="s">
        <v>138</v>
      </c>
      <c r="D3525" s="9" t="s">
        <v>11</v>
      </c>
      <c r="E3525" s="9">
        <v>90</v>
      </c>
      <c r="F3525" s="9">
        <v>6.6</v>
      </c>
      <c r="G3525" s="9">
        <v>3000000</v>
      </c>
      <c r="H3525" s="9">
        <v>24475193</v>
      </c>
      <c r="I3525" s="5">
        <f>IMDB_Movies!$H3525-IMDB_Movies!$G3525</f>
        <v>21475193</v>
      </c>
    </row>
    <row r="3526" spans="1:9" ht="23">
      <c r="A3526" s="2" t="s">
        <v>5159</v>
      </c>
      <c r="B3526" s="9" t="s">
        <v>992</v>
      </c>
      <c r="C3526" s="9" t="s">
        <v>228</v>
      </c>
      <c r="D3526" s="9" t="s">
        <v>11</v>
      </c>
      <c r="E3526" s="9">
        <v>105</v>
      </c>
      <c r="F3526" s="9">
        <v>7.6</v>
      </c>
      <c r="G3526" s="9">
        <v>5500000</v>
      </c>
      <c r="H3526" s="9">
        <v>25078937</v>
      </c>
      <c r="I3526" s="5">
        <f>IMDB_Movies!$H3526-IMDB_Movies!$G3526</f>
        <v>19578937</v>
      </c>
    </row>
    <row r="3527" spans="1:9" ht="23">
      <c r="A3527" s="2" t="s">
        <v>5160</v>
      </c>
      <c r="B3527" s="9" t="s">
        <v>3354</v>
      </c>
      <c r="C3527" s="9" t="s">
        <v>138</v>
      </c>
      <c r="D3527" s="9" t="s">
        <v>11</v>
      </c>
      <c r="E3527" s="9">
        <v>111</v>
      </c>
      <c r="F3527" s="9">
        <v>7.4</v>
      </c>
      <c r="G3527" s="9">
        <v>7000000</v>
      </c>
      <c r="H3527" s="9">
        <v>6200756</v>
      </c>
      <c r="I3527" s="5">
        <f>IMDB_Movies!$H3527-IMDB_Movies!$G3527</f>
        <v>-799244</v>
      </c>
    </row>
    <row r="3528" spans="1:9" ht="23">
      <c r="A3528" s="2" t="s">
        <v>5161</v>
      </c>
      <c r="B3528" s="9" t="s">
        <v>2546</v>
      </c>
      <c r="C3528" s="9" t="s">
        <v>418</v>
      </c>
      <c r="D3528" s="9" t="s">
        <v>11</v>
      </c>
      <c r="E3528" s="9">
        <v>91</v>
      </c>
      <c r="F3528" s="9">
        <v>7.1</v>
      </c>
      <c r="G3528" s="9">
        <v>5500000</v>
      </c>
      <c r="H3528" s="9">
        <v>1292119</v>
      </c>
      <c r="I3528" s="5">
        <f>IMDB_Movies!$H3528-IMDB_Movies!$G3528</f>
        <v>-4207881</v>
      </c>
    </row>
    <row r="3529" spans="1:9" ht="23">
      <c r="A3529" s="2" t="s">
        <v>5162</v>
      </c>
      <c r="B3529" s="9" t="s">
        <v>5163</v>
      </c>
      <c r="C3529" s="9" t="s">
        <v>138</v>
      </c>
      <c r="D3529" s="9" t="s">
        <v>11</v>
      </c>
      <c r="E3529" s="9">
        <v>95</v>
      </c>
      <c r="F3529" s="9">
        <v>3.4</v>
      </c>
      <c r="G3529" s="9">
        <v>20000000</v>
      </c>
      <c r="H3529" s="9">
        <v>25078937</v>
      </c>
      <c r="I3529" s="5">
        <f>IMDB_Movies!$H3529-IMDB_Movies!$G3529</f>
        <v>5078937</v>
      </c>
    </row>
    <row r="3530" spans="1:9" ht="23">
      <c r="A3530" s="2" t="s">
        <v>5164</v>
      </c>
      <c r="B3530" s="9" t="s">
        <v>5165</v>
      </c>
      <c r="C3530" s="9" t="s">
        <v>56</v>
      </c>
      <c r="D3530" s="9" t="s">
        <v>394</v>
      </c>
      <c r="E3530" s="9">
        <v>97</v>
      </c>
      <c r="F3530" s="9">
        <v>7.9</v>
      </c>
      <c r="G3530" s="9">
        <v>5500000</v>
      </c>
      <c r="H3530" s="9">
        <v>3629758</v>
      </c>
      <c r="I3530" s="5">
        <f>IMDB_Movies!$H3530-IMDB_Movies!$G3530</f>
        <v>-1870242</v>
      </c>
    </row>
    <row r="3531" spans="1:9" ht="23">
      <c r="A3531" s="2" t="s">
        <v>5166</v>
      </c>
      <c r="B3531" s="9" t="s">
        <v>5167</v>
      </c>
      <c r="C3531" s="9" t="s">
        <v>138</v>
      </c>
      <c r="D3531" s="9" t="s">
        <v>11</v>
      </c>
      <c r="E3531" s="9">
        <v>92</v>
      </c>
      <c r="F3531" s="9">
        <v>6.7</v>
      </c>
      <c r="G3531" s="9">
        <v>5000000</v>
      </c>
      <c r="H3531" s="9">
        <v>6239558</v>
      </c>
      <c r="I3531" s="5">
        <f>IMDB_Movies!$H3531-IMDB_Movies!$G3531</f>
        <v>1239558</v>
      </c>
    </row>
    <row r="3532" spans="1:9" ht="23">
      <c r="A3532" s="2" t="s">
        <v>5168</v>
      </c>
      <c r="B3532" s="9" t="s">
        <v>5169</v>
      </c>
      <c r="C3532" s="9" t="s">
        <v>414</v>
      </c>
      <c r="D3532" s="9" t="s">
        <v>11</v>
      </c>
      <c r="E3532" s="9">
        <v>104</v>
      </c>
      <c r="F3532" s="9">
        <v>6.6</v>
      </c>
      <c r="G3532" s="9">
        <v>5000000</v>
      </c>
      <c r="H3532" s="9">
        <v>1056102</v>
      </c>
      <c r="I3532" s="5">
        <f>IMDB_Movies!$H3532-IMDB_Movies!$G3532</f>
        <v>-3943898</v>
      </c>
    </row>
    <row r="3533" spans="1:9" ht="23">
      <c r="A3533" s="2" t="s">
        <v>5170</v>
      </c>
      <c r="B3533" s="9" t="s">
        <v>1380</v>
      </c>
      <c r="C3533" s="9" t="s">
        <v>56</v>
      </c>
      <c r="D3533" s="9" t="s">
        <v>11</v>
      </c>
      <c r="E3533" s="9">
        <v>120</v>
      </c>
      <c r="F3533" s="9">
        <v>7.9</v>
      </c>
      <c r="G3533" s="9">
        <v>6500000</v>
      </c>
      <c r="H3533" s="9">
        <v>27545445</v>
      </c>
      <c r="I3533" s="5">
        <f>IMDB_Movies!$H3533-IMDB_Movies!$G3533</f>
        <v>21045445</v>
      </c>
    </row>
    <row r="3534" spans="1:9" ht="23">
      <c r="A3534" s="2" t="s">
        <v>5171</v>
      </c>
      <c r="B3534" s="9" t="s">
        <v>5172</v>
      </c>
      <c r="C3534" s="9" t="s">
        <v>138</v>
      </c>
      <c r="D3534" s="9" t="s">
        <v>11</v>
      </c>
      <c r="E3534" s="9">
        <v>99</v>
      </c>
      <c r="F3534" s="9">
        <v>4.9000000000000004</v>
      </c>
      <c r="G3534" s="9">
        <v>5500000</v>
      </c>
      <c r="H3534" s="9">
        <v>56007</v>
      </c>
      <c r="I3534" s="5">
        <f>IMDB_Movies!$H3534-IMDB_Movies!$G3534</f>
        <v>-5443993</v>
      </c>
    </row>
    <row r="3535" spans="1:9" ht="23">
      <c r="A3535" s="2" t="s">
        <v>5173</v>
      </c>
      <c r="B3535" s="9" t="s">
        <v>5174</v>
      </c>
      <c r="C3535" s="9" t="s">
        <v>138</v>
      </c>
      <c r="D3535" s="9" t="s">
        <v>394</v>
      </c>
      <c r="E3535" s="9">
        <v>93</v>
      </c>
      <c r="F3535" s="9">
        <v>7.2</v>
      </c>
      <c r="G3535" s="9">
        <v>3850000</v>
      </c>
      <c r="H3535" s="9">
        <v>611709</v>
      </c>
      <c r="I3535" s="5">
        <f>IMDB_Movies!$H3535-IMDB_Movies!$G3535</f>
        <v>-3238291</v>
      </c>
    </row>
    <row r="3536" spans="1:9" ht="23">
      <c r="A3536" s="2" t="s">
        <v>5175</v>
      </c>
      <c r="B3536" s="9" t="s">
        <v>3616</v>
      </c>
      <c r="C3536" s="9" t="s">
        <v>414</v>
      </c>
      <c r="D3536" s="9" t="s">
        <v>394</v>
      </c>
      <c r="E3536" s="9">
        <v>99</v>
      </c>
      <c r="F3536" s="9">
        <v>7.4</v>
      </c>
      <c r="G3536" s="9">
        <v>20000000</v>
      </c>
      <c r="H3536" s="9">
        <v>753501</v>
      </c>
      <c r="I3536" s="5">
        <f>IMDB_Movies!$H3536-IMDB_Movies!$G3536</f>
        <v>-19246499</v>
      </c>
    </row>
    <row r="3537" spans="1:9" ht="23">
      <c r="A3537" s="2" t="s">
        <v>5176</v>
      </c>
      <c r="B3537" s="9" t="s">
        <v>5177</v>
      </c>
      <c r="C3537" s="9" t="s">
        <v>138</v>
      </c>
      <c r="D3537" s="9" t="s">
        <v>179</v>
      </c>
      <c r="E3537" s="9">
        <v>99</v>
      </c>
      <c r="F3537" s="9">
        <v>6.1</v>
      </c>
      <c r="G3537" s="9">
        <v>5500000</v>
      </c>
      <c r="H3537" s="9">
        <v>22770</v>
      </c>
      <c r="I3537" s="5">
        <f>IMDB_Movies!$H3537-IMDB_Movies!$G3537</f>
        <v>-5477230</v>
      </c>
    </row>
    <row r="3538" spans="1:9" ht="23">
      <c r="A3538" s="2" t="s">
        <v>5178</v>
      </c>
      <c r="B3538" s="9" t="s">
        <v>5179</v>
      </c>
      <c r="C3538" s="9" t="s">
        <v>138</v>
      </c>
      <c r="D3538" s="9" t="s">
        <v>1534</v>
      </c>
      <c r="E3538" s="9">
        <v>157</v>
      </c>
      <c r="F3538" s="9">
        <v>8.4</v>
      </c>
      <c r="G3538" s="9">
        <v>20000000</v>
      </c>
      <c r="H3538" s="9">
        <v>2197331</v>
      </c>
      <c r="I3538" s="5">
        <f>IMDB_Movies!$H3538-IMDB_Movies!$G3538</f>
        <v>-17802669</v>
      </c>
    </row>
    <row r="3539" spans="1:9" ht="23">
      <c r="A3539" s="2" t="s">
        <v>5180</v>
      </c>
      <c r="B3539" s="9" t="s">
        <v>5181</v>
      </c>
      <c r="C3539" s="9" t="s">
        <v>56</v>
      </c>
      <c r="D3539" s="9" t="s">
        <v>11</v>
      </c>
      <c r="E3539" s="9">
        <v>90</v>
      </c>
      <c r="F3539" s="9">
        <v>6.2</v>
      </c>
      <c r="G3539" s="9">
        <v>20000000</v>
      </c>
      <c r="H3539" s="9">
        <v>25078937</v>
      </c>
      <c r="I3539" s="5">
        <f>IMDB_Movies!$H3539-IMDB_Movies!$G3539</f>
        <v>5078937</v>
      </c>
    </row>
    <row r="3540" spans="1:9" ht="23">
      <c r="A3540" s="2" t="s">
        <v>5182</v>
      </c>
      <c r="B3540" s="9" t="s">
        <v>5183</v>
      </c>
      <c r="C3540" s="9" t="s">
        <v>10</v>
      </c>
      <c r="D3540" s="9" t="s">
        <v>11</v>
      </c>
      <c r="E3540" s="9">
        <v>96</v>
      </c>
      <c r="F3540" s="9">
        <v>5.3</v>
      </c>
      <c r="G3540" s="9">
        <v>9000000</v>
      </c>
      <c r="H3540" s="9">
        <v>27445</v>
      </c>
      <c r="I3540" s="5">
        <f>IMDB_Movies!$H3540-IMDB_Movies!$G3540</f>
        <v>-8972555</v>
      </c>
    </row>
    <row r="3541" spans="1:9" ht="23">
      <c r="A3541" s="2" t="s">
        <v>5184</v>
      </c>
      <c r="B3541" s="9" t="s">
        <v>2191</v>
      </c>
      <c r="C3541" s="9" t="s">
        <v>138</v>
      </c>
      <c r="D3541" s="9" t="s">
        <v>11</v>
      </c>
      <c r="E3541" s="9">
        <v>96</v>
      </c>
      <c r="F3541" s="9">
        <v>5</v>
      </c>
      <c r="G3541" s="9">
        <v>5250000</v>
      </c>
      <c r="H3541" s="9">
        <v>766487</v>
      </c>
      <c r="I3541" s="5">
        <f>IMDB_Movies!$H3541-IMDB_Movies!$G3541</f>
        <v>-4483513</v>
      </c>
    </row>
    <row r="3542" spans="1:9" ht="23">
      <c r="A3542" s="2" t="s">
        <v>5185</v>
      </c>
      <c r="B3542" s="9" t="s">
        <v>5186</v>
      </c>
      <c r="C3542" s="9" t="s">
        <v>138</v>
      </c>
      <c r="D3542" s="9" t="s">
        <v>11</v>
      </c>
      <c r="E3542" s="9">
        <v>90</v>
      </c>
      <c r="F3542" s="9">
        <v>7.7</v>
      </c>
      <c r="G3542" s="9">
        <v>20000000</v>
      </c>
      <c r="H3542" s="9">
        <v>18434</v>
      </c>
      <c r="I3542" s="5">
        <f>IMDB_Movies!$H3542-IMDB_Movies!$G3542</f>
        <v>-19981566</v>
      </c>
    </row>
    <row r="3543" spans="1:9" ht="23">
      <c r="A3543" s="2" t="s">
        <v>5187</v>
      </c>
      <c r="B3543" s="9" t="s">
        <v>3649</v>
      </c>
      <c r="C3543" s="9" t="s">
        <v>414</v>
      </c>
      <c r="D3543" s="9" t="s">
        <v>5188</v>
      </c>
      <c r="E3543" s="9">
        <v>100</v>
      </c>
      <c r="F3543" s="9">
        <v>7.6</v>
      </c>
      <c r="G3543" s="9">
        <v>30300000</v>
      </c>
      <c r="H3543" s="9">
        <v>1196752</v>
      </c>
      <c r="I3543" s="5">
        <f>IMDB_Movies!$H3543-IMDB_Movies!$G3543</f>
        <v>-29103248</v>
      </c>
    </row>
    <row r="3544" spans="1:9" ht="23">
      <c r="A3544" s="2" t="s">
        <v>5189</v>
      </c>
      <c r="B3544" s="9" t="s">
        <v>5190</v>
      </c>
      <c r="C3544" s="9" t="s">
        <v>138</v>
      </c>
      <c r="D3544" s="9" t="s">
        <v>11</v>
      </c>
      <c r="E3544" s="9">
        <v>94</v>
      </c>
      <c r="F3544" s="9">
        <v>6.3</v>
      </c>
      <c r="G3544" s="9">
        <v>4000000</v>
      </c>
      <c r="H3544" s="9">
        <v>25078937</v>
      </c>
      <c r="I3544" s="5">
        <f>IMDB_Movies!$H3544-IMDB_Movies!$G3544</f>
        <v>21078937</v>
      </c>
    </row>
    <row r="3545" spans="1:9" ht="23">
      <c r="A3545" s="2" t="s">
        <v>5191</v>
      </c>
      <c r="B3545" s="9" t="s">
        <v>5192</v>
      </c>
      <c r="C3545" s="9" t="s">
        <v>138</v>
      </c>
      <c r="D3545" s="9" t="s">
        <v>11</v>
      </c>
      <c r="E3545" s="9">
        <v>98</v>
      </c>
      <c r="F3545" s="9">
        <v>7.6</v>
      </c>
      <c r="G3545" s="9">
        <v>6000000</v>
      </c>
      <c r="H3545" s="9">
        <v>795126</v>
      </c>
      <c r="I3545" s="5">
        <f>IMDB_Movies!$H3545-IMDB_Movies!$G3545</f>
        <v>-5204874</v>
      </c>
    </row>
    <row r="3546" spans="1:9" ht="23">
      <c r="A3546" s="2" t="s">
        <v>5193</v>
      </c>
      <c r="B3546" s="9" t="s">
        <v>5194</v>
      </c>
      <c r="C3546" s="9" t="s">
        <v>56</v>
      </c>
      <c r="D3546" s="9" t="s">
        <v>11</v>
      </c>
      <c r="E3546" s="9">
        <v>129</v>
      </c>
      <c r="F3546" s="9">
        <v>5.6</v>
      </c>
      <c r="G3546" s="9">
        <v>5500000</v>
      </c>
      <c r="H3546" s="9">
        <v>25078937</v>
      </c>
      <c r="I3546" s="5">
        <f>IMDB_Movies!$H3546-IMDB_Movies!$G3546</f>
        <v>19578937</v>
      </c>
    </row>
    <row r="3547" spans="1:9" ht="23">
      <c r="A3547" s="2" t="s">
        <v>5195</v>
      </c>
      <c r="B3547" s="9" t="s">
        <v>3028</v>
      </c>
      <c r="C3547" s="9" t="s">
        <v>56</v>
      </c>
      <c r="D3547" s="9" t="s">
        <v>11</v>
      </c>
      <c r="E3547" s="9">
        <v>103</v>
      </c>
      <c r="F3547" s="9">
        <v>7.3</v>
      </c>
      <c r="G3547" s="9">
        <v>5100000</v>
      </c>
      <c r="H3547" s="9">
        <v>25078937</v>
      </c>
      <c r="I3547" s="5">
        <f>IMDB_Movies!$H3547-IMDB_Movies!$G3547</f>
        <v>19978937</v>
      </c>
    </row>
    <row r="3548" spans="1:9" ht="23">
      <c r="A3548" s="2" t="s">
        <v>5196</v>
      </c>
      <c r="B3548" s="9" t="s">
        <v>5197</v>
      </c>
      <c r="C3548" s="9" t="s">
        <v>10</v>
      </c>
      <c r="D3548" s="9" t="s">
        <v>1534</v>
      </c>
      <c r="E3548" s="9">
        <v>128</v>
      </c>
      <c r="F3548" s="9">
        <v>6.2</v>
      </c>
      <c r="G3548" s="9">
        <v>20000000</v>
      </c>
      <c r="H3548" s="9">
        <v>563699</v>
      </c>
      <c r="I3548" s="5">
        <f>IMDB_Movies!$H3548-IMDB_Movies!$G3548</f>
        <v>-19436301</v>
      </c>
    </row>
    <row r="3549" spans="1:9" ht="23">
      <c r="A3549" s="2" t="s">
        <v>5198</v>
      </c>
      <c r="B3549" s="9" t="s">
        <v>89</v>
      </c>
      <c r="C3549" s="9" t="s">
        <v>713</v>
      </c>
      <c r="D3549" s="9" t="s">
        <v>11</v>
      </c>
      <c r="E3549" s="9">
        <v>106</v>
      </c>
      <c r="F3549" s="9">
        <v>6.6</v>
      </c>
      <c r="G3549" s="9">
        <v>5000000</v>
      </c>
      <c r="H3549" s="9">
        <v>83574831</v>
      </c>
      <c r="I3549" s="5">
        <f>IMDB_Movies!$H3549-IMDB_Movies!$G3549</f>
        <v>78574831</v>
      </c>
    </row>
    <row r="3550" spans="1:9" ht="23">
      <c r="A3550" s="2" t="s">
        <v>5199</v>
      </c>
      <c r="B3550" s="9" t="s">
        <v>4324</v>
      </c>
      <c r="C3550" s="9" t="s">
        <v>810</v>
      </c>
      <c r="D3550" s="9" t="s">
        <v>11</v>
      </c>
      <c r="E3550" s="9">
        <v>95</v>
      </c>
      <c r="F3550" s="9">
        <v>6.6</v>
      </c>
      <c r="G3550" s="9">
        <v>4000000</v>
      </c>
      <c r="H3550" s="9">
        <v>87025093</v>
      </c>
      <c r="I3550" s="5">
        <f>IMDB_Movies!$H3550-IMDB_Movies!$G3550</f>
        <v>83025093</v>
      </c>
    </row>
    <row r="3551" spans="1:9" ht="23">
      <c r="A3551" s="2" t="s">
        <v>5200</v>
      </c>
      <c r="B3551" s="9" t="s">
        <v>5201</v>
      </c>
      <c r="C3551" s="9" t="s">
        <v>56</v>
      </c>
      <c r="D3551" s="9" t="s">
        <v>11</v>
      </c>
      <c r="E3551" s="9">
        <v>104</v>
      </c>
      <c r="F3551" s="9">
        <v>7.3</v>
      </c>
      <c r="G3551" s="9">
        <v>15000000</v>
      </c>
      <c r="H3551" s="9">
        <v>71897215</v>
      </c>
      <c r="I3551" s="5">
        <f>IMDB_Movies!$H3551-IMDB_Movies!$G3551</f>
        <v>56897215</v>
      </c>
    </row>
    <row r="3552" spans="1:9" ht="23">
      <c r="A3552" s="2" t="s">
        <v>5202</v>
      </c>
      <c r="B3552" s="9" t="s">
        <v>3026</v>
      </c>
      <c r="C3552" s="9" t="s">
        <v>138</v>
      </c>
      <c r="D3552" s="9" t="s">
        <v>11</v>
      </c>
      <c r="E3552" s="9">
        <v>87</v>
      </c>
      <c r="F3552" s="9">
        <v>6.6</v>
      </c>
      <c r="G3552" s="9">
        <v>5000000</v>
      </c>
      <c r="H3552" s="9">
        <v>64267897</v>
      </c>
      <c r="I3552" s="5">
        <f>IMDB_Movies!$H3552-IMDB_Movies!$G3552</f>
        <v>59267897</v>
      </c>
    </row>
    <row r="3553" spans="1:9" ht="23">
      <c r="A3553" s="2" t="s">
        <v>5203</v>
      </c>
      <c r="B3553" s="9" t="s">
        <v>5204</v>
      </c>
      <c r="C3553" s="9" t="s">
        <v>810</v>
      </c>
      <c r="D3553" s="9" t="s">
        <v>11</v>
      </c>
      <c r="E3553" s="9">
        <v>81</v>
      </c>
      <c r="F3553" s="9">
        <v>6.9</v>
      </c>
      <c r="G3553" s="9">
        <v>4900000</v>
      </c>
      <c r="H3553" s="9">
        <v>56536016</v>
      </c>
      <c r="I3553" s="5">
        <f>IMDB_Movies!$H3553-IMDB_Movies!$G3553</f>
        <v>51636016</v>
      </c>
    </row>
    <row r="3554" spans="1:9" ht="23">
      <c r="A3554" s="2" t="s">
        <v>5205</v>
      </c>
      <c r="B3554" s="9" t="s">
        <v>3130</v>
      </c>
      <c r="C3554" s="9" t="s">
        <v>810</v>
      </c>
      <c r="D3554" s="9" t="s">
        <v>11</v>
      </c>
      <c r="E3554" s="9">
        <v>94</v>
      </c>
      <c r="F3554" s="9">
        <v>5.8</v>
      </c>
      <c r="G3554" s="9">
        <v>5000000</v>
      </c>
      <c r="H3554" s="9">
        <v>104007828</v>
      </c>
      <c r="I3554" s="5">
        <f>IMDB_Movies!$H3554-IMDB_Movies!$G3554</f>
        <v>99007828</v>
      </c>
    </row>
    <row r="3555" spans="1:9" ht="23">
      <c r="A3555" s="2" t="s">
        <v>5206</v>
      </c>
      <c r="B3555" s="9" t="s">
        <v>5207</v>
      </c>
      <c r="C3555" s="9" t="s">
        <v>713</v>
      </c>
      <c r="D3555" s="9" t="s">
        <v>11</v>
      </c>
      <c r="E3555" s="9">
        <v>89</v>
      </c>
      <c r="F3555" s="9">
        <v>4.4000000000000004</v>
      </c>
      <c r="G3555" s="9">
        <v>5000000</v>
      </c>
      <c r="H3555" s="9">
        <v>50820940</v>
      </c>
      <c r="I3555" s="5">
        <f>IMDB_Movies!$H3555-IMDB_Movies!$G3555</f>
        <v>45820940</v>
      </c>
    </row>
    <row r="3556" spans="1:9" ht="23">
      <c r="A3556" s="2" t="s">
        <v>5208</v>
      </c>
      <c r="B3556" s="9" t="s">
        <v>470</v>
      </c>
      <c r="C3556" s="9" t="s">
        <v>10</v>
      </c>
      <c r="D3556" s="9" t="s">
        <v>11</v>
      </c>
      <c r="E3556" s="9">
        <v>88</v>
      </c>
      <c r="F3556" s="9">
        <v>6.6</v>
      </c>
      <c r="G3556" s="9">
        <v>4500000</v>
      </c>
      <c r="H3556" s="9">
        <v>44793200</v>
      </c>
      <c r="I3556" s="5">
        <f>IMDB_Movies!$H3556-IMDB_Movies!$G3556</f>
        <v>40293200</v>
      </c>
    </row>
    <row r="3557" spans="1:9" ht="23">
      <c r="A3557" s="2" t="s">
        <v>5209</v>
      </c>
      <c r="B3557" s="9" t="s">
        <v>5210</v>
      </c>
      <c r="C3557" s="9" t="s">
        <v>138</v>
      </c>
      <c r="D3557" s="9" t="s">
        <v>741</v>
      </c>
      <c r="E3557" s="9">
        <v>115</v>
      </c>
      <c r="F3557" s="9">
        <v>7.6</v>
      </c>
      <c r="G3557" s="9">
        <v>5000000</v>
      </c>
      <c r="H3557" s="9">
        <v>44456509</v>
      </c>
      <c r="I3557" s="5">
        <f>IMDB_Movies!$H3557-IMDB_Movies!$G3557</f>
        <v>39456509</v>
      </c>
    </row>
    <row r="3558" spans="1:9" ht="23">
      <c r="A3558" s="2" t="s">
        <v>5211</v>
      </c>
      <c r="B3558" s="9" t="s">
        <v>3130</v>
      </c>
      <c r="C3558" s="9" t="s">
        <v>810</v>
      </c>
      <c r="D3558" s="9" t="s">
        <v>11</v>
      </c>
      <c r="E3558" s="9">
        <v>96</v>
      </c>
      <c r="F3558" s="9">
        <v>4.5999999999999996</v>
      </c>
      <c r="G3558" s="9">
        <v>5000000</v>
      </c>
      <c r="H3558" s="9">
        <v>53884821</v>
      </c>
      <c r="I3558" s="5">
        <f>IMDB_Movies!$H3558-IMDB_Movies!$G3558</f>
        <v>48884821</v>
      </c>
    </row>
    <row r="3559" spans="1:9" ht="23">
      <c r="A3559" s="2" t="s">
        <v>5212</v>
      </c>
      <c r="B3559" s="9" t="s">
        <v>5213</v>
      </c>
      <c r="C3559" s="9" t="s">
        <v>56</v>
      </c>
      <c r="D3559" s="9" t="s">
        <v>11</v>
      </c>
      <c r="E3559" s="9">
        <v>135</v>
      </c>
      <c r="F3559" s="9">
        <v>6.8</v>
      </c>
      <c r="G3559" s="9">
        <v>5000000</v>
      </c>
      <c r="H3559" s="9">
        <v>36000000</v>
      </c>
      <c r="I3559" s="5">
        <f>IMDB_Movies!$H3559-IMDB_Movies!$G3559</f>
        <v>31000000</v>
      </c>
    </row>
    <row r="3560" spans="1:9" ht="23">
      <c r="A3560" s="2" t="s">
        <v>5214</v>
      </c>
      <c r="B3560" s="9" t="s">
        <v>2964</v>
      </c>
      <c r="C3560" s="9" t="s">
        <v>138</v>
      </c>
      <c r="D3560" s="9" t="s">
        <v>11</v>
      </c>
      <c r="E3560" s="9">
        <v>113</v>
      </c>
      <c r="F3560" s="9">
        <v>7.1</v>
      </c>
      <c r="G3560" s="9">
        <v>5000000</v>
      </c>
      <c r="H3560" s="9">
        <v>25078937</v>
      </c>
      <c r="I3560" s="5">
        <f>IMDB_Movies!$H3560-IMDB_Movies!$G3560</f>
        <v>20078937</v>
      </c>
    </row>
    <row r="3561" spans="1:9" ht="23">
      <c r="A3561" s="2" t="s">
        <v>5215</v>
      </c>
      <c r="B3561" s="9" t="s">
        <v>2808</v>
      </c>
      <c r="C3561" s="9" t="s">
        <v>138</v>
      </c>
      <c r="D3561" s="9" t="s">
        <v>11</v>
      </c>
      <c r="E3561" s="9">
        <v>93</v>
      </c>
      <c r="F3561" s="9">
        <v>4.9000000000000004</v>
      </c>
      <c r="G3561" s="9">
        <v>8500000</v>
      </c>
      <c r="H3561" s="9">
        <v>34872293</v>
      </c>
      <c r="I3561" s="5">
        <f>IMDB_Movies!$H3561-IMDB_Movies!$G3561</f>
        <v>26372293</v>
      </c>
    </row>
    <row r="3562" spans="1:9" ht="23">
      <c r="A3562" s="2" t="s">
        <v>5216</v>
      </c>
      <c r="B3562" s="9" t="s">
        <v>5217</v>
      </c>
      <c r="C3562" s="9" t="s">
        <v>418</v>
      </c>
      <c r="D3562" s="9" t="s">
        <v>11</v>
      </c>
      <c r="E3562" s="9">
        <v>109</v>
      </c>
      <c r="F3562" s="9">
        <v>7.3</v>
      </c>
      <c r="G3562" s="9">
        <v>4500000</v>
      </c>
      <c r="H3562" s="9">
        <v>34468224</v>
      </c>
      <c r="I3562" s="5">
        <f>IMDB_Movies!$H3562-IMDB_Movies!$G3562</f>
        <v>29968224</v>
      </c>
    </row>
    <row r="3563" spans="1:9" ht="23">
      <c r="A3563" s="2" t="s">
        <v>5218</v>
      </c>
      <c r="B3563" s="9" t="s">
        <v>2718</v>
      </c>
      <c r="C3563" s="9" t="s">
        <v>24</v>
      </c>
      <c r="D3563" s="9" t="s">
        <v>11</v>
      </c>
      <c r="E3563" s="9">
        <v>127</v>
      </c>
      <c r="F3563" s="9">
        <v>7.2</v>
      </c>
      <c r="G3563" s="9">
        <v>5000000</v>
      </c>
      <c r="H3563" s="9">
        <v>25078937</v>
      </c>
      <c r="I3563" s="5">
        <f>IMDB_Movies!$H3563-IMDB_Movies!$G3563</f>
        <v>20078937</v>
      </c>
    </row>
    <row r="3564" spans="1:9" ht="23">
      <c r="A3564" s="2" t="s">
        <v>5219</v>
      </c>
      <c r="B3564" s="9" t="s">
        <v>5220</v>
      </c>
      <c r="C3564" s="9" t="s">
        <v>713</v>
      </c>
      <c r="D3564" s="9" t="s">
        <v>11</v>
      </c>
      <c r="E3564" s="9">
        <v>101</v>
      </c>
      <c r="F3564" s="9">
        <v>5</v>
      </c>
      <c r="G3564" s="9">
        <v>5000000</v>
      </c>
      <c r="H3564" s="9">
        <v>32453345</v>
      </c>
      <c r="I3564" s="5">
        <f>IMDB_Movies!$H3564-IMDB_Movies!$G3564</f>
        <v>27453345</v>
      </c>
    </row>
    <row r="3565" spans="1:9" ht="23">
      <c r="A3565" s="2" t="s">
        <v>5221</v>
      </c>
      <c r="B3565" s="9" t="s">
        <v>1613</v>
      </c>
      <c r="C3565" s="9" t="s">
        <v>418</v>
      </c>
      <c r="D3565" s="9" t="s">
        <v>11</v>
      </c>
      <c r="E3565" s="9">
        <v>124</v>
      </c>
      <c r="F3565" s="9">
        <v>8.1999999999999993</v>
      </c>
      <c r="G3565" s="9">
        <v>5000000</v>
      </c>
      <c r="H3565" s="9">
        <v>25078937</v>
      </c>
      <c r="I3565" s="5">
        <f>IMDB_Movies!$H3565-IMDB_Movies!$G3565</f>
        <v>20078937</v>
      </c>
    </row>
    <row r="3566" spans="1:9" ht="23">
      <c r="A3566" s="2" t="s">
        <v>5222</v>
      </c>
      <c r="B3566" s="9" t="s">
        <v>2120</v>
      </c>
      <c r="C3566" s="9" t="s">
        <v>418</v>
      </c>
      <c r="D3566" s="9" t="s">
        <v>11</v>
      </c>
      <c r="E3566" s="9">
        <v>117</v>
      </c>
      <c r="F3566" s="9">
        <v>8</v>
      </c>
      <c r="G3566" s="9">
        <v>5000000</v>
      </c>
      <c r="H3566" s="9">
        <v>27296514</v>
      </c>
      <c r="I3566" s="5">
        <f>IMDB_Movies!$H3566-IMDB_Movies!$G3566</f>
        <v>22296514</v>
      </c>
    </row>
    <row r="3567" spans="1:9" ht="23">
      <c r="A3567" s="2" t="s">
        <v>5223</v>
      </c>
      <c r="B3567" s="9" t="s">
        <v>5224</v>
      </c>
      <c r="C3567" s="9" t="s">
        <v>810</v>
      </c>
      <c r="D3567" s="9" t="s">
        <v>11</v>
      </c>
      <c r="E3567" s="9">
        <v>83</v>
      </c>
      <c r="F3567" s="9">
        <v>5.2</v>
      </c>
      <c r="G3567" s="9">
        <v>3300000</v>
      </c>
      <c r="H3567" s="9">
        <v>25799043</v>
      </c>
      <c r="I3567" s="5">
        <f>IMDB_Movies!$H3567-IMDB_Movies!$G3567</f>
        <v>22499043</v>
      </c>
    </row>
    <row r="3568" spans="1:9" ht="23">
      <c r="A3568" s="2" t="s">
        <v>5225</v>
      </c>
      <c r="B3568" s="9" t="s">
        <v>17</v>
      </c>
      <c r="C3568" s="9" t="s">
        <v>228</v>
      </c>
      <c r="D3568" s="9" t="s">
        <v>11</v>
      </c>
      <c r="E3568" s="9">
        <v>113</v>
      </c>
      <c r="F3568" s="9">
        <v>8.5</v>
      </c>
      <c r="G3568" s="9">
        <v>9000000</v>
      </c>
      <c r="H3568" s="9">
        <v>25530884</v>
      </c>
      <c r="I3568" s="5">
        <f>IMDB_Movies!$H3568-IMDB_Movies!$G3568</f>
        <v>16530884</v>
      </c>
    </row>
    <row r="3569" spans="1:9" ht="23">
      <c r="A3569" s="2" t="s">
        <v>5226</v>
      </c>
      <c r="B3569" s="9" t="s">
        <v>5227</v>
      </c>
      <c r="C3569" s="9" t="s">
        <v>810</v>
      </c>
      <c r="D3569" s="9" t="s">
        <v>11</v>
      </c>
      <c r="E3569" s="9">
        <v>104</v>
      </c>
      <c r="F3569" s="9">
        <v>6.5</v>
      </c>
      <c r="G3569" s="9">
        <v>5000000</v>
      </c>
      <c r="H3569" s="9">
        <v>27689474</v>
      </c>
      <c r="I3569" s="5">
        <f>IMDB_Movies!$H3569-IMDB_Movies!$G3569</f>
        <v>22689474</v>
      </c>
    </row>
    <row r="3570" spans="1:9" ht="23">
      <c r="A3570" s="2" t="s">
        <v>5228</v>
      </c>
      <c r="B3570" s="9" t="s">
        <v>1973</v>
      </c>
      <c r="C3570" s="9" t="s">
        <v>138</v>
      </c>
      <c r="D3570" s="9" t="s">
        <v>11</v>
      </c>
      <c r="E3570" s="9">
        <v>97</v>
      </c>
      <c r="F3570" s="9">
        <v>7.4</v>
      </c>
      <c r="G3570" s="9">
        <v>5000000</v>
      </c>
      <c r="H3570" s="9">
        <v>24138847</v>
      </c>
      <c r="I3570" s="5">
        <f>IMDB_Movies!$H3570-IMDB_Movies!$G3570</f>
        <v>19138847</v>
      </c>
    </row>
    <row r="3571" spans="1:9" ht="23">
      <c r="A3571" s="2" t="s">
        <v>5229</v>
      </c>
      <c r="B3571" s="9" t="s">
        <v>1823</v>
      </c>
      <c r="C3571" s="9" t="s">
        <v>56</v>
      </c>
      <c r="D3571" s="9" t="s">
        <v>11</v>
      </c>
      <c r="E3571" s="9">
        <v>110</v>
      </c>
      <c r="F3571" s="9">
        <v>7.7</v>
      </c>
      <c r="G3571" s="9">
        <v>5000000</v>
      </c>
      <c r="H3571" s="9">
        <v>21994911</v>
      </c>
      <c r="I3571" s="5">
        <f>IMDB_Movies!$H3571-IMDB_Movies!$G3571</f>
        <v>16994911</v>
      </c>
    </row>
    <row r="3572" spans="1:9" ht="23">
      <c r="A3572" s="2" t="s">
        <v>5230</v>
      </c>
      <c r="B3572" s="9" t="s">
        <v>5231</v>
      </c>
      <c r="C3572" s="9" t="s">
        <v>138</v>
      </c>
      <c r="D3572" s="9" t="s">
        <v>11</v>
      </c>
      <c r="E3572" s="9">
        <v>103</v>
      </c>
      <c r="F3572" s="9">
        <v>7.4</v>
      </c>
      <c r="G3572" s="9">
        <v>5000000</v>
      </c>
      <c r="H3572" s="9">
        <v>21501098</v>
      </c>
      <c r="I3572" s="5">
        <f>IMDB_Movies!$H3572-IMDB_Movies!$G3572</f>
        <v>16501098</v>
      </c>
    </row>
    <row r="3573" spans="1:9" ht="23">
      <c r="A3573" s="2" t="s">
        <v>5232</v>
      </c>
      <c r="B3573" s="9" t="s">
        <v>5233</v>
      </c>
      <c r="C3573" s="9" t="s">
        <v>138</v>
      </c>
      <c r="D3573" s="9" t="s">
        <v>11</v>
      </c>
      <c r="E3573" s="9">
        <v>94</v>
      </c>
      <c r="F3573" s="9">
        <v>5.0999999999999996</v>
      </c>
      <c r="G3573" s="9">
        <v>5000000</v>
      </c>
      <c r="H3573" s="9">
        <v>19281235</v>
      </c>
      <c r="I3573" s="5">
        <f>IMDB_Movies!$H3573-IMDB_Movies!$G3573</f>
        <v>14281235</v>
      </c>
    </row>
    <row r="3574" spans="1:9" ht="23">
      <c r="A3574" s="2" t="s">
        <v>5234</v>
      </c>
      <c r="B3574" s="9" t="s">
        <v>225</v>
      </c>
      <c r="C3574" s="9" t="s">
        <v>24</v>
      </c>
      <c r="D3574" s="9" t="s">
        <v>11</v>
      </c>
      <c r="E3574" s="9">
        <v>102</v>
      </c>
      <c r="F3574" s="9">
        <v>7.3</v>
      </c>
      <c r="G3574" s="9">
        <v>3500000</v>
      </c>
      <c r="H3574" s="9">
        <v>25078937</v>
      </c>
      <c r="I3574" s="5">
        <f>IMDB_Movies!$H3574-IMDB_Movies!$G3574</f>
        <v>21578937</v>
      </c>
    </row>
    <row r="3575" spans="1:9" ht="23">
      <c r="A3575" s="2" t="s">
        <v>5235</v>
      </c>
      <c r="B3575" s="9" t="s">
        <v>5236</v>
      </c>
      <c r="C3575" s="9" t="s">
        <v>116</v>
      </c>
      <c r="D3575" s="9" t="s">
        <v>11</v>
      </c>
      <c r="E3575" s="9">
        <v>77</v>
      </c>
      <c r="F3575" s="9">
        <v>5</v>
      </c>
      <c r="G3575" s="9">
        <v>5000000</v>
      </c>
      <c r="H3575" s="9">
        <v>19421271</v>
      </c>
      <c r="I3575" s="5">
        <f>IMDB_Movies!$H3575-IMDB_Movies!$G3575</f>
        <v>14421271</v>
      </c>
    </row>
    <row r="3576" spans="1:9" ht="23">
      <c r="A3576" s="2" t="s">
        <v>5237</v>
      </c>
      <c r="B3576" s="9" t="s">
        <v>5238</v>
      </c>
      <c r="C3576" s="9" t="s">
        <v>56</v>
      </c>
      <c r="D3576" s="9" t="s">
        <v>11</v>
      </c>
      <c r="E3576" s="9">
        <v>134</v>
      </c>
      <c r="F3576" s="9">
        <v>7.2</v>
      </c>
      <c r="G3576" s="9">
        <v>5000000</v>
      </c>
      <c r="H3576" s="9">
        <v>20733485</v>
      </c>
      <c r="I3576" s="5">
        <f>IMDB_Movies!$H3576-IMDB_Movies!$G3576</f>
        <v>15733485</v>
      </c>
    </row>
    <row r="3577" spans="1:9" ht="23">
      <c r="A3577" s="2" t="s">
        <v>5239</v>
      </c>
      <c r="B3577" s="9" t="s">
        <v>5240</v>
      </c>
      <c r="C3577" s="9" t="s">
        <v>418</v>
      </c>
      <c r="D3577" s="9" t="s">
        <v>11</v>
      </c>
      <c r="E3577" s="9">
        <v>129</v>
      </c>
      <c r="F3577" s="9">
        <v>6.7</v>
      </c>
      <c r="G3577" s="9">
        <v>5000000</v>
      </c>
      <c r="H3577" s="9">
        <v>25078937</v>
      </c>
      <c r="I3577" s="5">
        <f>IMDB_Movies!$H3577-IMDB_Movies!$G3577</f>
        <v>20078937</v>
      </c>
    </row>
    <row r="3578" spans="1:9" ht="23">
      <c r="A3578" s="2" t="s">
        <v>5241</v>
      </c>
      <c r="B3578" s="9" t="s">
        <v>5242</v>
      </c>
      <c r="C3578" s="9" t="s">
        <v>138</v>
      </c>
      <c r="D3578" s="9" t="s">
        <v>11</v>
      </c>
      <c r="E3578" s="9">
        <v>90</v>
      </c>
      <c r="F3578" s="9">
        <v>6.4</v>
      </c>
      <c r="G3578" s="9">
        <v>5000000</v>
      </c>
      <c r="H3578" s="9">
        <v>24809547</v>
      </c>
      <c r="I3578" s="5">
        <f>IMDB_Movies!$H3578-IMDB_Movies!$G3578</f>
        <v>19809547</v>
      </c>
    </row>
    <row r="3579" spans="1:9" ht="23">
      <c r="A3579" s="2" t="s">
        <v>5243</v>
      </c>
      <c r="B3579" s="9" t="s">
        <v>729</v>
      </c>
      <c r="C3579" s="9" t="s">
        <v>418</v>
      </c>
      <c r="D3579" s="9" t="s">
        <v>11</v>
      </c>
      <c r="E3579" s="9">
        <v>134</v>
      </c>
      <c r="F3579" s="9">
        <v>7.1</v>
      </c>
      <c r="G3579" s="9">
        <v>20000000</v>
      </c>
      <c r="H3579" s="9">
        <v>19097994</v>
      </c>
      <c r="I3579" s="5">
        <f>IMDB_Movies!$H3579-IMDB_Movies!$G3579</f>
        <v>-902006</v>
      </c>
    </row>
    <row r="3580" spans="1:9" ht="23">
      <c r="A3580" s="2" t="s">
        <v>5244</v>
      </c>
      <c r="B3580" s="9" t="s">
        <v>5245</v>
      </c>
      <c r="C3580" s="9" t="s">
        <v>138</v>
      </c>
      <c r="D3580" s="9" t="s">
        <v>11</v>
      </c>
      <c r="E3580" s="9">
        <v>104</v>
      </c>
      <c r="F3580" s="9">
        <v>5.6</v>
      </c>
      <c r="G3580" s="9">
        <v>4500000</v>
      </c>
      <c r="H3580" s="9">
        <v>23031390</v>
      </c>
      <c r="I3580" s="5">
        <f>IMDB_Movies!$H3580-IMDB_Movies!$G3580</f>
        <v>18531390</v>
      </c>
    </row>
    <row r="3581" spans="1:9" ht="23">
      <c r="A3581" s="2" t="s">
        <v>5246</v>
      </c>
      <c r="B3581" s="9" t="s">
        <v>4109</v>
      </c>
      <c r="C3581" s="9" t="s">
        <v>810</v>
      </c>
      <c r="D3581" s="9" t="s">
        <v>11</v>
      </c>
      <c r="E3581" s="9">
        <v>93</v>
      </c>
      <c r="F3581" s="9">
        <v>6.1</v>
      </c>
      <c r="G3581" s="9">
        <v>5000000</v>
      </c>
      <c r="H3581" s="9">
        <v>21197315</v>
      </c>
      <c r="I3581" s="5">
        <f>IMDB_Movies!$H3581-IMDB_Movies!$G3581</f>
        <v>16197315</v>
      </c>
    </row>
    <row r="3582" spans="1:9" ht="23">
      <c r="A3582" s="2" t="s">
        <v>5247</v>
      </c>
      <c r="B3582" s="9" t="s">
        <v>2696</v>
      </c>
      <c r="C3582" s="9" t="s">
        <v>56</v>
      </c>
      <c r="D3582" s="9" t="s">
        <v>741</v>
      </c>
      <c r="E3582" s="9">
        <v>106</v>
      </c>
      <c r="F3582" s="9">
        <v>5.2</v>
      </c>
      <c r="G3582" s="9">
        <v>5000000</v>
      </c>
      <c r="H3582" s="9">
        <v>17382982</v>
      </c>
      <c r="I3582" s="5">
        <f>IMDB_Movies!$H3582-IMDB_Movies!$G3582</f>
        <v>12382982</v>
      </c>
    </row>
    <row r="3583" spans="1:9" ht="23">
      <c r="A3583" s="2" t="s">
        <v>5248</v>
      </c>
      <c r="B3583" s="9" t="s">
        <v>3461</v>
      </c>
      <c r="C3583" s="9" t="s">
        <v>56</v>
      </c>
      <c r="D3583" s="9" t="s">
        <v>11</v>
      </c>
      <c r="E3583" s="9">
        <v>109</v>
      </c>
      <c r="F3583" s="9">
        <v>7.3</v>
      </c>
      <c r="G3583" s="9">
        <v>6000000</v>
      </c>
      <c r="H3583" s="9">
        <v>14821531</v>
      </c>
      <c r="I3583" s="5">
        <f>IMDB_Movies!$H3583-IMDB_Movies!$G3583</f>
        <v>8821531</v>
      </c>
    </row>
    <row r="3584" spans="1:9" ht="23">
      <c r="A3584" s="2" t="s">
        <v>5249</v>
      </c>
      <c r="B3584" s="9" t="s">
        <v>5250</v>
      </c>
      <c r="C3584" s="9" t="s">
        <v>56</v>
      </c>
      <c r="D3584" s="9" t="s">
        <v>11</v>
      </c>
      <c r="E3584" s="9">
        <v>101</v>
      </c>
      <c r="F3584" s="9">
        <v>7.5</v>
      </c>
      <c r="G3584" s="9">
        <v>5000000</v>
      </c>
      <c r="H3584" s="9">
        <v>18656400</v>
      </c>
      <c r="I3584" s="5">
        <f>IMDB_Movies!$H3584-IMDB_Movies!$G3584</f>
        <v>13656400</v>
      </c>
    </row>
    <row r="3585" spans="1:9" ht="23">
      <c r="A3585" s="2" t="s">
        <v>5251</v>
      </c>
      <c r="B3585" s="9" t="s">
        <v>5252</v>
      </c>
      <c r="C3585" s="9" t="s">
        <v>56</v>
      </c>
      <c r="D3585" s="9" t="s">
        <v>11</v>
      </c>
      <c r="E3585" s="9">
        <v>139</v>
      </c>
      <c r="F3585" s="9">
        <v>6.6</v>
      </c>
      <c r="G3585" s="9">
        <v>5000000</v>
      </c>
      <c r="H3585" s="9">
        <v>25078937</v>
      </c>
      <c r="I3585" s="5">
        <f>IMDB_Movies!$H3585-IMDB_Movies!$G3585</f>
        <v>20078937</v>
      </c>
    </row>
    <row r="3586" spans="1:9" ht="23">
      <c r="A3586" s="2" t="s">
        <v>5253</v>
      </c>
      <c r="B3586" s="9" t="s">
        <v>5254</v>
      </c>
      <c r="C3586" s="9" t="s">
        <v>10</v>
      </c>
      <c r="D3586" s="9" t="s">
        <v>11</v>
      </c>
      <c r="E3586" s="9">
        <v>99</v>
      </c>
      <c r="F3586" s="9">
        <v>6.4</v>
      </c>
      <c r="G3586" s="9">
        <v>5000000</v>
      </c>
      <c r="H3586" s="9">
        <v>25078937</v>
      </c>
      <c r="I3586" s="5">
        <f>IMDB_Movies!$H3586-IMDB_Movies!$G3586</f>
        <v>20078937</v>
      </c>
    </row>
    <row r="3587" spans="1:9" ht="23">
      <c r="A3587" s="2" t="s">
        <v>5255</v>
      </c>
      <c r="B3587" s="9" t="s">
        <v>5256</v>
      </c>
      <c r="C3587" s="9" t="s">
        <v>24</v>
      </c>
      <c r="D3587" s="9" t="s">
        <v>11</v>
      </c>
      <c r="E3587" s="9">
        <v>100</v>
      </c>
      <c r="F3587" s="9">
        <v>4.5</v>
      </c>
      <c r="G3587" s="9">
        <v>5000000</v>
      </c>
      <c r="H3587" s="9">
        <v>14343976</v>
      </c>
      <c r="I3587" s="5">
        <f>IMDB_Movies!$H3587-IMDB_Movies!$G3587</f>
        <v>9343976</v>
      </c>
    </row>
    <row r="3588" spans="1:9" ht="23">
      <c r="A3588" s="2" t="s">
        <v>5257</v>
      </c>
      <c r="B3588" s="9" t="s">
        <v>1598</v>
      </c>
      <c r="C3588" s="9" t="s">
        <v>138</v>
      </c>
      <c r="D3588" s="9" t="s">
        <v>11</v>
      </c>
      <c r="E3588" s="9">
        <v>95</v>
      </c>
      <c r="F3588" s="9">
        <v>6.6</v>
      </c>
      <c r="G3588" s="9">
        <v>5000000</v>
      </c>
      <c r="H3588" s="9">
        <v>241437427</v>
      </c>
      <c r="I3588" s="5">
        <f>IMDB_Movies!$H3588-IMDB_Movies!$G3588</f>
        <v>236437427</v>
      </c>
    </row>
    <row r="3589" spans="1:9" ht="23">
      <c r="A3589" s="2" t="s">
        <v>5258</v>
      </c>
      <c r="B3589" s="9" t="s">
        <v>5259</v>
      </c>
      <c r="C3589" s="9" t="s">
        <v>414</v>
      </c>
      <c r="D3589" s="9" t="s">
        <v>11</v>
      </c>
      <c r="E3589" s="9">
        <v>94</v>
      </c>
      <c r="F3589" s="9">
        <v>5.3</v>
      </c>
      <c r="G3589" s="9">
        <v>5000000</v>
      </c>
      <c r="H3589" s="9">
        <v>14123773</v>
      </c>
      <c r="I3589" s="5">
        <f>IMDB_Movies!$H3589-IMDB_Movies!$G3589</f>
        <v>9123773</v>
      </c>
    </row>
    <row r="3590" spans="1:9" ht="23">
      <c r="A3590" s="2" t="s">
        <v>5260</v>
      </c>
      <c r="B3590" s="9" t="s">
        <v>5261</v>
      </c>
      <c r="C3590" s="9" t="s">
        <v>810</v>
      </c>
      <c r="D3590" s="9" t="s">
        <v>11</v>
      </c>
      <c r="E3590" s="9">
        <v>93</v>
      </c>
      <c r="F3590" s="9">
        <v>4.9000000000000004</v>
      </c>
      <c r="G3590" s="9">
        <v>5000000</v>
      </c>
      <c r="H3590" s="9">
        <v>15126948</v>
      </c>
      <c r="I3590" s="5">
        <f>IMDB_Movies!$H3590-IMDB_Movies!$G3590</f>
        <v>10126948</v>
      </c>
    </row>
    <row r="3591" spans="1:9" ht="23">
      <c r="A3591" s="2" t="s">
        <v>5262</v>
      </c>
      <c r="B3591" s="9" t="s">
        <v>328</v>
      </c>
      <c r="C3591" s="9" t="s">
        <v>24</v>
      </c>
      <c r="D3591" s="9" t="s">
        <v>741</v>
      </c>
      <c r="E3591" s="9">
        <v>106</v>
      </c>
      <c r="F3591" s="9">
        <v>7.7</v>
      </c>
      <c r="G3591" s="9">
        <v>2000000</v>
      </c>
      <c r="H3591" s="9">
        <v>13622333</v>
      </c>
      <c r="I3591" s="5">
        <f>IMDB_Movies!$H3591-IMDB_Movies!$G3591</f>
        <v>11622333</v>
      </c>
    </row>
    <row r="3592" spans="1:9" ht="23">
      <c r="A3592" s="2" t="s">
        <v>5263</v>
      </c>
      <c r="B3592" s="9" t="s">
        <v>658</v>
      </c>
      <c r="C3592" s="9" t="s">
        <v>138</v>
      </c>
      <c r="D3592" s="9" t="s">
        <v>11</v>
      </c>
      <c r="E3592" s="9">
        <v>99</v>
      </c>
      <c r="F3592" s="9">
        <v>8</v>
      </c>
      <c r="G3592" s="9">
        <v>4000000</v>
      </c>
      <c r="H3592" s="9">
        <v>13464388</v>
      </c>
      <c r="I3592" s="5">
        <f>IMDB_Movies!$H3592-IMDB_Movies!$G3592</f>
        <v>9464388</v>
      </c>
    </row>
    <row r="3593" spans="1:9" ht="23">
      <c r="A3593" s="2" t="s">
        <v>5264</v>
      </c>
      <c r="B3593" s="9" t="s">
        <v>5265</v>
      </c>
      <c r="C3593" s="9" t="s">
        <v>56</v>
      </c>
      <c r="D3593" s="9" t="s">
        <v>11</v>
      </c>
      <c r="E3593" s="9">
        <v>82</v>
      </c>
      <c r="F3593" s="9">
        <v>3.8</v>
      </c>
      <c r="G3593" s="9">
        <v>5000000</v>
      </c>
      <c r="H3593" s="9">
        <v>13350177</v>
      </c>
      <c r="I3593" s="5">
        <f>IMDB_Movies!$H3593-IMDB_Movies!$G3593</f>
        <v>8350177</v>
      </c>
    </row>
    <row r="3594" spans="1:9" ht="23">
      <c r="A3594" s="2" t="s">
        <v>5266</v>
      </c>
      <c r="B3594" s="9" t="s">
        <v>4702</v>
      </c>
      <c r="C3594" s="9" t="s">
        <v>56</v>
      </c>
      <c r="D3594" s="9" t="s">
        <v>11</v>
      </c>
      <c r="E3594" s="9">
        <v>135</v>
      </c>
      <c r="F3594" s="9">
        <v>7.6</v>
      </c>
      <c r="G3594" s="9">
        <v>5000000</v>
      </c>
      <c r="H3594" s="9">
        <v>13269963</v>
      </c>
      <c r="I3594" s="5">
        <f>IMDB_Movies!$H3594-IMDB_Movies!$G3594</f>
        <v>8269963</v>
      </c>
    </row>
    <row r="3595" spans="1:9" ht="23">
      <c r="A3595" s="2" t="s">
        <v>5267</v>
      </c>
      <c r="B3595" s="9" t="s">
        <v>2710</v>
      </c>
      <c r="C3595" s="9" t="s">
        <v>810</v>
      </c>
      <c r="D3595" s="9" t="s">
        <v>11</v>
      </c>
      <c r="E3595" s="9">
        <v>88</v>
      </c>
      <c r="F3595" s="9">
        <v>5.9</v>
      </c>
      <c r="G3595" s="9">
        <v>5000000</v>
      </c>
      <c r="H3595" s="9">
        <v>17768000</v>
      </c>
      <c r="I3595" s="5">
        <f>IMDB_Movies!$H3595-IMDB_Movies!$G3595</f>
        <v>12768000</v>
      </c>
    </row>
    <row r="3596" spans="1:9" ht="23">
      <c r="A3596" s="2" t="s">
        <v>5268</v>
      </c>
      <c r="B3596" s="9" t="s">
        <v>5269</v>
      </c>
      <c r="C3596" s="9" t="s">
        <v>810</v>
      </c>
      <c r="D3596" s="9" t="s">
        <v>11</v>
      </c>
      <c r="E3596" s="9">
        <v>89</v>
      </c>
      <c r="F3596" s="9">
        <v>6.2</v>
      </c>
      <c r="G3596" s="9">
        <v>5000000</v>
      </c>
      <c r="H3596" s="9">
        <v>12947763</v>
      </c>
      <c r="I3596" s="5">
        <f>IMDB_Movies!$H3596-IMDB_Movies!$G3596</f>
        <v>7947763</v>
      </c>
    </row>
    <row r="3597" spans="1:9" ht="23">
      <c r="A3597" s="2" t="s">
        <v>5270</v>
      </c>
      <c r="B3597" s="9" t="s">
        <v>834</v>
      </c>
      <c r="C3597" s="9" t="s">
        <v>138</v>
      </c>
      <c r="D3597" s="9" t="s">
        <v>11</v>
      </c>
      <c r="E3597" s="9">
        <v>110</v>
      </c>
      <c r="F3597" s="9">
        <v>7.2</v>
      </c>
      <c r="G3597" s="9">
        <v>5000000</v>
      </c>
      <c r="H3597" s="9">
        <v>14100000</v>
      </c>
      <c r="I3597" s="5">
        <f>IMDB_Movies!$H3597-IMDB_Movies!$G3597</f>
        <v>9100000</v>
      </c>
    </row>
    <row r="3598" spans="1:9" ht="23">
      <c r="A3598" s="2" t="s">
        <v>5271</v>
      </c>
      <c r="B3598" s="9" t="s">
        <v>5272</v>
      </c>
      <c r="C3598" s="9" t="s">
        <v>10</v>
      </c>
      <c r="D3598" s="9" t="s">
        <v>11</v>
      </c>
      <c r="E3598" s="9">
        <v>107</v>
      </c>
      <c r="F3598" s="9">
        <v>6.3</v>
      </c>
      <c r="G3598" s="9">
        <v>5000000</v>
      </c>
      <c r="H3598" s="9">
        <v>12200000</v>
      </c>
      <c r="I3598" s="5">
        <f>IMDB_Movies!$H3598-IMDB_Movies!$G3598</f>
        <v>7200000</v>
      </c>
    </row>
    <row r="3599" spans="1:9" ht="23">
      <c r="A3599" s="2" t="s">
        <v>5273</v>
      </c>
      <c r="B3599" s="9" t="s">
        <v>5274</v>
      </c>
      <c r="C3599" s="9" t="s">
        <v>810</v>
      </c>
      <c r="D3599" s="9" t="s">
        <v>11</v>
      </c>
      <c r="E3599" s="9">
        <v>86</v>
      </c>
      <c r="F3599" s="9">
        <v>5.2</v>
      </c>
      <c r="G3599" s="9">
        <v>5000000</v>
      </c>
      <c r="H3599" s="9">
        <v>17683670</v>
      </c>
      <c r="I3599" s="5">
        <f>IMDB_Movies!$H3599-IMDB_Movies!$G3599</f>
        <v>12683670</v>
      </c>
    </row>
    <row r="3600" spans="1:9" ht="23">
      <c r="A3600" s="2" t="s">
        <v>5275</v>
      </c>
      <c r="B3600" s="9" t="s">
        <v>5276</v>
      </c>
      <c r="C3600" s="9" t="s">
        <v>138</v>
      </c>
      <c r="D3600" s="9" t="s">
        <v>11</v>
      </c>
      <c r="E3600" s="9">
        <v>91</v>
      </c>
      <c r="F3600" s="9">
        <v>6.9</v>
      </c>
      <c r="G3600" s="9">
        <v>8000000</v>
      </c>
      <c r="H3600" s="9">
        <v>12055108</v>
      </c>
      <c r="I3600" s="5">
        <f>IMDB_Movies!$H3600-IMDB_Movies!$G3600</f>
        <v>4055108</v>
      </c>
    </row>
    <row r="3601" spans="1:9" ht="23">
      <c r="A3601" s="2" t="s">
        <v>5277</v>
      </c>
      <c r="B3601" s="9" t="s">
        <v>4109</v>
      </c>
      <c r="C3601" s="9" t="s">
        <v>10</v>
      </c>
      <c r="D3601" s="9" t="s">
        <v>11</v>
      </c>
      <c r="E3601" s="9">
        <v>103</v>
      </c>
      <c r="F3601" s="9">
        <v>6.8</v>
      </c>
      <c r="G3601" s="9">
        <v>5000000</v>
      </c>
      <c r="H3601" s="9">
        <v>27285953</v>
      </c>
      <c r="I3601" s="5">
        <f>IMDB_Movies!$H3601-IMDB_Movies!$G3601</f>
        <v>22285953</v>
      </c>
    </row>
    <row r="3602" spans="1:9" ht="23">
      <c r="A3602" s="2" t="s">
        <v>5278</v>
      </c>
      <c r="B3602" s="9" t="s">
        <v>5279</v>
      </c>
      <c r="C3602" s="9" t="s">
        <v>10</v>
      </c>
      <c r="D3602" s="9" t="s">
        <v>11</v>
      </c>
      <c r="E3602" s="9">
        <v>90</v>
      </c>
      <c r="F3602" s="9">
        <v>6.2</v>
      </c>
      <c r="G3602" s="9">
        <v>8000000</v>
      </c>
      <c r="H3602" s="9">
        <v>25078937</v>
      </c>
      <c r="I3602" s="5">
        <f>IMDB_Movies!$H3602-IMDB_Movies!$G3602</f>
        <v>17078937</v>
      </c>
    </row>
    <row r="3603" spans="1:9" ht="23">
      <c r="A3603" s="2" t="s">
        <v>5280</v>
      </c>
      <c r="B3603" s="9" t="s">
        <v>5048</v>
      </c>
      <c r="C3603" s="9" t="s">
        <v>56</v>
      </c>
      <c r="D3603" s="9" t="s">
        <v>11</v>
      </c>
      <c r="E3603" s="9">
        <v>141</v>
      </c>
      <c r="F3603" s="9">
        <v>6.2</v>
      </c>
      <c r="G3603" s="9">
        <v>5000000</v>
      </c>
      <c r="H3603" s="9">
        <v>25078937</v>
      </c>
      <c r="I3603" s="5">
        <f>IMDB_Movies!$H3603-IMDB_Movies!$G3603</f>
        <v>20078937</v>
      </c>
    </row>
    <row r="3604" spans="1:9" ht="23">
      <c r="A3604" s="2" t="s">
        <v>5281</v>
      </c>
      <c r="B3604" s="9" t="s">
        <v>5282</v>
      </c>
      <c r="C3604" s="9" t="s">
        <v>138</v>
      </c>
      <c r="D3604" s="9" t="s">
        <v>11</v>
      </c>
      <c r="E3604" s="9">
        <v>92</v>
      </c>
      <c r="F3604" s="9">
        <v>3.5</v>
      </c>
      <c r="G3604" s="9">
        <v>5000000</v>
      </c>
      <c r="H3604" s="9">
        <v>11675178</v>
      </c>
      <c r="I3604" s="5">
        <f>IMDB_Movies!$H3604-IMDB_Movies!$G3604</f>
        <v>6675178</v>
      </c>
    </row>
    <row r="3605" spans="1:9" ht="23">
      <c r="A3605" s="2" t="s">
        <v>5283</v>
      </c>
      <c r="B3605" s="9" t="s">
        <v>5284</v>
      </c>
      <c r="C3605" s="9" t="s">
        <v>56</v>
      </c>
      <c r="D3605" s="9" t="s">
        <v>11</v>
      </c>
      <c r="E3605" s="9">
        <v>99</v>
      </c>
      <c r="F3605" s="9">
        <v>6.1</v>
      </c>
      <c r="G3605" s="9">
        <v>8000000</v>
      </c>
      <c r="H3605" s="9">
        <v>10572742</v>
      </c>
      <c r="I3605" s="5">
        <f>IMDB_Movies!$H3605-IMDB_Movies!$G3605</f>
        <v>2572742</v>
      </c>
    </row>
    <row r="3606" spans="1:9" ht="23">
      <c r="A3606" s="2" t="s">
        <v>5285</v>
      </c>
      <c r="B3606" s="9" t="s">
        <v>5286</v>
      </c>
      <c r="C3606" s="9" t="s">
        <v>56</v>
      </c>
      <c r="D3606" s="9" t="s">
        <v>11</v>
      </c>
      <c r="E3606" s="9">
        <v>79</v>
      </c>
      <c r="F3606" s="9">
        <v>6.6</v>
      </c>
      <c r="G3606" s="9">
        <v>800000</v>
      </c>
      <c r="H3606" s="9">
        <v>25078937</v>
      </c>
      <c r="I3606" s="5">
        <f>IMDB_Movies!$H3606-IMDB_Movies!$G3606</f>
        <v>24278937</v>
      </c>
    </row>
    <row r="3607" spans="1:9" ht="23">
      <c r="A3607" s="2" t="s">
        <v>5287</v>
      </c>
      <c r="B3607" s="9" t="s">
        <v>2696</v>
      </c>
      <c r="C3607" s="9" t="s">
        <v>138</v>
      </c>
      <c r="D3607" s="9" t="s">
        <v>11</v>
      </c>
      <c r="E3607" s="9">
        <v>96</v>
      </c>
      <c r="F3607" s="9">
        <v>4.5</v>
      </c>
      <c r="G3607" s="9">
        <v>5000000</v>
      </c>
      <c r="H3607" s="9">
        <v>9658370</v>
      </c>
      <c r="I3607" s="5">
        <f>IMDB_Movies!$H3607-IMDB_Movies!$G3607</f>
        <v>4658370</v>
      </c>
    </row>
    <row r="3608" spans="1:9" ht="23">
      <c r="A3608" s="2" t="s">
        <v>5288</v>
      </c>
      <c r="B3608" s="9" t="s">
        <v>5289</v>
      </c>
      <c r="C3608" s="9" t="s">
        <v>10</v>
      </c>
      <c r="D3608" s="9" t="s">
        <v>11</v>
      </c>
      <c r="E3608" s="9">
        <v>82</v>
      </c>
      <c r="F3608" s="9">
        <v>5.9</v>
      </c>
      <c r="G3608" s="9">
        <v>5000000</v>
      </c>
      <c r="H3608" s="9">
        <v>9628751</v>
      </c>
      <c r="I3608" s="5">
        <f>IMDB_Movies!$H3608-IMDB_Movies!$G3608</f>
        <v>4628751</v>
      </c>
    </row>
    <row r="3609" spans="1:9" ht="23">
      <c r="A3609" s="2" t="s">
        <v>5290</v>
      </c>
      <c r="B3609" s="9" t="s">
        <v>5291</v>
      </c>
      <c r="C3609" s="9" t="s">
        <v>138</v>
      </c>
      <c r="D3609" s="9" t="s">
        <v>11</v>
      </c>
      <c r="E3609" s="9">
        <v>92</v>
      </c>
      <c r="F3609" s="9">
        <v>6.9</v>
      </c>
      <c r="G3609" s="9">
        <v>5000000</v>
      </c>
      <c r="H3609" s="9">
        <v>8786715</v>
      </c>
      <c r="I3609" s="5">
        <f>IMDB_Movies!$H3609-IMDB_Movies!$G3609</f>
        <v>3786715</v>
      </c>
    </row>
    <row r="3610" spans="1:9" ht="23">
      <c r="A3610" s="2" t="s">
        <v>5292</v>
      </c>
      <c r="B3610" s="9" t="s">
        <v>5293</v>
      </c>
      <c r="C3610" s="9" t="s">
        <v>138</v>
      </c>
      <c r="D3610" s="9" t="s">
        <v>394</v>
      </c>
      <c r="E3610" s="9">
        <v>112</v>
      </c>
      <c r="F3610" s="9">
        <v>7.7</v>
      </c>
      <c r="G3610" s="9">
        <v>6000000</v>
      </c>
      <c r="H3610" s="9">
        <v>3432342</v>
      </c>
      <c r="I3610" s="5">
        <f>IMDB_Movies!$H3610-IMDB_Movies!$G3610</f>
        <v>-2567658</v>
      </c>
    </row>
    <row r="3611" spans="1:9" ht="23">
      <c r="A3611" s="2" t="s">
        <v>5294</v>
      </c>
      <c r="B3611" s="9" t="s">
        <v>1315</v>
      </c>
      <c r="C3611" s="9" t="s">
        <v>24</v>
      </c>
      <c r="D3611" s="9" t="s">
        <v>11</v>
      </c>
      <c r="E3611" s="9">
        <v>106</v>
      </c>
      <c r="F3611" s="9">
        <v>6.6</v>
      </c>
      <c r="G3611" s="9">
        <v>5000000</v>
      </c>
      <c r="H3611" s="9">
        <v>25078937</v>
      </c>
      <c r="I3611" s="5">
        <f>IMDB_Movies!$H3611-IMDB_Movies!$G3611</f>
        <v>20078937</v>
      </c>
    </row>
    <row r="3612" spans="1:9" ht="23">
      <c r="A3612" s="2" t="s">
        <v>5295</v>
      </c>
      <c r="B3612" s="9" t="s">
        <v>5296</v>
      </c>
      <c r="C3612" s="9" t="s">
        <v>810</v>
      </c>
      <c r="D3612" s="9" t="s">
        <v>11</v>
      </c>
      <c r="E3612" s="9">
        <v>90</v>
      </c>
      <c r="F3612" s="9">
        <v>5.3</v>
      </c>
      <c r="G3612" s="9">
        <v>5000000</v>
      </c>
      <c r="H3612" s="9">
        <v>6755271</v>
      </c>
      <c r="I3612" s="5">
        <f>IMDB_Movies!$H3612-IMDB_Movies!$G3612</f>
        <v>1755271</v>
      </c>
    </row>
    <row r="3613" spans="1:9" ht="23">
      <c r="A3613" s="2" t="s">
        <v>5297</v>
      </c>
      <c r="B3613" s="9" t="s">
        <v>4877</v>
      </c>
      <c r="C3613" s="9" t="s">
        <v>10</v>
      </c>
      <c r="D3613" s="9" t="s">
        <v>11</v>
      </c>
      <c r="E3613" s="9">
        <v>126</v>
      </c>
      <c r="F3613" s="9">
        <v>6.3</v>
      </c>
      <c r="G3613" s="9">
        <v>5000000</v>
      </c>
      <c r="H3613" s="9">
        <v>25078937</v>
      </c>
      <c r="I3613" s="5">
        <f>IMDB_Movies!$H3613-IMDB_Movies!$G3613</f>
        <v>20078937</v>
      </c>
    </row>
    <row r="3614" spans="1:9" ht="23">
      <c r="A3614" s="2" t="s">
        <v>5298</v>
      </c>
      <c r="B3614" s="9" t="s">
        <v>5299</v>
      </c>
      <c r="C3614" s="9" t="s">
        <v>138</v>
      </c>
      <c r="D3614" s="9" t="s">
        <v>11</v>
      </c>
      <c r="E3614" s="9">
        <v>150</v>
      </c>
      <c r="F3614" s="9">
        <v>7</v>
      </c>
      <c r="G3614" s="9">
        <v>5000000</v>
      </c>
      <c r="H3614" s="9">
        <v>6157157</v>
      </c>
      <c r="I3614" s="5">
        <f>IMDB_Movies!$H3614-IMDB_Movies!$G3614</f>
        <v>1157157</v>
      </c>
    </row>
    <row r="3615" spans="1:9" ht="23">
      <c r="A3615" s="2" t="s">
        <v>5300</v>
      </c>
      <c r="B3615" s="9" t="s">
        <v>5301</v>
      </c>
      <c r="C3615" s="9" t="s">
        <v>138</v>
      </c>
      <c r="D3615" s="9" t="s">
        <v>11</v>
      </c>
      <c r="E3615" s="9">
        <v>90</v>
      </c>
      <c r="F3615" s="9">
        <v>7</v>
      </c>
      <c r="G3615" s="9">
        <v>20000000</v>
      </c>
      <c r="H3615" s="9">
        <v>6088249</v>
      </c>
      <c r="I3615" s="5">
        <f>IMDB_Movies!$H3615-IMDB_Movies!$G3615</f>
        <v>-13911751</v>
      </c>
    </row>
    <row r="3616" spans="1:9" ht="23">
      <c r="A3616" s="2" t="s">
        <v>5302</v>
      </c>
      <c r="B3616" s="9" t="s">
        <v>4627</v>
      </c>
      <c r="C3616" s="9" t="s">
        <v>138</v>
      </c>
      <c r="D3616" s="9" t="s">
        <v>11</v>
      </c>
      <c r="E3616" s="9">
        <v>91</v>
      </c>
      <c r="F3616" s="9">
        <v>6.6</v>
      </c>
      <c r="G3616" s="9">
        <v>5000000</v>
      </c>
      <c r="H3616" s="9">
        <v>5480318</v>
      </c>
      <c r="I3616" s="5">
        <f>IMDB_Movies!$H3616-IMDB_Movies!$G3616</f>
        <v>480318</v>
      </c>
    </row>
    <row r="3617" spans="1:9" ht="23">
      <c r="A3617" s="2" t="s">
        <v>5303</v>
      </c>
      <c r="B3617" s="9" t="s">
        <v>2429</v>
      </c>
      <c r="C3617" s="9" t="s">
        <v>4398</v>
      </c>
      <c r="D3617" s="9" t="s">
        <v>11</v>
      </c>
      <c r="E3617" s="9">
        <v>145</v>
      </c>
      <c r="F3617" s="9">
        <v>8.6</v>
      </c>
      <c r="G3617" s="9">
        <v>5000000</v>
      </c>
      <c r="H3617" s="9">
        <v>25078937</v>
      </c>
      <c r="I3617" s="5">
        <f>IMDB_Movies!$H3617-IMDB_Movies!$G3617</f>
        <v>20078937</v>
      </c>
    </row>
    <row r="3618" spans="1:9" ht="23">
      <c r="A3618" s="2" t="s">
        <v>5304</v>
      </c>
      <c r="B3618" s="9" t="s">
        <v>128</v>
      </c>
      <c r="C3618" s="9" t="s">
        <v>138</v>
      </c>
      <c r="D3618" s="9" t="s">
        <v>11</v>
      </c>
      <c r="E3618" s="9">
        <v>95</v>
      </c>
      <c r="F3618" s="9">
        <v>6.4</v>
      </c>
      <c r="G3618" s="9">
        <v>5000000</v>
      </c>
      <c r="H3618" s="9">
        <v>5308707</v>
      </c>
      <c r="I3618" s="5">
        <f>IMDB_Movies!$H3618-IMDB_Movies!$G3618</f>
        <v>308707</v>
      </c>
    </row>
    <row r="3619" spans="1:9" ht="23">
      <c r="A3619" s="2" t="s">
        <v>5305</v>
      </c>
      <c r="B3619" s="9" t="s">
        <v>197</v>
      </c>
      <c r="C3619" s="9" t="s">
        <v>56</v>
      </c>
      <c r="D3619" s="9" t="s">
        <v>11</v>
      </c>
      <c r="E3619" s="9">
        <v>97</v>
      </c>
      <c r="F3619" s="9">
        <v>7.9</v>
      </c>
      <c r="G3619" s="9">
        <v>5000000</v>
      </c>
      <c r="H3619" s="9">
        <v>5009677</v>
      </c>
      <c r="I3619" s="5">
        <f>IMDB_Movies!$H3619-IMDB_Movies!$G3619</f>
        <v>9677</v>
      </c>
    </row>
    <row r="3620" spans="1:9" ht="23">
      <c r="A3620" s="2" t="s">
        <v>5306</v>
      </c>
      <c r="B3620" s="9" t="s">
        <v>4541</v>
      </c>
      <c r="C3620" s="9" t="s">
        <v>138</v>
      </c>
      <c r="D3620" s="9" t="s">
        <v>11</v>
      </c>
      <c r="E3620" s="9">
        <v>90</v>
      </c>
      <c r="F3620" s="9">
        <v>5.4</v>
      </c>
      <c r="G3620" s="9">
        <v>20000000</v>
      </c>
      <c r="H3620" s="9">
        <v>4328294</v>
      </c>
      <c r="I3620" s="5">
        <f>IMDB_Movies!$H3620-IMDB_Movies!$G3620</f>
        <v>-15671706</v>
      </c>
    </row>
    <row r="3621" spans="1:9" ht="23">
      <c r="A3621" s="2" t="s">
        <v>5307</v>
      </c>
      <c r="B3621" s="9" t="s">
        <v>5308</v>
      </c>
      <c r="C3621" s="9" t="s">
        <v>772</v>
      </c>
      <c r="D3621" s="9" t="s">
        <v>11</v>
      </c>
      <c r="E3621" s="9">
        <v>41</v>
      </c>
      <c r="F3621" s="9">
        <v>6.9</v>
      </c>
      <c r="G3621" s="9">
        <v>5000000</v>
      </c>
      <c r="H3621" s="9">
        <v>4074023</v>
      </c>
      <c r="I3621" s="5">
        <f>IMDB_Movies!$H3621-IMDB_Movies!$G3621</f>
        <v>-925977</v>
      </c>
    </row>
    <row r="3622" spans="1:9" ht="23">
      <c r="A3622" s="2" t="s">
        <v>5309</v>
      </c>
      <c r="B3622" s="9" t="s">
        <v>2815</v>
      </c>
      <c r="C3622" s="9" t="s">
        <v>56</v>
      </c>
      <c r="D3622" s="9" t="s">
        <v>11</v>
      </c>
      <c r="E3622" s="9">
        <v>112</v>
      </c>
      <c r="F3622" s="9">
        <v>7.7</v>
      </c>
      <c r="G3622" s="9">
        <v>5000000</v>
      </c>
      <c r="H3622" s="9">
        <v>4306697</v>
      </c>
      <c r="I3622" s="5">
        <f>IMDB_Movies!$H3622-IMDB_Movies!$G3622</f>
        <v>-693303</v>
      </c>
    </row>
    <row r="3623" spans="1:9" ht="23">
      <c r="A3623" s="2" t="s">
        <v>5310</v>
      </c>
      <c r="B3623" s="9" t="s">
        <v>5311</v>
      </c>
      <c r="C3623" s="9" t="s">
        <v>56</v>
      </c>
      <c r="D3623" s="9" t="s">
        <v>394</v>
      </c>
      <c r="E3623" s="9">
        <v>122</v>
      </c>
      <c r="F3623" s="9">
        <v>7.2</v>
      </c>
      <c r="G3623" s="9">
        <v>4000000</v>
      </c>
      <c r="H3623" s="9">
        <v>3950029</v>
      </c>
      <c r="I3623" s="5">
        <f>IMDB_Movies!$H3623-IMDB_Movies!$G3623</f>
        <v>-49971</v>
      </c>
    </row>
    <row r="3624" spans="1:9" ht="23">
      <c r="A3624" s="2" t="s">
        <v>5312</v>
      </c>
      <c r="B3624" s="9" t="s">
        <v>5313</v>
      </c>
      <c r="C3624" s="9" t="s">
        <v>138</v>
      </c>
      <c r="D3624" s="9" t="s">
        <v>11</v>
      </c>
      <c r="E3624" s="9">
        <v>110</v>
      </c>
      <c r="F3624" s="9">
        <v>6.8</v>
      </c>
      <c r="G3624" s="9">
        <v>5000000</v>
      </c>
      <c r="H3624" s="9">
        <v>4040588</v>
      </c>
      <c r="I3624" s="5">
        <f>IMDB_Movies!$H3624-IMDB_Movies!$G3624</f>
        <v>-959412</v>
      </c>
    </row>
    <row r="3625" spans="1:9" ht="23">
      <c r="A3625" s="2" t="s">
        <v>5314</v>
      </c>
      <c r="B3625" s="9" t="s">
        <v>5315</v>
      </c>
      <c r="C3625" s="9" t="s">
        <v>138</v>
      </c>
      <c r="D3625" s="9" t="s">
        <v>11</v>
      </c>
      <c r="E3625" s="9">
        <v>87</v>
      </c>
      <c r="F3625" s="9">
        <v>6.2</v>
      </c>
      <c r="G3625" s="9">
        <v>5000000</v>
      </c>
      <c r="H3625" s="9">
        <v>25078937</v>
      </c>
      <c r="I3625" s="5">
        <f>IMDB_Movies!$H3625-IMDB_Movies!$G3625</f>
        <v>20078937</v>
      </c>
    </row>
    <row r="3626" spans="1:9" ht="23">
      <c r="A3626" s="2" t="s">
        <v>5316</v>
      </c>
      <c r="B3626" s="9" t="s">
        <v>46</v>
      </c>
      <c r="C3626" s="9" t="s">
        <v>418</v>
      </c>
      <c r="D3626" s="9" t="s">
        <v>11</v>
      </c>
      <c r="E3626" s="9">
        <v>108</v>
      </c>
      <c r="F3626" s="9">
        <v>7.4</v>
      </c>
      <c r="G3626" s="9">
        <v>5000000</v>
      </c>
      <c r="H3626" s="9">
        <v>3049135</v>
      </c>
      <c r="I3626" s="5">
        <f>IMDB_Movies!$H3626-IMDB_Movies!$G3626</f>
        <v>-1950865</v>
      </c>
    </row>
    <row r="3627" spans="1:9" ht="23">
      <c r="A3627" s="2" t="s">
        <v>5317</v>
      </c>
      <c r="B3627" s="9" t="s">
        <v>4001</v>
      </c>
      <c r="C3627" s="9" t="s">
        <v>56</v>
      </c>
      <c r="D3627" s="9" t="s">
        <v>11</v>
      </c>
      <c r="E3627" s="9">
        <v>121</v>
      </c>
      <c r="F3627" s="9">
        <v>4.5999999999999996</v>
      </c>
      <c r="G3627" s="9">
        <v>5000000</v>
      </c>
      <c r="H3627" s="9">
        <v>4700361</v>
      </c>
      <c r="I3627" s="5">
        <f>IMDB_Movies!$H3627-IMDB_Movies!$G3627</f>
        <v>-299639</v>
      </c>
    </row>
    <row r="3628" spans="1:9" ht="23">
      <c r="A3628" s="2" t="s">
        <v>5318</v>
      </c>
      <c r="B3628" s="9" t="s">
        <v>5319</v>
      </c>
      <c r="C3628" s="9" t="s">
        <v>138</v>
      </c>
      <c r="D3628" s="9" t="s">
        <v>11</v>
      </c>
      <c r="E3628" s="9">
        <v>97</v>
      </c>
      <c r="F3628" s="9">
        <v>6.4</v>
      </c>
      <c r="G3628" s="9">
        <v>5000000</v>
      </c>
      <c r="H3628" s="9">
        <v>2711210</v>
      </c>
      <c r="I3628" s="5">
        <f>IMDB_Movies!$H3628-IMDB_Movies!$G3628</f>
        <v>-2288790</v>
      </c>
    </row>
    <row r="3629" spans="1:9" ht="23">
      <c r="A3629" s="2" t="s">
        <v>5320</v>
      </c>
      <c r="B3629" s="9" t="s">
        <v>1811</v>
      </c>
      <c r="C3629" s="9" t="s">
        <v>138</v>
      </c>
      <c r="D3629" s="9" t="s">
        <v>11</v>
      </c>
      <c r="E3629" s="9">
        <v>116</v>
      </c>
      <c r="F3629" s="9">
        <v>7</v>
      </c>
      <c r="G3629" s="9">
        <v>5000000</v>
      </c>
      <c r="H3629" s="9">
        <v>1980338</v>
      </c>
      <c r="I3629" s="5">
        <f>IMDB_Movies!$H3629-IMDB_Movies!$G3629</f>
        <v>-3019662</v>
      </c>
    </row>
    <row r="3630" spans="1:9" ht="23">
      <c r="A3630" s="2" t="s">
        <v>5321</v>
      </c>
      <c r="B3630" s="9" t="s">
        <v>3815</v>
      </c>
      <c r="C3630" s="9" t="s">
        <v>56</v>
      </c>
      <c r="D3630" s="9" t="s">
        <v>11</v>
      </c>
      <c r="E3630" s="9">
        <v>94</v>
      </c>
      <c r="F3630" s="9">
        <v>7.7</v>
      </c>
      <c r="G3630" s="9">
        <v>5000000</v>
      </c>
      <c r="H3630" s="9">
        <v>1082044</v>
      </c>
      <c r="I3630" s="5">
        <f>IMDB_Movies!$H3630-IMDB_Movies!$G3630</f>
        <v>-3917956</v>
      </c>
    </row>
    <row r="3631" spans="1:9" ht="23">
      <c r="A3631" s="2" t="s">
        <v>5322</v>
      </c>
      <c r="B3631" s="9" t="s">
        <v>4056</v>
      </c>
      <c r="C3631" s="9" t="s">
        <v>414</v>
      </c>
      <c r="D3631" s="9" t="s">
        <v>11</v>
      </c>
      <c r="E3631" s="9">
        <v>103</v>
      </c>
      <c r="F3631" s="9">
        <v>6.8</v>
      </c>
      <c r="G3631" s="9">
        <v>5000000</v>
      </c>
      <c r="H3631" s="9">
        <v>1100000</v>
      </c>
      <c r="I3631" s="5">
        <f>IMDB_Movies!$H3631-IMDB_Movies!$G3631</f>
        <v>-3900000</v>
      </c>
    </row>
    <row r="3632" spans="1:9" ht="23">
      <c r="A3632" s="2" t="s">
        <v>5323</v>
      </c>
      <c r="B3632" s="9" t="s">
        <v>5324</v>
      </c>
      <c r="C3632" s="9" t="s">
        <v>418</v>
      </c>
      <c r="D3632" s="9" t="s">
        <v>11</v>
      </c>
      <c r="E3632" s="9">
        <v>112</v>
      </c>
      <c r="F3632" s="9">
        <v>7</v>
      </c>
      <c r="G3632" s="9">
        <v>5000000</v>
      </c>
      <c r="H3632" s="9">
        <v>2445646</v>
      </c>
      <c r="I3632" s="5">
        <f>IMDB_Movies!$H3632-IMDB_Movies!$G3632</f>
        <v>-2554354</v>
      </c>
    </row>
    <row r="3633" spans="1:9" ht="23">
      <c r="A3633" s="2" t="s">
        <v>5325</v>
      </c>
      <c r="B3633" s="9" t="s">
        <v>5089</v>
      </c>
      <c r="C3633" s="9" t="s">
        <v>56</v>
      </c>
      <c r="D3633" s="9" t="s">
        <v>11</v>
      </c>
      <c r="E3633" s="9">
        <v>91</v>
      </c>
      <c r="F3633" s="9">
        <v>7</v>
      </c>
      <c r="G3633" s="9">
        <v>5000000</v>
      </c>
      <c r="H3633" s="9">
        <v>2221809</v>
      </c>
      <c r="I3633" s="5">
        <f>IMDB_Movies!$H3633-IMDB_Movies!$G3633</f>
        <v>-2778191</v>
      </c>
    </row>
    <row r="3634" spans="1:9" ht="23">
      <c r="A3634" s="2" t="s">
        <v>5326</v>
      </c>
      <c r="B3634" s="9" t="s">
        <v>5327</v>
      </c>
      <c r="C3634" s="9" t="s">
        <v>418</v>
      </c>
      <c r="D3634" s="9" t="s">
        <v>11</v>
      </c>
      <c r="E3634" s="9">
        <v>98</v>
      </c>
      <c r="F3634" s="9">
        <v>6.3</v>
      </c>
      <c r="G3634" s="9">
        <v>5000000</v>
      </c>
      <c r="H3634" s="9">
        <v>296665</v>
      </c>
      <c r="I3634" s="5">
        <f>IMDB_Movies!$H3634-IMDB_Movies!$G3634</f>
        <v>-4703335</v>
      </c>
    </row>
    <row r="3635" spans="1:9" ht="23">
      <c r="A3635" s="2" t="s">
        <v>5328</v>
      </c>
      <c r="B3635" s="9" t="s">
        <v>5329</v>
      </c>
      <c r="C3635" s="9" t="s">
        <v>414</v>
      </c>
      <c r="D3635" s="9" t="s">
        <v>11</v>
      </c>
      <c r="E3635" s="9">
        <v>95</v>
      </c>
      <c r="F3635" s="9">
        <v>7.1</v>
      </c>
      <c r="G3635" s="9">
        <v>5000000</v>
      </c>
      <c r="H3635" s="9">
        <v>3219029</v>
      </c>
      <c r="I3635" s="5">
        <f>IMDB_Movies!$H3635-IMDB_Movies!$G3635</f>
        <v>-1780971</v>
      </c>
    </row>
    <row r="3636" spans="1:9" ht="23">
      <c r="A3636" s="2" t="s">
        <v>5330</v>
      </c>
      <c r="B3636" s="9" t="s">
        <v>5331</v>
      </c>
      <c r="C3636" s="9" t="s">
        <v>138</v>
      </c>
      <c r="D3636" s="9" t="s">
        <v>11</v>
      </c>
      <c r="E3636" s="9">
        <v>88</v>
      </c>
      <c r="F3636" s="9">
        <v>5.6</v>
      </c>
      <c r="G3636" s="9">
        <v>5000000</v>
      </c>
      <c r="H3636" s="9">
        <v>25078937</v>
      </c>
      <c r="I3636" s="5">
        <f>IMDB_Movies!$H3636-IMDB_Movies!$G3636</f>
        <v>20078937</v>
      </c>
    </row>
    <row r="3637" spans="1:9" ht="23">
      <c r="A3637" s="2" t="s">
        <v>5332</v>
      </c>
      <c r="B3637" s="9" t="s">
        <v>5333</v>
      </c>
      <c r="C3637" s="9" t="s">
        <v>56</v>
      </c>
      <c r="D3637" s="9" t="s">
        <v>11</v>
      </c>
      <c r="E3637" s="9">
        <v>99</v>
      </c>
      <c r="F3637" s="9">
        <v>4.4000000000000004</v>
      </c>
      <c r="G3637" s="9">
        <v>5000000</v>
      </c>
      <c r="H3637" s="9">
        <v>830210</v>
      </c>
      <c r="I3637" s="5">
        <f>IMDB_Movies!$H3637-IMDB_Movies!$G3637</f>
        <v>-4169790</v>
      </c>
    </row>
    <row r="3638" spans="1:9" ht="23">
      <c r="A3638" s="2" t="s">
        <v>5334</v>
      </c>
      <c r="B3638" s="9" t="s">
        <v>1473</v>
      </c>
      <c r="C3638" s="9" t="s">
        <v>138</v>
      </c>
      <c r="D3638" s="9" t="s">
        <v>11</v>
      </c>
      <c r="E3638" s="9">
        <v>91</v>
      </c>
      <c r="F3638" s="9">
        <v>7.1</v>
      </c>
      <c r="G3638" s="9">
        <v>7000000</v>
      </c>
      <c r="H3638" s="9">
        <v>1040879</v>
      </c>
      <c r="I3638" s="5">
        <f>IMDB_Movies!$H3638-IMDB_Movies!$G3638</f>
        <v>-5959121</v>
      </c>
    </row>
    <row r="3639" spans="1:9" ht="23">
      <c r="A3639" s="2" t="s">
        <v>5335</v>
      </c>
      <c r="B3639" s="9" t="s">
        <v>2875</v>
      </c>
      <c r="C3639" s="9" t="s">
        <v>414</v>
      </c>
      <c r="D3639" s="9" t="s">
        <v>11</v>
      </c>
      <c r="E3639" s="9">
        <v>97</v>
      </c>
      <c r="F3639" s="9">
        <v>6.1</v>
      </c>
      <c r="G3639" s="9">
        <v>5000000</v>
      </c>
      <c r="H3639" s="9">
        <v>326308</v>
      </c>
      <c r="I3639" s="5">
        <f>IMDB_Movies!$H3639-IMDB_Movies!$G3639</f>
        <v>-4673692</v>
      </c>
    </row>
    <row r="3640" spans="1:9" ht="23">
      <c r="A3640" s="2" t="s">
        <v>5336</v>
      </c>
      <c r="B3640" s="9" t="s">
        <v>5337</v>
      </c>
      <c r="C3640" s="9" t="s">
        <v>418</v>
      </c>
      <c r="D3640" s="9" t="s">
        <v>1534</v>
      </c>
      <c r="E3640" s="9">
        <v>136</v>
      </c>
      <c r="F3640" s="9">
        <v>7.4</v>
      </c>
      <c r="G3640" s="9">
        <v>20000000</v>
      </c>
      <c r="H3640" s="9">
        <v>240425</v>
      </c>
      <c r="I3640" s="5">
        <f>IMDB_Movies!$H3640-IMDB_Movies!$G3640</f>
        <v>-19759575</v>
      </c>
    </row>
    <row r="3641" spans="1:9" ht="23">
      <c r="A3641" s="2" t="s">
        <v>5338</v>
      </c>
      <c r="B3641" s="9" t="s">
        <v>5339</v>
      </c>
      <c r="C3641" s="9" t="s">
        <v>414</v>
      </c>
      <c r="D3641" s="9" t="s">
        <v>11</v>
      </c>
      <c r="E3641" s="9">
        <v>118</v>
      </c>
      <c r="F3641" s="9">
        <v>7.5</v>
      </c>
      <c r="G3641" s="9">
        <v>20000000</v>
      </c>
      <c r="H3641" s="9">
        <v>228830</v>
      </c>
      <c r="I3641" s="5">
        <f>IMDB_Movies!$H3641-IMDB_Movies!$G3641</f>
        <v>-19771170</v>
      </c>
    </row>
    <row r="3642" spans="1:9" ht="23">
      <c r="A3642" s="2" t="s">
        <v>5340</v>
      </c>
      <c r="B3642" s="9" t="s">
        <v>5341</v>
      </c>
      <c r="C3642" s="9" t="s">
        <v>56</v>
      </c>
      <c r="D3642" s="9" t="s">
        <v>11</v>
      </c>
      <c r="E3642" s="9">
        <v>94</v>
      </c>
      <c r="F3642" s="9">
        <v>7.2</v>
      </c>
      <c r="G3642" s="9">
        <v>2200000</v>
      </c>
      <c r="H3642" s="9">
        <v>25078937</v>
      </c>
      <c r="I3642" s="5">
        <f>IMDB_Movies!$H3642-IMDB_Movies!$G3642</f>
        <v>22878937</v>
      </c>
    </row>
    <row r="3643" spans="1:9" ht="23">
      <c r="A3643" s="2" t="s">
        <v>5342</v>
      </c>
      <c r="B3643" s="9" t="s">
        <v>5343</v>
      </c>
      <c r="C3643" s="9" t="s">
        <v>138</v>
      </c>
      <c r="D3643" s="9" t="s">
        <v>11</v>
      </c>
      <c r="E3643" s="9">
        <v>89</v>
      </c>
      <c r="F3643" s="9">
        <v>7.6</v>
      </c>
      <c r="G3643" s="9">
        <v>20000000</v>
      </c>
      <c r="H3643" s="9">
        <v>223615</v>
      </c>
      <c r="I3643" s="5">
        <f>IMDB_Movies!$H3643-IMDB_Movies!$G3643</f>
        <v>-19776385</v>
      </c>
    </row>
    <row r="3644" spans="1:9" ht="23">
      <c r="A3644" s="2" t="s">
        <v>5344</v>
      </c>
      <c r="B3644" s="9" t="s">
        <v>5345</v>
      </c>
      <c r="C3644" s="9" t="s">
        <v>56</v>
      </c>
      <c r="D3644" s="9" t="s">
        <v>11</v>
      </c>
      <c r="E3644" s="9">
        <v>90</v>
      </c>
      <c r="F3644" s="9">
        <v>7.3</v>
      </c>
      <c r="G3644" s="9">
        <v>5000000</v>
      </c>
      <c r="H3644" s="9">
        <v>124720</v>
      </c>
      <c r="I3644" s="5">
        <f>IMDB_Movies!$H3644-IMDB_Movies!$G3644</f>
        <v>-4875280</v>
      </c>
    </row>
    <row r="3645" spans="1:9" ht="23">
      <c r="A3645" s="2" t="s">
        <v>5346</v>
      </c>
      <c r="B3645" s="9" t="s">
        <v>5347</v>
      </c>
      <c r="C3645" s="9" t="s">
        <v>24</v>
      </c>
      <c r="D3645" s="9" t="s">
        <v>11</v>
      </c>
      <c r="E3645" s="9">
        <v>95</v>
      </c>
      <c r="F3645" s="9">
        <v>6.2</v>
      </c>
      <c r="G3645" s="9">
        <v>3209000</v>
      </c>
      <c r="H3645" s="9">
        <v>25078937</v>
      </c>
      <c r="I3645" s="5">
        <f>IMDB_Movies!$H3645-IMDB_Movies!$G3645</f>
        <v>21869937</v>
      </c>
    </row>
    <row r="3646" spans="1:9" ht="23">
      <c r="A3646" s="2" t="s">
        <v>5348</v>
      </c>
      <c r="B3646" s="9" t="s">
        <v>5349</v>
      </c>
      <c r="C3646" s="9" t="s">
        <v>56</v>
      </c>
      <c r="D3646" s="9" t="s">
        <v>11</v>
      </c>
      <c r="E3646" s="9">
        <v>90</v>
      </c>
      <c r="F3646" s="9">
        <v>6.2</v>
      </c>
      <c r="G3646" s="9">
        <v>2000000</v>
      </c>
      <c r="H3646" s="9">
        <v>99147</v>
      </c>
      <c r="I3646" s="5">
        <f>IMDB_Movies!$H3646-IMDB_Movies!$G3646</f>
        <v>-1900853</v>
      </c>
    </row>
    <row r="3647" spans="1:9" ht="23">
      <c r="A3647" s="2" t="s">
        <v>5350</v>
      </c>
      <c r="B3647" s="9" t="s">
        <v>5351</v>
      </c>
      <c r="C3647" s="9" t="s">
        <v>138</v>
      </c>
      <c r="D3647" s="9" t="s">
        <v>11</v>
      </c>
      <c r="E3647" s="9">
        <v>95</v>
      </c>
      <c r="F3647" s="9">
        <v>4.5999999999999996</v>
      </c>
      <c r="G3647" s="9">
        <v>5000000</v>
      </c>
      <c r="H3647" s="9">
        <v>25078937</v>
      </c>
      <c r="I3647" s="5">
        <f>IMDB_Movies!$H3647-IMDB_Movies!$G3647</f>
        <v>20078937</v>
      </c>
    </row>
    <row r="3648" spans="1:9" ht="23">
      <c r="A3648" s="2" t="s">
        <v>5352</v>
      </c>
      <c r="B3648" s="9" t="s">
        <v>247</v>
      </c>
      <c r="C3648" s="9" t="s">
        <v>810</v>
      </c>
      <c r="D3648" s="9" t="s">
        <v>11</v>
      </c>
      <c r="E3648" s="9">
        <v>94</v>
      </c>
      <c r="F3648" s="9">
        <v>6.2</v>
      </c>
      <c r="G3648" s="9">
        <v>5000000</v>
      </c>
      <c r="H3648" s="9">
        <v>65069140</v>
      </c>
      <c r="I3648" s="5">
        <f>IMDB_Movies!$H3648-IMDB_Movies!$G3648</f>
        <v>60069140</v>
      </c>
    </row>
    <row r="3649" spans="1:9" ht="23">
      <c r="A3649" s="2" t="s">
        <v>5353</v>
      </c>
      <c r="B3649" s="9" t="s">
        <v>600</v>
      </c>
      <c r="C3649" s="9" t="s">
        <v>414</v>
      </c>
      <c r="D3649" s="9" t="s">
        <v>11</v>
      </c>
      <c r="E3649" s="9">
        <v>90</v>
      </c>
      <c r="F3649" s="9">
        <v>6.2</v>
      </c>
      <c r="G3649" s="9">
        <v>5000000</v>
      </c>
      <c r="H3649" s="9">
        <v>65087</v>
      </c>
      <c r="I3649" s="5">
        <f>IMDB_Movies!$H3649-IMDB_Movies!$G3649</f>
        <v>-4934913</v>
      </c>
    </row>
    <row r="3650" spans="1:9" ht="23">
      <c r="A3650" s="2" t="s">
        <v>5354</v>
      </c>
      <c r="B3650" s="9" t="s">
        <v>5355</v>
      </c>
      <c r="C3650" s="9" t="s">
        <v>228</v>
      </c>
      <c r="D3650" s="9" t="s">
        <v>11</v>
      </c>
      <c r="E3650" s="9">
        <v>103</v>
      </c>
      <c r="F3650" s="9">
        <v>3.3</v>
      </c>
      <c r="G3650" s="9">
        <v>5000000</v>
      </c>
      <c r="H3650" s="9">
        <v>16066</v>
      </c>
      <c r="I3650" s="5">
        <f>IMDB_Movies!$H3650-IMDB_Movies!$G3650</f>
        <v>-4983934</v>
      </c>
    </row>
    <row r="3651" spans="1:9" ht="23">
      <c r="A3651" s="2" t="s">
        <v>5356</v>
      </c>
      <c r="B3651" s="9" t="s">
        <v>5357</v>
      </c>
      <c r="C3651" s="9" t="s">
        <v>810</v>
      </c>
      <c r="D3651" s="9" t="s">
        <v>11</v>
      </c>
      <c r="E3651" s="9">
        <v>91</v>
      </c>
      <c r="F3651" s="9">
        <v>4.2</v>
      </c>
      <c r="G3651" s="9">
        <v>5000000</v>
      </c>
      <c r="H3651" s="9">
        <v>25078937</v>
      </c>
      <c r="I3651" s="5">
        <f>IMDB_Movies!$H3651-IMDB_Movies!$G3651</f>
        <v>20078937</v>
      </c>
    </row>
    <row r="3652" spans="1:9" ht="23">
      <c r="A3652" s="2" t="s">
        <v>5358</v>
      </c>
      <c r="B3652" s="9" t="s">
        <v>4305</v>
      </c>
      <c r="C3652" s="9" t="s">
        <v>56</v>
      </c>
      <c r="D3652" s="9" t="s">
        <v>741</v>
      </c>
      <c r="E3652" s="9">
        <v>102</v>
      </c>
      <c r="F3652" s="9">
        <v>7.2</v>
      </c>
      <c r="G3652" s="9">
        <v>5000000</v>
      </c>
      <c r="H3652" s="9">
        <v>25078937</v>
      </c>
      <c r="I3652" s="5">
        <f>IMDB_Movies!$H3652-IMDB_Movies!$G3652</f>
        <v>20078937</v>
      </c>
    </row>
    <row r="3653" spans="1:9" ht="23">
      <c r="A3653" s="2" t="s">
        <v>5359</v>
      </c>
      <c r="B3653" s="9" t="s">
        <v>5360</v>
      </c>
      <c r="C3653" s="9" t="s">
        <v>138</v>
      </c>
      <c r="D3653" s="9" t="s">
        <v>11</v>
      </c>
      <c r="E3653" s="9">
        <v>92</v>
      </c>
      <c r="F3653" s="9">
        <v>6.2</v>
      </c>
      <c r="G3653" s="9">
        <v>2500000</v>
      </c>
      <c r="H3653" s="9">
        <v>25078937</v>
      </c>
      <c r="I3653" s="5">
        <f>IMDB_Movies!$H3653-IMDB_Movies!$G3653</f>
        <v>22578937</v>
      </c>
    </row>
    <row r="3654" spans="1:9" ht="23">
      <c r="A3654" s="2" t="s">
        <v>5361</v>
      </c>
      <c r="B3654" s="9" t="s">
        <v>1205</v>
      </c>
      <c r="C3654" s="9" t="s">
        <v>138</v>
      </c>
      <c r="D3654" s="9" t="s">
        <v>11</v>
      </c>
      <c r="E3654" s="9">
        <v>87</v>
      </c>
      <c r="F3654" s="9">
        <v>6.1</v>
      </c>
      <c r="G3654" s="9">
        <v>5000000</v>
      </c>
      <c r="H3654" s="9">
        <v>25078937</v>
      </c>
      <c r="I3654" s="5">
        <f>IMDB_Movies!$H3654-IMDB_Movies!$G3654</f>
        <v>20078937</v>
      </c>
    </row>
    <row r="3655" spans="1:9" ht="23">
      <c r="A3655" s="2" t="s">
        <v>5362</v>
      </c>
      <c r="B3655" s="9" t="s">
        <v>4007</v>
      </c>
      <c r="C3655" s="9" t="s">
        <v>116</v>
      </c>
      <c r="D3655" s="9" t="s">
        <v>11</v>
      </c>
      <c r="E3655" s="9">
        <v>80</v>
      </c>
      <c r="F3655" s="9">
        <v>4.2</v>
      </c>
      <c r="G3655" s="9">
        <v>20000000</v>
      </c>
      <c r="H3655" s="9">
        <v>25078937</v>
      </c>
      <c r="I3655" s="5">
        <f>IMDB_Movies!$H3655-IMDB_Movies!$G3655</f>
        <v>5078937</v>
      </c>
    </row>
    <row r="3656" spans="1:9" ht="23">
      <c r="A3656" s="2" t="s">
        <v>5363</v>
      </c>
      <c r="B3656" s="9" t="s">
        <v>5364</v>
      </c>
      <c r="C3656" s="9" t="s">
        <v>56</v>
      </c>
      <c r="D3656" s="9" t="s">
        <v>11</v>
      </c>
      <c r="E3656" s="9">
        <v>90</v>
      </c>
      <c r="F3656" s="9">
        <v>4.5</v>
      </c>
      <c r="G3656" s="9">
        <v>20000000</v>
      </c>
      <c r="H3656" s="9">
        <v>25078937</v>
      </c>
      <c r="I3656" s="5">
        <f>IMDB_Movies!$H3656-IMDB_Movies!$G3656</f>
        <v>5078937</v>
      </c>
    </row>
    <row r="3657" spans="1:9" ht="23">
      <c r="A3657" s="2" t="s">
        <v>5365</v>
      </c>
      <c r="B3657" s="9" t="s">
        <v>5366</v>
      </c>
      <c r="C3657" s="9" t="s">
        <v>138</v>
      </c>
      <c r="D3657" s="9" t="s">
        <v>11</v>
      </c>
      <c r="E3657" s="9">
        <v>105</v>
      </c>
      <c r="F3657" s="9">
        <v>7.5</v>
      </c>
      <c r="G3657" s="9">
        <v>5000000</v>
      </c>
      <c r="H3657" s="9">
        <v>37440</v>
      </c>
      <c r="I3657" s="5">
        <f>IMDB_Movies!$H3657-IMDB_Movies!$G3657</f>
        <v>-4962560</v>
      </c>
    </row>
    <row r="3658" spans="1:9" ht="23">
      <c r="A3658" s="2" t="s">
        <v>5367</v>
      </c>
      <c r="B3658" s="9" t="s">
        <v>5368</v>
      </c>
      <c r="C3658" s="9" t="s">
        <v>116</v>
      </c>
      <c r="D3658" s="9" t="s">
        <v>11</v>
      </c>
      <c r="E3658" s="9">
        <v>67</v>
      </c>
      <c r="F3658" s="9">
        <v>6.7</v>
      </c>
      <c r="G3658" s="9">
        <v>10000000</v>
      </c>
      <c r="H3658" s="9">
        <v>25078937</v>
      </c>
      <c r="I3658" s="5">
        <f>IMDB_Movies!$H3658-IMDB_Movies!$G3658</f>
        <v>15078937</v>
      </c>
    </row>
    <row r="3659" spans="1:9" ht="23">
      <c r="A3659" s="2" t="s">
        <v>5369</v>
      </c>
      <c r="B3659" s="9" t="s">
        <v>4923</v>
      </c>
      <c r="C3659" s="9" t="s">
        <v>138</v>
      </c>
      <c r="D3659" s="9" t="s">
        <v>11</v>
      </c>
      <c r="E3659" s="9">
        <v>95</v>
      </c>
      <c r="F3659" s="9">
        <v>5.0999999999999996</v>
      </c>
      <c r="G3659" s="9">
        <v>20000000</v>
      </c>
      <c r="H3659" s="9">
        <v>25078937</v>
      </c>
      <c r="I3659" s="5">
        <f>IMDB_Movies!$H3659-IMDB_Movies!$G3659</f>
        <v>5078937</v>
      </c>
    </row>
    <row r="3660" spans="1:9" ht="23">
      <c r="A3660" s="2" t="s">
        <v>5370</v>
      </c>
      <c r="B3660" s="9" t="s">
        <v>4453</v>
      </c>
      <c r="C3660" s="9" t="s">
        <v>414</v>
      </c>
      <c r="D3660" s="9" t="s">
        <v>11</v>
      </c>
      <c r="E3660" s="9">
        <v>87</v>
      </c>
      <c r="F3660" s="9">
        <v>5.5</v>
      </c>
      <c r="G3660" s="9">
        <v>5000000</v>
      </c>
      <c r="H3660" s="9">
        <v>25078937</v>
      </c>
      <c r="I3660" s="5">
        <f>IMDB_Movies!$H3660-IMDB_Movies!$G3660</f>
        <v>20078937</v>
      </c>
    </row>
    <row r="3661" spans="1:9" ht="23">
      <c r="A3661" s="2" t="s">
        <v>5371</v>
      </c>
      <c r="B3661" s="9" t="s">
        <v>4056</v>
      </c>
      <c r="C3661" s="9" t="s">
        <v>56</v>
      </c>
      <c r="D3661" s="9" t="s">
        <v>11</v>
      </c>
      <c r="E3661" s="9">
        <v>94</v>
      </c>
      <c r="F3661" s="9">
        <v>4.4000000000000004</v>
      </c>
      <c r="G3661" s="9">
        <v>5000000</v>
      </c>
      <c r="H3661" s="9">
        <v>25078937</v>
      </c>
      <c r="I3661" s="5">
        <f>IMDB_Movies!$H3661-IMDB_Movies!$G3661</f>
        <v>20078937</v>
      </c>
    </row>
    <row r="3662" spans="1:9" ht="23">
      <c r="A3662" s="2" t="s">
        <v>5372</v>
      </c>
      <c r="B3662" s="9" t="s">
        <v>5373</v>
      </c>
      <c r="C3662" s="9" t="s">
        <v>10</v>
      </c>
      <c r="D3662" s="9" t="s">
        <v>11</v>
      </c>
      <c r="E3662" s="9">
        <v>109</v>
      </c>
      <c r="F3662" s="9">
        <v>4.4000000000000004</v>
      </c>
      <c r="G3662" s="9">
        <v>5000000</v>
      </c>
      <c r="H3662" s="9">
        <v>25078937</v>
      </c>
      <c r="I3662" s="5">
        <f>IMDB_Movies!$H3662-IMDB_Movies!$G3662</f>
        <v>20078937</v>
      </c>
    </row>
    <row r="3663" spans="1:9" ht="23">
      <c r="A3663" s="2" t="s">
        <v>5374</v>
      </c>
      <c r="B3663" s="9" t="s">
        <v>489</v>
      </c>
      <c r="C3663" s="9" t="s">
        <v>10</v>
      </c>
      <c r="D3663" s="9" t="s">
        <v>11</v>
      </c>
      <c r="E3663" s="9">
        <v>130</v>
      </c>
      <c r="F3663" s="9">
        <v>6.8</v>
      </c>
      <c r="G3663" s="9">
        <v>5000000</v>
      </c>
      <c r="H3663" s="9">
        <v>25078937</v>
      </c>
      <c r="I3663" s="5">
        <f>IMDB_Movies!$H3663-IMDB_Movies!$G3663</f>
        <v>20078937</v>
      </c>
    </row>
    <row r="3664" spans="1:9" ht="23">
      <c r="A3664" s="2" t="s">
        <v>5375</v>
      </c>
      <c r="B3664" s="9" t="s">
        <v>5376</v>
      </c>
      <c r="C3664" s="9" t="s">
        <v>3326</v>
      </c>
      <c r="D3664" s="9" t="s">
        <v>11</v>
      </c>
      <c r="E3664" s="9">
        <v>88</v>
      </c>
      <c r="F3664" s="9">
        <v>8.6</v>
      </c>
      <c r="G3664" s="9">
        <v>5000000</v>
      </c>
      <c r="H3664" s="9">
        <v>25078937</v>
      </c>
      <c r="I3664" s="5">
        <f>IMDB_Movies!$H3664-IMDB_Movies!$G3664</f>
        <v>20078937</v>
      </c>
    </row>
    <row r="3665" spans="1:9" ht="23">
      <c r="A3665" s="2" t="s">
        <v>5377</v>
      </c>
      <c r="B3665" s="9" t="s">
        <v>1973</v>
      </c>
      <c r="C3665" s="9" t="s">
        <v>138</v>
      </c>
      <c r="D3665" s="9" t="s">
        <v>11</v>
      </c>
      <c r="E3665" s="9">
        <v>88</v>
      </c>
      <c r="F3665" s="9">
        <v>4.8</v>
      </c>
      <c r="G3665" s="9">
        <v>5000000</v>
      </c>
      <c r="H3665" s="9">
        <v>25078937</v>
      </c>
      <c r="I3665" s="5">
        <f>IMDB_Movies!$H3665-IMDB_Movies!$G3665</f>
        <v>20078937</v>
      </c>
    </row>
    <row r="3666" spans="1:9" ht="23">
      <c r="A3666" s="2" t="s">
        <v>5378</v>
      </c>
      <c r="B3666" s="9" t="s">
        <v>5379</v>
      </c>
      <c r="C3666" s="9" t="s">
        <v>10</v>
      </c>
      <c r="D3666" s="9" t="s">
        <v>11</v>
      </c>
      <c r="E3666" s="9">
        <v>97</v>
      </c>
      <c r="F3666" s="9">
        <v>3.4</v>
      </c>
      <c r="G3666" s="9">
        <v>20000000</v>
      </c>
      <c r="H3666" s="9">
        <v>25078937</v>
      </c>
      <c r="I3666" s="5">
        <f>IMDB_Movies!$H3666-IMDB_Movies!$G3666</f>
        <v>5078937</v>
      </c>
    </row>
    <row r="3667" spans="1:9" ht="23">
      <c r="A3667" s="2" t="s">
        <v>5380</v>
      </c>
      <c r="B3667" s="9" t="s">
        <v>5381</v>
      </c>
      <c r="C3667" s="9" t="s">
        <v>138</v>
      </c>
      <c r="D3667" s="9" t="s">
        <v>5382</v>
      </c>
      <c r="E3667" s="9">
        <v>113</v>
      </c>
      <c r="F3667" s="9">
        <v>7.4</v>
      </c>
      <c r="G3667" s="9">
        <v>84450000</v>
      </c>
      <c r="H3667" s="9">
        <v>617228</v>
      </c>
      <c r="I3667" s="5">
        <f>IMDB_Movies!$H3667-IMDB_Movies!$G3667</f>
        <v>-83832772</v>
      </c>
    </row>
    <row r="3668" spans="1:9" ht="23">
      <c r="A3668" s="2" t="s">
        <v>5383</v>
      </c>
      <c r="B3668" s="9" t="s">
        <v>5384</v>
      </c>
      <c r="C3668" s="9" t="s">
        <v>138</v>
      </c>
      <c r="D3668" s="9" t="s">
        <v>2452</v>
      </c>
      <c r="E3668" s="9">
        <v>99</v>
      </c>
      <c r="F3668" s="9">
        <v>7.3</v>
      </c>
      <c r="G3668" s="9">
        <v>4000000</v>
      </c>
      <c r="H3668" s="9">
        <v>274385</v>
      </c>
      <c r="I3668" s="5">
        <f>IMDB_Movies!$H3668-IMDB_Movies!$G3668</f>
        <v>-3725615</v>
      </c>
    </row>
    <row r="3669" spans="1:9" ht="23">
      <c r="A3669" s="2" t="s">
        <v>5385</v>
      </c>
      <c r="B3669" s="9" t="s">
        <v>1632</v>
      </c>
      <c r="C3669" s="9" t="s">
        <v>56</v>
      </c>
      <c r="D3669" s="9" t="s">
        <v>11</v>
      </c>
      <c r="E3669" s="9">
        <v>148</v>
      </c>
      <c r="F3669" s="9">
        <v>8</v>
      </c>
      <c r="G3669" s="9">
        <v>890000</v>
      </c>
      <c r="H3669" s="9">
        <v>24475416</v>
      </c>
      <c r="I3669" s="5">
        <f>IMDB_Movies!$H3669-IMDB_Movies!$G3669</f>
        <v>23585416</v>
      </c>
    </row>
    <row r="3670" spans="1:9" ht="23">
      <c r="A3670" s="2" t="s">
        <v>5386</v>
      </c>
      <c r="B3670" s="9" t="s">
        <v>5387</v>
      </c>
      <c r="C3670" s="9" t="s">
        <v>810</v>
      </c>
      <c r="D3670" s="9" t="s">
        <v>11</v>
      </c>
      <c r="E3670" s="9">
        <v>107</v>
      </c>
      <c r="F3670" s="9">
        <v>6.5</v>
      </c>
      <c r="G3670" s="9">
        <v>3000000</v>
      </c>
      <c r="H3670" s="9">
        <v>25078937</v>
      </c>
      <c r="I3670" s="5">
        <f>IMDB_Movies!$H3670-IMDB_Movies!$G3670</f>
        <v>22078937</v>
      </c>
    </row>
    <row r="3671" spans="1:9" ht="23">
      <c r="A3671" s="2" t="s">
        <v>5388</v>
      </c>
      <c r="B3671" s="9" t="s">
        <v>4839</v>
      </c>
      <c r="C3671" s="9" t="s">
        <v>810</v>
      </c>
      <c r="D3671" s="9" t="s">
        <v>11</v>
      </c>
      <c r="E3671" s="9">
        <v>93</v>
      </c>
      <c r="F3671" s="9">
        <v>5.9</v>
      </c>
      <c r="G3671" s="9">
        <v>4800000</v>
      </c>
      <c r="H3671" s="9">
        <v>47277326</v>
      </c>
      <c r="I3671" s="5">
        <f>IMDB_Movies!$H3671-IMDB_Movies!$G3671</f>
        <v>42477326</v>
      </c>
    </row>
    <row r="3672" spans="1:9" ht="23">
      <c r="A3672" s="2" t="s">
        <v>5389</v>
      </c>
      <c r="B3672" s="9" t="s">
        <v>2645</v>
      </c>
      <c r="C3672" s="9" t="s">
        <v>138</v>
      </c>
      <c r="D3672" s="9" t="s">
        <v>11</v>
      </c>
      <c r="E3672" s="9">
        <v>94</v>
      </c>
      <c r="F3672" s="9">
        <v>6.8</v>
      </c>
      <c r="G3672" s="9">
        <v>2800000</v>
      </c>
      <c r="H3672" s="9">
        <v>1247453</v>
      </c>
      <c r="I3672" s="5">
        <f>IMDB_Movies!$H3672-IMDB_Movies!$G3672</f>
        <v>-1552547</v>
      </c>
    </row>
    <row r="3673" spans="1:9" ht="23">
      <c r="A3673" s="2" t="s">
        <v>5390</v>
      </c>
      <c r="B3673" s="9" t="s">
        <v>3423</v>
      </c>
      <c r="C3673" s="9" t="s">
        <v>56</v>
      </c>
      <c r="D3673" s="9" t="s">
        <v>11</v>
      </c>
      <c r="E3673" s="9">
        <v>121</v>
      </c>
      <c r="F3673" s="9">
        <v>7.4</v>
      </c>
      <c r="G3673" s="9">
        <v>5000000</v>
      </c>
      <c r="H3673" s="9">
        <v>1729969</v>
      </c>
      <c r="I3673" s="5">
        <f>IMDB_Movies!$H3673-IMDB_Movies!$G3673</f>
        <v>-3270031</v>
      </c>
    </row>
    <row r="3674" spans="1:9" ht="23">
      <c r="A3674" s="2" t="s">
        <v>5391</v>
      </c>
      <c r="B3674" s="9" t="s">
        <v>5392</v>
      </c>
      <c r="C3674" s="9" t="s">
        <v>713</v>
      </c>
      <c r="D3674" s="9" t="s">
        <v>11</v>
      </c>
      <c r="E3674" s="9">
        <v>118</v>
      </c>
      <c r="F3674" s="9">
        <v>6.7</v>
      </c>
      <c r="G3674" s="9">
        <v>4700000</v>
      </c>
      <c r="H3674" s="9">
        <v>1705139</v>
      </c>
      <c r="I3674" s="5">
        <f>IMDB_Movies!$H3674-IMDB_Movies!$G3674</f>
        <v>-2994861</v>
      </c>
    </row>
    <row r="3675" spans="1:9" ht="23">
      <c r="A3675" s="2" t="s">
        <v>5393</v>
      </c>
      <c r="B3675" s="9" t="s">
        <v>5394</v>
      </c>
      <c r="C3675" s="9" t="s">
        <v>138</v>
      </c>
      <c r="D3675" s="9" t="s">
        <v>11</v>
      </c>
      <c r="E3675" s="9">
        <v>98</v>
      </c>
      <c r="F3675" s="9">
        <v>6.8</v>
      </c>
      <c r="G3675" s="9">
        <v>20000000</v>
      </c>
      <c r="H3675" s="9">
        <v>238774</v>
      </c>
      <c r="I3675" s="5">
        <f>IMDB_Movies!$H3675-IMDB_Movies!$G3675</f>
        <v>-19761226</v>
      </c>
    </row>
    <row r="3676" spans="1:9" ht="23">
      <c r="A3676" s="2" t="s">
        <v>5395</v>
      </c>
      <c r="B3676" s="9" t="s">
        <v>5396</v>
      </c>
      <c r="C3676" s="9" t="s">
        <v>138</v>
      </c>
      <c r="D3676" s="9" t="s">
        <v>11</v>
      </c>
      <c r="E3676" s="9">
        <v>82</v>
      </c>
      <c r="F3676" s="9">
        <v>5.4</v>
      </c>
      <c r="G3676" s="9">
        <v>5000000</v>
      </c>
      <c r="H3676" s="9">
        <v>25078937</v>
      </c>
      <c r="I3676" s="5">
        <f>IMDB_Movies!$H3676-IMDB_Movies!$G3676</f>
        <v>20078937</v>
      </c>
    </row>
    <row r="3677" spans="1:9" ht="23">
      <c r="A3677" s="2" t="s">
        <v>5397</v>
      </c>
      <c r="B3677" s="9" t="s">
        <v>2051</v>
      </c>
      <c r="C3677" s="9" t="s">
        <v>138</v>
      </c>
      <c r="D3677" s="9" t="s">
        <v>11</v>
      </c>
      <c r="E3677" s="9">
        <v>101</v>
      </c>
      <c r="F3677" s="9">
        <v>5.5</v>
      </c>
      <c r="G3677" s="9">
        <v>4700000</v>
      </c>
      <c r="H3677" s="9">
        <v>8025872</v>
      </c>
      <c r="I3677" s="5">
        <f>IMDB_Movies!$H3677-IMDB_Movies!$G3677</f>
        <v>3325872</v>
      </c>
    </row>
    <row r="3678" spans="1:9" ht="23">
      <c r="A3678" s="2" t="s">
        <v>5398</v>
      </c>
      <c r="B3678" s="9" t="s">
        <v>5099</v>
      </c>
      <c r="C3678" s="9" t="s">
        <v>418</v>
      </c>
      <c r="D3678" s="9" t="s">
        <v>11</v>
      </c>
      <c r="E3678" s="9">
        <v>106</v>
      </c>
      <c r="F3678" s="9">
        <v>7.4</v>
      </c>
      <c r="G3678" s="9">
        <v>4638783</v>
      </c>
      <c r="H3678" s="9">
        <v>25078937</v>
      </c>
      <c r="I3678" s="5">
        <f>IMDB_Movies!$H3678-IMDB_Movies!$G3678</f>
        <v>20440154</v>
      </c>
    </row>
    <row r="3679" spans="1:9" ht="23">
      <c r="A3679" s="2" t="s">
        <v>5399</v>
      </c>
      <c r="B3679" s="9" t="s">
        <v>3699</v>
      </c>
      <c r="C3679" s="9" t="s">
        <v>414</v>
      </c>
      <c r="D3679" s="9" t="s">
        <v>11</v>
      </c>
      <c r="E3679" s="9">
        <v>90</v>
      </c>
      <c r="F3679" s="9">
        <v>5.7</v>
      </c>
      <c r="G3679" s="9">
        <v>4800000</v>
      </c>
      <c r="H3679" s="9">
        <v>778565</v>
      </c>
      <c r="I3679" s="5">
        <f>IMDB_Movies!$H3679-IMDB_Movies!$G3679</f>
        <v>-4021435</v>
      </c>
    </row>
    <row r="3680" spans="1:9" ht="23">
      <c r="A3680" s="2" t="s">
        <v>5400</v>
      </c>
      <c r="B3680" s="9" t="s">
        <v>5401</v>
      </c>
      <c r="C3680" s="9" t="s">
        <v>56</v>
      </c>
      <c r="D3680" s="9" t="s">
        <v>394</v>
      </c>
      <c r="E3680" s="9">
        <v>79</v>
      </c>
      <c r="F3680" s="9">
        <v>5.4</v>
      </c>
      <c r="G3680" s="9">
        <v>20000000</v>
      </c>
      <c r="H3680" s="9">
        <v>25078937</v>
      </c>
      <c r="I3680" s="5">
        <f>IMDB_Movies!$H3680-IMDB_Movies!$G3680</f>
        <v>5078937</v>
      </c>
    </row>
    <row r="3681" spans="1:9" ht="23">
      <c r="A3681" s="2" t="s">
        <v>5402</v>
      </c>
      <c r="B3681" s="9" t="s">
        <v>5403</v>
      </c>
      <c r="C3681" s="9" t="s">
        <v>138</v>
      </c>
      <c r="D3681" s="9" t="s">
        <v>11</v>
      </c>
      <c r="E3681" s="9">
        <v>87</v>
      </c>
      <c r="F3681" s="9">
        <v>3.2</v>
      </c>
      <c r="G3681" s="9">
        <v>4700000</v>
      </c>
      <c r="H3681" s="9">
        <v>25078937</v>
      </c>
      <c r="I3681" s="5">
        <f>IMDB_Movies!$H3681-IMDB_Movies!$G3681</f>
        <v>20378937</v>
      </c>
    </row>
    <row r="3682" spans="1:9" ht="23">
      <c r="A3682" s="2" t="s">
        <v>5404</v>
      </c>
      <c r="B3682" s="9" t="s">
        <v>5405</v>
      </c>
      <c r="C3682" s="9" t="s">
        <v>56</v>
      </c>
      <c r="D3682" s="9" t="s">
        <v>11</v>
      </c>
      <c r="E3682" s="9">
        <v>105</v>
      </c>
      <c r="F3682" s="9">
        <v>7.8</v>
      </c>
      <c r="G3682" s="9">
        <v>20000000</v>
      </c>
      <c r="H3682" s="9">
        <v>1340891</v>
      </c>
      <c r="I3682" s="5">
        <f>IMDB_Movies!$H3682-IMDB_Movies!$G3682</f>
        <v>-18659109</v>
      </c>
    </row>
    <row r="3683" spans="1:9" ht="23">
      <c r="A3683" s="2" t="s">
        <v>5406</v>
      </c>
      <c r="B3683" s="9" t="s">
        <v>5407</v>
      </c>
      <c r="C3683" s="9" t="s">
        <v>4398</v>
      </c>
      <c r="D3683" s="9" t="s">
        <v>11</v>
      </c>
      <c r="E3683" s="9">
        <v>89</v>
      </c>
      <c r="F3683" s="9">
        <v>5.3</v>
      </c>
      <c r="G3683" s="9">
        <v>5000000</v>
      </c>
      <c r="H3683" s="9">
        <v>25078937</v>
      </c>
      <c r="I3683" s="5">
        <f>IMDB_Movies!$H3683-IMDB_Movies!$G3683</f>
        <v>20078937</v>
      </c>
    </row>
    <row r="3684" spans="1:9" ht="23">
      <c r="A3684" s="2" t="s">
        <v>5408</v>
      </c>
      <c r="B3684" s="9" t="s">
        <v>5409</v>
      </c>
      <c r="C3684" s="9" t="s">
        <v>138</v>
      </c>
      <c r="D3684" s="9" t="s">
        <v>394</v>
      </c>
      <c r="E3684" s="9">
        <v>100</v>
      </c>
      <c r="F3684" s="9">
        <v>7.2</v>
      </c>
      <c r="G3684" s="9">
        <v>4600000</v>
      </c>
      <c r="H3684" s="9">
        <v>513836</v>
      </c>
      <c r="I3684" s="5">
        <f>IMDB_Movies!$H3684-IMDB_Movies!$G3684</f>
        <v>-4086164</v>
      </c>
    </row>
    <row r="3685" spans="1:9" ht="23">
      <c r="A3685" s="2" t="s">
        <v>5410</v>
      </c>
      <c r="B3685" s="9" t="s">
        <v>5411</v>
      </c>
      <c r="C3685" s="9" t="s">
        <v>138</v>
      </c>
      <c r="D3685" s="9" t="s">
        <v>11</v>
      </c>
      <c r="E3685" s="9">
        <v>92</v>
      </c>
      <c r="F3685" s="9">
        <v>6.2</v>
      </c>
      <c r="G3685" s="9">
        <v>4700000</v>
      </c>
      <c r="H3685" s="9">
        <v>25078937</v>
      </c>
      <c r="I3685" s="5">
        <f>IMDB_Movies!$H3685-IMDB_Movies!$G3685</f>
        <v>20378937</v>
      </c>
    </row>
    <row r="3686" spans="1:9" ht="23">
      <c r="A3686" s="2" t="s">
        <v>5412</v>
      </c>
      <c r="B3686" s="9" t="s">
        <v>5413</v>
      </c>
      <c r="C3686" s="9" t="s">
        <v>56</v>
      </c>
      <c r="D3686" s="9" t="s">
        <v>11</v>
      </c>
      <c r="E3686" s="9">
        <v>97</v>
      </c>
      <c r="F3686" s="9">
        <v>5.9</v>
      </c>
      <c r="G3686" s="9">
        <v>4600000</v>
      </c>
      <c r="H3686" s="9">
        <v>434417</v>
      </c>
      <c r="I3686" s="5">
        <f>IMDB_Movies!$H3686-IMDB_Movies!$G3686</f>
        <v>-4165583</v>
      </c>
    </row>
    <row r="3687" spans="1:9" ht="23">
      <c r="A3687" s="2" t="s">
        <v>5414</v>
      </c>
      <c r="B3687" s="9" t="s">
        <v>2077</v>
      </c>
      <c r="C3687" s="9" t="s">
        <v>138</v>
      </c>
      <c r="D3687" s="9" t="s">
        <v>11</v>
      </c>
      <c r="E3687" s="9">
        <v>96</v>
      </c>
      <c r="F3687" s="9">
        <v>6.7</v>
      </c>
      <c r="G3687" s="9">
        <v>4500000</v>
      </c>
      <c r="H3687" s="9">
        <v>81200000</v>
      </c>
      <c r="I3687" s="5">
        <f>IMDB_Movies!$H3687-IMDB_Movies!$G3687</f>
        <v>76700000</v>
      </c>
    </row>
    <row r="3688" spans="1:9" ht="23">
      <c r="A3688" s="2" t="s">
        <v>5415</v>
      </c>
      <c r="B3688" s="9" t="s">
        <v>3891</v>
      </c>
      <c r="C3688" s="9" t="s">
        <v>24</v>
      </c>
      <c r="D3688" s="9" t="s">
        <v>11</v>
      </c>
      <c r="E3688" s="9">
        <v>104</v>
      </c>
      <c r="F3688" s="9">
        <v>5.7</v>
      </c>
      <c r="G3688" s="9">
        <v>4500000</v>
      </c>
      <c r="H3688" s="9">
        <v>25078937</v>
      </c>
      <c r="I3688" s="5">
        <f>IMDB_Movies!$H3688-IMDB_Movies!$G3688</f>
        <v>20578937</v>
      </c>
    </row>
    <row r="3689" spans="1:9" ht="23">
      <c r="A3689" s="2" t="s">
        <v>5416</v>
      </c>
      <c r="B3689" s="9" t="s">
        <v>98</v>
      </c>
      <c r="C3689" s="9" t="s">
        <v>138</v>
      </c>
      <c r="D3689" s="9" t="s">
        <v>11</v>
      </c>
      <c r="E3689" s="9">
        <v>117</v>
      </c>
      <c r="F3689" s="9">
        <v>7.1</v>
      </c>
      <c r="G3689" s="9">
        <v>4500000</v>
      </c>
      <c r="H3689" s="9">
        <v>52700832</v>
      </c>
      <c r="I3689" s="5">
        <f>IMDB_Movies!$H3689-IMDB_Movies!$G3689</f>
        <v>48200832</v>
      </c>
    </row>
    <row r="3690" spans="1:9" ht="23">
      <c r="A3690" s="2" t="s">
        <v>5417</v>
      </c>
      <c r="B3690" s="9" t="s">
        <v>3166</v>
      </c>
      <c r="C3690" s="9" t="s">
        <v>138</v>
      </c>
      <c r="D3690" s="9" t="s">
        <v>11</v>
      </c>
      <c r="E3690" s="9">
        <v>90</v>
      </c>
      <c r="F3690" s="9">
        <v>7.2</v>
      </c>
      <c r="G3690" s="9">
        <v>4500000</v>
      </c>
      <c r="H3690" s="9">
        <v>25078937</v>
      </c>
      <c r="I3690" s="5">
        <f>IMDB_Movies!$H3690-IMDB_Movies!$G3690</f>
        <v>20578937</v>
      </c>
    </row>
    <row r="3691" spans="1:9" ht="23">
      <c r="A3691" s="2" t="s">
        <v>5418</v>
      </c>
      <c r="B3691" s="9" t="s">
        <v>5419</v>
      </c>
      <c r="C3691" s="9" t="s">
        <v>24</v>
      </c>
      <c r="D3691" s="9" t="s">
        <v>11</v>
      </c>
      <c r="E3691" s="9">
        <v>115</v>
      </c>
      <c r="F3691" s="9">
        <v>7.4</v>
      </c>
      <c r="G3691" s="9">
        <v>4500000</v>
      </c>
      <c r="H3691" s="9">
        <v>25078937</v>
      </c>
      <c r="I3691" s="5">
        <f>IMDB_Movies!$H3691-IMDB_Movies!$G3691</f>
        <v>20578937</v>
      </c>
    </row>
    <row r="3692" spans="1:9" ht="23">
      <c r="A3692" s="2" t="s">
        <v>5420</v>
      </c>
      <c r="B3692" s="9" t="s">
        <v>1380</v>
      </c>
      <c r="C3692" s="9" t="s">
        <v>56</v>
      </c>
      <c r="D3692" s="9" t="s">
        <v>11</v>
      </c>
      <c r="E3692" s="9">
        <v>108</v>
      </c>
      <c r="F3692" s="9">
        <v>7.7</v>
      </c>
      <c r="G3692" s="9">
        <v>15000000</v>
      </c>
      <c r="H3692" s="9">
        <v>13060843</v>
      </c>
      <c r="I3692" s="5">
        <f>IMDB_Movies!$H3692-IMDB_Movies!$G3692</f>
        <v>-1939157</v>
      </c>
    </row>
    <row r="3693" spans="1:9" ht="23">
      <c r="A3693" s="2" t="s">
        <v>5421</v>
      </c>
      <c r="B3693" s="9" t="s">
        <v>118</v>
      </c>
      <c r="C3693" s="9" t="s">
        <v>414</v>
      </c>
      <c r="D3693" s="9" t="s">
        <v>11</v>
      </c>
      <c r="E3693" s="9">
        <v>109</v>
      </c>
      <c r="F3693" s="9">
        <v>7.4</v>
      </c>
      <c r="G3693" s="9">
        <v>4500000</v>
      </c>
      <c r="H3693" s="9">
        <v>3798532</v>
      </c>
      <c r="I3693" s="5">
        <f>IMDB_Movies!$H3693-IMDB_Movies!$G3693</f>
        <v>-701468</v>
      </c>
    </row>
    <row r="3694" spans="1:9" ht="23">
      <c r="A3694" s="2" t="s">
        <v>5422</v>
      </c>
      <c r="B3694" s="9" t="s">
        <v>325</v>
      </c>
      <c r="C3694" s="9" t="s">
        <v>56</v>
      </c>
      <c r="D3694" s="9" t="s">
        <v>11</v>
      </c>
      <c r="E3694" s="9">
        <v>102</v>
      </c>
      <c r="F3694" s="9">
        <v>8.4</v>
      </c>
      <c r="G3694" s="9">
        <v>4500000</v>
      </c>
      <c r="H3694" s="9">
        <v>3609278</v>
      </c>
      <c r="I3694" s="5">
        <f>IMDB_Movies!$H3694-IMDB_Movies!$G3694</f>
        <v>-890722</v>
      </c>
    </row>
    <row r="3695" spans="1:9" ht="23">
      <c r="A3695" s="2" t="s">
        <v>5423</v>
      </c>
      <c r="B3695" s="9" t="s">
        <v>5424</v>
      </c>
      <c r="C3695" s="9" t="s">
        <v>5029</v>
      </c>
      <c r="D3695" s="9" t="s">
        <v>11</v>
      </c>
      <c r="E3695" s="9">
        <v>100</v>
      </c>
      <c r="F3695" s="9">
        <v>7.1</v>
      </c>
      <c r="G3695" s="9">
        <v>20000000</v>
      </c>
      <c r="H3695" s="9">
        <v>25078937</v>
      </c>
      <c r="I3695" s="5">
        <f>IMDB_Movies!$H3695-IMDB_Movies!$G3695</f>
        <v>5078937</v>
      </c>
    </row>
    <row r="3696" spans="1:9" ht="23">
      <c r="A3696" s="2" t="s">
        <v>5425</v>
      </c>
      <c r="B3696" s="9" t="s">
        <v>5426</v>
      </c>
      <c r="C3696" s="9" t="s">
        <v>56</v>
      </c>
      <c r="D3696" s="9" t="s">
        <v>741</v>
      </c>
      <c r="E3696" s="9">
        <v>115</v>
      </c>
      <c r="F3696" s="9">
        <v>7.2</v>
      </c>
      <c r="G3696" s="9">
        <v>700000000</v>
      </c>
      <c r="H3696" s="9">
        <v>1687311</v>
      </c>
      <c r="I3696" s="5">
        <f>IMDB_Movies!$H3696-IMDB_Movies!$G3696</f>
        <v>-698312689</v>
      </c>
    </row>
    <row r="3697" spans="1:9" ht="23">
      <c r="A3697" s="2" t="s">
        <v>5427</v>
      </c>
      <c r="B3697" s="9" t="s">
        <v>205</v>
      </c>
      <c r="C3697" s="9" t="s">
        <v>56</v>
      </c>
      <c r="D3697" s="9" t="s">
        <v>11</v>
      </c>
      <c r="E3697" s="9">
        <v>122</v>
      </c>
      <c r="F3697" s="9">
        <v>7.5</v>
      </c>
      <c r="G3697" s="9">
        <v>4500000</v>
      </c>
      <c r="H3697" s="9">
        <v>25078937</v>
      </c>
      <c r="I3697" s="5">
        <f>IMDB_Movies!$H3697-IMDB_Movies!$G3697</f>
        <v>20578937</v>
      </c>
    </row>
    <row r="3698" spans="1:9" ht="23">
      <c r="A3698" s="2" t="s">
        <v>5428</v>
      </c>
      <c r="B3698" s="9" t="s">
        <v>5429</v>
      </c>
      <c r="C3698" s="9" t="s">
        <v>138</v>
      </c>
      <c r="D3698" s="9" t="s">
        <v>11</v>
      </c>
      <c r="E3698" s="9">
        <v>98</v>
      </c>
      <c r="F3698" s="9">
        <v>5.4</v>
      </c>
      <c r="G3698" s="9">
        <v>5000000</v>
      </c>
      <c r="H3698" s="9">
        <v>10429707</v>
      </c>
      <c r="I3698" s="5">
        <f>IMDB_Movies!$H3698-IMDB_Movies!$G3698</f>
        <v>5429707</v>
      </c>
    </row>
    <row r="3699" spans="1:9" ht="23">
      <c r="A3699" s="2" t="s">
        <v>5430</v>
      </c>
      <c r="B3699" s="9" t="s">
        <v>2760</v>
      </c>
      <c r="C3699" s="9" t="s">
        <v>56</v>
      </c>
      <c r="D3699" s="9" t="s">
        <v>11</v>
      </c>
      <c r="E3699" s="9">
        <v>133</v>
      </c>
      <c r="F3699" s="9">
        <v>8.1</v>
      </c>
      <c r="G3699" s="9">
        <v>4500000</v>
      </c>
      <c r="H3699" s="9">
        <v>727883</v>
      </c>
      <c r="I3699" s="5">
        <f>IMDB_Movies!$H3699-IMDB_Movies!$G3699</f>
        <v>-3772117</v>
      </c>
    </row>
    <row r="3700" spans="1:9" ht="23">
      <c r="A3700" s="2" t="s">
        <v>5431</v>
      </c>
      <c r="B3700" s="9" t="s">
        <v>5432</v>
      </c>
      <c r="C3700" s="9" t="s">
        <v>24</v>
      </c>
      <c r="D3700" s="9" t="s">
        <v>741</v>
      </c>
      <c r="E3700" s="9">
        <v>105</v>
      </c>
      <c r="F3700" s="9">
        <v>6</v>
      </c>
      <c r="G3700" s="9">
        <v>20000000</v>
      </c>
      <c r="H3700" s="9">
        <v>1391770</v>
      </c>
      <c r="I3700" s="5">
        <f>IMDB_Movies!$H3700-IMDB_Movies!$G3700</f>
        <v>-18608230</v>
      </c>
    </row>
    <row r="3701" spans="1:9" ht="23">
      <c r="A3701" s="2" t="s">
        <v>5433</v>
      </c>
      <c r="B3701" s="9" t="s">
        <v>5434</v>
      </c>
      <c r="C3701" s="9" t="s">
        <v>414</v>
      </c>
      <c r="D3701" s="9" t="s">
        <v>2970</v>
      </c>
      <c r="E3701" s="9">
        <v>122</v>
      </c>
      <c r="F3701" s="9">
        <v>7.8</v>
      </c>
      <c r="G3701" s="9">
        <v>4500000</v>
      </c>
      <c r="H3701" s="9">
        <v>713413</v>
      </c>
      <c r="I3701" s="5">
        <f>IMDB_Movies!$H3701-IMDB_Movies!$G3701</f>
        <v>-3786587</v>
      </c>
    </row>
    <row r="3702" spans="1:9" ht="23">
      <c r="A3702" s="2" t="s">
        <v>5435</v>
      </c>
      <c r="B3702" s="9" t="s">
        <v>5436</v>
      </c>
      <c r="C3702" s="9" t="s">
        <v>138</v>
      </c>
      <c r="D3702" s="9" t="s">
        <v>11</v>
      </c>
      <c r="E3702" s="9">
        <v>106</v>
      </c>
      <c r="F3702" s="9">
        <v>6.8</v>
      </c>
      <c r="G3702" s="9">
        <v>2000000</v>
      </c>
      <c r="H3702" s="9">
        <v>410241</v>
      </c>
      <c r="I3702" s="5">
        <f>IMDB_Movies!$H3702-IMDB_Movies!$G3702</f>
        <v>-1589759</v>
      </c>
    </row>
    <row r="3703" spans="1:9" ht="23">
      <c r="A3703" s="2" t="s">
        <v>5437</v>
      </c>
      <c r="B3703" s="9" t="s">
        <v>5438</v>
      </c>
      <c r="C3703" s="9" t="s">
        <v>138</v>
      </c>
      <c r="D3703" s="9" t="s">
        <v>11</v>
      </c>
      <c r="E3703" s="9">
        <v>98</v>
      </c>
      <c r="F3703" s="9">
        <v>6.5</v>
      </c>
      <c r="G3703" s="9">
        <v>20000000</v>
      </c>
      <c r="H3703" s="9">
        <v>278821</v>
      </c>
      <c r="I3703" s="5">
        <f>IMDB_Movies!$H3703-IMDB_Movies!$G3703</f>
        <v>-19721179</v>
      </c>
    </row>
    <row r="3704" spans="1:9" ht="23">
      <c r="A3704" s="2" t="s">
        <v>5439</v>
      </c>
      <c r="B3704" s="9" t="s">
        <v>4183</v>
      </c>
      <c r="C3704" s="9" t="s">
        <v>414</v>
      </c>
      <c r="D3704" s="9" t="s">
        <v>3647</v>
      </c>
      <c r="E3704" s="9">
        <v>112</v>
      </c>
      <c r="F3704" s="9">
        <v>7.7</v>
      </c>
      <c r="G3704" s="9">
        <v>4200000000</v>
      </c>
      <c r="H3704" s="9">
        <v>211667</v>
      </c>
      <c r="I3704" s="5">
        <f>IMDB_Movies!$H3704-IMDB_Movies!$G3704</f>
        <v>-4199788333</v>
      </c>
    </row>
    <row r="3705" spans="1:9" ht="23">
      <c r="A3705" s="2" t="s">
        <v>5440</v>
      </c>
      <c r="B3705" s="9" t="s">
        <v>5441</v>
      </c>
      <c r="C3705" s="9" t="s">
        <v>418</v>
      </c>
      <c r="D3705" s="9" t="s">
        <v>394</v>
      </c>
      <c r="E3705" s="9">
        <v>120</v>
      </c>
      <c r="F3705" s="9">
        <v>6.4</v>
      </c>
      <c r="G3705" s="9">
        <v>20000000</v>
      </c>
      <c r="H3705" s="9">
        <v>706622</v>
      </c>
      <c r="I3705" s="5">
        <f>IMDB_Movies!$H3705-IMDB_Movies!$G3705</f>
        <v>-19293378</v>
      </c>
    </row>
    <row r="3706" spans="1:9" ht="23">
      <c r="A3706" s="2" t="s">
        <v>5442</v>
      </c>
      <c r="B3706" s="9" t="s">
        <v>5443</v>
      </c>
      <c r="C3706" s="9" t="s">
        <v>138</v>
      </c>
      <c r="D3706" s="9" t="s">
        <v>11</v>
      </c>
      <c r="E3706" s="9">
        <v>99</v>
      </c>
      <c r="F3706" s="9">
        <v>6.5</v>
      </c>
      <c r="G3706" s="9">
        <v>2500000</v>
      </c>
      <c r="H3706" s="9">
        <v>92191</v>
      </c>
      <c r="I3706" s="5">
        <f>IMDB_Movies!$H3706-IMDB_Movies!$G3706</f>
        <v>-2407809</v>
      </c>
    </row>
    <row r="3707" spans="1:9" ht="23">
      <c r="A3707" s="2" t="s">
        <v>5444</v>
      </c>
      <c r="B3707" s="9" t="s">
        <v>5445</v>
      </c>
      <c r="C3707" s="9" t="s">
        <v>10</v>
      </c>
      <c r="D3707" s="9" t="s">
        <v>2005</v>
      </c>
      <c r="E3707" s="9">
        <v>110</v>
      </c>
      <c r="F3707" s="9">
        <v>7.3</v>
      </c>
      <c r="G3707" s="9">
        <v>35000000</v>
      </c>
      <c r="H3707" s="9">
        <v>49413</v>
      </c>
      <c r="I3707" s="5">
        <f>IMDB_Movies!$H3707-IMDB_Movies!$G3707</f>
        <v>-34950587</v>
      </c>
    </row>
    <row r="3708" spans="1:9" ht="23">
      <c r="A3708" s="2" t="s">
        <v>5446</v>
      </c>
      <c r="B3708" s="9" t="s">
        <v>5447</v>
      </c>
      <c r="C3708" s="9" t="s">
        <v>10</v>
      </c>
      <c r="D3708" s="9" t="s">
        <v>11</v>
      </c>
      <c r="E3708" s="9">
        <v>102</v>
      </c>
      <c r="F3708" s="9">
        <v>6.6</v>
      </c>
      <c r="G3708" s="9">
        <v>20000000</v>
      </c>
      <c r="H3708" s="9">
        <v>199652</v>
      </c>
      <c r="I3708" s="5">
        <f>IMDB_Movies!$H3708-IMDB_Movies!$G3708</f>
        <v>-19800348</v>
      </c>
    </row>
    <row r="3709" spans="1:9" ht="23">
      <c r="A3709" s="2" t="s">
        <v>5448</v>
      </c>
      <c r="B3709" s="9" t="s">
        <v>5449</v>
      </c>
      <c r="C3709" s="9" t="s">
        <v>414</v>
      </c>
      <c r="D3709" s="9" t="s">
        <v>1544</v>
      </c>
      <c r="E3709" s="9">
        <v>109</v>
      </c>
      <c r="F3709" s="9">
        <v>7.9</v>
      </c>
      <c r="G3709" s="9">
        <v>20000000</v>
      </c>
      <c r="H3709" s="9">
        <v>181655</v>
      </c>
      <c r="I3709" s="5">
        <f>IMDB_Movies!$H3709-IMDB_Movies!$G3709</f>
        <v>-19818345</v>
      </c>
    </row>
    <row r="3710" spans="1:9" ht="23">
      <c r="A3710" s="2" t="s">
        <v>5450</v>
      </c>
      <c r="B3710" s="9" t="s">
        <v>5451</v>
      </c>
      <c r="C3710" s="9" t="s">
        <v>56</v>
      </c>
      <c r="D3710" s="9" t="s">
        <v>11</v>
      </c>
      <c r="E3710" s="9">
        <v>104</v>
      </c>
      <c r="F3710" s="9">
        <v>5.9</v>
      </c>
      <c r="G3710" s="9">
        <v>4500000</v>
      </c>
      <c r="H3710" s="9">
        <v>108229</v>
      </c>
      <c r="I3710" s="5">
        <f>IMDB_Movies!$H3710-IMDB_Movies!$G3710</f>
        <v>-4391771</v>
      </c>
    </row>
    <row r="3711" spans="1:9" ht="23">
      <c r="A3711" s="2" t="s">
        <v>5452</v>
      </c>
      <c r="B3711" s="9" t="s">
        <v>5453</v>
      </c>
      <c r="C3711" s="9" t="s">
        <v>56</v>
      </c>
      <c r="D3711" s="9" t="s">
        <v>1534</v>
      </c>
      <c r="E3711" s="9">
        <v>134</v>
      </c>
      <c r="F3711" s="9">
        <v>4.7</v>
      </c>
      <c r="G3711" s="9">
        <v>20000000</v>
      </c>
      <c r="H3711" s="9">
        <v>25078937</v>
      </c>
      <c r="I3711" s="5">
        <f>IMDB_Movies!$H3711-IMDB_Movies!$G3711</f>
        <v>5078937</v>
      </c>
    </row>
    <row r="3712" spans="1:9" ht="23">
      <c r="A3712" s="2" t="s">
        <v>5454</v>
      </c>
      <c r="B3712" s="9" t="s">
        <v>1344</v>
      </c>
      <c r="C3712" s="9" t="s">
        <v>56</v>
      </c>
      <c r="D3712" s="9" t="s">
        <v>11</v>
      </c>
      <c r="E3712" s="9">
        <v>133</v>
      </c>
      <c r="F3712" s="9">
        <v>8.6999999999999993</v>
      </c>
      <c r="G3712" s="9">
        <v>4400000</v>
      </c>
      <c r="H3712" s="9">
        <v>112000000</v>
      </c>
      <c r="I3712" s="5">
        <f>IMDB_Movies!$H3712-IMDB_Movies!$G3712</f>
        <v>107600000</v>
      </c>
    </row>
    <row r="3713" spans="1:9" ht="23">
      <c r="A3713" s="2" t="s">
        <v>5455</v>
      </c>
      <c r="B3713" s="9" t="s">
        <v>5456</v>
      </c>
      <c r="C3713" s="9" t="s">
        <v>138</v>
      </c>
      <c r="D3713" s="9" t="s">
        <v>11</v>
      </c>
      <c r="E3713" s="9">
        <v>85</v>
      </c>
      <c r="F3713" s="9">
        <v>5.9</v>
      </c>
      <c r="G3713" s="9">
        <v>4400000</v>
      </c>
      <c r="H3713" s="9">
        <v>25078937</v>
      </c>
      <c r="I3713" s="5">
        <f>IMDB_Movies!$H3713-IMDB_Movies!$G3713</f>
        <v>20678937</v>
      </c>
    </row>
    <row r="3714" spans="1:9" ht="23">
      <c r="A3714" s="2" t="s">
        <v>5457</v>
      </c>
      <c r="B3714" s="9" t="s">
        <v>5458</v>
      </c>
      <c r="C3714" s="9" t="s">
        <v>10</v>
      </c>
      <c r="D3714" s="9" t="s">
        <v>1534</v>
      </c>
      <c r="E3714" s="9">
        <v>130</v>
      </c>
      <c r="F3714" s="9">
        <v>8.5</v>
      </c>
      <c r="G3714" s="9">
        <v>4400000</v>
      </c>
      <c r="H3714" s="9">
        <v>25078937</v>
      </c>
      <c r="I3714" s="5">
        <f>IMDB_Movies!$H3714-IMDB_Movies!$G3714</f>
        <v>20678937</v>
      </c>
    </row>
    <row r="3715" spans="1:9" ht="23">
      <c r="A3715" s="2" t="s">
        <v>5459</v>
      </c>
      <c r="B3715" s="9" t="s">
        <v>4875</v>
      </c>
      <c r="C3715" s="9" t="s">
        <v>10</v>
      </c>
      <c r="D3715" s="9" t="s">
        <v>11</v>
      </c>
      <c r="E3715" s="9">
        <v>103</v>
      </c>
      <c r="F3715" s="9">
        <v>5.8</v>
      </c>
      <c r="G3715" s="9">
        <v>4500000</v>
      </c>
      <c r="H3715" s="9">
        <v>8691</v>
      </c>
      <c r="I3715" s="5">
        <f>IMDB_Movies!$H3715-IMDB_Movies!$G3715</f>
        <v>-4491309</v>
      </c>
    </row>
    <row r="3716" spans="1:9" ht="23">
      <c r="A3716" s="2" t="s">
        <v>5460</v>
      </c>
      <c r="B3716" s="9" t="s">
        <v>5461</v>
      </c>
      <c r="C3716" s="9" t="s">
        <v>10</v>
      </c>
      <c r="D3716" s="9" t="s">
        <v>11</v>
      </c>
      <c r="E3716" s="9">
        <v>112</v>
      </c>
      <c r="F3716" s="9">
        <v>6.1</v>
      </c>
      <c r="G3716" s="9">
        <v>3000000</v>
      </c>
      <c r="H3716" s="9">
        <v>26345</v>
      </c>
      <c r="I3716" s="5">
        <f>IMDB_Movies!$H3716-IMDB_Movies!$G3716</f>
        <v>-2973655</v>
      </c>
    </row>
    <row r="3717" spans="1:9" ht="23">
      <c r="A3717" s="2" t="s">
        <v>5462</v>
      </c>
      <c r="B3717" s="9" t="s">
        <v>3230</v>
      </c>
      <c r="C3717" s="9" t="s">
        <v>414</v>
      </c>
      <c r="D3717" s="9" t="s">
        <v>11</v>
      </c>
      <c r="E3717" s="9">
        <v>89</v>
      </c>
      <c r="F3717" s="9">
        <v>7.3</v>
      </c>
      <c r="G3717" s="9">
        <v>20000000</v>
      </c>
      <c r="H3717" s="9">
        <v>6940281</v>
      </c>
      <c r="I3717" s="5">
        <f>IMDB_Movies!$H3717-IMDB_Movies!$G3717</f>
        <v>-13059719</v>
      </c>
    </row>
    <row r="3718" spans="1:9" ht="23">
      <c r="A3718" s="2" t="s">
        <v>5463</v>
      </c>
      <c r="B3718" s="9" t="s">
        <v>629</v>
      </c>
      <c r="C3718" s="9" t="s">
        <v>10</v>
      </c>
      <c r="D3718" s="9" t="s">
        <v>3574</v>
      </c>
      <c r="E3718" s="9">
        <v>124</v>
      </c>
      <c r="F3718" s="9">
        <v>6.7</v>
      </c>
      <c r="G3718" s="9">
        <v>20000000</v>
      </c>
      <c r="H3718" s="9">
        <v>188870</v>
      </c>
      <c r="I3718" s="5">
        <f>IMDB_Movies!$H3718-IMDB_Movies!$G3718</f>
        <v>-19811130</v>
      </c>
    </row>
    <row r="3719" spans="1:9" ht="23">
      <c r="A3719" s="2" t="s">
        <v>5464</v>
      </c>
      <c r="B3719" s="9" t="s">
        <v>2395</v>
      </c>
      <c r="C3719" s="9" t="s">
        <v>56</v>
      </c>
      <c r="D3719" s="9" t="s">
        <v>11</v>
      </c>
      <c r="E3719" s="9">
        <v>101</v>
      </c>
      <c r="F3719" s="9">
        <v>7.6</v>
      </c>
      <c r="G3719" s="9">
        <v>6000000</v>
      </c>
      <c r="H3719" s="9">
        <v>20772796</v>
      </c>
      <c r="I3719" s="5">
        <f>IMDB_Movies!$H3719-IMDB_Movies!$G3719</f>
        <v>14772796</v>
      </c>
    </row>
    <row r="3720" spans="1:9" ht="23">
      <c r="A3720" s="2" t="s">
        <v>5465</v>
      </c>
      <c r="B3720" s="9" t="s">
        <v>5466</v>
      </c>
      <c r="C3720" s="9" t="s">
        <v>138</v>
      </c>
      <c r="D3720" s="9" t="s">
        <v>1534</v>
      </c>
      <c r="E3720" s="9">
        <v>133</v>
      </c>
      <c r="F3720" s="9">
        <v>7.2</v>
      </c>
      <c r="G3720" s="9">
        <v>150000000</v>
      </c>
      <c r="H3720" s="9">
        <v>199228</v>
      </c>
      <c r="I3720" s="5">
        <f>IMDB_Movies!$H3720-IMDB_Movies!$G3720</f>
        <v>-149800772</v>
      </c>
    </row>
    <row r="3721" spans="1:9" ht="23">
      <c r="A3721" s="2" t="s">
        <v>5467</v>
      </c>
      <c r="B3721" s="9" t="s">
        <v>5468</v>
      </c>
      <c r="C3721" s="9" t="s">
        <v>228</v>
      </c>
      <c r="D3721" s="9" t="s">
        <v>2452</v>
      </c>
      <c r="E3721" s="9">
        <v>112</v>
      </c>
      <c r="F3721" s="9">
        <v>6.2</v>
      </c>
      <c r="G3721" s="9">
        <v>4500000</v>
      </c>
      <c r="H3721" s="9">
        <v>25078937</v>
      </c>
      <c r="I3721" s="5">
        <f>IMDB_Movies!$H3721-IMDB_Movies!$G3721</f>
        <v>20578937</v>
      </c>
    </row>
    <row r="3722" spans="1:9" ht="23">
      <c r="A3722" s="2" t="s">
        <v>5469</v>
      </c>
      <c r="B3722" s="9" t="s">
        <v>1095</v>
      </c>
      <c r="C3722" s="9" t="s">
        <v>138</v>
      </c>
      <c r="D3722" s="9" t="s">
        <v>11</v>
      </c>
      <c r="E3722" s="9">
        <v>98</v>
      </c>
      <c r="F3722" s="9">
        <v>5.2</v>
      </c>
      <c r="G3722" s="9">
        <v>4200000</v>
      </c>
      <c r="H3722" s="9">
        <v>25078937</v>
      </c>
      <c r="I3722" s="5">
        <f>IMDB_Movies!$H3722-IMDB_Movies!$G3722</f>
        <v>20878937</v>
      </c>
    </row>
    <row r="3723" spans="1:9" ht="23">
      <c r="A3723" s="2" t="s">
        <v>5470</v>
      </c>
      <c r="B3723" s="9" t="s">
        <v>4493</v>
      </c>
      <c r="C3723" s="9" t="s">
        <v>138</v>
      </c>
      <c r="D3723" s="9" t="s">
        <v>11</v>
      </c>
      <c r="E3723" s="9">
        <v>93</v>
      </c>
      <c r="F3723" s="9">
        <v>7.1</v>
      </c>
      <c r="G3723" s="9">
        <v>20000000</v>
      </c>
      <c r="H3723" s="9">
        <v>2542264</v>
      </c>
      <c r="I3723" s="5">
        <f>IMDB_Movies!$H3723-IMDB_Movies!$G3723</f>
        <v>-17457736</v>
      </c>
    </row>
    <row r="3724" spans="1:9" ht="23">
      <c r="A3724" s="2" t="s">
        <v>5471</v>
      </c>
      <c r="B3724" s="9" t="s">
        <v>578</v>
      </c>
      <c r="C3724" s="9" t="s">
        <v>713</v>
      </c>
      <c r="D3724" s="9" t="s">
        <v>1544</v>
      </c>
      <c r="E3724" s="9">
        <v>104</v>
      </c>
      <c r="F3724" s="9">
        <v>6.5</v>
      </c>
      <c r="G3724" s="9">
        <v>4200000</v>
      </c>
      <c r="H3724" s="9">
        <v>1487477</v>
      </c>
      <c r="I3724" s="5">
        <f>IMDB_Movies!$H3724-IMDB_Movies!$G3724</f>
        <v>-2712523</v>
      </c>
    </row>
    <row r="3725" spans="1:9" ht="23">
      <c r="A3725" s="2" t="s">
        <v>5472</v>
      </c>
      <c r="B3725" s="9" t="s">
        <v>1372</v>
      </c>
      <c r="C3725" s="9" t="s">
        <v>414</v>
      </c>
      <c r="D3725" s="9" t="s">
        <v>11</v>
      </c>
      <c r="E3725" s="9">
        <v>112</v>
      </c>
      <c r="F3725" s="9">
        <v>7.3</v>
      </c>
      <c r="G3725" s="9">
        <v>2300000</v>
      </c>
      <c r="H3725" s="9">
        <v>62549000</v>
      </c>
      <c r="I3725" s="5">
        <f>IMDB_Movies!$H3725-IMDB_Movies!$G3725</f>
        <v>60249000</v>
      </c>
    </row>
    <row r="3726" spans="1:9" ht="23">
      <c r="A3726" s="2" t="s">
        <v>5473</v>
      </c>
      <c r="B3726" s="9" t="s">
        <v>3205</v>
      </c>
      <c r="C3726" s="9" t="s">
        <v>138</v>
      </c>
      <c r="D3726" s="9" t="s">
        <v>11</v>
      </c>
      <c r="E3726" s="9">
        <v>94</v>
      </c>
      <c r="F3726" s="9">
        <v>6.2</v>
      </c>
      <c r="G3726" s="9">
        <v>4000000</v>
      </c>
      <c r="H3726" s="9">
        <v>105500000</v>
      </c>
      <c r="I3726" s="5">
        <f>IMDB_Movies!$H3726-IMDB_Movies!$G3726</f>
        <v>101500000</v>
      </c>
    </row>
    <row r="3727" spans="1:9" ht="23">
      <c r="A3727" s="2" t="s">
        <v>5474</v>
      </c>
      <c r="B3727" s="9" t="s">
        <v>668</v>
      </c>
      <c r="C3727" s="9" t="s">
        <v>810</v>
      </c>
      <c r="D3727" s="9" t="s">
        <v>11</v>
      </c>
      <c r="E3727" s="9">
        <v>90</v>
      </c>
      <c r="F3727" s="9">
        <v>5</v>
      </c>
      <c r="G3727" s="9">
        <v>4000000</v>
      </c>
      <c r="H3727" s="9">
        <v>101055</v>
      </c>
      <c r="I3727" s="5">
        <f>IMDB_Movies!$H3727-IMDB_Movies!$G3727</f>
        <v>-3898945</v>
      </c>
    </row>
    <row r="3728" spans="1:9" ht="23">
      <c r="A3728" s="2" t="s">
        <v>5475</v>
      </c>
      <c r="B3728" s="9" t="s">
        <v>668</v>
      </c>
      <c r="C3728" s="9" t="s">
        <v>56</v>
      </c>
      <c r="D3728" s="9" t="s">
        <v>11</v>
      </c>
      <c r="E3728" s="9">
        <v>96</v>
      </c>
      <c r="F3728" s="9">
        <v>8</v>
      </c>
      <c r="G3728" s="9">
        <v>114000</v>
      </c>
      <c r="H3728" s="9">
        <v>25078937</v>
      </c>
      <c r="I3728" s="5">
        <f>IMDB_Movies!$H3728-IMDB_Movies!$G3728</f>
        <v>24964937</v>
      </c>
    </row>
    <row r="3729" spans="1:9" ht="23">
      <c r="A3729" s="2" t="s">
        <v>5476</v>
      </c>
      <c r="B3729" s="9" t="s">
        <v>1851</v>
      </c>
      <c r="C3729" s="9" t="s">
        <v>56</v>
      </c>
      <c r="D3729" s="9" t="s">
        <v>11</v>
      </c>
      <c r="E3729" s="9">
        <v>101</v>
      </c>
      <c r="F3729" s="9">
        <v>7.8</v>
      </c>
      <c r="G3729" s="9">
        <v>4000000</v>
      </c>
      <c r="H3729" s="9">
        <v>44566004</v>
      </c>
      <c r="I3729" s="5">
        <f>IMDB_Movies!$H3729-IMDB_Movies!$G3729</f>
        <v>40566004</v>
      </c>
    </row>
    <row r="3730" spans="1:9" ht="23">
      <c r="A3730" s="2" t="s">
        <v>5477</v>
      </c>
      <c r="B3730" s="9" t="s">
        <v>2304</v>
      </c>
      <c r="C3730" s="9" t="s">
        <v>138</v>
      </c>
      <c r="D3730" s="9" t="s">
        <v>11</v>
      </c>
      <c r="E3730" s="9">
        <v>93</v>
      </c>
      <c r="F3730" s="9">
        <v>8.1</v>
      </c>
      <c r="G3730" s="9">
        <v>4000000</v>
      </c>
      <c r="H3730" s="9">
        <v>39200000</v>
      </c>
      <c r="I3730" s="5">
        <f>IMDB_Movies!$H3730-IMDB_Movies!$G3730</f>
        <v>35200000</v>
      </c>
    </row>
    <row r="3731" spans="1:9" ht="23">
      <c r="A3731" s="2" t="s">
        <v>5478</v>
      </c>
      <c r="B3731" s="9" t="s">
        <v>5479</v>
      </c>
      <c r="C3731" s="9" t="s">
        <v>56</v>
      </c>
      <c r="D3731" s="9" t="s">
        <v>11</v>
      </c>
      <c r="E3731" s="9">
        <v>152</v>
      </c>
      <c r="F3731" s="9">
        <v>6.7</v>
      </c>
      <c r="G3731" s="9">
        <v>4000000</v>
      </c>
      <c r="H3731" s="9">
        <v>36000000</v>
      </c>
      <c r="I3731" s="5">
        <f>IMDB_Movies!$H3731-IMDB_Movies!$G3731</f>
        <v>32000000</v>
      </c>
    </row>
    <row r="3732" spans="1:9" ht="23">
      <c r="A3732" s="2" t="s">
        <v>5480</v>
      </c>
      <c r="B3732" s="9" t="s">
        <v>34</v>
      </c>
      <c r="C3732" s="9" t="s">
        <v>56</v>
      </c>
      <c r="D3732" s="9" t="s">
        <v>11</v>
      </c>
      <c r="E3732" s="9">
        <v>112</v>
      </c>
      <c r="F3732" s="9">
        <v>7.1</v>
      </c>
      <c r="G3732" s="9">
        <v>4000000</v>
      </c>
      <c r="H3732" s="9">
        <v>31252964</v>
      </c>
      <c r="I3732" s="5">
        <f>IMDB_Movies!$H3732-IMDB_Movies!$G3732</f>
        <v>27252964</v>
      </c>
    </row>
    <row r="3733" spans="1:9" ht="23">
      <c r="A3733" s="2" t="s">
        <v>5481</v>
      </c>
      <c r="B3733" s="9" t="s">
        <v>5482</v>
      </c>
      <c r="C3733" s="9" t="s">
        <v>56</v>
      </c>
      <c r="D3733" s="9" t="s">
        <v>11</v>
      </c>
      <c r="E3733" s="9">
        <v>95</v>
      </c>
      <c r="F3733" s="9">
        <v>5.6</v>
      </c>
      <c r="G3733" s="9">
        <v>8500000</v>
      </c>
      <c r="H3733" s="9">
        <v>131175</v>
      </c>
      <c r="I3733" s="5">
        <f>IMDB_Movies!$H3733-IMDB_Movies!$G3733</f>
        <v>-8368825</v>
      </c>
    </row>
    <row r="3734" spans="1:9" ht="23">
      <c r="A3734" s="2" t="s">
        <v>5483</v>
      </c>
      <c r="B3734" s="9" t="s">
        <v>5484</v>
      </c>
      <c r="C3734" s="9" t="s">
        <v>56</v>
      </c>
      <c r="D3734" s="9" t="s">
        <v>11</v>
      </c>
      <c r="E3734" s="9">
        <v>111</v>
      </c>
      <c r="F3734" s="9">
        <v>7.6</v>
      </c>
      <c r="G3734" s="9">
        <v>3600000</v>
      </c>
      <c r="H3734" s="9">
        <v>31968347</v>
      </c>
      <c r="I3734" s="5">
        <f>IMDB_Movies!$H3734-IMDB_Movies!$G3734</f>
        <v>28368347</v>
      </c>
    </row>
    <row r="3735" spans="1:9" ht="23">
      <c r="A3735" s="2" t="s">
        <v>5485</v>
      </c>
      <c r="B3735" s="9" t="s">
        <v>5486</v>
      </c>
      <c r="C3735" s="9" t="s">
        <v>138</v>
      </c>
      <c r="D3735" s="9" t="s">
        <v>11</v>
      </c>
      <c r="E3735" s="9">
        <v>86</v>
      </c>
      <c r="F3735" s="9">
        <v>4.3</v>
      </c>
      <c r="G3735" s="9">
        <v>4500000</v>
      </c>
      <c r="H3735" s="9">
        <v>25078937</v>
      </c>
      <c r="I3735" s="5">
        <f>IMDB_Movies!$H3735-IMDB_Movies!$G3735</f>
        <v>20578937</v>
      </c>
    </row>
    <row r="3736" spans="1:9" ht="23">
      <c r="A3736" s="2" t="s">
        <v>5487</v>
      </c>
      <c r="B3736" s="9" t="s">
        <v>5488</v>
      </c>
      <c r="C3736" s="9" t="s">
        <v>138</v>
      </c>
      <c r="D3736" s="9" t="s">
        <v>11</v>
      </c>
      <c r="E3736" s="9">
        <v>105</v>
      </c>
      <c r="F3736" s="9">
        <v>7.3</v>
      </c>
      <c r="G3736" s="9">
        <v>4000000</v>
      </c>
      <c r="H3736" s="9">
        <v>25078937</v>
      </c>
      <c r="I3736" s="5">
        <f>IMDB_Movies!$H3736-IMDB_Movies!$G3736</f>
        <v>21078937</v>
      </c>
    </row>
    <row r="3737" spans="1:9" ht="23">
      <c r="A3737" s="2" t="s">
        <v>5489</v>
      </c>
      <c r="B3737" s="9" t="s">
        <v>133</v>
      </c>
      <c r="C3737" s="9" t="s">
        <v>228</v>
      </c>
      <c r="D3737" s="9" t="s">
        <v>11</v>
      </c>
      <c r="E3737" s="9">
        <v>91</v>
      </c>
      <c r="F3737" s="9">
        <v>4.5999999999999996</v>
      </c>
      <c r="G3737" s="9">
        <v>4000000</v>
      </c>
      <c r="H3737" s="9">
        <v>35385560</v>
      </c>
      <c r="I3737" s="5">
        <f>IMDB_Movies!$H3737-IMDB_Movies!$G3737</f>
        <v>31385560</v>
      </c>
    </row>
    <row r="3738" spans="1:9" ht="23">
      <c r="A3738" s="2" t="s">
        <v>5490</v>
      </c>
      <c r="B3738" s="9" t="s">
        <v>4342</v>
      </c>
      <c r="C3738" s="9" t="s">
        <v>56</v>
      </c>
      <c r="D3738" s="9" t="s">
        <v>11</v>
      </c>
      <c r="E3738" s="9">
        <v>105</v>
      </c>
      <c r="F3738" s="9">
        <v>6.8</v>
      </c>
      <c r="G3738" s="9">
        <v>4000000</v>
      </c>
      <c r="H3738" s="9">
        <v>25078937</v>
      </c>
      <c r="I3738" s="5">
        <f>IMDB_Movies!$H3738-IMDB_Movies!$G3738</f>
        <v>21078937</v>
      </c>
    </row>
    <row r="3739" spans="1:9" ht="23">
      <c r="A3739" s="2" t="s">
        <v>5491</v>
      </c>
      <c r="B3739" s="9" t="s">
        <v>5492</v>
      </c>
      <c r="C3739" s="9" t="s">
        <v>138</v>
      </c>
      <c r="D3739" s="9" t="s">
        <v>11</v>
      </c>
      <c r="E3739" s="9">
        <v>106</v>
      </c>
      <c r="F3739" s="9">
        <v>7.1</v>
      </c>
      <c r="G3739" s="9">
        <v>3500000</v>
      </c>
      <c r="H3739" s="9">
        <v>20803237</v>
      </c>
      <c r="I3739" s="5">
        <f>IMDB_Movies!$H3739-IMDB_Movies!$G3739</f>
        <v>17303237</v>
      </c>
    </row>
    <row r="3740" spans="1:9" ht="23">
      <c r="A3740" s="2" t="s">
        <v>5493</v>
      </c>
      <c r="B3740" s="9" t="s">
        <v>1470</v>
      </c>
      <c r="C3740" s="9" t="s">
        <v>810</v>
      </c>
      <c r="D3740" s="9" t="s">
        <v>11</v>
      </c>
      <c r="E3740" s="9">
        <v>93</v>
      </c>
      <c r="F3740" s="9">
        <v>7.3</v>
      </c>
      <c r="G3740" s="9">
        <v>4000000</v>
      </c>
      <c r="H3740" s="9">
        <v>13008928</v>
      </c>
      <c r="I3740" s="5">
        <f>IMDB_Movies!$H3740-IMDB_Movies!$G3740</f>
        <v>9008928</v>
      </c>
    </row>
    <row r="3741" spans="1:9" ht="23">
      <c r="A3741" s="2" t="s">
        <v>5494</v>
      </c>
      <c r="B3741" s="9" t="s">
        <v>5495</v>
      </c>
      <c r="C3741" s="9" t="s">
        <v>24</v>
      </c>
      <c r="D3741" s="9" t="s">
        <v>11</v>
      </c>
      <c r="E3741" s="9">
        <v>172</v>
      </c>
      <c r="F3741" s="9">
        <v>8.3000000000000007</v>
      </c>
      <c r="G3741" s="9">
        <v>4000000</v>
      </c>
      <c r="H3741" s="9">
        <v>25078937</v>
      </c>
      <c r="I3741" s="5">
        <f>IMDB_Movies!$H3741-IMDB_Movies!$G3741</f>
        <v>21078937</v>
      </c>
    </row>
    <row r="3742" spans="1:9" ht="23">
      <c r="A3742" s="2" t="s">
        <v>5496</v>
      </c>
      <c r="B3742" s="9" t="s">
        <v>5497</v>
      </c>
      <c r="C3742" s="9" t="s">
        <v>138</v>
      </c>
      <c r="D3742" s="9" t="s">
        <v>11</v>
      </c>
      <c r="E3742" s="9">
        <v>109</v>
      </c>
      <c r="F3742" s="9">
        <v>5.4</v>
      </c>
      <c r="G3742" s="9">
        <v>20000000</v>
      </c>
      <c r="H3742" s="9">
        <v>10941801</v>
      </c>
      <c r="I3742" s="5">
        <f>IMDB_Movies!$H3742-IMDB_Movies!$G3742</f>
        <v>-9058199</v>
      </c>
    </row>
    <row r="3743" spans="1:9" ht="23">
      <c r="A3743" s="2" t="s">
        <v>5498</v>
      </c>
      <c r="B3743" s="9" t="s">
        <v>5499</v>
      </c>
      <c r="C3743" s="9" t="s">
        <v>56</v>
      </c>
      <c r="D3743" s="9" t="s">
        <v>11</v>
      </c>
      <c r="E3743" s="9">
        <v>93</v>
      </c>
      <c r="F3743" s="9">
        <v>4</v>
      </c>
      <c r="G3743" s="9">
        <v>5000000</v>
      </c>
      <c r="H3743" s="9">
        <v>15152879</v>
      </c>
      <c r="I3743" s="5">
        <f>IMDB_Movies!$H3743-IMDB_Movies!$G3743</f>
        <v>10152879</v>
      </c>
    </row>
    <row r="3744" spans="1:9" ht="23">
      <c r="A3744" s="2" t="s">
        <v>5500</v>
      </c>
      <c r="B3744" s="9" t="s">
        <v>2571</v>
      </c>
      <c r="C3744" s="9" t="s">
        <v>56</v>
      </c>
      <c r="D3744" s="9" t="s">
        <v>11</v>
      </c>
      <c r="E3744" s="9">
        <v>165</v>
      </c>
      <c r="F3744" s="9">
        <v>8</v>
      </c>
      <c r="G3744" s="9">
        <v>4000000</v>
      </c>
      <c r="H3744" s="9">
        <v>25359200</v>
      </c>
      <c r="I3744" s="5">
        <f>IMDB_Movies!$H3744-IMDB_Movies!$G3744</f>
        <v>21359200</v>
      </c>
    </row>
    <row r="3745" spans="1:9" ht="23">
      <c r="A3745" s="2" t="s">
        <v>5501</v>
      </c>
      <c r="B3745" s="9" t="s">
        <v>2304</v>
      </c>
      <c r="C3745" s="9" t="s">
        <v>138</v>
      </c>
      <c r="D3745" s="9" t="s">
        <v>11</v>
      </c>
      <c r="E3745" s="9">
        <v>96</v>
      </c>
      <c r="F3745" s="9">
        <v>6.7</v>
      </c>
      <c r="G3745" s="9">
        <v>4000000</v>
      </c>
      <c r="H3745" s="9">
        <v>10515579</v>
      </c>
      <c r="I3745" s="5">
        <f>IMDB_Movies!$H3745-IMDB_Movies!$G3745</f>
        <v>6515579</v>
      </c>
    </row>
    <row r="3746" spans="1:9" ht="23">
      <c r="A3746" s="2" t="s">
        <v>5502</v>
      </c>
      <c r="B3746" s="9" t="s">
        <v>5503</v>
      </c>
      <c r="C3746" s="9" t="s">
        <v>138</v>
      </c>
      <c r="D3746" s="9" t="s">
        <v>11</v>
      </c>
      <c r="E3746" s="9">
        <v>93</v>
      </c>
      <c r="F3746" s="9">
        <v>4.5999999999999996</v>
      </c>
      <c r="G3746" s="9">
        <v>4000000</v>
      </c>
      <c r="H3746" s="9">
        <v>10097096</v>
      </c>
      <c r="I3746" s="5">
        <f>IMDB_Movies!$H3746-IMDB_Movies!$G3746</f>
        <v>6097096</v>
      </c>
    </row>
    <row r="3747" spans="1:9" ht="23">
      <c r="A3747" s="2" t="s">
        <v>5504</v>
      </c>
      <c r="B3747" s="9" t="s">
        <v>5503</v>
      </c>
      <c r="C3747" s="9" t="s">
        <v>138</v>
      </c>
      <c r="D3747" s="9" t="s">
        <v>11</v>
      </c>
      <c r="E3747" s="9">
        <v>82</v>
      </c>
      <c r="F3747" s="9">
        <v>4</v>
      </c>
      <c r="G3747" s="9">
        <v>6000000</v>
      </c>
      <c r="H3747" s="9">
        <v>9821335</v>
      </c>
      <c r="I3747" s="5">
        <f>IMDB_Movies!$H3747-IMDB_Movies!$G3747</f>
        <v>3821335</v>
      </c>
    </row>
    <row r="3748" spans="1:9" ht="23">
      <c r="A3748" s="2" t="s">
        <v>5505</v>
      </c>
      <c r="B3748" s="9" t="s">
        <v>3514</v>
      </c>
      <c r="C3748" s="9" t="s">
        <v>414</v>
      </c>
      <c r="D3748" s="9" t="s">
        <v>11</v>
      </c>
      <c r="E3748" s="9">
        <v>101</v>
      </c>
      <c r="F3748" s="9">
        <v>7</v>
      </c>
      <c r="G3748" s="9">
        <v>3200000</v>
      </c>
      <c r="H3748" s="9">
        <v>8243880</v>
      </c>
      <c r="I3748" s="5">
        <f>IMDB_Movies!$H3748-IMDB_Movies!$G3748</f>
        <v>5043880</v>
      </c>
    </row>
    <row r="3749" spans="1:9" ht="23">
      <c r="A3749" s="2" t="s">
        <v>5506</v>
      </c>
      <c r="B3749" s="9" t="s">
        <v>5419</v>
      </c>
      <c r="C3749" s="9" t="s">
        <v>56</v>
      </c>
      <c r="D3749" s="9" t="s">
        <v>11</v>
      </c>
      <c r="E3749" s="9">
        <v>120</v>
      </c>
      <c r="F3749" s="9">
        <v>7.4</v>
      </c>
      <c r="G3749" s="9">
        <v>4000000</v>
      </c>
      <c r="H3749" s="9">
        <v>25078937</v>
      </c>
      <c r="I3749" s="5">
        <f>IMDB_Movies!$H3749-IMDB_Movies!$G3749</f>
        <v>21078937</v>
      </c>
    </row>
    <row r="3750" spans="1:9" ht="23">
      <c r="A3750" s="2" t="s">
        <v>5507</v>
      </c>
      <c r="B3750" s="9" t="s">
        <v>5097</v>
      </c>
      <c r="C3750" s="9" t="s">
        <v>414</v>
      </c>
      <c r="D3750" s="9" t="s">
        <v>11</v>
      </c>
      <c r="E3750" s="9">
        <v>81</v>
      </c>
      <c r="F3750" s="9">
        <v>5.9</v>
      </c>
      <c r="G3750" s="9">
        <v>4000000</v>
      </c>
      <c r="H3750" s="9">
        <v>7825820</v>
      </c>
      <c r="I3750" s="5">
        <f>IMDB_Movies!$H3750-IMDB_Movies!$G3750</f>
        <v>3825820</v>
      </c>
    </row>
    <row r="3751" spans="1:9" ht="23">
      <c r="A3751" s="2" t="s">
        <v>5508</v>
      </c>
      <c r="B3751" s="9" t="s">
        <v>5509</v>
      </c>
      <c r="C3751" s="9" t="s">
        <v>138</v>
      </c>
      <c r="D3751" s="9" t="s">
        <v>11</v>
      </c>
      <c r="E3751" s="9">
        <v>82</v>
      </c>
      <c r="F3751" s="9">
        <v>4.5999999999999996</v>
      </c>
      <c r="G3751" s="9">
        <v>20000000</v>
      </c>
      <c r="H3751" s="9">
        <v>7557877</v>
      </c>
      <c r="I3751" s="5">
        <f>IMDB_Movies!$H3751-IMDB_Movies!$G3751</f>
        <v>-12442123</v>
      </c>
    </row>
    <row r="3752" spans="1:9" ht="23">
      <c r="A3752" s="2" t="s">
        <v>5510</v>
      </c>
      <c r="B3752" s="9" t="s">
        <v>1856</v>
      </c>
      <c r="C3752" s="9" t="s">
        <v>56</v>
      </c>
      <c r="D3752" s="9" t="s">
        <v>741</v>
      </c>
      <c r="E3752" s="9">
        <v>105</v>
      </c>
      <c r="F3752" s="9">
        <v>7.5</v>
      </c>
      <c r="G3752" s="9">
        <v>3400000</v>
      </c>
      <c r="H3752" s="9">
        <v>7159147</v>
      </c>
      <c r="I3752" s="5">
        <f>IMDB_Movies!$H3752-IMDB_Movies!$G3752</f>
        <v>3759147</v>
      </c>
    </row>
    <row r="3753" spans="1:9" ht="23">
      <c r="A3753" s="2" t="s">
        <v>5511</v>
      </c>
      <c r="B3753" s="9" t="s">
        <v>5282</v>
      </c>
      <c r="C3753" s="9" t="s">
        <v>138</v>
      </c>
      <c r="D3753" s="9" t="s">
        <v>11</v>
      </c>
      <c r="E3753" s="9">
        <v>86</v>
      </c>
      <c r="F3753" s="9">
        <v>4.7</v>
      </c>
      <c r="G3753" s="9">
        <v>4000000</v>
      </c>
      <c r="H3753" s="9">
        <v>17314483</v>
      </c>
      <c r="I3753" s="5">
        <f>IMDB_Movies!$H3753-IMDB_Movies!$G3753</f>
        <v>13314483</v>
      </c>
    </row>
    <row r="3754" spans="1:9" ht="23">
      <c r="A3754" s="2" t="s">
        <v>5512</v>
      </c>
      <c r="B3754" s="9" t="s">
        <v>5513</v>
      </c>
      <c r="C3754" s="9" t="s">
        <v>138</v>
      </c>
      <c r="D3754" s="9" t="s">
        <v>11</v>
      </c>
      <c r="E3754" s="9">
        <v>110</v>
      </c>
      <c r="F3754" s="9">
        <v>6.7</v>
      </c>
      <c r="G3754" s="9">
        <v>4000000</v>
      </c>
      <c r="H3754" s="9">
        <v>6525762</v>
      </c>
      <c r="I3754" s="5">
        <f>IMDB_Movies!$H3754-IMDB_Movies!$G3754</f>
        <v>2525762</v>
      </c>
    </row>
    <row r="3755" spans="1:9" ht="23">
      <c r="A3755" s="2" t="s">
        <v>5514</v>
      </c>
      <c r="B3755" s="9" t="s">
        <v>3135</v>
      </c>
      <c r="C3755" s="9" t="s">
        <v>56</v>
      </c>
      <c r="D3755" s="9" t="s">
        <v>11</v>
      </c>
      <c r="E3755" s="9">
        <v>127</v>
      </c>
      <c r="F3755" s="9">
        <v>6.3</v>
      </c>
      <c r="G3755" s="9">
        <v>4000000</v>
      </c>
      <c r="H3755" s="9">
        <v>25078937</v>
      </c>
      <c r="I3755" s="5">
        <f>IMDB_Movies!$H3755-IMDB_Movies!$G3755</f>
        <v>21078937</v>
      </c>
    </row>
    <row r="3756" spans="1:9" ht="23">
      <c r="A3756" s="2" t="s">
        <v>5515</v>
      </c>
      <c r="B3756" s="9" t="s">
        <v>4495</v>
      </c>
      <c r="C3756" s="9" t="s">
        <v>138</v>
      </c>
      <c r="D3756" s="9" t="s">
        <v>11</v>
      </c>
      <c r="E3756" s="9">
        <v>90</v>
      </c>
      <c r="F3756" s="9">
        <v>6</v>
      </c>
      <c r="G3756" s="9">
        <v>20000000</v>
      </c>
      <c r="H3756" s="9">
        <v>4613815</v>
      </c>
      <c r="I3756" s="5">
        <f>IMDB_Movies!$H3756-IMDB_Movies!$G3756</f>
        <v>-15386185</v>
      </c>
    </row>
    <row r="3757" spans="1:9" ht="23">
      <c r="A3757" s="2" t="s">
        <v>5516</v>
      </c>
      <c r="B3757" s="9" t="s">
        <v>5517</v>
      </c>
      <c r="C3757" s="9" t="s">
        <v>138</v>
      </c>
      <c r="D3757" s="9" t="s">
        <v>11</v>
      </c>
      <c r="E3757" s="9">
        <v>110</v>
      </c>
      <c r="F3757" s="9">
        <v>6.7</v>
      </c>
      <c r="G3757" s="9">
        <v>4000000</v>
      </c>
      <c r="H3757" s="9">
        <v>4301331</v>
      </c>
      <c r="I3757" s="5">
        <f>IMDB_Movies!$H3757-IMDB_Movies!$G3757</f>
        <v>301331</v>
      </c>
    </row>
    <row r="3758" spans="1:9" ht="23">
      <c r="A3758" s="2" t="s">
        <v>5518</v>
      </c>
      <c r="B3758" s="9" t="s">
        <v>3535</v>
      </c>
      <c r="C3758" s="9" t="s">
        <v>138</v>
      </c>
      <c r="D3758" s="9" t="s">
        <v>11</v>
      </c>
      <c r="E3758" s="9">
        <v>104</v>
      </c>
      <c r="F3758" s="9">
        <v>7.1</v>
      </c>
      <c r="G3758" s="9">
        <v>4000000</v>
      </c>
      <c r="H3758" s="9">
        <v>4046737</v>
      </c>
      <c r="I3758" s="5">
        <f>IMDB_Movies!$H3758-IMDB_Movies!$G3758</f>
        <v>46737</v>
      </c>
    </row>
    <row r="3759" spans="1:9" ht="23">
      <c r="A3759" s="2" t="s">
        <v>5519</v>
      </c>
      <c r="B3759" s="9" t="s">
        <v>5520</v>
      </c>
      <c r="C3759" s="9" t="s">
        <v>772</v>
      </c>
      <c r="D3759" s="9" t="s">
        <v>11</v>
      </c>
      <c r="E3759" s="9">
        <v>96</v>
      </c>
      <c r="F3759" s="9">
        <v>2.7</v>
      </c>
      <c r="G3759" s="9">
        <v>8000000</v>
      </c>
      <c r="H3759" s="9">
        <v>3713002</v>
      </c>
      <c r="I3759" s="5">
        <f>IMDB_Movies!$H3759-IMDB_Movies!$G3759</f>
        <v>-4286998</v>
      </c>
    </row>
    <row r="3760" spans="1:9" ht="23">
      <c r="A3760" s="2" t="s">
        <v>5521</v>
      </c>
      <c r="B3760" s="9" t="s">
        <v>205</v>
      </c>
      <c r="C3760" s="9" t="s">
        <v>56</v>
      </c>
      <c r="D3760" s="9" t="s">
        <v>11</v>
      </c>
      <c r="E3760" s="9">
        <v>110</v>
      </c>
      <c r="F3760" s="9">
        <v>7.3</v>
      </c>
      <c r="G3760" s="9">
        <v>4000000</v>
      </c>
      <c r="H3760" s="9">
        <v>3468572</v>
      </c>
      <c r="I3760" s="5">
        <f>IMDB_Movies!$H3760-IMDB_Movies!$G3760</f>
        <v>-531428</v>
      </c>
    </row>
    <row r="3761" spans="1:9" ht="23">
      <c r="A3761" s="2" t="s">
        <v>5522</v>
      </c>
      <c r="B3761" s="9" t="s">
        <v>4163</v>
      </c>
      <c r="C3761" s="9" t="s">
        <v>138</v>
      </c>
      <c r="D3761" s="9" t="s">
        <v>11</v>
      </c>
      <c r="E3761" s="9">
        <v>84</v>
      </c>
      <c r="F3761" s="9">
        <v>7.6</v>
      </c>
      <c r="G3761" s="9">
        <v>4000000</v>
      </c>
      <c r="H3761" s="9">
        <v>2892582</v>
      </c>
      <c r="I3761" s="5">
        <f>IMDB_Movies!$H3761-IMDB_Movies!$G3761</f>
        <v>-1107418</v>
      </c>
    </row>
    <row r="3762" spans="1:9" ht="23">
      <c r="A3762" s="2" t="s">
        <v>5523</v>
      </c>
      <c r="B3762" s="9" t="s">
        <v>5524</v>
      </c>
      <c r="C3762" s="9" t="s">
        <v>138</v>
      </c>
      <c r="D3762" s="9" t="s">
        <v>11</v>
      </c>
      <c r="E3762" s="9">
        <v>94</v>
      </c>
      <c r="F3762" s="9">
        <v>5.8</v>
      </c>
      <c r="G3762" s="9">
        <v>4000000</v>
      </c>
      <c r="H3762" s="9">
        <v>2800000</v>
      </c>
      <c r="I3762" s="5">
        <f>IMDB_Movies!$H3762-IMDB_Movies!$G3762</f>
        <v>-1200000</v>
      </c>
    </row>
    <row r="3763" spans="1:9" ht="23">
      <c r="A3763" s="2" t="s">
        <v>5525</v>
      </c>
      <c r="B3763" s="9" t="s">
        <v>1200</v>
      </c>
      <c r="C3763" s="9" t="s">
        <v>138</v>
      </c>
      <c r="D3763" s="9" t="s">
        <v>11</v>
      </c>
      <c r="E3763" s="9">
        <v>93</v>
      </c>
      <c r="F3763" s="9">
        <v>6.5</v>
      </c>
      <c r="G3763" s="9">
        <v>4000000</v>
      </c>
      <c r="H3763" s="9">
        <v>2426851</v>
      </c>
      <c r="I3763" s="5">
        <f>IMDB_Movies!$H3763-IMDB_Movies!$G3763</f>
        <v>-1573149</v>
      </c>
    </row>
    <row r="3764" spans="1:9" ht="23">
      <c r="A3764" s="2" t="s">
        <v>5526</v>
      </c>
      <c r="B3764" s="9" t="s">
        <v>5527</v>
      </c>
      <c r="C3764" s="9" t="s">
        <v>138</v>
      </c>
      <c r="D3764" s="9" t="s">
        <v>11</v>
      </c>
      <c r="E3764" s="9">
        <v>96</v>
      </c>
      <c r="F3764" s="9">
        <v>6.6</v>
      </c>
      <c r="G3764" s="9">
        <v>4000000</v>
      </c>
      <c r="H3764" s="9">
        <v>1325073</v>
      </c>
      <c r="I3764" s="5">
        <f>IMDB_Movies!$H3764-IMDB_Movies!$G3764</f>
        <v>-2674927</v>
      </c>
    </row>
    <row r="3765" spans="1:9" ht="23">
      <c r="A3765" s="2" t="s">
        <v>5528</v>
      </c>
      <c r="B3765" s="9" t="s">
        <v>1973</v>
      </c>
      <c r="C3765" s="9" t="s">
        <v>10</v>
      </c>
      <c r="D3765" s="9" t="s">
        <v>11</v>
      </c>
      <c r="E3765" s="9">
        <v>88</v>
      </c>
      <c r="F3765" s="9">
        <v>6.2</v>
      </c>
      <c r="G3765" s="9">
        <v>4000000</v>
      </c>
      <c r="H3765" s="9">
        <v>25078937</v>
      </c>
      <c r="I3765" s="5">
        <f>IMDB_Movies!$H3765-IMDB_Movies!$G3765</f>
        <v>21078937</v>
      </c>
    </row>
    <row r="3766" spans="1:9" ht="23">
      <c r="A3766" s="2" t="s">
        <v>5529</v>
      </c>
      <c r="B3766" s="9" t="s">
        <v>5530</v>
      </c>
      <c r="C3766" s="9" t="s">
        <v>24</v>
      </c>
      <c r="D3766" s="9" t="s">
        <v>11</v>
      </c>
      <c r="E3766" s="9">
        <v>101</v>
      </c>
      <c r="F3766" s="9">
        <v>6.9</v>
      </c>
      <c r="G3766" s="9">
        <v>4000000</v>
      </c>
      <c r="H3766" s="9">
        <v>864959</v>
      </c>
      <c r="I3766" s="5">
        <f>IMDB_Movies!$H3766-IMDB_Movies!$G3766</f>
        <v>-3135041</v>
      </c>
    </row>
    <row r="3767" spans="1:9" ht="23">
      <c r="A3767" s="3" t="s">
        <v>5531</v>
      </c>
      <c r="B3767" s="10" t="s">
        <v>5532</v>
      </c>
      <c r="C3767" s="10" t="s">
        <v>24</v>
      </c>
      <c r="D3767" s="10" t="s">
        <v>11</v>
      </c>
      <c r="E3767" s="10">
        <v>87</v>
      </c>
      <c r="F3767" s="10">
        <v>4.8</v>
      </c>
      <c r="G3767" s="10">
        <v>4000000</v>
      </c>
      <c r="H3767" s="10">
        <v>800000</v>
      </c>
      <c r="I3767" s="5">
        <f>IMDB_Movies!$H3767-IMDB_Movies!$G3767</f>
        <v>-3200000</v>
      </c>
    </row>
    <row r="3768" spans="1:9" ht="23">
      <c r="A3768" s="2" t="s">
        <v>5533</v>
      </c>
      <c r="B3768" s="9" t="s">
        <v>5534</v>
      </c>
      <c r="C3768" s="9" t="s">
        <v>56</v>
      </c>
      <c r="D3768" s="9" t="s">
        <v>11</v>
      </c>
      <c r="E3768" s="9">
        <v>83</v>
      </c>
      <c r="F3768" s="9">
        <v>6.6</v>
      </c>
      <c r="G3768" s="9">
        <v>20000000</v>
      </c>
      <c r="H3768" s="9">
        <v>1429260</v>
      </c>
      <c r="I3768" s="5">
        <f>IMDB_Movies!$H3768-IMDB_Movies!$G3768</f>
        <v>-18570740</v>
      </c>
    </row>
    <row r="3769" spans="1:9" ht="23">
      <c r="A3769" s="3" t="s">
        <v>5535</v>
      </c>
      <c r="B3769" s="10" t="s">
        <v>5536</v>
      </c>
      <c r="C3769" s="10" t="s">
        <v>56</v>
      </c>
      <c r="D3769" s="10" t="s">
        <v>11</v>
      </c>
      <c r="E3769" s="10">
        <v>103</v>
      </c>
      <c r="F3769" s="10">
        <v>5.7</v>
      </c>
      <c r="G3769" s="10">
        <v>4500000</v>
      </c>
      <c r="H3769" s="10">
        <v>25078937</v>
      </c>
      <c r="I3769" s="5">
        <f>IMDB_Movies!$H3769-IMDB_Movies!$G3769</f>
        <v>20578937</v>
      </c>
    </row>
    <row r="3770" spans="1:9" ht="23">
      <c r="A3770" s="2" t="s">
        <v>5537</v>
      </c>
      <c r="B3770" s="9" t="s">
        <v>5538</v>
      </c>
      <c r="C3770" s="9" t="s">
        <v>56</v>
      </c>
      <c r="D3770" s="9" t="s">
        <v>11</v>
      </c>
      <c r="E3770" s="9">
        <v>99</v>
      </c>
      <c r="F3770" s="9">
        <v>7</v>
      </c>
      <c r="G3770" s="9">
        <v>4000000</v>
      </c>
      <c r="H3770" s="9">
        <v>562059</v>
      </c>
      <c r="I3770" s="5">
        <f>IMDB_Movies!$H3770-IMDB_Movies!$G3770</f>
        <v>-3437941</v>
      </c>
    </row>
    <row r="3771" spans="1:9" ht="23">
      <c r="A3771" s="3" t="s">
        <v>5539</v>
      </c>
      <c r="B3771" s="10" t="s">
        <v>5484</v>
      </c>
      <c r="C3771" s="10" t="s">
        <v>56</v>
      </c>
      <c r="D3771" s="10" t="s">
        <v>11</v>
      </c>
      <c r="E3771" s="10">
        <v>106</v>
      </c>
      <c r="F3771" s="10">
        <v>5.4</v>
      </c>
      <c r="G3771" s="10">
        <v>4000000</v>
      </c>
      <c r="H3771" s="10">
        <v>399793</v>
      </c>
      <c r="I3771" s="5">
        <f>IMDB_Movies!$H3771-IMDB_Movies!$G3771</f>
        <v>-3600207</v>
      </c>
    </row>
    <row r="3772" spans="1:9" ht="23">
      <c r="A3772" s="2" t="s">
        <v>5540</v>
      </c>
      <c r="B3772" s="9" t="s">
        <v>5541</v>
      </c>
      <c r="C3772" s="9" t="s">
        <v>56</v>
      </c>
      <c r="D3772" s="9" t="s">
        <v>394</v>
      </c>
      <c r="E3772" s="9">
        <v>115</v>
      </c>
      <c r="F3772" s="9">
        <v>7.1</v>
      </c>
      <c r="G3772" s="9">
        <v>20000000</v>
      </c>
      <c r="H3772" s="9">
        <v>25078937</v>
      </c>
      <c r="I3772" s="5">
        <f>IMDB_Movies!$H3772-IMDB_Movies!$G3772</f>
        <v>5078937</v>
      </c>
    </row>
    <row r="3773" spans="1:9" ht="23">
      <c r="A3773" s="3" t="s">
        <v>5542</v>
      </c>
      <c r="B3773" s="10" t="s">
        <v>1484</v>
      </c>
      <c r="C3773" s="10" t="s">
        <v>56</v>
      </c>
      <c r="D3773" s="10" t="s">
        <v>11</v>
      </c>
      <c r="E3773" s="10">
        <v>117</v>
      </c>
      <c r="F3773" s="10">
        <v>6.9</v>
      </c>
      <c r="G3773" s="10">
        <v>4000000</v>
      </c>
      <c r="H3773" s="10">
        <v>371897</v>
      </c>
      <c r="I3773" s="5">
        <f>IMDB_Movies!$H3773-IMDB_Movies!$G3773</f>
        <v>-3628103</v>
      </c>
    </row>
    <row r="3774" spans="1:9" ht="23">
      <c r="A3774" s="2" t="s">
        <v>5543</v>
      </c>
      <c r="B3774" s="9" t="s">
        <v>5544</v>
      </c>
      <c r="C3774" s="9" t="s">
        <v>138</v>
      </c>
      <c r="D3774" s="9" t="s">
        <v>11</v>
      </c>
      <c r="E3774" s="9">
        <v>99</v>
      </c>
      <c r="F3774" s="9">
        <v>6.6</v>
      </c>
      <c r="G3774" s="9">
        <v>3000000</v>
      </c>
      <c r="H3774" s="9">
        <v>302204</v>
      </c>
      <c r="I3774" s="5">
        <f>IMDB_Movies!$H3774-IMDB_Movies!$G3774</f>
        <v>-2697796</v>
      </c>
    </row>
    <row r="3775" spans="1:9" ht="23">
      <c r="A3775" s="3" t="s">
        <v>5545</v>
      </c>
      <c r="B3775" s="10" t="s">
        <v>557</v>
      </c>
      <c r="C3775" s="10" t="s">
        <v>414</v>
      </c>
      <c r="D3775" s="10" t="s">
        <v>11</v>
      </c>
      <c r="E3775" s="10">
        <v>102</v>
      </c>
      <c r="F3775" s="10">
        <v>5.9</v>
      </c>
      <c r="G3775" s="10">
        <v>1300000</v>
      </c>
      <c r="H3775" s="10">
        <v>354704</v>
      </c>
      <c r="I3775" s="5">
        <f>IMDB_Movies!$H3775-IMDB_Movies!$G3775</f>
        <v>-945296</v>
      </c>
    </row>
    <row r="3776" spans="1:9" ht="23">
      <c r="A3776" s="2" t="s">
        <v>5546</v>
      </c>
      <c r="B3776" s="9" t="s">
        <v>5547</v>
      </c>
      <c r="C3776" s="9" t="s">
        <v>138</v>
      </c>
      <c r="D3776" s="9" t="s">
        <v>11</v>
      </c>
      <c r="E3776" s="9">
        <v>85</v>
      </c>
      <c r="F3776" s="9">
        <v>6.3</v>
      </c>
      <c r="G3776" s="9">
        <v>1500000</v>
      </c>
      <c r="H3776" s="9">
        <v>265107</v>
      </c>
      <c r="I3776" s="5">
        <f>IMDB_Movies!$H3776-IMDB_Movies!$G3776</f>
        <v>-1234893</v>
      </c>
    </row>
    <row r="3777" spans="1:9" ht="23">
      <c r="A3777" s="3" t="s">
        <v>5548</v>
      </c>
      <c r="B3777" s="10" t="s">
        <v>2608</v>
      </c>
      <c r="C3777" s="10" t="s">
        <v>138</v>
      </c>
      <c r="D3777" s="10" t="s">
        <v>11</v>
      </c>
      <c r="E3777" s="10">
        <v>86</v>
      </c>
      <c r="F3777" s="10">
        <v>6.3</v>
      </c>
      <c r="G3777" s="10">
        <v>4000000</v>
      </c>
      <c r="H3777" s="10">
        <v>185577</v>
      </c>
      <c r="I3777" s="5">
        <f>IMDB_Movies!$H3777-IMDB_Movies!$G3777</f>
        <v>-3814423</v>
      </c>
    </row>
    <row r="3778" spans="1:9" ht="23">
      <c r="A3778" s="2" t="s">
        <v>5549</v>
      </c>
      <c r="B3778" s="9" t="s">
        <v>5550</v>
      </c>
      <c r="C3778" s="9" t="s">
        <v>56</v>
      </c>
      <c r="D3778" s="9" t="s">
        <v>2452</v>
      </c>
      <c r="E3778" s="9">
        <v>120</v>
      </c>
      <c r="F3778" s="9">
        <v>7.7</v>
      </c>
      <c r="G3778" s="9">
        <v>4000000</v>
      </c>
      <c r="H3778" s="9">
        <v>100412</v>
      </c>
      <c r="I3778" s="5">
        <f>IMDB_Movies!$H3778-IMDB_Movies!$G3778</f>
        <v>-3899588</v>
      </c>
    </row>
    <row r="3779" spans="1:9" ht="23">
      <c r="A3779" s="3" t="s">
        <v>5551</v>
      </c>
      <c r="B3779" s="10" t="s">
        <v>4448</v>
      </c>
      <c r="C3779" s="10" t="s">
        <v>414</v>
      </c>
      <c r="D3779" s="10" t="s">
        <v>11</v>
      </c>
      <c r="E3779" s="10">
        <v>106</v>
      </c>
      <c r="F3779" s="10">
        <v>7</v>
      </c>
      <c r="G3779" s="10">
        <v>9500000</v>
      </c>
      <c r="H3779" s="10">
        <v>58214</v>
      </c>
      <c r="I3779" s="5">
        <f>IMDB_Movies!$H3779-IMDB_Movies!$G3779</f>
        <v>-9441786</v>
      </c>
    </row>
    <row r="3780" spans="1:9" ht="23">
      <c r="A3780" s="2" t="s">
        <v>5552</v>
      </c>
      <c r="B3780" s="9" t="s">
        <v>834</v>
      </c>
      <c r="C3780" s="9" t="s">
        <v>138</v>
      </c>
      <c r="D3780" s="9" t="s">
        <v>11</v>
      </c>
      <c r="E3780" s="9">
        <v>103</v>
      </c>
      <c r="F3780" s="9">
        <v>6.3</v>
      </c>
      <c r="G3780" s="9">
        <v>14000000</v>
      </c>
      <c r="H3780" s="9">
        <v>75078</v>
      </c>
      <c r="I3780" s="5">
        <f>IMDB_Movies!$H3780-IMDB_Movies!$G3780</f>
        <v>-13924922</v>
      </c>
    </row>
    <row r="3781" spans="1:9" ht="23">
      <c r="A3781" s="3" t="s">
        <v>5553</v>
      </c>
      <c r="B3781" s="10" t="s">
        <v>3990</v>
      </c>
      <c r="C3781" s="10" t="s">
        <v>138</v>
      </c>
      <c r="D3781" s="10" t="s">
        <v>11</v>
      </c>
      <c r="E3781" s="10">
        <v>93</v>
      </c>
      <c r="F3781" s="10">
        <v>5.9</v>
      </c>
      <c r="G3781" s="10">
        <v>2500000</v>
      </c>
      <c r="H3781" s="10">
        <v>64359</v>
      </c>
      <c r="I3781" s="5">
        <f>IMDB_Movies!$H3781-IMDB_Movies!$G3781</f>
        <v>-2435641</v>
      </c>
    </row>
    <row r="3782" spans="1:9" ht="23">
      <c r="A3782" s="2" t="s">
        <v>5554</v>
      </c>
      <c r="B3782" s="9" t="s">
        <v>2911</v>
      </c>
      <c r="C3782" s="9" t="s">
        <v>56</v>
      </c>
      <c r="D3782" s="9" t="s">
        <v>11</v>
      </c>
      <c r="E3782" s="9">
        <v>112</v>
      </c>
      <c r="F3782" s="9">
        <v>6.2</v>
      </c>
      <c r="G3782" s="9">
        <v>16000000</v>
      </c>
      <c r="H3782" s="9">
        <v>317125</v>
      </c>
      <c r="I3782" s="5">
        <f>IMDB_Movies!$H3782-IMDB_Movies!$G3782</f>
        <v>-15682875</v>
      </c>
    </row>
    <row r="3783" spans="1:9" ht="23">
      <c r="A3783" s="3" t="s">
        <v>5555</v>
      </c>
      <c r="B3783" s="10" t="s">
        <v>5556</v>
      </c>
      <c r="C3783" s="10" t="s">
        <v>138</v>
      </c>
      <c r="D3783" s="10" t="s">
        <v>11</v>
      </c>
      <c r="E3783" s="10">
        <v>100</v>
      </c>
      <c r="F3783" s="10">
        <v>5</v>
      </c>
      <c r="G3783" s="10">
        <v>4000000</v>
      </c>
      <c r="H3783" s="10">
        <v>25078937</v>
      </c>
      <c r="I3783" s="5">
        <f>IMDB_Movies!$H3783-IMDB_Movies!$G3783</f>
        <v>21078937</v>
      </c>
    </row>
    <row r="3784" spans="1:9" ht="23">
      <c r="A3784" s="2" t="s">
        <v>5557</v>
      </c>
      <c r="B3784" s="9" t="s">
        <v>5558</v>
      </c>
      <c r="C3784" s="9" t="s">
        <v>138</v>
      </c>
      <c r="D3784" s="9" t="s">
        <v>741</v>
      </c>
      <c r="E3784" s="9">
        <v>113</v>
      </c>
      <c r="F3784" s="9">
        <v>7.7</v>
      </c>
      <c r="G3784" s="9">
        <v>4000000</v>
      </c>
      <c r="H3784" s="9">
        <v>146402</v>
      </c>
      <c r="I3784" s="5">
        <f>IMDB_Movies!$H3784-IMDB_Movies!$G3784</f>
        <v>-3853598</v>
      </c>
    </row>
    <row r="3785" spans="1:9" ht="23">
      <c r="A3785" s="3" t="s">
        <v>5559</v>
      </c>
      <c r="B3785" s="10" t="s">
        <v>5560</v>
      </c>
      <c r="C3785" s="10" t="s">
        <v>56</v>
      </c>
      <c r="D3785" s="10" t="s">
        <v>11</v>
      </c>
      <c r="E3785" s="10">
        <v>98</v>
      </c>
      <c r="F3785" s="10">
        <v>6.5</v>
      </c>
      <c r="G3785" s="10">
        <v>650000</v>
      </c>
      <c r="H3785" s="10">
        <v>18469</v>
      </c>
      <c r="I3785" s="5">
        <f>IMDB_Movies!$H3785-IMDB_Movies!$G3785</f>
        <v>-631531</v>
      </c>
    </row>
    <row r="3786" spans="1:9" ht="23">
      <c r="A3786" s="2" t="s">
        <v>5561</v>
      </c>
      <c r="B3786" s="9" t="s">
        <v>1854</v>
      </c>
      <c r="C3786" s="9" t="s">
        <v>418</v>
      </c>
      <c r="D3786" s="9" t="s">
        <v>11</v>
      </c>
      <c r="E3786" s="9">
        <v>92</v>
      </c>
      <c r="F3786" s="9">
        <v>5.8</v>
      </c>
      <c r="G3786" s="9">
        <v>4000000</v>
      </c>
      <c r="H3786" s="9">
        <v>12836</v>
      </c>
      <c r="I3786" s="5">
        <f>IMDB_Movies!$H3786-IMDB_Movies!$G3786</f>
        <v>-3987164</v>
      </c>
    </row>
    <row r="3787" spans="1:9" ht="23">
      <c r="A3787" s="3" t="s">
        <v>5562</v>
      </c>
      <c r="B3787" s="10" t="s">
        <v>5563</v>
      </c>
      <c r="C3787" s="10" t="s">
        <v>56</v>
      </c>
      <c r="D3787" s="10" t="s">
        <v>4233</v>
      </c>
      <c r="E3787" s="10">
        <v>106</v>
      </c>
      <c r="F3787" s="10">
        <v>6.1</v>
      </c>
      <c r="G3787" s="10">
        <v>4000000</v>
      </c>
      <c r="H3787" s="10">
        <v>20262</v>
      </c>
      <c r="I3787" s="5">
        <f>IMDB_Movies!$H3787-IMDB_Movies!$G3787</f>
        <v>-3979738</v>
      </c>
    </row>
    <row r="3788" spans="1:9" ht="23">
      <c r="A3788" s="2" t="s">
        <v>5564</v>
      </c>
      <c r="B3788" s="9" t="s">
        <v>5565</v>
      </c>
      <c r="C3788" s="9" t="s">
        <v>138</v>
      </c>
      <c r="D3788" s="9" t="s">
        <v>11</v>
      </c>
      <c r="E3788" s="9">
        <v>119</v>
      </c>
      <c r="F3788" s="9">
        <v>6</v>
      </c>
      <c r="G3788" s="9">
        <v>4000000</v>
      </c>
      <c r="H3788" s="9">
        <v>25078937</v>
      </c>
      <c r="I3788" s="5">
        <f>IMDB_Movies!$H3788-IMDB_Movies!$G3788</f>
        <v>21078937</v>
      </c>
    </row>
    <row r="3789" spans="1:9" ht="23">
      <c r="A3789" s="3" t="s">
        <v>5566</v>
      </c>
      <c r="B3789" s="10" t="s">
        <v>4579</v>
      </c>
      <c r="C3789" s="10" t="s">
        <v>10</v>
      </c>
      <c r="D3789" s="10" t="s">
        <v>11</v>
      </c>
      <c r="E3789" s="10">
        <v>99</v>
      </c>
      <c r="F3789" s="10">
        <v>6.3</v>
      </c>
      <c r="G3789" s="10">
        <v>4000000</v>
      </c>
      <c r="H3789" s="10">
        <v>25078937</v>
      </c>
      <c r="I3789" s="5">
        <f>IMDB_Movies!$H3789-IMDB_Movies!$G3789</f>
        <v>21078937</v>
      </c>
    </row>
    <row r="3790" spans="1:9" ht="23">
      <c r="A3790" s="2" t="s">
        <v>5567</v>
      </c>
      <c r="B3790" s="9" t="s">
        <v>2398</v>
      </c>
      <c r="C3790" s="9" t="s">
        <v>138</v>
      </c>
      <c r="D3790" s="9" t="s">
        <v>11</v>
      </c>
      <c r="E3790" s="9">
        <v>90</v>
      </c>
      <c r="F3790" s="9">
        <v>6.3</v>
      </c>
      <c r="G3790" s="9">
        <v>20000000</v>
      </c>
      <c r="H3790" s="9">
        <v>25078937</v>
      </c>
      <c r="I3790" s="5">
        <f>IMDB_Movies!$H3790-IMDB_Movies!$G3790</f>
        <v>5078937</v>
      </c>
    </row>
    <row r="3791" spans="1:9" ht="23">
      <c r="A3791" s="3" t="s">
        <v>5568</v>
      </c>
      <c r="B3791" s="10" t="s">
        <v>5569</v>
      </c>
      <c r="C3791" s="10" t="s">
        <v>24</v>
      </c>
      <c r="D3791" s="10" t="s">
        <v>1544</v>
      </c>
      <c r="E3791" s="10">
        <v>120</v>
      </c>
      <c r="F3791" s="10">
        <v>7.5</v>
      </c>
      <c r="G3791" s="10">
        <v>4000000</v>
      </c>
      <c r="H3791" s="10">
        <v>25078937</v>
      </c>
      <c r="I3791" s="5">
        <f>IMDB_Movies!$H3791-IMDB_Movies!$G3791</f>
        <v>21078937</v>
      </c>
    </row>
    <row r="3792" spans="1:9" ht="23">
      <c r="A3792" s="2" t="s">
        <v>5570</v>
      </c>
      <c r="B3792" s="9" t="s">
        <v>5571</v>
      </c>
      <c r="C3792" s="9" t="s">
        <v>56</v>
      </c>
      <c r="D3792" s="9" t="s">
        <v>11</v>
      </c>
      <c r="E3792" s="9">
        <v>168</v>
      </c>
      <c r="F3792" s="9">
        <v>7.6</v>
      </c>
      <c r="G3792" s="9">
        <v>4000000</v>
      </c>
      <c r="H3792" s="9">
        <v>25078937</v>
      </c>
      <c r="I3792" s="5">
        <f>IMDB_Movies!$H3792-IMDB_Movies!$G3792</f>
        <v>21078937</v>
      </c>
    </row>
    <row r="3793" spans="1:9" ht="23">
      <c r="A3793" s="3" t="s">
        <v>5572</v>
      </c>
      <c r="B3793" s="10" t="s">
        <v>5573</v>
      </c>
      <c r="C3793" s="10" t="s">
        <v>56</v>
      </c>
      <c r="D3793" s="10" t="s">
        <v>11</v>
      </c>
      <c r="E3793" s="10">
        <v>93</v>
      </c>
      <c r="F3793" s="10">
        <v>5.2</v>
      </c>
      <c r="G3793" s="10">
        <v>4000000</v>
      </c>
      <c r="H3793" s="10">
        <v>4063</v>
      </c>
      <c r="I3793" s="5">
        <f>IMDB_Movies!$H3793-IMDB_Movies!$G3793</f>
        <v>-3995937</v>
      </c>
    </row>
    <row r="3794" spans="1:9" ht="23">
      <c r="A3794" s="2" t="s">
        <v>5574</v>
      </c>
      <c r="B3794" s="9" t="s">
        <v>5575</v>
      </c>
      <c r="C3794" s="9" t="s">
        <v>56</v>
      </c>
      <c r="D3794" s="9" t="s">
        <v>11</v>
      </c>
      <c r="E3794" s="9">
        <v>96</v>
      </c>
      <c r="F3794" s="9">
        <v>7.8</v>
      </c>
      <c r="G3794" s="9">
        <v>3950000</v>
      </c>
      <c r="H3794" s="9">
        <v>25078937</v>
      </c>
      <c r="I3794" s="5">
        <f>IMDB_Movies!$H3794-IMDB_Movies!$G3794</f>
        <v>21128937</v>
      </c>
    </row>
    <row r="3795" spans="1:9" ht="23">
      <c r="A3795" s="3" t="s">
        <v>5576</v>
      </c>
      <c r="B3795" s="10" t="s">
        <v>5577</v>
      </c>
      <c r="C3795" s="10" t="s">
        <v>138</v>
      </c>
      <c r="D3795" s="10" t="s">
        <v>11</v>
      </c>
      <c r="E3795" s="10">
        <v>103</v>
      </c>
      <c r="F3795" s="10">
        <v>6.6</v>
      </c>
      <c r="G3795" s="10">
        <v>4000000</v>
      </c>
      <c r="H3795" s="10">
        <v>25078937</v>
      </c>
      <c r="I3795" s="5">
        <f>IMDB_Movies!$H3795-IMDB_Movies!$G3795</f>
        <v>21078937</v>
      </c>
    </row>
    <row r="3796" spans="1:9" ht="23">
      <c r="A3796" s="2" t="s">
        <v>5578</v>
      </c>
      <c r="B3796" s="9" t="s">
        <v>2355</v>
      </c>
      <c r="C3796" s="9" t="s">
        <v>810</v>
      </c>
      <c r="D3796" s="9" t="s">
        <v>11</v>
      </c>
      <c r="E3796" s="9">
        <v>93</v>
      </c>
      <c r="F3796" s="9">
        <v>4.7</v>
      </c>
      <c r="G3796" s="9">
        <v>4000000</v>
      </c>
      <c r="H3796" s="9">
        <v>25078937</v>
      </c>
      <c r="I3796" s="5">
        <f>IMDB_Movies!$H3796-IMDB_Movies!$G3796</f>
        <v>21078937</v>
      </c>
    </row>
    <row r="3797" spans="1:9" ht="23">
      <c r="A3797" s="3" t="s">
        <v>5579</v>
      </c>
      <c r="B3797" s="10" t="s">
        <v>5580</v>
      </c>
      <c r="C3797" s="10" t="s">
        <v>810</v>
      </c>
      <c r="D3797" s="10" t="s">
        <v>11</v>
      </c>
      <c r="E3797" s="10">
        <v>84</v>
      </c>
      <c r="F3797" s="10">
        <v>6.7</v>
      </c>
      <c r="G3797" s="10">
        <v>20000000</v>
      </c>
      <c r="H3797" s="10">
        <v>25078937</v>
      </c>
      <c r="I3797" s="5">
        <f>IMDB_Movies!$H3797-IMDB_Movies!$G3797</f>
        <v>5078937</v>
      </c>
    </row>
    <row r="3798" spans="1:9" ht="23">
      <c r="A3798" s="2" t="s">
        <v>5581</v>
      </c>
      <c r="B3798" s="9" t="s">
        <v>4728</v>
      </c>
      <c r="C3798" s="9" t="s">
        <v>810</v>
      </c>
      <c r="D3798" s="9" t="s">
        <v>11</v>
      </c>
      <c r="E3798" s="9">
        <v>81</v>
      </c>
      <c r="F3798" s="9">
        <v>4.2</v>
      </c>
      <c r="G3798" s="9">
        <v>4000000</v>
      </c>
      <c r="H3798" s="9">
        <v>25078937</v>
      </c>
      <c r="I3798" s="5">
        <f>IMDB_Movies!$H3798-IMDB_Movies!$G3798</f>
        <v>21078937</v>
      </c>
    </row>
    <row r="3799" spans="1:9" ht="23">
      <c r="A3799" s="3" t="s">
        <v>5582</v>
      </c>
      <c r="B3799" s="10" t="s">
        <v>5583</v>
      </c>
      <c r="C3799" s="10" t="s">
        <v>138</v>
      </c>
      <c r="D3799" s="10" t="s">
        <v>11</v>
      </c>
      <c r="E3799" s="10">
        <v>84</v>
      </c>
      <c r="F3799" s="10">
        <v>6.3</v>
      </c>
      <c r="G3799" s="10">
        <v>4000000</v>
      </c>
      <c r="H3799" s="10">
        <v>25078937</v>
      </c>
      <c r="I3799" s="5">
        <f>IMDB_Movies!$H3799-IMDB_Movies!$G3799</f>
        <v>21078937</v>
      </c>
    </row>
    <row r="3800" spans="1:9" ht="23">
      <c r="A3800" s="2" t="s">
        <v>5584</v>
      </c>
      <c r="B3800" s="9" t="s">
        <v>5585</v>
      </c>
      <c r="C3800" s="9" t="s">
        <v>24</v>
      </c>
      <c r="D3800" s="9" t="s">
        <v>11</v>
      </c>
      <c r="E3800" s="9">
        <v>94</v>
      </c>
      <c r="F3800" s="9">
        <v>4.7</v>
      </c>
      <c r="G3800" s="9">
        <v>4000000</v>
      </c>
      <c r="H3800" s="9">
        <v>25078937</v>
      </c>
      <c r="I3800" s="5">
        <f>IMDB_Movies!$H3800-IMDB_Movies!$G3800</f>
        <v>21078937</v>
      </c>
    </row>
    <row r="3801" spans="1:9" ht="23">
      <c r="A3801" s="3" t="s">
        <v>5586</v>
      </c>
      <c r="B3801" s="10" t="s">
        <v>5115</v>
      </c>
      <c r="C3801" s="10" t="s">
        <v>418</v>
      </c>
      <c r="D3801" s="10" t="s">
        <v>11</v>
      </c>
      <c r="E3801" s="10">
        <v>120</v>
      </c>
      <c r="F3801" s="10">
        <v>7.9</v>
      </c>
      <c r="G3801" s="10">
        <v>2000000</v>
      </c>
      <c r="H3801" s="10">
        <v>25078937</v>
      </c>
      <c r="I3801" s="5">
        <f>IMDB_Movies!$H3801-IMDB_Movies!$G3801</f>
        <v>23078937</v>
      </c>
    </row>
    <row r="3802" spans="1:9" ht="23">
      <c r="A3802" s="2" t="s">
        <v>5587</v>
      </c>
      <c r="B3802" s="9" t="s">
        <v>2868</v>
      </c>
      <c r="C3802" s="9" t="s">
        <v>56</v>
      </c>
      <c r="D3802" s="9" t="s">
        <v>11</v>
      </c>
      <c r="E3802" s="9">
        <v>121</v>
      </c>
      <c r="F3802" s="9">
        <v>8.1</v>
      </c>
      <c r="G3802" s="9">
        <v>3800000</v>
      </c>
      <c r="H3802" s="9">
        <v>25078937</v>
      </c>
      <c r="I3802" s="5">
        <f>IMDB_Movies!$H3802-IMDB_Movies!$G3802</f>
        <v>21278937</v>
      </c>
    </row>
    <row r="3803" spans="1:9" ht="23">
      <c r="A3803" s="3" t="s">
        <v>5588</v>
      </c>
      <c r="B3803" s="10" t="s">
        <v>5589</v>
      </c>
      <c r="C3803" s="10" t="s">
        <v>56</v>
      </c>
      <c r="D3803" s="10" t="s">
        <v>11</v>
      </c>
      <c r="E3803" s="10">
        <v>226</v>
      </c>
      <c r="F3803" s="10">
        <v>8.1999999999999993</v>
      </c>
      <c r="G3803" s="10">
        <v>3977000</v>
      </c>
      <c r="H3803" s="10">
        <v>198655278</v>
      </c>
      <c r="I3803" s="5">
        <f>IMDB_Movies!$H3803-IMDB_Movies!$G3803</f>
        <v>194678278</v>
      </c>
    </row>
    <row r="3804" spans="1:9" ht="23">
      <c r="A3804" s="2" t="s">
        <v>5590</v>
      </c>
      <c r="B3804" s="9" t="s">
        <v>5591</v>
      </c>
      <c r="C3804" s="9" t="s">
        <v>418</v>
      </c>
      <c r="D3804" s="9" t="s">
        <v>11</v>
      </c>
      <c r="E3804" s="9">
        <v>104</v>
      </c>
      <c r="F3804" s="9">
        <v>6</v>
      </c>
      <c r="G3804" s="9">
        <v>4000000</v>
      </c>
      <c r="H3804" s="9">
        <v>143653</v>
      </c>
      <c r="I3804" s="5">
        <f>IMDB_Movies!$H3804-IMDB_Movies!$G3804</f>
        <v>-3856347</v>
      </c>
    </row>
    <row r="3805" spans="1:9" ht="23">
      <c r="A3805" s="3" t="s">
        <v>5592</v>
      </c>
      <c r="B3805" s="10" t="s">
        <v>5099</v>
      </c>
      <c r="C3805" s="10" t="s">
        <v>24</v>
      </c>
      <c r="D3805" s="10" t="s">
        <v>11</v>
      </c>
      <c r="E3805" s="10">
        <v>152</v>
      </c>
      <c r="F3805" s="10">
        <v>6.8</v>
      </c>
      <c r="G3805" s="10">
        <v>3800000</v>
      </c>
      <c r="H3805" s="10">
        <v>14873</v>
      </c>
      <c r="I3805" s="5">
        <f>IMDB_Movies!$H3805-IMDB_Movies!$G3805</f>
        <v>-3785127</v>
      </c>
    </row>
    <row r="3806" spans="1:9" ht="23">
      <c r="A3806" s="2" t="s">
        <v>5593</v>
      </c>
      <c r="B3806" s="9" t="s">
        <v>5594</v>
      </c>
      <c r="C3806" s="9" t="s">
        <v>56</v>
      </c>
      <c r="D3806" s="9" t="s">
        <v>11</v>
      </c>
      <c r="E3806" s="9">
        <v>92</v>
      </c>
      <c r="F3806" s="9">
        <v>7.3</v>
      </c>
      <c r="G3806" s="9">
        <v>20000000</v>
      </c>
      <c r="H3806" s="9">
        <v>25078937</v>
      </c>
      <c r="I3806" s="5">
        <f>IMDB_Movies!$H3806-IMDB_Movies!$G3806</f>
        <v>5078937</v>
      </c>
    </row>
    <row r="3807" spans="1:9" ht="23">
      <c r="A3807" s="3" t="s">
        <v>5595</v>
      </c>
      <c r="B3807" s="10" t="s">
        <v>5596</v>
      </c>
      <c r="C3807" s="10" t="s">
        <v>418</v>
      </c>
      <c r="D3807" s="10" t="s">
        <v>11</v>
      </c>
      <c r="E3807" s="10">
        <v>107</v>
      </c>
      <c r="F3807" s="10">
        <v>7</v>
      </c>
      <c r="G3807" s="10">
        <v>3768785</v>
      </c>
      <c r="H3807" s="10">
        <v>8000000</v>
      </c>
      <c r="I3807" s="5">
        <f>IMDB_Movies!$H3807-IMDB_Movies!$G3807</f>
        <v>4231215</v>
      </c>
    </row>
    <row r="3808" spans="1:9" ht="23">
      <c r="A3808" s="2" t="s">
        <v>5597</v>
      </c>
      <c r="B3808" s="9" t="s">
        <v>5598</v>
      </c>
      <c r="C3808" s="9" t="s">
        <v>138</v>
      </c>
      <c r="D3808" s="9" t="s">
        <v>11</v>
      </c>
      <c r="E3808" s="9">
        <v>97</v>
      </c>
      <c r="F3808" s="9">
        <v>7.3</v>
      </c>
      <c r="G3808" s="9">
        <v>20000000</v>
      </c>
      <c r="H3808" s="9">
        <v>304137</v>
      </c>
      <c r="I3808" s="5">
        <f>IMDB_Movies!$H3808-IMDB_Movies!$G3808</f>
        <v>-19695863</v>
      </c>
    </row>
    <row r="3809" spans="1:9" ht="23">
      <c r="A3809" s="3" t="s">
        <v>5599</v>
      </c>
      <c r="B3809" s="10" t="s">
        <v>5600</v>
      </c>
      <c r="C3809" s="10" t="s">
        <v>56</v>
      </c>
      <c r="D3809" s="10" t="s">
        <v>4233</v>
      </c>
      <c r="E3809" s="10">
        <v>115</v>
      </c>
      <c r="F3809" s="10">
        <v>7.5</v>
      </c>
      <c r="G3809" s="10">
        <v>8000000</v>
      </c>
      <c r="H3809" s="10">
        <v>25078937</v>
      </c>
      <c r="I3809" s="5">
        <f>IMDB_Movies!$H3809-IMDB_Movies!$G3809</f>
        <v>17078937</v>
      </c>
    </row>
    <row r="3810" spans="1:9" ht="23">
      <c r="A3810" s="2" t="s">
        <v>5601</v>
      </c>
      <c r="B3810" s="9" t="s">
        <v>5602</v>
      </c>
      <c r="C3810" s="9" t="s">
        <v>138</v>
      </c>
      <c r="D3810" s="9" t="s">
        <v>11</v>
      </c>
      <c r="E3810" s="9">
        <v>95</v>
      </c>
      <c r="F3810" s="9">
        <v>6.8</v>
      </c>
      <c r="G3810" s="9">
        <v>3500000</v>
      </c>
      <c r="H3810" s="9">
        <v>37606</v>
      </c>
      <c r="I3810" s="5">
        <f>IMDB_Movies!$H3810-IMDB_Movies!$G3810</f>
        <v>-3462394</v>
      </c>
    </row>
    <row r="3811" spans="1:9" ht="23">
      <c r="A3811" s="3" t="s">
        <v>5603</v>
      </c>
      <c r="B3811" s="10" t="s">
        <v>5604</v>
      </c>
      <c r="C3811" s="10" t="s">
        <v>24</v>
      </c>
      <c r="D3811" s="10" t="s">
        <v>11</v>
      </c>
      <c r="E3811" s="10">
        <v>102</v>
      </c>
      <c r="F3811" s="10">
        <v>7.1</v>
      </c>
      <c r="G3811" s="10">
        <v>3700000</v>
      </c>
      <c r="H3811" s="10">
        <v>2956000</v>
      </c>
      <c r="I3811" s="5">
        <f>IMDB_Movies!$H3811-IMDB_Movies!$G3811</f>
        <v>-744000</v>
      </c>
    </row>
    <row r="3812" spans="1:9" ht="23">
      <c r="A3812" s="2" t="s">
        <v>5605</v>
      </c>
      <c r="B3812" s="9" t="s">
        <v>5606</v>
      </c>
      <c r="C3812" s="9" t="s">
        <v>56</v>
      </c>
      <c r="D3812" s="9" t="s">
        <v>11</v>
      </c>
      <c r="E3812" s="9">
        <v>99</v>
      </c>
      <c r="F3812" s="9">
        <v>6.9</v>
      </c>
      <c r="G3812" s="9">
        <v>3800000</v>
      </c>
      <c r="H3812" s="9">
        <v>19959</v>
      </c>
      <c r="I3812" s="5">
        <f>IMDB_Movies!$H3812-IMDB_Movies!$G3812</f>
        <v>-3780041</v>
      </c>
    </row>
    <row r="3813" spans="1:9" ht="23">
      <c r="A3813" s="3" t="s">
        <v>5607</v>
      </c>
      <c r="B3813" s="10" t="s">
        <v>3388</v>
      </c>
      <c r="C3813" s="10" t="s">
        <v>138</v>
      </c>
      <c r="D3813" s="10" t="s">
        <v>11</v>
      </c>
      <c r="E3813" s="10">
        <v>109</v>
      </c>
      <c r="F3813" s="10">
        <v>6.9</v>
      </c>
      <c r="G3813" s="10">
        <v>2000000</v>
      </c>
      <c r="H3813" s="10">
        <v>2706659</v>
      </c>
      <c r="I3813" s="5">
        <f>IMDB_Movies!$H3813-IMDB_Movies!$G3813</f>
        <v>706659</v>
      </c>
    </row>
    <row r="3814" spans="1:9" ht="23">
      <c r="A3814" s="2" t="s">
        <v>5608</v>
      </c>
      <c r="B3814" s="9" t="s">
        <v>2764</v>
      </c>
      <c r="C3814" s="9" t="s">
        <v>56</v>
      </c>
      <c r="D3814" s="9" t="s">
        <v>11</v>
      </c>
      <c r="E3814" s="9">
        <v>113</v>
      </c>
      <c r="F3814" s="9">
        <v>7.9</v>
      </c>
      <c r="G3814" s="9">
        <v>3600000</v>
      </c>
      <c r="H3814" s="9">
        <v>25078937</v>
      </c>
      <c r="I3814" s="5">
        <f>IMDB_Movies!$H3814-IMDB_Movies!$G3814</f>
        <v>21478937</v>
      </c>
    </row>
    <row r="3815" spans="1:9" ht="23">
      <c r="A3815" s="3" t="s">
        <v>5609</v>
      </c>
      <c r="B3815" s="10" t="s">
        <v>3795</v>
      </c>
      <c r="C3815" s="10" t="s">
        <v>138</v>
      </c>
      <c r="D3815" s="10" t="s">
        <v>11</v>
      </c>
      <c r="E3815" s="10">
        <v>91</v>
      </c>
      <c r="F3815" s="10">
        <v>7.2</v>
      </c>
      <c r="G3815" s="10">
        <v>3500000</v>
      </c>
      <c r="H3815" s="10">
        <v>45857453</v>
      </c>
      <c r="I3815" s="5">
        <f>IMDB_Movies!$H3815-IMDB_Movies!$G3815</f>
        <v>42357453</v>
      </c>
    </row>
    <row r="3816" spans="1:9" ht="23">
      <c r="A3816" s="2" t="s">
        <v>5610</v>
      </c>
      <c r="B3816" s="9" t="s">
        <v>5611</v>
      </c>
      <c r="C3816" s="9" t="s">
        <v>138</v>
      </c>
      <c r="D3816" s="9" t="s">
        <v>11</v>
      </c>
      <c r="E3816" s="9">
        <v>88</v>
      </c>
      <c r="F3816" s="9">
        <v>7.8</v>
      </c>
      <c r="G3816" s="9">
        <v>3500000</v>
      </c>
      <c r="H3816" s="9">
        <v>83400000</v>
      </c>
      <c r="I3816" s="5">
        <f>IMDB_Movies!$H3816-IMDB_Movies!$G3816</f>
        <v>79900000</v>
      </c>
    </row>
    <row r="3817" spans="1:9" ht="23">
      <c r="A3817" s="3" t="s">
        <v>5612</v>
      </c>
      <c r="B3817" s="10" t="s">
        <v>5613</v>
      </c>
      <c r="C3817" s="10" t="s">
        <v>10</v>
      </c>
      <c r="D3817" s="10" t="s">
        <v>11</v>
      </c>
      <c r="E3817" s="10">
        <v>88</v>
      </c>
      <c r="F3817" s="10">
        <v>3.5</v>
      </c>
      <c r="G3817" s="10">
        <v>5000000</v>
      </c>
      <c r="H3817" s="10">
        <v>25078937</v>
      </c>
      <c r="I3817" s="5">
        <f>IMDB_Movies!$H3817-IMDB_Movies!$G3817</f>
        <v>20078937</v>
      </c>
    </row>
    <row r="3818" spans="1:9" ht="23">
      <c r="A3818" s="2" t="s">
        <v>5614</v>
      </c>
      <c r="B3818" s="9" t="s">
        <v>823</v>
      </c>
      <c r="C3818" s="9" t="s">
        <v>138</v>
      </c>
      <c r="D3818" s="9" t="s">
        <v>11</v>
      </c>
      <c r="E3818" s="9">
        <v>97</v>
      </c>
      <c r="F3818" s="9">
        <v>7.3</v>
      </c>
      <c r="G3818" s="9">
        <v>3500000</v>
      </c>
      <c r="H3818" s="9">
        <v>27900000</v>
      </c>
      <c r="I3818" s="5">
        <f>IMDB_Movies!$H3818-IMDB_Movies!$G3818</f>
        <v>24400000</v>
      </c>
    </row>
    <row r="3819" spans="1:9" ht="23">
      <c r="A3819" s="3" t="s">
        <v>5615</v>
      </c>
      <c r="B3819" s="10" t="s">
        <v>709</v>
      </c>
      <c r="C3819" s="10" t="s">
        <v>414</v>
      </c>
      <c r="D3819" s="10" t="s">
        <v>11</v>
      </c>
      <c r="E3819" s="10">
        <v>97</v>
      </c>
      <c r="F3819" s="10">
        <v>7.5</v>
      </c>
      <c r="G3819" s="10">
        <v>3500000</v>
      </c>
      <c r="H3819" s="10">
        <v>27900000</v>
      </c>
      <c r="I3819" s="5">
        <f>IMDB_Movies!$H3819-IMDB_Movies!$G3819</f>
        <v>24400000</v>
      </c>
    </row>
    <row r="3820" spans="1:9" ht="23">
      <c r="A3820" s="2" t="s">
        <v>5616</v>
      </c>
      <c r="B3820" s="9" t="s">
        <v>5617</v>
      </c>
      <c r="C3820" s="9" t="s">
        <v>138</v>
      </c>
      <c r="D3820" s="9" t="s">
        <v>11</v>
      </c>
      <c r="E3820" s="9">
        <v>85</v>
      </c>
      <c r="F3820" s="9">
        <v>6</v>
      </c>
      <c r="G3820" s="9">
        <v>3500000</v>
      </c>
      <c r="H3820" s="9">
        <v>14000000</v>
      </c>
      <c r="I3820" s="5">
        <f>IMDB_Movies!$H3820-IMDB_Movies!$G3820</f>
        <v>10500000</v>
      </c>
    </row>
    <row r="3821" spans="1:9" ht="23">
      <c r="A3821" s="3" t="s">
        <v>5618</v>
      </c>
      <c r="B3821" s="10" t="s">
        <v>5099</v>
      </c>
      <c r="C3821" s="10" t="s">
        <v>138</v>
      </c>
      <c r="D3821" s="10" t="s">
        <v>11</v>
      </c>
      <c r="E3821" s="10">
        <v>121</v>
      </c>
      <c r="F3821" s="10">
        <v>7.3</v>
      </c>
      <c r="G3821" s="10">
        <v>3716946</v>
      </c>
      <c r="H3821" s="10">
        <v>25078937</v>
      </c>
      <c r="I3821" s="5">
        <f>IMDB_Movies!$H3821-IMDB_Movies!$G3821</f>
        <v>21361991</v>
      </c>
    </row>
    <row r="3822" spans="1:9" ht="23">
      <c r="A3822" s="2" t="s">
        <v>5619</v>
      </c>
      <c r="B3822" s="9" t="s">
        <v>5620</v>
      </c>
      <c r="C3822" s="9" t="s">
        <v>418</v>
      </c>
      <c r="D3822" s="9" t="s">
        <v>11</v>
      </c>
      <c r="E3822" s="9">
        <v>134</v>
      </c>
      <c r="F3822" s="9">
        <v>8</v>
      </c>
      <c r="G3822" s="9">
        <v>3500000</v>
      </c>
      <c r="H3822" s="9">
        <v>25078937</v>
      </c>
      <c r="I3822" s="5">
        <f>IMDB_Movies!$H3822-IMDB_Movies!$G3822</f>
        <v>21578937</v>
      </c>
    </row>
    <row r="3823" spans="1:9" ht="23">
      <c r="A3823" s="3" t="s">
        <v>5621</v>
      </c>
      <c r="B3823" s="10" t="s">
        <v>5115</v>
      </c>
      <c r="C3823" s="10" t="s">
        <v>56</v>
      </c>
      <c r="D3823" s="10" t="s">
        <v>11</v>
      </c>
      <c r="E3823" s="10">
        <v>149</v>
      </c>
      <c r="F3823" s="10">
        <v>7.6</v>
      </c>
      <c r="G3823" s="10">
        <v>3500000</v>
      </c>
      <c r="H3823" s="10">
        <v>25078937</v>
      </c>
      <c r="I3823" s="5">
        <f>IMDB_Movies!$H3823-IMDB_Movies!$G3823</f>
        <v>21578937</v>
      </c>
    </row>
    <row r="3824" spans="1:9" ht="23">
      <c r="A3824" s="2" t="s">
        <v>5622</v>
      </c>
      <c r="B3824" s="9" t="s">
        <v>3529</v>
      </c>
      <c r="C3824" s="9" t="s">
        <v>10</v>
      </c>
      <c r="D3824" s="9" t="s">
        <v>11</v>
      </c>
      <c r="E3824" s="9">
        <v>121</v>
      </c>
      <c r="F3824" s="9">
        <v>7</v>
      </c>
      <c r="G3824" s="9">
        <v>3500000</v>
      </c>
      <c r="H3824" s="9">
        <v>25078937</v>
      </c>
      <c r="I3824" s="5">
        <f>IMDB_Movies!$H3824-IMDB_Movies!$G3824</f>
        <v>21578937</v>
      </c>
    </row>
    <row r="3825" spans="1:9" ht="23">
      <c r="A3825" s="3" t="s">
        <v>5623</v>
      </c>
      <c r="B3825" s="10" t="s">
        <v>3135</v>
      </c>
      <c r="C3825" s="10" t="s">
        <v>2945</v>
      </c>
      <c r="D3825" s="10" t="s">
        <v>11</v>
      </c>
      <c r="E3825" s="10">
        <v>116</v>
      </c>
      <c r="F3825" s="10">
        <v>7.5</v>
      </c>
      <c r="G3825" s="10">
        <v>2000000</v>
      </c>
      <c r="H3825" s="10">
        <v>25078937</v>
      </c>
      <c r="I3825" s="5">
        <f>IMDB_Movies!$H3825-IMDB_Movies!$G3825</f>
        <v>23078937</v>
      </c>
    </row>
    <row r="3826" spans="1:9" ht="23">
      <c r="A3826" s="2" t="s">
        <v>5624</v>
      </c>
      <c r="B3826" s="9" t="s">
        <v>5625</v>
      </c>
      <c r="C3826" s="9" t="s">
        <v>810</v>
      </c>
      <c r="D3826" s="9" t="s">
        <v>11</v>
      </c>
      <c r="E3826" s="9">
        <v>92</v>
      </c>
      <c r="F3826" s="9">
        <v>6.8</v>
      </c>
      <c r="G3826" s="9">
        <v>3500000</v>
      </c>
      <c r="H3826" s="9">
        <v>25138292</v>
      </c>
      <c r="I3826" s="5">
        <f>IMDB_Movies!$H3826-IMDB_Movies!$G3826</f>
        <v>21638292</v>
      </c>
    </row>
    <row r="3827" spans="1:9" ht="23">
      <c r="A3827" s="3" t="s">
        <v>5626</v>
      </c>
      <c r="B3827" s="10" t="s">
        <v>5627</v>
      </c>
      <c r="C3827" s="10" t="s">
        <v>138</v>
      </c>
      <c r="D3827" s="10" t="s">
        <v>11</v>
      </c>
      <c r="E3827" s="10">
        <v>93</v>
      </c>
      <c r="F3827" s="10">
        <v>3.9</v>
      </c>
      <c r="G3827" s="10">
        <v>3500000</v>
      </c>
      <c r="H3827" s="10">
        <v>10305534</v>
      </c>
      <c r="I3827" s="5">
        <f>IMDB_Movies!$H3827-IMDB_Movies!$G3827</f>
        <v>6805534</v>
      </c>
    </row>
    <row r="3828" spans="1:9" ht="23">
      <c r="A3828" s="2" t="s">
        <v>5628</v>
      </c>
      <c r="B3828" s="9" t="s">
        <v>5577</v>
      </c>
      <c r="C3828" s="9" t="s">
        <v>138</v>
      </c>
      <c r="D3828" s="9" t="s">
        <v>11</v>
      </c>
      <c r="E3828" s="9">
        <v>96</v>
      </c>
      <c r="F3828" s="9">
        <v>6.1</v>
      </c>
      <c r="G3828" s="9">
        <v>3500000</v>
      </c>
      <c r="H3828" s="9">
        <v>9449219</v>
      </c>
      <c r="I3828" s="5">
        <f>IMDB_Movies!$H3828-IMDB_Movies!$G3828</f>
        <v>5949219</v>
      </c>
    </row>
    <row r="3829" spans="1:9" ht="23">
      <c r="A3829" s="3" t="s">
        <v>5629</v>
      </c>
      <c r="B3829" s="10" t="s">
        <v>299</v>
      </c>
      <c r="C3829" s="10" t="s">
        <v>418</v>
      </c>
      <c r="D3829" s="10" t="s">
        <v>11</v>
      </c>
      <c r="E3829" s="10">
        <v>105</v>
      </c>
      <c r="F3829" s="10">
        <v>7.5</v>
      </c>
      <c r="G3829" s="10">
        <v>3500000</v>
      </c>
      <c r="H3829" s="10">
        <v>6390032</v>
      </c>
      <c r="I3829" s="5">
        <f>IMDB_Movies!$H3829-IMDB_Movies!$G3829</f>
        <v>2890032</v>
      </c>
    </row>
    <row r="3830" spans="1:9" ht="23">
      <c r="A3830" s="2" t="s">
        <v>5630</v>
      </c>
      <c r="B3830" s="9" t="s">
        <v>2987</v>
      </c>
      <c r="C3830" s="9" t="s">
        <v>56</v>
      </c>
      <c r="D3830" s="9" t="s">
        <v>741</v>
      </c>
      <c r="E3830" s="9">
        <v>129</v>
      </c>
      <c r="F3830" s="9">
        <v>8.1999999999999993</v>
      </c>
      <c r="G3830" s="9">
        <v>2000000</v>
      </c>
      <c r="H3830" s="9">
        <v>20167424</v>
      </c>
      <c r="I3830" s="5">
        <f>IMDB_Movies!$H3830-IMDB_Movies!$G3830</f>
        <v>18167424</v>
      </c>
    </row>
    <row r="3831" spans="1:9" ht="23">
      <c r="A3831" s="3" t="s">
        <v>5631</v>
      </c>
      <c r="B3831" s="10" t="s">
        <v>5632</v>
      </c>
      <c r="C3831" s="10" t="s">
        <v>810</v>
      </c>
      <c r="D3831" s="10" t="s">
        <v>11</v>
      </c>
      <c r="E3831" s="10">
        <v>94</v>
      </c>
      <c r="F3831" s="10">
        <v>4.8</v>
      </c>
      <c r="G3831" s="10">
        <v>20000000</v>
      </c>
      <c r="H3831" s="10">
        <v>25078937</v>
      </c>
      <c r="I3831" s="5">
        <f>IMDB_Movies!$H3831-IMDB_Movies!$G3831</f>
        <v>5078937</v>
      </c>
    </row>
    <row r="3832" spans="1:9" ht="23">
      <c r="A3832" s="2" t="s">
        <v>5633</v>
      </c>
      <c r="B3832" s="9" t="s">
        <v>21</v>
      </c>
      <c r="C3832" s="9" t="s">
        <v>138</v>
      </c>
      <c r="D3832" s="9" t="s">
        <v>11</v>
      </c>
      <c r="E3832" s="9">
        <v>37</v>
      </c>
      <c r="F3832" s="9">
        <v>7.8</v>
      </c>
      <c r="G3832" s="9">
        <v>3600000</v>
      </c>
      <c r="H3832" s="9">
        <v>5923044</v>
      </c>
      <c r="I3832" s="5">
        <f>IMDB_Movies!$H3832-IMDB_Movies!$G3832</f>
        <v>2323044</v>
      </c>
    </row>
    <row r="3833" spans="1:9" ht="23">
      <c r="A3833" s="3" t="s">
        <v>5634</v>
      </c>
      <c r="B3833" s="10" t="s">
        <v>5635</v>
      </c>
      <c r="C3833" s="10" t="s">
        <v>10</v>
      </c>
      <c r="D3833" s="10" t="s">
        <v>11</v>
      </c>
      <c r="E3833" s="10">
        <v>81</v>
      </c>
      <c r="F3833" s="10">
        <v>5.2</v>
      </c>
      <c r="G3833" s="10">
        <v>3000000</v>
      </c>
      <c r="H3833" s="10">
        <v>3293258</v>
      </c>
      <c r="I3833" s="5">
        <f>IMDB_Movies!$H3833-IMDB_Movies!$G3833</f>
        <v>293258</v>
      </c>
    </row>
    <row r="3834" spans="1:9" ht="23">
      <c r="A3834" s="2" t="s">
        <v>5636</v>
      </c>
      <c r="B3834" s="9" t="s">
        <v>5637</v>
      </c>
      <c r="C3834" s="9" t="s">
        <v>810</v>
      </c>
      <c r="D3834" s="9" t="s">
        <v>11</v>
      </c>
      <c r="E3834" s="9">
        <v>97</v>
      </c>
      <c r="F3834" s="9">
        <v>3.3</v>
      </c>
      <c r="G3834" s="9">
        <v>1000000</v>
      </c>
      <c r="H3834" s="9">
        <v>25078937</v>
      </c>
      <c r="I3834" s="5">
        <f>IMDB_Movies!$H3834-IMDB_Movies!$G3834</f>
        <v>24078937</v>
      </c>
    </row>
    <row r="3835" spans="1:9" ht="23">
      <c r="A3835" s="3" t="s">
        <v>5638</v>
      </c>
      <c r="B3835" s="10" t="s">
        <v>5639</v>
      </c>
      <c r="C3835" s="10" t="s">
        <v>56</v>
      </c>
      <c r="D3835" s="10" t="s">
        <v>741</v>
      </c>
      <c r="E3835" s="10">
        <v>106</v>
      </c>
      <c r="F3835" s="10">
        <v>6.8</v>
      </c>
      <c r="G3835" s="10">
        <v>3500000</v>
      </c>
      <c r="H3835" s="10">
        <v>886410</v>
      </c>
      <c r="I3835" s="5">
        <f>IMDB_Movies!$H3835-IMDB_Movies!$G3835</f>
        <v>-2613590</v>
      </c>
    </row>
    <row r="3836" spans="1:9" ht="23">
      <c r="A3836" s="2" t="s">
        <v>5640</v>
      </c>
      <c r="B3836" s="9" t="s">
        <v>5641</v>
      </c>
      <c r="C3836" s="9" t="s">
        <v>138</v>
      </c>
      <c r="D3836" s="9" t="s">
        <v>5188</v>
      </c>
      <c r="E3836" s="9">
        <v>103</v>
      </c>
      <c r="F3836" s="9">
        <v>7</v>
      </c>
      <c r="G3836" s="9">
        <v>19900000</v>
      </c>
      <c r="H3836" s="9">
        <v>252652</v>
      </c>
      <c r="I3836" s="5">
        <f>IMDB_Movies!$H3836-IMDB_Movies!$G3836</f>
        <v>-19647348</v>
      </c>
    </row>
    <row r="3837" spans="1:9" ht="23">
      <c r="A3837" s="3" t="s">
        <v>5642</v>
      </c>
      <c r="B3837" s="10" t="s">
        <v>5643</v>
      </c>
      <c r="C3837" s="10" t="s">
        <v>138</v>
      </c>
      <c r="D3837" s="10" t="s">
        <v>11</v>
      </c>
      <c r="E3837" s="10">
        <v>101</v>
      </c>
      <c r="F3837" s="10">
        <v>6.5</v>
      </c>
      <c r="G3837" s="10">
        <v>3500000</v>
      </c>
      <c r="H3837" s="10">
        <v>220234</v>
      </c>
      <c r="I3837" s="5">
        <f>IMDB_Movies!$H3837-IMDB_Movies!$G3837</f>
        <v>-3279766</v>
      </c>
    </row>
    <row r="3838" spans="1:9" ht="23">
      <c r="A3838" s="2" t="s">
        <v>5644</v>
      </c>
      <c r="B3838" s="9" t="s">
        <v>5645</v>
      </c>
      <c r="C3838" s="9" t="s">
        <v>138</v>
      </c>
      <c r="D3838" s="9" t="s">
        <v>11</v>
      </c>
      <c r="E3838" s="9">
        <v>98</v>
      </c>
      <c r="F3838" s="9">
        <v>6.4</v>
      </c>
      <c r="G3838" s="9">
        <v>3500000</v>
      </c>
      <c r="H3838" s="9">
        <v>101228</v>
      </c>
      <c r="I3838" s="5">
        <f>IMDB_Movies!$H3838-IMDB_Movies!$G3838</f>
        <v>-3398772</v>
      </c>
    </row>
    <row r="3839" spans="1:9" ht="23">
      <c r="A3839" s="3" t="s">
        <v>5646</v>
      </c>
      <c r="B3839" s="10" t="s">
        <v>1408</v>
      </c>
      <c r="C3839" s="10" t="s">
        <v>10</v>
      </c>
      <c r="D3839" s="10" t="s">
        <v>11</v>
      </c>
      <c r="E3839" s="10">
        <v>91</v>
      </c>
      <c r="F3839" s="10">
        <v>5.3</v>
      </c>
      <c r="G3839" s="10">
        <v>3500000</v>
      </c>
      <c r="H3839" s="10">
        <v>96793</v>
      </c>
      <c r="I3839" s="5">
        <f>IMDB_Movies!$H3839-IMDB_Movies!$G3839</f>
        <v>-3403207</v>
      </c>
    </row>
    <row r="3840" spans="1:9" ht="23">
      <c r="A3840" s="2" t="s">
        <v>5647</v>
      </c>
      <c r="B3840" s="9" t="s">
        <v>5648</v>
      </c>
      <c r="C3840" s="9" t="s">
        <v>10</v>
      </c>
      <c r="D3840" s="9" t="s">
        <v>11</v>
      </c>
      <c r="E3840" s="9">
        <v>105</v>
      </c>
      <c r="F3840" s="9">
        <v>4.7</v>
      </c>
      <c r="G3840" s="9">
        <v>3500000</v>
      </c>
      <c r="H3840" s="9">
        <v>123777</v>
      </c>
      <c r="I3840" s="5">
        <f>IMDB_Movies!$H3840-IMDB_Movies!$G3840</f>
        <v>-3376223</v>
      </c>
    </row>
    <row r="3841" spans="1:9" ht="23">
      <c r="A3841" s="3" t="s">
        <v>5649</v>
      </c>
      <c r="B3841" s="10" t="s">
        <v>5650</v>
      </c>
      <c r="C3841" s="10" t="s">
        <v>414</v>
      </c>
      <c r="D3841" s="10" t="s">
        <v>11</v>
      </c>
      <c r="E3841" s="10">
        <v>98</v>
      </c>
      <c r="F3841" s="10">
        <v>6.1</v>
      </c>
      <c r="G3841" s="10">
        <v>3500000</v>
      </c>
      <c r="H3841" s="10">
        <v>25078937</v>
      </c>
      <c r="I3841" s="5">
        <f>IMDB_Movies!$H3841-IMDB_Movies!$G3841</f>
        <v>21578937</v>
      </c>
    </row>
    <row r="3842" spans="1:9" ht="23">
      <c r="A3842" s="2" t="s">
        <v>5651</v>
      </c>
      <c r="B3842" s="9" t="s">
        <v>5652</v>
      </c>
      <c r="C3842" s="9" t="s">
        <v>10</v>
      </c>
      <c r="D3842" s="9" t="s">
        <v>11</v>
      </c>
      <c r="E3842" s="9">
        <v>104</v>
      </c>
      <c r="F3842" s="9">
        <v>5.5</v>
      </c>
      <c r="G3842" s="9">
        <v>1000000</v>
      </c>
      <c r="H3842" s="9">
        <v>25078937</v>
      </c>
      <c r="I3842" s="5">
        <f>IMDB_Movies!$H3842-IMDB_Movies!$G3842</f>
        <v>24078937</v>
      </c>
    </row>
    <row r="3843" spans="1:9" ht="23">
      <c r="A3843" s="3" t="s">
        <v>5653</v>
      </c>
      <c r="B3843" s="10" t="s">
        <v>5654</v>
      </c>
      <c r="C3843" s="10" t="s">
        <v>810</v>
      </c>
      <c r="D3843" s="10" t="s">
        <v>11</v>
      </c>
      <c r="E3843" s="10">
        <v>96</v>
      </c>
      <c r="F3843" s="10">
        <v>4.8</v>
      </c>
      <c r="G3843" s="10">
        <v>3500000</v>
      </c>
      <c r="H3843" s="10">
        <v>25078937</v>
      </c>
      <c r="I3843" s="5">
        <f>IMDB_Movies!$H3843-IMDB_Movies!$G3843</f>
        <v>21578937</v>
      </c>
    </row>
    <row r="3844" spans="1:9" ht="23">
      <c r="A3844" s="2" t="s">
        <v>5655</v>
      </c>
      <c r="B3844" s="9" t="s">
        <v>5656</v>
      </c>
      <c r="C3844" s="9" t="s">
        <v>10</v>
      </c>
      <c r="D3844" s="9" t="s">
        <v>11</v>
      </c>
      <c r="E3844" s="9">
        <v>148</v>
      </c>
      <c r="F3844" s="9">
        <v>8.4</v>
      </c>
      <c r="G3844" s="9">
        <v>3500000</v>
      </c>
      <c r="H3844" s="9">
        <v>25078937</v>
      </c>
      <c r="I3844" s="5">
        <f>IMDB_Movies!$H3844-IMDB_Movies!$G3844</f>
        <v>21578937</v>
      </c>
    </row>
    <row r="3845" spans="1:9" ht="23">
      <c r="A3845" s="3" t="s">
        <v>5657</v>
      </c>
      <c r="B3845" s="10" t="s">
        <v>5658</v>
      </c>
      <c r="C3845" s="10" t="s">
        <v>772</v>
      </c>
      <c r="D3845" s="10" t="s">
        <v>11</v>
      </c>
      <c r="E3845" s="10">
        <v>100</v>
      </c>
      <c r="F3845" s="10">
        <v>7</v>
      </c>
      <c r="G3845" s="10">
        <v>3500000</v>
      </c>
      <c r="H3845" s="10">
        <v>29233</v>
      </c>
      <c r="I3845" s="5">
        <f>IMDB_Movies!$H3845-IMDB_Movies!$G3845</f>
        <v>-3470767</v>
      </c>
    </row>
    <row r="3846" spans="1:9" ht="23">
      <c r="A3846" s="2" t="s">
        <v>5659</v>
      </c>
      <c r="B3846" s="9" t="s">
        <v>1195</v>
      </c>
      <c r="C3846" s="9" t="s">
        <v>10</v>
      </c>
      <c r="D3846" s="9" t="s">
        <v>11</v>
      </c>
      <c r="E3846" s="9">
        <v>86</v>
      </c>
      <c r="F3846" s="9">
        <v>3.3</v>
      </c>
      <c r="G3846" s="9">
        <v>3500000</v>
      </c>
      <c r="H3846" s="9">
        <v>25078937</v>
      </c>
      <c r="I3846" s="5">
        <f>IMDB_Movies!$H3846-IMDB_Movies!$G3846</f>
        <v>21578937</v>
      </c>
    </row>
    <row r="3847" spans="1:9" ht="23">
      <c r="A3847" s="3" t="s">
        <v>5660</v>
      </c>
      <c r="B3847" s="10" t="s">
        <v>5661</v>
      </c>
      <c r="C3847" s="10" t="s">
        <v>10</v>
      </c>
      <c r="D3847" s="10" t="s">
        <v>11</v>
      </c>
      <c r="E3847" s="10">
        <v>92</v>
      </c>
      <c r="F3847" s="10">
        <v>5.4</v>
      </c>
      <c r="G3847" s="10">
        <v>3500000</v>
      </c>
      <c r="H3847" s="10">
        <v>25078937</v>
      </c>
      <c r="I3847" s="5">
        <f>IMDB_Movies!$H3847-IMDB_Movies!$G3847</f>
        <v>21578937</v>
      </c>
    </row>
    <row r="3848" spans="1:9" ht="23">
      <c r="A3848" s="2" t="s">
        <v>5662</v>
      </c>
      <c r="B3848" s="9" t="s">
        <v>5663</v>
      </c>
      <c r="C3848" s="9" t="s">
        <v>56</v>
      </c>
      <c r="D3848" s="9" t="s">
        <v>11</v>
      </c>
      <c r="E3848" s="9">
        <v>88</v>
      </c>
      <c r="F3848" s="9">
        <v>4.8</v>
      </c>
      <c r="G3848" s="9">
        <v>3500000</v>
      </c>
      <c r="H3848" s="9">
        <v>25078937</v>
      </c>
      <c r="I3848" s="5">
        <f>IMDB_Movies!$H3848-IMDB_Movies!$G3848</f>
        <v>21578937</v>
      </c>
    </row>
    <row r="3849" spans="1:9" ht="23">
      <c r="A3849" s="3" t="s">
        <v>5664</v>
      </c>
      <c r="B3849" s="10" t="s">
        <v>5665</v>
      </c>
      <c r="C3849" s="10" t="s">
        <v>414</v>
      </c>
      <c r="D3849" s="10" t="s">
        <v>11</v>
      </c>
      <c r="E3849" s="10">
        <v>90</v>
      </c>
      <c r="F3849" s="10">
        <v>3.1</v>
      </c>
      <c r="G3849" s="10">
        <v>3440000</v>
      </c>
      <c r="H3849" s="10">
        <v>25078937</v>
      </c>
      <c r="I3849" s="5">
        <f>IMDB_Movies!$H3849-IMDB_Movies!$G3849</f>
        <v>21638937</v>
      </c>
    </row>
    <row r="3850" spans="1:9" ht="23">
      <c r="A3850" s="2" t="s">
        <v>5666</v>
      </c>
      <c r="B3850" s="9" t="s">
        <v>2920</v>
      </c>
      <c r="C3850" s="9" t="s">
        <v>138</v>
      </c>
      <c r="D3850" s="9" t="s">
        <v>11</v>
      </c>
      <c r="E3850" s="9">
        <v>94</v>
      </c>
      <c r="F3850" s="9">
        <v>6.7</v>
      </c>
      <c r="G3850" s="9">
        <v>3400000</v>
      </c>
      <c r="H3850" s="9">
        <v>25078937</v>
      </c>
      <c r="I3850" s="5">
        <f>IMDB_Movies!$H3850-IMDB_Movies!$G3850</f>
        <v>21678937</v>
      </c>
    </row>
    <row r="3851" spans="1:9" ht="23">
      <c r="A3851" s="3" t="s">
        <v>5667</v>
      </c>
      <c r="B3851" s="10" t="s">
        <v>5668</v>
      </c>
      <c r="C3851" s="10" t="s">
        <v>772</v>
      </c>
      <c r="D3851" s="10" t="s">
        <v>394</v>
      </c>
      <c r="E3851" s="10">
        <v>80</v>
      </c>
      <c r="F3851" s="10">
        <v>7.6</v>
      </c>
      <c r="G3851" s="10">
        <v>8000000</v>
      </c>
      <c r="H3851" s="10">
        <v>77413017</v>
      </c>
      <c r="I3851" s="5">
        <f>IMDB_Movies!$H3851-IMDB_Movies!$G3851</f>
        <v>69413017</v>
      </c>
    </row>
    <row r="3852" spans="1:9" ht="23">
      <c r="A3852" s="2" t="s">
        <v>5669</v>
      </c>
      <c r="B3852" s="9" t="s">
        <v>3232</v>
      </c>
      <c r="C3852" s="9" t="s">
        <v>418</v>
      </c>
      <c r="D3852" s="9" t="s">
        <v>11</v>
      </c>
      <c r="E3852" s="9">
        <v>107</v>
      </c>
      <c r="F3852" s="9">
        <v>7.1</v>
      </c>
      <c r="G3852" s="9">
        <v>3500000</v>
      </c>
      <c r="H3852" s="9">
        <v>5354039</v>
      </c>
      <c r="I3852" s="5">
        <f>IMDB_Movies!$H3852-IMDB_Movies!$G3852</f>
        <v>1854039</v>
      </c>
    </row>
    <row r="3853" spans="1:9" ht="23">
      <c r="A3853" s="3" t="s">
        <v>5670</v>
      </c>
      <c r="B3853" s="10" t="s">
        <v>5671</v>
      </c>
      <c r="C3853" s="10" t="s">
        <v>56</v>
      </c>
      <c r="D3853" s="10" t="s">
        <v>11</v>
      </c>
      <c r="E3853" s="10">
        <v>99</v>
      </c>
      <c r="F3853" s="10">
        <v>6.1</v>
      </c>
      <c r="G3853" s="10">
        <v>20000000</v>
      </c>
      <c r="H3853" s="10">
        <v>25078937</v>
      </c>
      <c r="I3853" s="5">
        <f>IMDB_Movies!$H3853-IMDB_Movies!$G3853</f>
        <v>5078937</v>
      </c>
    </row>
    <row r="3854" spans="1:9" ht="23">
      <c r="A3854" s="2" t="s">
        <v>5672</v>
      </c>
      <c r="B3854" s="9" t="s">
        <v>5673</v>
      </c>
      <c r="C3854" s="9" t="s">
        <v>138</v>
      </c>
      <c r="D3854" s="9" t="s">
        <v>11</v>
      </c>
      <c r="E3854" s="9">
        <v>92</v>
      </c>
      <c r="F3854" s="9">
        <v>6.5</v>
      </c>
      <c r="G3854" s="9">
        <v>3000000</v>
      </c>
      <c r="H3854" s="9">
        <v>2926565</v>
      </c>
      <c r="I3854" s="5">
        <f>IMDB_Movies!$H3854-IMDB_Movies!$G3854</f>
        <v>-73435</v>
      </c>
    </row>
    <row r="3855" spans="1:9" ht="23">
      <c r="A3855" s="3" t="s">
        <v>5674</v>
      </c>
      <c r="B3855" s="10" t="s">
        <v>5675</v>
      </c>
      <c r="C3855" s="10" t="s">
        <v>56</v>
      </c>
      <c r="D3855" s="10" t="s">
        <v>11</v>
      </c>
      <c r="E3855" s="10">
        <v>107</v>
      </c>
      <c r="F3855" s="10">
        <v>8.5</v>
      </c>
      <c r="G3855" s="10">
        <v>3300000</v>
      </c>
      <c r="H3855" s="10">
        <v>13092000</v>
      </c>
      <c r="I3855" s="5">
        <f>IMDB_Movies!$H3855-IMDB_Movies!$G3855</f>
        <v>9792000</v>
      </c>
    </row>
    <row r="3856" spans="1:9" ht="23">
      <c r="A3856" s="2" t="s">
        <v>5676</v>
      </c>
      <c r="B3856" s="9" t="s">
        <v>2626</v>
      </c>
      <c r="C3856" s="9" t="s">
        <v>414</v>
      </c>
      <c r="D3856" s="9" t="s">
        <v>4233</v>
      </c>
      <c r="E3856" s="9">
        <v>135</v>
      </c>
      <c r="F3856" s="9">
        <v>8.6999999999999993</v>
      </c>
      <c r="G3856" s="9">
        <v>3300000</v>
      </c>
      <c r="H3856" s="9">
        <v>7563397</v>
      </c>
      <c r="I3856" s="5">
        <f>IMDB_Movies!$H3856-IMDB_Movies!$G3856</f>
        <v>4263397</v>
      </c>
    </row>
    <row r="3857" spans="1:9" ht="23">
      <c r="A3857" s="3" t="s">
        <v>5677</v>
      </c>
      <c r="B3857" s="10" t="s">
        <v>5678</v>
      </c>
      <c r="C3857" s="10" t="s">
        <v>138</v>
      </c>
      <c r="D3857" s="10" t="s">
        <v>11</v>
      </c>
      <c r="E3857" s="10">
        <v>99</v>
      </c>
      <c r="F3857" s="10">
        <v>7.1</v>
      </c>
      <c r="G3857" s="10">
        <v>2200000</v>
      </c>
      <c r="H3857" s="10">
        <v>104257</v>
      </c>
      <c r="I3857" s="5">
        <f>IMDB_Movies!$H3857-IMDB_Movies!$G3857</f>
        <v>-2095743</v>
      </c>
    </row>
    <row r="3858" spans="1:9" ht="23">
      <c r="A3858" s="2" t="s">
        <v>5679</v>
      </c>
      <c r="B3858" s="9" t="s">
        <v>5680</v>
      </c>
      <c r="C3858" s="9" t="s">
        <v>418</v>
      </c>
      <c r="D3858" s="9" t="s">
        <v>11</v>
      </c>
      <c r="E3858" s="9">
        <v>102</v>
      </c>
      <c r="F3858" s="9">
        <v>6.6</v>
      </c>
      <c r="G3858" s="9">
        <v>3400000</v>
      </c>
      <c r="H3858" s="9">
        <v>25078937</v>
      </c>
      <c r="I3858" s="5">
        <f>IMDB_Movies!$H3858-IMDB_Movies!$G3858</f>
        <v>21678937</v>
      </c>
    </row>
    <row r="3859" spans="1:9" ht="23">
      <c r="A3859" s="3" t="s">
        <v>5681</v>
      </c>
      <c r="B3859" s="10" t="s">
        <v>5682</v>
      </c>
      <c r="C3859" s="10" t="s">
        <v>414</v>
      </c>
      <c r="D3859" s="10" t="s">
        <v>11</v>
      </c>
      <c r="E3859" s="10">
        <v>93</v>
      </c>
      <c r="F3859" s="10">
        <v>6.7</v>
      </c>
      <c r="G3859" s="10">
        <v>20000000</v>
      </c>
      <c r="H3859" s="10">
        <v>17311</v>
      </c>
      <c r="I3859" s="5">
        <f>IMDB_Movies!$H3859-IMDB_Movies!$G3859</f>
        <v>-19982689</v>
      </c>
    </row>
    <row r="3860" spans="1:9" ht="23">
      <c r="A3860" s="2" t="s">
        <v>5683</v>
      </c>
      <c r="B3860" s="9" t="s">
        <v>4811</v>
      </c>
      <c r="C3860" s="9" t="s">
        <v>56</v>
      </c>
      <c r="D3860" s="9" t="s">
        <v>4656</v>
      </c>
      <c r="E3860" s="9">
        <v>115</v>
      </c>
      <c r="F3860" s="9">
        <v>8.3000000000000007</v>
      </c>
      <c r="G3860" s="9">
        <v>3800000</v>
      </c>
      <c r="H3860" s="9">
        <v>610968</v>
      </c>
      <c r="I3860" s="5">
        <f>IMDB_Movies!$H3860-IMDB_Movies!$G3860</f>
        <v>-3189032</v>
      </c>
    </row>
    <row r="3861" spans="1:9" ht="23">
      <c r="A3861" s="3" t="s">
        <v>5684</v>
      </c>
      <c r="B3861" s="10" t="s">
        <v>3205</v>
      </c>
      <c r="C3861" s="10" t="s">
        <v>138</v>
      </c>
      <c r="D3861" s="10" t="s">
        <v>11</v>
      </c>
      <c r="E3861" s="10">
        <v>94</v>
      </c>
      <c r="F3861" s="10">
        <v>8.1</v>
      </c>
      <c r="G3861" s="10">
        <v>4000000</v>
      </c>
      <c r="H3861" s="10">
        <v>25078937</v>
      </c>
      <c r="I3861" s="5">
        <f>IMDB_Movies!$H3861-IMDB_Movies!$G3861</f>
        <v>21078937</v>
      </c>
    </row>
    <row r="3862" spans="1:9" ht="23">
      <c r="A3862" s="2" t="s">
        <v>5685</v>
      </c>
      <c r="B3862" s="9" t="s">
        <v>3223</v>
      </c>
      <c r="C3862" s="9" t="s">
        <v>56</v>
      </c>
      <c r="D3862" s="9" t="s">
        <v>11</v>
      </c>
      <c r="E3862" s="9">
        <v>91</v>
      </c>
      <c r="F3862" s="9">
        <v>7.4</v>
      </c>
      <c r="G3862" s="9">
        <v>3300000</v>
      </c>
      <c r="H3862" s="9">
        <v>8108247</v>
      </c>
      <c r="I3862" s="5">
        <f>IMDB_Movies!$H3862-IMDB_Movies!$G3862</f>
        <v>4808247</v>
      </c>
    </row>
    <row r="3863" spans="1:9" ht="23">
      <c r="A3863" s="3" t="s">
        <v>5686</v>
      </c>
      <c r="B3863" s="10" t="s">
        <v>3742</v>
      </c>
      <c r="C3863" s="10" t="s">
        <v>10</v>
      </c>
      <c r="D3863" s="10" t="s">
        <v>11</v>
      </c>
      <c r="E3863" s="10">
        <v>98</v>
      </c>
      <c r="F3863" s="10">
        <v>6.6</v>
      </c>
      <c r="G3863" s="10">
        <v>4300000</v>
      </c>
      <c r="H3863" s="10">
        <v>25078937</v>
      </c>
      <c r="I3863" s="5">
        <f>IMDB_Movies!$H3863-IMDB_Movies!$G3863</f>
        <v>20778937</v>
      </c>
    </row>
    <row r="3864" spans="1:9" ht="23">
      <c r="A3864" s="2" t="s">
        <v>5687</v>
      </c>
      <c r="B3864" s="9" t="s">
        <v>5688</v>
      </c>
      <c r="C3864" s="9" t="s">
        <v>138</v>
      </c>
      <c r="D3864" s="9" t="s">
        <v>11</v>
      </c>
      <c r="E3864" s="9">
        <v>97</v>
      </c>
      <c r="F3864" s="9">
        <v>4.5</v>
      </c>
      <c r="G3864" s="9">
        <v>3300000</v>
      </c>
      <c r="H3864" s="9">
        <v>25078937</v>
      </c>
      <c r="I3864" s="5">
        <f>IMDB_Movies!$H3864-IMDB_Movies!$G3864</f>
        <v>21778937</v>
      </c>
    </row>
    <row r="3865" spans="1:9" ht="23">
      <c r="A3865" s="3" t="s">
        <v>5689</v>
      </c>
      <c r="B3865" s="10" t="s">
        <v>5690</v>
      </c>
      <c r="C3865" s="10" t="s">
        <v>56</v>
      </c>
      <c r="D3865" s="10" t="s">
        <v>11</v>
      </c>
      <c r="E3865" s="10">
        <v>92</v>
      </c>
      <c r="F3865" s="10">
        <v>6.4</v>
      </c>
      <c r="G3865" s="10">
        <v>2000000</v>
      </c>
      <c r="H3865" s="10">
        <v>7680</v>
      </c>
      <c r="I3865" s="5">
        <f>IMDB_Movies!$H3865-IMDB_Movies!$G3865</f>
        <v>-1992320</v>
      </c>
    </row>
    <row r="3866" spans="1:9" ht="23">
      <c r="A3866" s="2" t="s">
        <v>5691</v>
      </c>
      <c r="B3866" s="9" t="s">
        <v>5692</v>
      </c>
      <c r="C3866" s="9" t="s">
        <v>56</v>
      </c>
      <c r="D3866" s="9" t="s">
        <v>394</v>
      </c>
      <c r="E3866" s="9">
        <v>128</v>
      </c>
      <c r="F3866" s="9">
        <v>7.5</v>
      </c>
      <c r="G3866" s="9">
        <v>20000000</v>
      </c>
      <c r="H3866" s="9">
        <v>3766595</v>
      </c>
      <c r="I3866" s="5">
        <f>IMDB_Movies!$H3866-IMDB_Movies!$G3866</f>
        <v>-16233405</v>
      </c>
    </row>
    <row r="3867" spans="1:9" ht="23">
      <c r="A3867" s="3" t="s">
        <v>5693</v>
      </c>
      <c r="B3867" s="10" t="s">
        <v>1025</v>
      </c>
      <c r="C3867" s="10" t="s">
        <v>56</v>
      </c>
      <c r="D3867" s="10" t="s">
        <v>11</v>
      </c>
      <c r="E3867" s="10">
        <v>136</v>
      </c>
      <c r="F3867" s="10">
        <v>8</v>
      </c>
      <c r="G3867" s="10">
        <v>2300000</v>
      </c>
      <c r="H3867" s="10">
        <v>25078937</v>
      </c>
      <c r="I3867" s="5">
        <f>IMDB_Movies!$H3867-IMDB_Movies!$G3867</f>
        <v>22778937</v>
      </c>
    </row>
    <row r="3868" spans="1:9" ht="23">
      <c r="A3868" s="2" t="s">
        <v>5694</v>
      </c>
      <c r="B3868" s="9" t="s">
        <v>5695</v>
      </c>
      <c r="C3868" s="9" t="s">
        <v>56</v>
      </c>
      <c r="D3868" s="9" t="s">
        <v>11</v>
      </c>
      <c r="E3868" s="9">
        <v>113</v>
      </c>
      <c r="F3868" s="9">
        <v>8.1</v>
      </c>
      <c r="G3868" s="9">
        <v>3200000</v>
      </c>
      <c r="H3868" s="9">
        <v>25078937</v>
      </c>
      <c r="I3868" s="5">
        <f>IMDB_Movies!$H3868-IMDB_Movies!$G3868</f>
        <v>21878937</v>
      </c>
    </row>
    <row r="3869" spans="1:9" ht="23">
      <c r="A3869" s="3" t="s">
        <v>5696</v>
      </c>
      <c r="B3869" s="10" t="s">
        <v>5697</v>
      </c>
      <c r="C3869" s="10" t="s">
        <v>56</v>
      </c>
      <c r="D3869" s="10" t="s">
        <v>11</v>
      </c>
      <c r="E3869" s="10">
        <v>99</v>
      </c>
      <c r="F3869" s="10">
        <v>7.2</v>
      </c>
      <c r="G3869" s="10">
        <v>20000000</v>
      </c>
      <c r="H3869" s="10">
        <v>2277396</v>
      </c>
      <c r="I3869" s="5">
        <f>IMDB_Movies!$H3869-IMDB_Movies!$G3869</f>
        <v>-17722604</v>
      </c>
    </row>
    <row r="3870" spans="1:9" ht="23">
      <c r="A3870" s="2" t="s">
        <v>5698</v>
      </c>
      <c r="B3870" s="9" t="s">
        <v>5699</v>
      </c>
      <c r="C3870" s="9" t="s">
        <v>414</v>
      </c>
      <c r="D3870" s="9" t="s">
        <v>741</v>
      </c>
      <c r="E3870" s="9">
        <v>101</v>
      </c>
      <c r="F3870" s="9">
        <v>7.5</v>
      </c>
      <c r="G3870" s="9">
        <v>3000000</v>
      </c>
      <c r="H3870" s="9">
        <v>6517198</v>
      </c>
      <c r="I3870" s="5">
        <f>IMDB_Movies!$H3870-IMDB_Movies!$G3870</f>
        <v>3517198</v>
      </c>
    </row>
    <row r="3871" spans="1:9" ht="23">
      <c r="A3871" s="3" t="s">
        <v>5700</v>
      </c>
      <c r="B3871" s="10" t="s">
        <v>5527</v>
      </c>
      <c r="C3871" s="10" t="s">
        <v>138</v>
      </c>
      <c r="D3871" s="10" t="s">
        <v>11</v>
      </c>
      <c r="E3871" s="10">
        <v>105</v>
      </c>
      <c r="F3871" s="10">
        <v>7.2</v>
      </c>
      <c r="G3871" s="10">
        <v>3200000</v>
      </c>
      <c r="H3871" s="10">
        <v>5776314</v>
      </c>
      <c r="I3871" s="5">
        <f>IMDB_Movies!$H3871-IMDB_Movies!$G3871</f>
        <v>2576314</v>
      </c>
    </row>
    <row r="3872" spans="1:9" ht="23">
      <c r="A3872" s="2" t="s">
        <v>5701</v>
      </c>
      <c r="B3872" s="9" t="s">
        <v>5702</v>
      </c>
      <c r="C3872" s="9" t="s">
        <v>10</v>
      </c>
      <c r="D3872" s="9" t="s">
        <v>11</v>
      </c>
      <c r="E3872" s="9">
        <v>95</v>
      </c>
      <c r="F3872" s="9">
        <v>6.4</v>
      </c>
      <c r="G3872" s="9">
        <v>3200000</v>
      </c>
      <c r="H3872" s="9">
        <v>25078937</v>
      </c>
      <c r="I3872" s="5">
        <f>IMDB_Movies!$H3872-IMDB_Movies!$G3872</f>
        <v>21878937</v>
      </c>
    </row>
    <row r="3873" spans="1:9" ht="23">
      <c r="A3873" s="3" t="s">
        <v>5703</v>
      </c>
      <c r="B3873" s="10" t="s">
        <v>1436</v>
      </c>
      <c r="C3873" s="10" t="s">
        <v>138</v>
      </c>
      <c r="D3873" s="10" t="s">
        <v>11</v>
      </c>
      <c r="E3873" s="10">
        <v>109</v>
      </c>
      <c r="F3873" s="10">
        <v>7.6</v>
      </c>
      <c r="G3873" s="10">
        <v>3000000</v>
      </c>
      <c r="H3873" s="10">
        <v>141600000</v>
      </c>
      <c r="I3873" s="5">
        <f>IMDB_Movies!$H3873-IMDB_Movies!$G3873</f>
        <v>138600000</v>
      </c>
    </row>
    <row r="3874" spans="1:9" ht="23">
      <c r="A3874" s="2" t="s">
        <v>5704</v>
      </c>
      <c r="B3874" s="9" t="s">
        <v>4877</v>
      </c>
      <c r="C3874" s="9" t="s">
        <v>10</v>
      </c>
      <c r="D3874" s="9" t="s">
        <v>11</v>
      </c>
      <c r="E3874" s="9">
        <v>110</v>
      </c>
      <c r="F3874" s="9">
        <v>7.8</v>
      </c>
      <c r="G3874" s="9">
        <v>3000000</v>
      </c>
      <c r="H3874" s="9">
        <v>51100000</v>
      </c>
      <c r="I3874" s="5">
        <f>IMDB_Movies!$H3874-IMDB_Movies!$G3874</f>
        <v>48100000</v>
      </c>
    </row>
    <row r="3875" spans="1:9" ht="23">
      <c r="A3875" s="3" t="s">
        <v>5705</v>
      </c>
      <c r="B3875" s="10" t="s">
        <v>5706</v>
      </c>
      <c r="C3875" s="10" t="s">
        <v>810</v>
      </c>
      <c r="D3875" s="10" t="s">
        <v>11</v>
      </c>
      <c r="E3875" s="10">
        <v>108</v>
      </c>
      <c r="F3875" s="10">
        <v>5.7</v>
      </c>
      <c r="G3875" s="10">
        <v>3200000</v>
      </c>
      <c r="H3875" s="10">
        <v>25078937</v>
      </c>
      <c r="I3875" s="5">
        <f>IMDB_Movies!$H3875-IMDB_Movies!$G3875</f>
        <v>21878937</v>
      </c>
    </row>
    <row r="3876" spans="1:9" ht="23">
      <c r="A3876" s="2" t="s">
        <v>5707</v>
      </c>
      <c r="B3876" s="9" t="s">
        <v>5708</v>
      </c>
      <c r="C3876" s="9" t="s">
        <v>56</v>
      </c>
      <c r="D3876" s="9" t="s">
        <v>11</v>
      </c>
      <c r="E3876" s="9">
        <v>118</v>
      </c>
      <c r="F3876" s="9">
        <v>8.6</v>
      </c>
      <c r="G3876" s="9">
        <v>3180000</v>
      </c>
      <c r="H3876" s="9">
        <v>25078937</v>
      </c>
      <c r="I3876" s="5">
        <f>IMDB_Movies!$H3876-IMDB_Movies!$G3876</f>
        <v>21898937</v>
      </c>
    </row>
    <row r="3877" spans="1:9" ht="23">
      <c r="A3877" s="3" t="s">
        <v>5709</v>
      </c>
      <c r="B3877" s="10" t="s">
        <v>1450</v>
      </c>
      <c r="C3877" s="10" t="s">
        <v>56</v>
      </c>
      <c r="D3877" s="10" t="s">
        <v>11</v>
      </c>
      <c r="E3877" s="10">
        <v>94</v>
      </c>
      <c r="F3877" s="10">
        <v>8.1999999999999993</v>
      </c>
      <c r="G3877" s="10">
        <v>3500000</v>
      </c>
      <c r="H3877" s="10">
        <v>16501785</v>
      </c>
      <c r="I3877" s="5">
        <f>IMDB_Movies!$H3877-IMDB_Movies!$G3877</f>
        <v>13001785</v>
      </c>
    </row>
    <row r="3878" spans="1:9" ht="23">
      <c r="A3878" s="2" t="s">
        <v>5710</v>
      </c>
      <c r="B3878" s="9" t="s">
        <v>1380</v>
      </c>
      <c r="C3878" s="9" t="s">
        <v>138</v>
      </c>
      <c r="D3878" s="9" t="s">
        <v>11</v>
      </c>
      <c r="E3878" s="9">
        <v>115</v>
      </c>
      <c r="F3878" s="9">
        <v>6.6</v>
      </c>
      <c r="G3878" s="9">
        <v>3000000</v>
      </c>
      <c r="H3878" s="9">
        <v>38168022</v>
      </c>
      <c r="I3878" s="5">
        <f>IMDB_Movies!$H3878-IMDB_Movies!$G3878</f>
        <v>35168022</v>
      </c>
    </row>
    <row r="3879" spans="1:9" ht="23">
      <c r="A3879" s="3" t="s">
        <v>5711</v>
      </c>
      <c r="B3879" s="10" t="s">
        <v>5712</v>
      </c>
      <c r="C3879" s="10" t="s">
        <v>810</v>
      </c>
      <c r="D3879" s="10" t="s">
        <v>11</v>
      </c>
      <c r="E3879" s="10">
        <v>98</v>
      </c>
      <c r="F3879" s="10">
        <v>5.7</v>
      </c>
      <c r="G3879" s="10">
        <v>3000000</v>
      </c>
      <c r="H3879" s="10">
        <v>84749884</v>
      </c>
      <c r="I3879" s="5">
        <f>IMDB_Movies!$H3879-IMDB_Movies!$G3879</f>
        <v>81749884</v>
      </c>
    </row>
    <row r="3880" spans="1:9" ht="23">
      <c r="A3880" s="2" t="s">
        <v>5713</v>
      </c>
      <c r="B3880" s="9" t="s">
        <v>1965</v>
      </c>
      <c r="C3880" s="9" t="s">
        <v>138</v>
      </c>
      <c r="D3880" s="9" t="s">
        <v>11</v>
      </c>
      <c r="E3880" s="9">
        <v>91</v>
      </c>
      <c r="F3880" s="9">
        <v>7.4</v>
      </c>
      <c r="G3880" s="9">
        <v>3000000</v>
      </c>
      <c r="H3880" s="9">
        <v>24788807</v>
      </c>
      <c r="I3880" s="5">
        <f>IMDB_Movies!$H3880-IMDB_Movies!$G3880</f>
        <v>21788807</v>
      </c>
    </row>
    <row r="3881" spans="1:9" ht="23">
      <c r="A3881" s="3" t="s">
        <v>5714</v>
      </c>
      <c r="B3881" s="10" t="s">
        <v>3168</v>
      </c>
      <c r="C3881" s="10" t="s">
        <v>414</v>
      </c>
      <c r="D3881" s="10" t="s">
        <v>11</v>
      </c>
      <c r="E3881" s="10">
        <v>120</v>
      </c>
      <c r="F3881" s="10">
        <v>8</v>
      </c>
      <c r="G3881" s="10">
        <v>4000000</v>
      </c>
      <c r="H3881" s="10">
        <v>21244913</v>
      </c>
      <c r="I3881" s="5">
        <f>IMDB_Movies!$H3881-IMDB_Movies!$G3881</f>
        <v>17244913</v>
      </c>
    </row>
    <row r="3882" spans="1:9" ht="23">
      <c r="A3882" s="2" t="s">
        <v>5715</v>
      </c>
      <c r="B3882" s="9" t="s">
        <v>520</v>
      </c>
      <c r="C3882" s="9" t="s">
        <v>56</v>
      </c>
      <c r="D3882" s="9" t="s">
        <v>521</v>
      </c>
      <c r="E3882" s="9">
        <v>109</v>
      </c>
      <c r="F3882" s="9">
        <v>7.3</v>
      </c>
      <c r="G3882" s="9">
        <v>20000000</v>
      </c>
      <c r="H3882" s="9">
        <v>377420</v>
      </c>
      <c r="I3882" s="5">
        <f>IMDB_Movies!$H3882-IMDB_Movies!$G3882</f>
        <v>-19622580</v>
      </c>
    </row>
    <row r="3883" spans="1:9" ht="23">
      <c r="A3883" s="3" t="s">
        <v>5716</v>
      </c>
      <c r="B3883" s="10" t="s">
        <v>5717</v>
      </c>
      <c r="C3883" s="10" t="s">
        <v>713</v>
      </c>
      <c r="D3883" s="10" t="s">
        <v>11</v>
      </c>
      <c r="E3883" s="10">
        <v>87</v>
      </c>
      <c r="F3883" s="10">
        <v>5.4</v>
      </c>
      <c r="G3883" s="10">
        <v>2200000</v>
      </c>
      <c r="H3883" s="10">
        <v>30000000</v>
      </c>
      <c r="I3883" s="5">
        <f>IMDB_Movies!$H3883-IMDB_Movies!$G3883</f>
        <v>27800000</v>
      </c>
    </row>
    <row r="3884" spans="1:9" ht="23">
      <c r="A3884" s="2" t="s">
        <v>5718</v>
      </c>
      <c r="B3884" s="9" t="s">
        <v>3607</v>
      </c>
      <c r="C3884" s="9" t="s">
        <v>56</v>
      </c>
      <c r="D3884" s="9" t="s">
        <v>11</v>
      </c>
      <c r="E3884" s="9">
        <v>117</v>
      </c>
      <c r="F3884" s="9">
        <v>7.4</v>
      </c>
      <c r="G3884" s="9">
        <v>3000000</v>
      </c>
      <c r="H3884" s="9">
        <v>20966644</v>
      </c>
      <c r="I3884" s="5">
        <f>IMDB_Movies!$H3884-IMDB_Movies!$G3884</f>
        <v>17966644</v>
      </c>
    </row>
    <row r="3885" spans="1:9" ht="23">
      <c r="A3885" s="3" t="s">
        <v>5719</v>
      </c>
      <c r="B3885" s="10" t="s">
        <v>4328</v>
      </c>
      <c r="C3885" s="10" t="s">
        <v>810</v>
      </c>
      <c r="D3885" s="10" t="s">
        <v>11</v>
      </c>
      <c r="E3885" s="10">
        <v>85</v>
      </c>
      <c r="F3885" s="10">
        <v>5.7</v>
      </c>
      <c r="G3885" s="10">
        <v>3000000</v>
      </c>
      <c r="H3885" s="10">
        <v>64423650</v>
      </c>
      <c r="I3885" s="5">
        <f>IMDB_Movies!$H3885-IMDB_Movies!$G3885</f>
        <v>61423650</v>
      </c>
    </row>
    <row r="3886" spans="1:9" ht="23">
      <c r="A3886" s="2" t="s">
        <v>5720</v>
      </c>
      <c r="B3886" s="9" t="s">
        <v>718</v>
      </c>
      <c r="C3886" s="9" t="s">
        <v>810</v>
      </c>
      <c r="D3886" s="9" t="s">
        <v>11</v>
      </c>
      <c r="E3886" s="9">
        <v>110</v>
      </c>
      <c r="F3886" s="9">
        <v>6.8</v>
      </c>
      <c r="G3886" s="9">
        <v>3000000</v>
      </c>
      <c r="H3886" s="9">
        <v>48056940</v>
      </c>
      <c r="I3886" s="5">
        <f>IMDB_Movies!$H3886-IMDB_Movies!$G3886</f>
        <v>45056940</v>
      </c>
    </row>
    <row r="3887" spans="1:9" ht="23">
      <c r="A3887" s="3" t="s">
        <v>5721</v>
      </c>
      <c r="B3887" s="10" t="s">
        <v>3782</v>
      </c>
      <c r="C3887" s="10" t="s">
        <v>418</v>
      </c>
      <c r="D3887" s="10" t="s">
        <v>11</v>
      </c>
      <c r="E3887" s="10">
        <v>113</v>
      </c>
      <c r="F3887" s="10">
        <v>5.4</v>
      </c>
      <c r="G3887" s="10">
        <v>3000000</v>
      </c>
      <c r="H3887" s="10">
        <v>19184015</v>
      </c>
      <c r="I3887" s="5">
        <f>IMDB_Movies!$H3887-IMDB_Movies!$G3887</f>
        <v>16184015</v>
      </c>
    </row>
    <row r="3888" spans="1:9" ht="23">
      <c r="A3888" s="2" t="s">
        <v>5722</v>
      </c>
      <c r="B3888" s="9" t="s">
        <v>5620</v>
      </c>
      <c r="C3888" s="9" t="s">
        <v>56</v>
      </c>
      <c r="D3888" s="9" t="s">
        <v>11</v>
      </c>
      <c r="E3888" s="9">
        <v>108</v>
      </c>
      <c r="F3888" s="9">
        <v>8.1</v>
      </c>
      <c r="G3888" s="9">
        <v>3000000</v>
      </c>
      <c r="H3888" s="9">
        <v>25078937</v>
      </c>
      <c r="I3888" s="5">
        <f>IMDB_Movies!$H3888-IMDB_Movies!$G3888</f>
        <v>22078937</v>
      </c>
    </row>
    <row r="3889" spans="1:9" ht="23">
      <c r="A3889" s="3" t="s">
        <v>5723</v>
      </c>
      <c r="B3889" s="10" t="s">
        <v>5724</v>
      </c>
      <c r="C3889" s="10" t="s">
        <v>10</v>
      </c>
      <c r="D3889" s="10" t="s">
        <v>11</v>
      </c>
      <c r="E3889" s="10">
        <v>95</v>
      </c>
      <c r="F3889" s="10">
        <v>6.1</v>
      </c>
      <c r="G3889" s="10">
        <v>3000000</v>
      </c>
      <c r="H3889" s="10">
        <v>25078937</v>
      </c>
      <c r="I3889" s="5">
        <f>IMDB_Movies!$H3889-IMDB_Movies!$G3889</f>
        <v>22078937</v>
      </c>
    </row>
    <row r="3890" spans="1:9" ht="23">
      <c r="A3890" s="2" t="s">
        <v>5725</v>
      </c>
      <c r="B3890" s="9" t="s">
        <v>1977</v>
      </c>
      <c r="C3890" s="9" t="s">
        <v>138</v>
      </c>
      <c r="D3890" s="9" t="s">
        <v>11</v>
      </c>
      <c r="E3890" s="9">
        <v>98</v>
      </c>
      <c r="F3890" s="9">
        <v>5.0999999999999996</v>
      </c>
      <c r="G3890" s="9">
        <v>3000000</v>
      </c>
      <c r="H3890" s="9">
        <v>24629916</v>
      </c>
      <c r="I3890" s="5">
        <f>IMDB_Movies!$H3890-IMDB_Movies!$G3890</f>
        <v>21629916</v>
      </c>
    </row>
    <row r="3891" spans="1:9" ht="23">
      <c r="A3891" s="3" t="s">
        <v>5726</v>
      </c>
      <c r="B3891" s="10" t="s">
        <v>5727</v>
      </c>
      <c r="C3891" s="10" t="s">
        <v>10</v>
      </c>
      <c r="D3891" s="10" t="s">
        <v>179</v>
      </c>
      <c r="E3891" s="10">
        <v>93</v>
      </c>
      <c r="F3891" s="10">
        <v>5.6</v>
      </c>
      <c r="G3891" s="10">
        <v>16000000</v>
      </c>
      <c r="H3891" s="10">
        <v>25078937</v>
      </c>
      <c r="I3891" s="5">
        <f>IMDB_Movies!$H3891-IMDB_Movies!$G3891</f>
        <v>9078937</v>
      </c>
    </row>
    <row r="3892" spans="1:9" ht="23">
      <c r="A3892" s="2" t="s">
        <v>5728</v>
      </c>
      <c r="B3892" s="9" t="s">
        <v>5729</v>
      </c>
      <c r="C3892" s="9" t="s">
        <v>810</v>
      </c>
      <c r="D3892" s="9" t="s">
        <v>11</v>
      </c>
      <c r="E3892" s="9">
        <v>86</v>
      </c>
      <c r="F3892" s="9">
        <v>5.9</v>
      </c>
      <c r="G3892" s="9">
        <v>3000000</v>
      </c>
      <c r="H3892" s="9">
        <v>19472057</v>
      </c>
      <c r="I3892" s="5">
        <f>IMDB_Movies!$H3892-IMDB_Movies!$G3892</f>
        <v>16472057</v>
      </c>
    </row>
    <row r="3893" spans="1:9" ht="23">
      <c r="A3893" s="3" t="s">
        <v>5730</v>
      </c>
      <c r="B3893" s="10" t="s">
        <v>2544</v>
      </c>
      <c r="C3893" s="10" t="s">
        <v>24</v>
      </c>
      <c r="D3893" s="10" t="s">
        <v>11</v>
      </c>
      <c r="E3893" s="10">
        <v>161</v>
      </c>
      <c r="F3893" s="10">
        <v>8.1999999999999993</v>
      </c>
      <c r="G3893" s="10">
        <v>3000000</v>
      </c>
      <c r="H3893" s="10">
        <v>27200000</v>
      </c>
      <c r="I3893" s="5">
        <f>IMDB_Movies!$H3893-IMDB_Movies!$G3893</f>
        <v>24200000</v>
      </c>
    </row>
    <row r="3894" spans="1:9" ht="23">
      <c r="A3894" s="2" t="s">
        <v>5731</v>
      </c>
      <c r="B3894" s="9" t="s">
        <v>1490</v>
      </c>
      <c r="C3894" s="9" t="s">
        <v>24</v>
      </c>
      <c r="D3894" s="9" t="s">
        <v>11</v>
      </c>
      <c r="E3894" s="9">
        <v>100</v>
      </c>
      <c r="F3894" s="9">
        <v>5.3</v>
      </c>
      <c r="G3894" s="9">
        <v>3000000</v>
      </c>
      <c r="H3894" s="9">
        <v>15369573</v>
      </c>
      <c r="I3894" s="5">
        <f>IMDB_Movies!$H3894-IMDB_Movies!$G3894</f>
        <v>12369573</v>
      </c>
    </row>
    <row r="3895" spans="1:9" ht="23">
      <c r="A3895" s="3" t="s">
        <v>5732</v>
      </c>
      <c r="B3895" s="10" t="s">
        <v>3135</v>
      </c>
      <c r="C3895" s="10" t="s">
        <v>138</v>
      </c>
      <c r="D3895" s="10" t="s">
        <v>11</v>
      </c>
      <c r="E3895" s="10">
        <v>120</v>
      </c>
      <c r="F3895" s="10">
        <v>6.8</v>
      </c>
      <c r="G3895" s="10">
        <v>4490375</v>
      </c>
      <c r="H3895" s="10">
        <v>25078937</v>
      </c>
      <c r="I3895" s="5">
        <f>IMDB_Movies!$H3895-IMDB_Movies!$G3895</f>
        <v>20588562</v>
      </c>
    </row>
    <row r="3896" spans="1:9" ht="23">
      <c r="A3896" s="2" t="s">
        <v>5733</v>
      </c>
      <c r="B3896" s="9" t="s">
        <v>5488</v>
      </c>
      <c r="C3896" s="9" t="s">
        <v>138</v>
      </c>
      <c r="D3896" s="9" t="s">
        <v>11</v>
      </c>
      <c r="E3896" s="9">
        <v>125</v>
      </c>
      <c r="F3896" s="9">
        <v>8.3000000000000007</v>
      </c>
      <c r="G3896" s="9">
        <v>3000000</v>
      </c>
      <c r="H3896" s="9">
        <v>25078937</v>
      </c>
      <c r="I3896" s="5">
        <f>IMDB_Movies!$H3896-IMDB_Movies!$G3896</f>
        <v>22078937</v>
      </c>
    </row>
    <row r="3897" spans="1:9" ht="23">
      <c r="A3897" s="3" t="s">
        <v>5734</v>
      </c>
      <c r="B3897" s="10" t="s">
        <v>5735</v>
      </c>
      <c r="C3897" s="10" t="s">
        <v>713</v>
      </c>
      <c r="D3897" s="10" t="s">
        <v>11</v>
      </c>
      <c r="E3897" s="10">
        <v>91</v>
      </c>
      <c r="F3897" s="10">
        <v>4.3</v>
      </c>
      <c r="G3897" s="10">
        <v>2500000</v>
      </c>
      <c r="H3897" s="10">
        <v>15935068</v>
      </c>
      <c r="I3897" s="5">
        <f>IMDB_Movies!$H3897-IMDB_Movies!$G3897</f>
        <v>13435068</v>
      </c>
    </row>
    <row r="3898" spans="1:9" ht="23">
      <c r="A3898" s="2" t="s">
        <v>5736</v>
      </c>
      <c r="B3898" s="9" t="s">
        <v>3135</v>
      </c>
      <c r="C3898" s="9" t="s">
        <v>2945</v>
      </c>
      <c r="D3898" s="9" t="s">
        <v>11</v>
      </c>
      <c r="E3898" s="9">
        <v>128</v>
      </c>
      <c r="F3898" s="9">
        <v>6.7</v>
      </c>
      <c r="G3898" s="9">
        <v>6000000</v>
      </c>
      <c r="H3898" s="9">
        <v>25078937</v>
      </c>
      <c r="I3898" s="5">
        <f>IMDB_Movies!$H3898-IMDB_Movies!$G3898</f>
        <v>19078937</v>
      </c>
    </row>
    <row r="3899" spans="1:9" ht="23">
      <c r="A3899" s="3" t="s">
        <v>5737</v>
      </c>
      <c r="B3899" s="10" t="s">
        <v>421</v>
      </c>
      <c r="C3899" s="10" t="s">
        <v>138</v>
      </c>
      <c r="D3899" s="10" t="s">
        <v>11</v>
      </c>
      <c r="E3899" s="10">
        <v>100</v>
      </c>
      <c r="F3899" s="10">
        <v>7.2</v>
      </c>
      <c r="G3899" s="10">
        <v>3000000</v>
      </c>
      <c r="H3899" s="10">
        <v>11694528</v>
      </c>
      <c r="I3899" s="5">
        <f>IMDB_Movies!$H3899-IMDB_Movies!$G3899</f>
        <v>8694528</v>
      </c>
    </row>
    <row r="3900" spans="1:9" ht="23">
      <c r="A3900" s="2" t="s">
        <v>5738</v>
      </c>
      <c r="B3900" s="9" t="s">
        <v>5739</v>
      </c>
      <c r="C3900" s="9" t="s">
        <v>4398</v>
      </c>
      <c r="D3900" s="9" t="s">
        <v>11</v>
      </c>
      <c r="E3900" s="9">
        <v>84</v>
      </c>
      <c r="F3900" s="9">
        <v>6.9</v>
      </c>
      <c r="G3900" s="9">
        <v>20000000</v>
      </c>
      <c r="H3900" s="9">
        <v>229094</v>
      </c>
      <c r="I3900" s="5">
        <f>IMDB_Movies!$H3900-IMDB_Movies!$G3900</f>
        <v>-19770906</v>
      </c>
    </row>
    <row r="3901" spans="1:9" ht="23">
      <c r="A3901" s="3" t="s">
        <v>5740</v>
      </c>
      <c r="B3901" s="10" t="s">
        <v>4355</v>
      </c>
      <c r="C3901" s="10" t="s">
        <v>138</v>
      </c>
      <c r="D3901" s="10" t="s">
        <v>11</v>
      </c>
      <c r="E3901" s="10">
        <v>97</v>
      </c>
      <c r="F3901" s="10">
        <v>6.6</v>
      </c>
      <c r="G3901" s="10">
        <v>3000000</v>
      </c>
      <c r="H3901" s="10">
        <v>25078937</v>
      </c>
      <c r="I3901" s="5">
        <f>IMDB_Movies!$H3901-IMDB_Movies!$G3901</f>
        <v>22078937</v>
      </c>
    </row>
    <row r="3902" spans="1:9" ht="23">
      <c r="A3902" s="2" t="s">
        <v>5741</v>
      </c>
      <c r="B3902" s="9" t="s">
        <v>5742</v>
      </c>
      <c r="C3902" s="9" t="s">
        <v>10</v>
      </c>
      <c r="D3902" s="9" t="s">
        <v>11</v>
      </c>
      <c r="E3902" s="9">
        <v>84</v>
      </c>
      <c r="F3902" s="9">
        <v>5.9</v>
      </c>
      <c r="G3902" s="9">
        <v>3000000</v>
      </c>
      <c r="H3902" s="9">
        <v>10017041</v>
      </c>
      <c r="I3902" s="5">
        <f>IMDB_Movies!$H3902-IMDB_Movies!$G3902</f>
        <v>7017041</v>
      </c>
    </row>
    <row r="3903" spans="1:9" ht="23">
      <c r="A3903" s="3" t="s">
        <v>5743</v>
      </c>
      <c r="B3903" s="10" t="s">
        <v>5620</v>
      </c>
      <c r="C3903" s="10" t="s">
        <v>56</v>
      </c>
      <c r="D3903" s="10" t="s">
        <v>11</v>
      </c>
      <c r="E3903" s="10">
        <v>146</v>
      </c>
      <c r="F3903" s="10">
        <v>7.9</v>
      </c>
      <c r="G3903" s="10">
        <v>3000000</v>
      </c>
      <c r="H3903" s="10">
        <v>25078937</v>
      </c>
      <c r="I3903" s="5">
        <f>IMDB_Movies!$H3903-IMDB_Movies!$G3903</f>
        <v>22078937</v>
      </c>
    </row>
    <row r="3904" spans="1:9" ht="23">
      <c r="A3904" s="2" t="s">
        <v>5744</v>
      </c>
      <c r="B3904" s="9" t="s">
        <v>4586</v>
      </c>
      <c r="C3904" s="9" t="s">
        <v>56</v>
      </c>
      <c r="D3904" s="9" t="s">
        <v>11</v>
      </c>
      <c r="E3904" s="9">
        <v>186</v>
      </c>
      <c r="F3904" s="9">
        <v>8.3000000000000007</v>
      </c>
      <c r="G3904" s="9">
        <v>3000000</v>
      </c>
      <c r="H3904" s="9">
        <v>25078937</v>
      </c>
      <c r="I3904" s="5">
        <f>IMDB_Movies!$H3904-IMDB_Movies!$G3904</f>
        <v>22078937</v>
      </c>
    </row>
    <row r="3905" spans="1:9" ht="23">
      <c r="A3905" s="3" t="s">
        <v>5745</v>
      </c>
      <c r="B3905" s="10" t="s">
        <v>3782</v>
      </c>
      <c r="C3905" s="10" t="s">
        <v>138</v>
      </c>
      <c r="D3905" s="10" t="s">
        <v>11</v>
      </c>
      <c r="E3905" s="10">
        <v>94</v>
      </c>
      <c r="F3905" s="10">
        <v>5.2</v>
      </c>
      <c r="G3905" s="10">
        <v>20000000</v>
      </c>
      <c r="H3905" s="10">
        <v>9016377</v>
      </c>
      <c r="I3905" s="5">
        <f>IMDB_Movies!$H3905-IMDB_Movies!$G3905</f>
        <v>-10983623</v>
      </c>
    </row>
    <row r="3906" spans="1:9" ht="23">
      <c r="A3906" s="2" t="s">
        <v>5746</v>
      </c>
      <c r="B3906" s="9" t="s">
        <v>5747</v>
      </c>
      <c r="C3906" s="9" t="s">
        <v>10</v>
      </c>
      <c r="D3906" s="9" t="s">
        <v>11</v>
      </c>
      <c r="E3906" s="9">
        <v>126</v>
      </c>
      <c r="F3906" s="9">
        <v>7.8</v>
      </c>
      <c r="G3906" s="9">
        <v>3000000</v>
      </c>
      <c r="H3906" s="9">
        <v>25078937</v>
      </c>
      <c r="I3906" s="5">
        <f>IMDB_Movies!$H3906-IMDB_Movies!$G3906</f>
        <v>22078937</v>
      </c>
    </row>
    <row r="3907" spans="1:9" ht="23">
      <c r="A3907" s="3" t="s">
        <v>5748</v>
      </c>
      <c r="B3907" s="10" t="s">
        <v>5749</v>
      </c>
      <c r="C3907" s="10" t="s">
        <v>138</v>
      </c>
      <c r="D3907" s="10" t="s">
        <v>11</v>
      </c>
      <c r="E3907" s="10">
        <v>99</v>
      </c>
      <c r="F3907" s="10">
        <v>3</v>
      </c>
      <c r="G3907" s="10">
        <v>3000000</v>
      </c>
      <c r="H3907" s="10">
        <v>7059537</v>
      </c>
      <c r="I3907" s="5">
        <f>IMDB_Movies!$H3907-IMDB_Movies!$G3907</f>
        <v>4059537</v>
      </c>
    </row>
    <row r="3908" spans="1:9" ht="23">
      <c r="A3908" s="2" t="s">
        <v>5750</v>
      </c>
      <c r="B3908" s="9" t="s">
        <v>2571</v>
      </c>
      <c r="C3908" s="9" t="s">
        <v>56</v>
      </c>
      <c r="D3908" s="9" t="s">
        <v>11</v>
      </c>
      <c r="E3908" s="9">
        <v>109</v>
      </c>
      <c r="F3908" s="9">
        <v>7.9</v>
      </c>
      <c r="G3908" s="9">
        <v>3000000</v>
      </c>
      <c r="H3908" s="9">
        <v>8114507</v>
      </c>
      <c r="I3908" s="5">
        <f>IMDB_Movies!$H3908-IMDB_Movies!$G3908</f>
        <v>5114507</v>
      </c>
    </row>
    <row r="3909" spans="1:9" ht="23">
      <c r="A3909" s="3" t="s">
        <v>5751</v>
      </c>
      <c r="B3909" s="10" t="s">
        <v>5752</v>
      </c>
      <c r="C3909" s="10" t="s">
        <v>138</v>
      </c>
      <c r="D3909" s="10" t="s">
        <v>11</v>
      </c>
      <c r="E3909" s="10">
        <v>95</v>
      </c>
      <c r="F3909" s="10">
        <v>3.2</v>
      </c>
      <c r="G3909" s="10">
        <v>3000000</v>
      </c>
      <c r="H3909" s="10">
        <v>7888703</v>
      </c>
      <c r="I3909" s="5">
        <f>IMDB_Movies!$H3909-IMDB_Movies!$G3909</f>
        <v>4888703</v>
      </c>
    </row>
    <row r="3910" spans="1:9" ht="23">
      <c r="A3910" s="2" t="s">
        <v>5753</v>
      </c>
      <c r="B3910" s="9" t="s">
        <v>5279</v>
      </c>
      <c r="C3910" s="9" t="s">
        <v>10</v>
      </c>
      <c r="D3910" s="9" t="s">
        <v>11</v>
      </c>
      <c r="E3910" s="9">
        <v>97</v>
      </c>
      <c r="F3910" s="9">
        <v>6.5</v>
      </c>
      <c r="G3910" s="9">
        <v>3000000</v>
      </c>
      <c r="H3910" s="9">
        <v>7282851</v>
      </c>
      <c r="I3910" s="5">
        <f>IMDB_Movies!$H3910-IMDB_Movies!$G3910</f>
        <v>4282851</v>
      </c>
    </row>
    <row r="3911" spans="1:9" ht="23">
      <c r="A3911" s="3" t="s">
        <v>5754</v>
      </c>
      <c r="B3911" s="10" t="s">
        <v>4355</v>
      </c>
      <c r="C3911" s="10" t="s">
        <v>56</v>
      </c>
      <c r="D3911" s="10" t="s">
        <v>11</v>
      </c>
      <c r="E3911" s="10">
        <v>94</v>
      </c>
      <c r="F3911" s="10">
        <v>6.9</v>
      </c>
      <c r="G3911" s="10">
        <v>20000000</v>
      </c>
      <c r="H3911" s="10">
        <v>6879730</v>
      </c>
      <c r="I3911" s="5">
        <f>IMDB_Movies!$H3911-IMDB_Movies!$G3911</f>
        <v>-13120270</v>
      </c>
    </row>
    <row r="3912" spans="1:9" ht="23">
      <c r="A3912" s="2" t="s">
        <v>5755</v>
      </c>
      <c r="B3912" s="9" t="s">
        <v>5756</v>
      </c>
      <c r="C3912" s="9" t="s">
        <v>138</v>
      </c>
      <c r="D3912" s="9" t="s">
        <v>11</v>
      </c>
      <c r="E3912" s="9">
        <v>90</v>
      </c>
      <c r="F3912" s="9">
        <v>7</v>
      </c>
      <c r="G3912" s="9">
        <v>3000000</v>
      </c>
      <c r="H3912" s="9">
        <v>5844929</v>
      </c>
      <c r="I3912" s="5">
        <f>IMDB_Movies!$H3912-IMDB_Movies!$G3912</f>
        <v>2844929</v>
      </c>
    </row>
    <row r="3913" spans="1:9" ht="23">
      <c r="A3913" s="3" t="s">
        <v>5757</v>
      </c>
      <c r="B3913" s="10" t="s">
        <v>1533</v>
      </c>
      <c r="C3913" s="10" t="s">
        <v>56</v>
      </c>
      <c r="D3913" s="10" t="s">
        <v>1534</v>
      </c>
      <c r="E3913" s="10">
        <v>117</v>
      </c>
      <c r="F3913" s="10">
        <v>7.8</v>
      </c>
      <c r="G3913" s="10">
        <v>20000000</v>
      </c>
      <c r="H3913" s="10">
        <v>3222857</v>
      </c>
      <c r="I3913" s="5">
        <f>IMDB_Movies!$H3913-IMDB_Movies!$G3913</f>
        <v>-16777143</v>
      </c>
    </row>
    <row r="3914" spans="1:9" ht="23">
      <c r="A3914" s="2" t="s">
        <v>5758</v>
      </c>
      <c r="B3914" s="9" t="s">
        <v>5759</v>
      </c>
      <c r="C3914" s="9" t="s">
        <v>138</v>
      </c>
      <c r="D3914" s="9" t="s">
        <v>11</v>
      </c>
      <c r="E3914" s="9">
        <v>96</v>
      </c>
      <c r="F3914" s="9">
        <v>6.9</v>
      </c>
      <c r="G3914" s="9">
        <v>1900000</v>
      </c>
      <c r="H3914" s="9">
        <v>4170647</v>
      </c>
      <c r="I3914" s="5">
        <f>IMDB_Movies!$H3914-IMDB_Movies!$G3914</f>
        <v>2270647</v>
      </c>
    </row>
    <row r="3915" spans="1:9" ht="23">
      <c r="A3915" s="3" t="s">
        <v>5760</v>
      </c>
      <c r="B3915" s="10" t="s">
        <v>5761</v>
      </c>
      <c r="C3915" s="10" t="s">
        <v>138</v>
      </c>
      <c r="D3915" s="10" t="s">
        <v>11</v>
      </c>
      <c r="E3915" s="10">
        <v>82</v>
      </c>
      <c r="F3915" s="10">
        <v>4.4000000000000004</v>
      </c>
      <c r="G3915" s="10">
        <v>3000000</v>
      </c>
      <c r="H3915" s="10">
        <v>4142507</v>
      </c>
      <c r="I3915" s="5">
        <f>IMDB_Movies!$H3915-IMDB_Movies!$G3915</f>
        <v>1142507</v>
      </c>
    </row>
    <row r="3916" spans="1:9" ht="23">
      <c r="A3916" s="2" t="s">
        <v>5762</v>
      </c>
      <c r="B3916" s="9" t="s">
        <v>2916</v>
      </c>
      <c r="C3916" s="9" t="s">
        <v>414</v>
      </c>
      <c r="D3916" s="9" t="s">
        <v>11</v>
      </c>
      <c r="E3916" s="9">
        <v>109</v>
      </c>
      <c r="F3916" s="9">
        <v>6</v>
      </c>
      <c r="G3916" s="9">
        <v>3000000</v>
      </c>
      <c r="H3916" s="9">
        <v>4109095</v>
      </c>
      <c r="I3916" s="5">
        <f>IMDB_Movies!$H3916-IMDB_Movies!$G3916</f>
        <v>1109095</v>
      </c>
    </row>
    <row r="3917" spans="1:9" ht="23">
      <c r="A3917" s="3" t="s">
        <v>5763</v>
      </c>
      <c r="B3917" s="10" t="s">
        <v>4762</v>
      </c>
      <c r="C3917" s="10" t="s">
        <v>138</v>
      </c>
      <c r="D3917" s="10" t="s">
        <v>11</v>
      </c>
      <c r="E3917" s="10">
        <v>90</v>
      </c>
      <c r="F3917" s="10">
        <v>6.6</v>
      </c>
      <c r="G3917" s="10">
        <v>20000000</v>
      </c>
      <c r="H3917" s="10">
        <v>4033268</v>
      </c>
      <c r="I3917" s="5">
        <f>IMDB_Movies!$H3917-IMDB_Movies!$G3917</f>
        <v>-15966732</v>
      </c>
    </row>
    <row r="3918" spans="1:9" ht="23">
      <c r="A3918" s="2" t="s">
        <v>5764</v>
      </c>
      <c r="B3918" s="9" t="s">
        <v>5765</v>
      </c>
      <c r="C3918" s="9" t="s">
        <v>3326</v>
      </c>
      <c r="D3918" s="9" t="s">
        <v>11</v>
      </c>
      <c r="E3918" s="9">
        <v>89</v>
      </c>
      <c r="F3918" s="9">
        <v>7.8</v>
      </c>
      <c r="G3918" s="9">
        <v>3000000</v>
      </c>
      <c r="H3918" s="9">
        <v>25078937</v>
      </c>
      <c r="I3918" s="5">
        <f>IMDB_Movies!$H3918-IMDB_Movies!$G3918</f>
        <v>22078937</v>
      </c>
    </row>
    <row r="3919" spans="1:9" ht="23">
      <c r="A3919" s="3" t="s">
        <v>5766</v>
      </c>
      <c r="B3919" s="10" t="s">
        <v>5767</v>
      </c>
      <c r="C3919" s="10" t="s">
        <v>713</v>
      </c>
      <c r="D3919" s="10" t="s">
        <v>11</v>
      </c>
      <c r="E3919" s="10">
        <v>98</v>
      </c>
      <c r="F3919" s="10">
        <v>5.3</v>
      </c>
      <c r="G3919" s="10">
        <v>3000000</v>
      </c>
      <c r="H3919" s="10">
        <v>3902679</v>
      </c>
      <c r="I3919" s="5">
        <f>IMDB_Movies!$H3919-IMDB_Movies!$G3919</f>
        <v>902679</v>
      </c>
    </row>
    <row r="3920" spans="1:9" ht="23">
      <c r="A3920" s="2" t="s">
        <v>5768</v>
      </c>
      <c r="B3920" s="9" t="s">
        <v>5769</v>
      </c>
      <c r="C3920" s="9" t="s">
        <v>138</v>
      </c>
      <c r="D3920" s="9" t="s">
        <v>11</v>
      </c>
      <c r="E3920" s="9">
        <v>95</v>
      </c>
      <c r="F3920" s="9">
        <v>5.3</v>
      </c>
      <c r="G3920" s="9">
        <v>3000000</v>
      </c>
      <c r="H3920" s="9">
        <v>3559990</v>
      </c>
      <c r="I3920" s="5">
        <f>IMDB_Movies!$H3920-IMDB_Movies!$G3920</f>
        <v>559990</v>
      </c>
    </row>
    <row r="3921" spans="1:9" ht="23">
      <c r="A3921" s="3" t="s">
        <v>5770</v>
      </c>
      <c r="B3921" s="10" t="s">
        <v>1340</v>
      </c>
      <c r="C3921" s="10" t="s">
        <v>56</v>
      </c>
      <c r="D3921" s="10" t="s">
        <v>11</v>
      </c>
      <c r="E3921" s="10">
        <v>94</v>
      </c>
      <c r="F3921" s="10">
        <v>8</v>
      </c>
      <c r="G3921" s="10">
        <v>3000000</v>
      </c>
      <c r="H3921" s="10">
        <v>25078937</v>
      </c>
      <c r="I3921" s="5">
        <f>IMDB_Movies!$H3921-IMDB_Movies!$G3921</f>
        <v>22078937</v>
      </c>
    </row>
    <row r="3922" spans="1:9" ht="23">
      <c r="A3922" s="2" t="s">
        <v>5771</v>
      </c>
      <c r="B3922" s="9" t="s">
        <v>5772</v>
      </c>
      <c r="C3922" s="9" t="s">
        <v>56</v>
      </c>
      <c r="D3922" s="9" t="s">
        <v>11</v>
      </c>
      <c r="E3922" s="9">
        <v>104</v>
      </c>
      <c r="F3922" s="9">
        <v>7.1</v>
      </c>
      <c r="G3922" s="9">
        <v>4500000</v>
      </c>
      <c r="H3922" s="9">
        <v>3287435</v>
      </c>
      <c r="I3922" s="5">
        <f>IMDB_Movies!$H3922-IMDB_Movies!$G3922</f>
        <v>-1212565</v>
      </c>
    </row>
    <row r="3923" spans="1:9" ht="23">
      <c r="A3923" s="3" t="s">
        <v>5773</v>
      </c>
      <c r="B3923" s="10" t="s">
        <v>5774</v>
      </c>
      <c r="C3923" s="10" t="s">
        <v>138</v>
      </c>
      <c r="D3923" s="10" t="s">
        <v>11</v>
      </c>
      <c r="E3923" s="10">
        <v>87</v>
      </c>
      <c r="F3923" s="10">
        <v>5.4</v>
      </c>
      <c r="G3923" s="10">
        <v>3500000</v>
      </c>
      <c r="H3923" s="10">
        <v>3071947</v>
      </c>
      <c r="I3923" s="5">
        <f>IMDB_Movies!$H3923-IMDB_Movies!$G3923</f>
        <v>-428053</v>
      </c>
    </row>
    <row r="3924" spans="1:9" ht="23">
      <c r="A3924" s="2" t="s">
        <v>5775</v>
      </c>
      <c r="B3924" s="9" t="s">
        <v>3921</v>
      </c>
      <c r="C3924" s="9" t="s">
        <v>418</v>
      </c>
      <c r="D3924" s="9" t="s">
        <v>11</v>
      </c>
      <c r="E3924" s="9">
        <v>108</v>
      </c>
      <c r="F3924" s="9">
        <v>6.9</v>
      </c>
      <c r="G3924" s="9">
        <v>3300000</v>
      </c>
      <c r="H3924" s="9">
        <v>2961991</v>
      </c>
      <c r="I3924" s="5">
        <f>IMDB_Movies!$H3924-IMDB_Movies!$G3924</f>
        <v>-338009</v>
      </c>
    </row>
    <row r="3925" spans="1:9" ht="23">
      <c r="A3925" s="3" t="s">
        <v>5776</v>
      </c>
      <c r="B3925" s="10" t="s">
        <v>4479</v>
      </c>
      <c r="C3925" s="10" t="s">
        <v>138</v>
      </c>
      <c r="D3925" s="10" t="s">
        <v>11</v>
      </c>
      <c r="E3925" s="10">
        <v>86</v>
      </c>
      <c r="F3925" s="10">
        <v>7.4</v>
      </c>
      <c r="G3925" s="10">
        <v>20000000</v>
      </c>
      <c r="H3925" s="10">
        <v>4063238</v>
      </c>
      <c r="I3925" s="5">
        <f>IMDB_Movies!$H3925-IMDB_Movies!$G3925</f>
        <v>-15936762</v>
      </c>
    </row>
    <row r="3926" spans="1:9" ht="23">
      <c r="A3926" s="2" t="s">
        <v>5777</v>
      </c>
      <c r="B3926" s="9" t="s">
        <v>218</v>
      </c>
      <c r="C3926" s="9" t="s">
        <v>414</v>
      </c>
      <c r="D3926" s="9" t="s">
        <v>3619</v>
      </c>
      <c r="E3926" s="9">
        <v>94</v>
      </c>
      <c r="F3926" s="9">
        <v>7.3</v>
      </c>
      <c r="G3926" s="9">
        <v>3000000</v>
      </c>
      <c r="H3926" s="9">
        <v>2912363</v>
      </c>
      <c r="I3926" s="5">
        <f>IMDB_Movies!$H3926-IMDB_Movies!$G3926</f>
        <v>-87637</v>
      </c>
    </row>
    <row r="3927" spans="1:9" ht="23">
      <c r="A3927" s="3" t="s">
        <v>5778</v>
      </c>
      <c r="B3927" s="10" t="s">
        <v>5438</v>
      </c>
      <c r="C3927" s="10" t="s">
        <v>138</v>
      </c>
      <c r="D3927" s="10" t="s">
        <v>11</v>
      </c>
      <c r="E3927" s="10">
        <v>134</v>
      </c>
      <c r="F3927" s="10">
        <v>7.8</v>
      </c>
      <c r="G3927" s="10">
        <v>3000000</v>
      </c>
      <c r="H3927" s="10">
        <v>3000000</v>
      </c>
      <c r="I3927" s="5">
        <f>IMDB_Movies!$H3927-IMDB_Movies!$G3927</f>
        <v>0</v>
      </c>
    </row>
    <row r="3928" spans="1:9" ht="23">
      <c r="A3928" s="2" t="s">
        <v>5779</v>
      </c>
      <c r="B3928" s="9" t="s">
        <v>2863</v>
      </c>
      <c r="C3928" s="9" t="s">
        <v>138</v>
      </c>
      <c r="D3928" s="9" t="s">
        <v>11</v>
      </c>
      <c r="E3928" s="9">
        <v>89</v>
      </c>
      <c r="F3928" s="9">
        <v>6.6</v>
      </c>
      <c r="G3928" s="9">
        <v>3000000</v>
      </c>
      <c r="H3928" s="9">
        <v>2223990</v>
      </c>
      <c r="I3928" s="5">
        <f>IMDB_Movies!$H3928-IMDB_Movies!$G3928</f>
        <v>-776010</v>
      </c>
    </row>
    <row r="3929" spans="1:9" ht="23">
      <c r="A3929" s="3" t="s">
        <v>5780</v>
      </c>
      <c r="B3929" s="10" t="s">
        <v>1973</v>
      </c>
      <c r="C3929" s="10" t="s">
        <v>138</v>
      </c>
      <c r="D3929" s="10" t="s">
        <v>11</v>
      </c>
      <c r="E3929" s="10">
        <v>102</v>
      </c>
      <c r="F3929" s="10">
        <v>5.4</v>
      </c>
      <c r="G3929" s="10">
        <v>3000000</v>
      </c>
      <c r="H3929" s="10">
        <v>1821983</v>
      </c>
      <c r="I3929" s="5">
        <f>IMDB_Movies!$H3929-IMDB_Movies!$G3929</f>
        <v>-1178017</v>
      </c>
    </row>
    <row r="3930" spans="1:9" ht="23">
      <c r="A3930" s="2" t="s">
        <v>5781</v>
      </c>
      <c r="B3930" s="9" t="s">
        <v>4183</v>
      </c>
      <c r="C3930" s="9" t="s">
        <v>56</v>
      </c>
      <c r="D3930" s="9" t="s">
        <v>3647</v>
      </c>
      <c r="E3930" s="9">
        <v>120</v>
      </c>
      <c r="F3930" s="9">
        <v>8.4</v>
      </c>
      <c r="G3930" s="9">
        <v>3000000</v>
      </c>
      <c r="H3930" s="9">
        <v>2181290</v>
      </c>
      <c r="I3930" s="5">
        <f>IMDB_Movies!$H3930-IMDB_Movies!$G3930</f>
        <v>-818710</v>
      </c>
    </row>
    <row r="3931" spans="1:9" ht="23">
      <c r="A3931" s="3" t="s">
        <v>5782</v>
      </c>
      <c r="B3931" s="10" t="s">
        <v>5783</v>
      </c>
      <c r="C3931" s="10" t="s">
        <v>56</v>
      </c>
      <c r="D3931" s="10" t="s">
        <v>11</v>
      </c>
      <c r="E3931" s="10">
        <v>110</v>
      </c>
      <c r="F3931" s="10">
        <v>6.3</v>
      </c>
      <c r="G3931" s="10">
        <v>3500000</v>
      </c>
      <c r="H3931" s="10">
        <v>2848578</v>
      </c>
      <c r="I3931" s="5">
        <f>IMDB_Movies!$H3931-IMDB_Movies!$G3931</f>
        <v>-651422</v>
      </c>
    </row>
    <row r="3932" spans="1:9" ht="23">
      <c r="A3932" s="2" t="s">
        <v>5784</v>
      </c>
      <c r="B3932" s="9" t="s">
        <v>5785</v>
      </c>
      <c r="C3932" s="9" t="s">
        <v>10</v>
      </c>
      <c r="D3932" s="9" t="s">
        <v>11</v>
      </c>
      <c r="E3932" s="9">
        <v>86</v>
      </c>
      <c r="F3932" s="9">
        <v>6.1</v>
      </c>
      <c r="G3932" s="9">
        <v>3000000</v>
      </c>
      <c r="H3932" s="9">
        <v>703002</v>
      </c>
      <c r="I3932" s="5">
        <f>IMDB_Movies!$H3932-IMDB_Movies!$G3932</f>
        <v>-2296998</v>
      </c>
    </row>
    <row r="3933" spans="1:9" ht="23">
      <c r="A3933" s="3" t="s">
        <v>5786</v>
      </c>
      <c r="B3933" s="10" t="s">
        <v>5787</v>
      </c>
      <c r="C3933" s="10" t="s">
        <v>10</v>
      </c>
      <c r="D3933" s="10" t="s">
        <v>11</v>
      </c>
      <c r="E3933" s="10">
        <v>101</v>
      </c>
      <c r="F3933" s="10">
        <v>5</v>
      </c>
      <c r="G3933" s="10">
        <v>3000000</v>
      </c>
      <c r="H3933" s="10">
        <v>3105269</v>
      </c>
      <c r="I3933" s="5">
        <f>IMDB_Movies!$H3933-IMDB_Movies!$G3933</f>
        <v>105269</v>
      </c>
    </row>
    <row r="3934" spans="1:9" ht="23">
      <c r="A3934" s="2" t="s">
        <v>5788</v>
      </c>
      <c r="B3934" s="9" t="s">
        <v>5789</v>
      </c>
      <c r="C3934" s="9" t="s">
        <v>138</v>
      </c>
      <c r="D3934" s="9" t="s">
        <v>11</v>
      </c>
      <c r="E3934" s="9">
        <v>102</v>
      </c>
      <c r="F3934" s="9">
        <v>6.9</v>
      </c>
      <c r="G3934" s="9">
        <v>3000000</v>
      </c>
      <c r="H3934" s="9">
        <v>25078937</v>
      </c>
      <c r="I3934" s="5">
        <f>IMDB_Movies!$H3934-IMDB_Movies!$G3934</f>
        <v>22078937</v>
      </c>
    </row>
    <row r="3935" spans="1:9" ht="23">
      <c r="A3935" s="3" t="s">
        <v>5790</v>
      </c>
      <c r="B3935" s="10" t="s">
        <v>5791</v>
      </c>
      <c r="C3935" s="10" t="s">
        <v>56</v>
      </c>
      <c r="D3935" s="10" t="s">
        <v>11</v>
      </c>
      <c r="E3935" s="10">
        <v>123</v>
      </c>
      <c r="F3935" s="10">
        <v>7.3</v>
      </c>
      <c r="G3935" s="10">
        <v>20000000</v>
      </c>
      <c r="H3935" s="10">
        <v>373060</v>
      </c>
      <c r="I3935" s="5">
        <f>IMDB_Movies!$H3935-IMDB_Movies!$G3935</f>
        <v>-19626940</v>
      </c>
    </row>
    <row r="3936" spans="1:9" ht="23">
      <c r="A3936" s="2" t="s">
        <v>5792</v>
      </c>
      <c r="B3936" s="9" t="s">
        <v>5793</v>
      </c>
      <c r="C3936" s="9" t="s">
        <v>138</v>
      </c>
      <c r="D3936" s="9" t="s">
        <v>11</v>
      </c>
      <c r="E3936" s="9">
        <v>99</v>
      </c>
      <c r="F3936" s="9">
        <v>5.7</v>
      </c>
      <c r="G3936" s="9">
        <v>20000000</v>
      </c>
      <c r="H3936" s="9">
        <v>1007535</v>
      </c>
      <c r="I3936" s="5">
        <f>IMDB_Movies!$H3936-IMDB_Movies!$G3936</f>
        <v>-18992465</v>
      </c>
    </row>
    <row r="3937" spans="1:9" ht="23">
      <c r="A3937" s="3" t="s">
        <v>5794</v>
      </c>
      <c r="B3937" s="10" t="s">
        <v>5795</v>
      </c>
      <c r="C3937" s="10" t="s">
        <v>138</v>
      </c>
      <c r="D3937" s="10" t="s">
        <v>11</v>
      </c>
      <c r="E3937" s="10">
        <v>87</v>
      </c>
      <c r="F3937" s="10">
        <v>5.3</v>
      </c>
      <c r="G3937" s="10">
        <v>3000000</v>
      </c>
      <c r="H3937" s="10">
        <v>418268</v>
      </c>
      <c r="I3937" s="5">
        <f>IMDB_Movies!$H3937-IMDB_Movies!$G3937</f>
        <v>-2581732</v>
      </c>
    </row>
    <row r="3938" spans="1:9" ht="23">
      <c r="A3938" s="2" t="s">
        <v>5796</v>
      </c>
      <c r="B3938" s="9" t="s">
        <v>5797</v>
      </c>
      <c r="C3938" s="9" t="s">
        <v>56</v>
      </c>
      <c r="D3938" s="9" t="s">
        <v>11</v>
      </c>
      <c r="E3938" s="9">
        <v>120</v>
      </c>
      <c r="F3938" s="9">
        <v>5</v>
      </c>
      <c r="G3938" s="9">
        <v>20000000</v>
      </c>
      <c r="H3938" s="9">
        <v>25078937</v>
      </c>
      <c r="I3938" s="5">
        <f>IMDB_Movies!$H3938-IMDB_Movies!$G3938</f>
        <v>5078937</v>
      </c>
    </row>
    <row r="3939" spans="1:9" ht="23">
      <c r="A3939" s="3" t="s">
        <v>5798</v>
      </c>
      <c r="B3939" s="10" t="s">
        <v>5799</v>
      </c>
      <c r="C3939" s="10" t="s">
        <v>138</v>
      </c>
      <c r="D3939" s="10" t="s">
        <v>11</v>
      </c>
      <c r="E3939" s="10">
        <v>93</v>
      </c>
      <c r="F3939" s="10">
        <v>5.3</v>
      </c>
      <c r="G3939" s="10">
        <v>3000000</v>
      </c>
      <c r="H3939" s="10">
        <v>200803</v>
      </c>
      <c r="I3939" s="5">
        <f>IMDB_Movies!$H3939-IMDB_Movies!$G3939</f>
        <v>-2799197</v>
      </c>
    </row>
    <row r="3940" spans="1:9" ht="23">
      <c r="A3940" s="2" t="s">
        <v>5800</v>
      </c>
      <c r="B3940" s="9" t="s">
        <v>4197</v>
      </c>
      <c r="C3940" s="9" t="s">
        <v>138</v>
      </c>
      <c r="D3940" s="9" t="s">
        <v>2452</v>
      </c>
      <c r="E3940" s="9">
        <v>98</v>
      </c>
      <c r="F3940" s="9">
        <v>7.4</v>
      </c>
      <c r="G3940" s="9">
        <v>2700000</v>
      </c>
      <c r="H3940" s="9">
        <v>95016</v>
      </c>
      <c r="I3940" s="5">
        <f>IMDB_Movies!$H3940-IMDB_Movies!$G3940</f>
        <v>-2604984</v>
      </c>
    </row>
    <row r="3941" spans="1:9" ht="23">
      <c r="A3941" s="3" t="s">
        <v>5801</v>
      </c>
      <c r="B3941" s="10" t="s">
        <v>5802</v>
      </c>
      <c r="C3941" s="10" t="s">
        <v>56</v>
      </c>
      <c r="D3941" s="10" t="s">
        <v>11</v>
      </c>
      <c r="E3941" s="10">
        <v>100</v>
      </c>
      <c r="F3941" s="10">
        <v>5.9</v>
      </c>
      <c r="G3941" s="10">
        <v>3000000</v>
      </c>
      <c r="H3941" s="10">
        <v>73678</v>
      </c>
      <c r="I3941" s="5">
        <f>IMDB_Movies!$H3941-IMDB_Movies!$G3941</f>
        <v>-2926322</v>
      </c>
    </row>
    <row r="3942" spans="1:9" ht="23">
      <c r="A3942" s="2" t="s">
        <v>5803</v>
      </c>
      <c r="B3942" s="9" t="s">
        <v>5804</v>
      </c>
      <c r="C3942" s="9" t="s">
        <v>810</v>
      </c>
      <c r="D3942" s="9" t="s">
        <v>11</v>
      </c>
      <c r="E3942" s="9">
        <v>88</v>
      </c>
      <c r="F3942" s="9">
        <v>4.0999999999999996</v>
      </c>
      <c r="G3942" s="9">
        <v>5000000</v>
      </c>
      <c r="H3942" s="9">
        <v>143000</v>
      </c>
      <c r="I3942" s="5">
        <f>IMDB_Movies!$H3942-IMDB_Movies!$G3942</f>
        <v>-4857000</v>
      </c>
    </row>
    <row r="3943" spans="1:9" ht="23">
      <c r="A3943" s="3" t="s">
        <v>5805</v>
      </c>
      <c r="B3943" s="10" t="s">
        <v>5806</v>
      </c>
      <c r="C3943" s="10" t="s">
        <v>138</v>
      </c>
      <c r="D3943" s="10" t="s">
        <v>11</v>
      </c>
      <c r="E3943" s="10">
        <v>97</v>
      </c>
      <c r="F3943" s="10">
        <v>6.7</v>
      </c>
      <c r="G3943" s="10">
        <v>3000000</v>
      </c>
      <c r="H3943" s="10">
        <v>39852</v>
      </c>
      <c r="I3943" s="5">
        <f>IMDB_Movies!$H3943-IMDB_Movies!$G3943</f>
        <v>-2960148</v>
      </c>
    </row>
    <row r="3944" spans="1:9" ht="23">
      <c r="A3944" s="2" t="s">
        <v>5807</v>
      </c>
      <c r="B3944" s="9" t="s">
        <v>3459</v>
      </c>
      <c r="C3944" s="9" t="s">
        <v>56</v>
      </c>
      <c r="D3944" s="9" t="s">
        <v>11</v>
      </c>
      <c r="E3944" s="9">
        <v>122</v>
      </c>
      <c r="F3944" s="9">
        <v>5.8</v>
      </c>
      <c r="G3944" s="9">
        <v>3000000</v>
      </c>
      <c r="H3944" s="9">
        <v>22000</v>
      </c>
      <c r="I3944" s="5">
        <f>IMDB_Movies!$H3944-IMDB_Movies!$G3944</f>
        <v>-2978000</v>
      </c>
    </row>
    <row r="3945" spans="1:9" ht="23">
      <c r="A3945" s="3" t="s">
        <v>5808</v>
      </c>
      <c r="B3945" s="10" t="s">
        <v>5809</v>
      </c>
      <c r="C3945" s="10" t="s">
        <v>56</v>
      </c>
      <c r="D3945" s="10" t="s">
        <v>11</v>
      </c>
      <c r="E3945" s="10">
        <v>86</v>
      </c>
      <c r="F3945" s="10">
        <v>6.2</v>
      </c>
      <c r="G3945" s="10">
        <v>20000000</v>
      </c>
      <c r="H3945" s="10">
        <v>128937</v>
      </c>
      <c r="I3945" s="5">
        <f>IMDB_Movies!$H3945-IMDB_Movies!$G3945</f>
        <v>-19871063</v>
      </c>
    </row>
    <row r="3946" spans="1:9" ht="23">
      <c r="A3946" s="2" t="s">
        <v>5810</v>
      </c>
      <c r="B3946" s="9" t="s">
        <v>5811</v>
      </c>
      <c r="C3946" s="9" t="s">
        <v>810</v>
      </c>
      <c r="D3946" s="9" t="s">
        <v>11</v>
      </c>
      <c r="E3946" s="9">
        <v>83</v>
      </c>
      <c r="F3946" s="9">
        <v>5.3</v>
      </c>
      <c r="G3946" s="9">
        <v>3000000</v>
      </c>
      <c r="H3946" s="9">
        <v>25078937</v>
      </c>
      <c r="I3946" s="5">
        <f>IMDB_Movies!$H3946-IMDB_Movies!$G3946</f>
        <v>22078937</v>
      </c>
    </row>
    <row r="3947" spans="1:9" ht="23">
      <c r="A3947" s="3" t="s">
        <v>5812</v>
      </c>
      <c r="B3947" s="10" t="s">
        <v>5813</v>
      </c>
      <c r="C3947" s="10" t="s">
        <v>138</v>
      </c>
      <c r="D3947" s="10" t="s">
        <v>11</v>
      </c>
      <c r="E3947" s="10">
        <v>80</v>
      </c>
      <c r="F3947" s="10">
        <v>3.3</v>
      </c>
      <c r="G3947" s="10">
        <v>3000000</v>
      </c>
      <c r="H3947" s="10">
        <v>25078937</v>
      </c>
      <c r="I3947" s="5">
        <f>IMDB_Movies!$H3947-IMDB_Movies!$G3947</f>
        <v>22078937</v>
      </c>
    </row>
    <row r="3948" spans="1:9" ht="23">
      <c r="A3948" s="2" t="s">
        <v>5814</v>
      </c>
      <c r="B3948" s="9" t="s">
        <v>5815</v>
      </c>
      <c r="C3948" s="9" t="s">
        <v>138</v>
      </c>
      <c r="D3948" s="9" t="s">
        <v>11</v>
      </c>
      <c r="E3948" s="9">
        <v>90</v>
      </c>
      <c r="F3948" s="9">
        <v>6.2</v>
      </c>
      <c r="G3948" s="9">
        <v>3000000</v>
      </c>
      <c r="H3948" s="9">
        <v>25078937</v>
      </c>
      <c r="I3948" s="5">
        <f>IMDB_Movies!$H3948-IMDB_Movies!$G3948</f>
        <v>22078937</v>
      </c>
    </row>
    <row r="3949" spans="1:9" ht="23">
      <c r="A3949" s="3" t="s">
        <v>5816</v>
      </c>
      <c r="B3949" s="10" t="s">
        <v>5817</v>
      </c>
      <c r="C3949" s="10" t="s">
        <v>56</v>
      </c>
      <c r="D3949" s="10" t="s">
        <v>11</v>
      </c>
      <c r="E3949" s="10">
        <v>96</v>
      </c>
      <c r="F3949" s="10">
        <v>5.9</v>
      </c>
      <c r="G3949" s="10">
        <v>3000000</v>
      </c>
      <c r="H3949" s="10">
        <v>5005</v>
      </c>
      <c r="I3949" s="5">
        <f>IMDB_Movies!$H3949-IMDB_Movies!$G3949</f>
        <v>-2994995</v>
      </c>
    </row>
    <row r="3950" spans="1:9" ht="23">
      <c r="A3950" s="2" t="s">
        <v>5818</v>
      </c>
      <c r="B3950" s="9" t="s">
        <v>5819</v>
      </c>
      <c r="C3950" s="9" t="s">
        <v>10</v>
      </c>
      <c r="D3950" s="9" t="s">
        <v>11</v>
      </c>
      <c r="E3950" s="9">
        <v>85</v>
      </c>
      <c r="F3950" s="9">
        <v>5.5</v>
      </c>
      <c r="G3950" s="9">
        <v>3000000</v>
      </c>
      <c r="H3950" s="9">
        <v>25078937</v>
      </c>
      <c r="I3950" s="5">
        <f>IMDB_Movies!$H3950-IMDB_Movies!$G3950</f>
        <v>22078937</v>
      </c>
    </row>
    <row r="3951" spans="1:9" ht="23">
      <c r="A3951" s="3" t="s">
        <v>5820</v>
      </c>
      <c r="B3951" s="10" t="s">
        <v>2191</v>
      </c>
      <c r="C3951" s="10" t="s">
        <v>138</v>
      </c>
      <c r="D3951" s="10" t="s">
        <v>11</v>
      </c>
      <c r="E3951" s="10">
        <v>83</v>
      </c>
      <c r="F3951" s="10">
        <v>5.5</v>
      </c>
      <c r="G3951" s="10">
        <v>20000000</v>
      </c>
      <c r="H3951" s="10">
        <v>25078937</v>
      </c>
      <c r="I3951" s="5">
        <f>IMDB_Movies!$H3951-IMDB_Movies!$G3951</f>
        <v>5078937</v>
      </c>
    </row>
    <row r="3952" spans="1:9" ht="23">
      <c r="A3952" s="2" t="s">
        <v>5821</v>
      </c>
      <c r="B3952" s="9" t="s">
        <v>5822</v>
      </c>
      <c r="C3952" s="9" t="s">
        <v>138</v>
      </c>
      <c r="D3952" s="9" t="s">
        <v>11</v>
      </c>
      <c r="E3952" s="9">
        <v>80</v>
      </c>
      <c r="F3952" s="9">
        <v>2.6</v>
      </c>
      <c r="G3952" s="9">
        <v>3000000</v>
      </c>
      <c r="H3952" s="9">
        <v>25078937</v>
      </c>
      <c r="I3952" s="5">
        <f>IMDB_Movies!$H3952-IMDB_Movies!$G3952</f>
        <v>22078937</v>
      </c>
    </row>
    <row r="3953" spans="1:9" ht="23">
      <c r="A3953" s="3" t="s">
        <v>5823</v>
      </c>
      <c r="B3953" s="10" t="s">
        <v>5824</v>
      </c>
      <c r="C3953" s="10" t="s">
        <v>10</v>
      </c>
      <c r="D3953" s="10" t="s">
        <v>11</v>
      </c>
      <c r="E3953" s="10">
        <v>90</v>
      </c>
      <c r="F3953" s="10">
        <v>5.8</v>
      </c>
      <c r="G3953" s="10">
        <v>3000000</v>
      </c>
      <c r="H3953" s="10">
        <v>25078937</v>
      </c>
      <c r="I3953" s="5">
        <f>IMDB_Movies!$H3953-IMDB_Movies!$G3953</f>
        <v>22078937</v>
      </c>
    </row>
    <row r="3954" spans="1:9" ht="23">
      <c r="A3954" s="2" t="s">
        <v>5825</v>
      </c>
      <c r="B3954" s="9" t="s">
        <v>3399</v>
      </c>
      <c r="C3954" s="9" t="s">
        <v>414</v>
      </c>
      <c r="D3954" s="9" t="s">
        <v>11</v>
      </c>
      <c r="E3954" s="9">
        <v>92</v>
      </c>
      <c r="F3954" s="9">
        <v>7.4</v>
      </c>
      <c r="G3954" s="9">
        <v>3000000</v>
      </c>
      <c r="H3954" s="9">
        <v>25078937</v>
      </c>
      <c r="I3954" s="5">
        <f>IMDB_Movies!$H3954-IMDB_Movies!$G3954</f>
        <v>22078937</v>
      </c>
    </row>
    <row r="3955" spans="1:9" ht="23">
      <c r="A3955" s="3" t="s">
        <v>5826</v>
      </c>
      <c r="B3955" s="10" t="s">
        <v>5827</v>
      </c>
      <c r="C3955" s="10" t="s">
        <v>138</v>
      </c>
      <c r="D3955" s="10" t="s">
        <v>2756</v>
      </c>
      <c r="E3955" s="10">
        <v>100</v>
      </c>
      <c r="F3955" s="10">
        <v>5.0999999999999996</v>
      </c>
      <c r="G3955" s="10">
        <v>3000000</v>
      </c>
      <c r="H3955" s="10">
        <v>25078937</v>
      </c>
      <c r="I3955" s="5">
        <f>IMDB_Movies!$H3955-IMDB_Movies!$G3955</f>
        <v>22078937</v>
      </c>
    </row>
    <row r="3956" spans="1:9" ht="23">
      <c r="A3956" s="2" t="s">
        <v>5828</v>
      </c>
      <c r="B3956" s="9" t="s">
        <v>5829</v>
      </c>
      <c r="C3956" s="9" t="s">
        <v>2945</v>
      </c>
      <c r="D3956" s="9" t="s">
        <v>11</v>
      </c>
      <c r="E3956" s="9">
        <v>88</v>
      </c>
      <c r="F3956" s="9">
        <v>5.2</v>
      </c>
      <c r="G3956" s="9">
        <v>800000</v>
      </c>
      <c r="H3956" s="9">
        <v>25078937</v>
      </c>
      <c r="I3956" s="5">
        <f>IMDB_Movies!$H3956-IMDB_Movies!$G3956</f>
        <v>24278937</v>
      </c>
    </row>
    <row r="3957" spans="1:9" ht="23">
      <c r="A3957" s="3" t="s">
        <v>5830</v>
      </c>
      <c r="B3957" s="10" t="s">
        <v>5831</v>
      </c>
      <c r="C3957" s="10" t="s">
        <v>56</v>
      </c>
      <c r="D3957" s="10" t="s">
        <v>11</v>
      </c>
      <c r="E3957" s="10">
        <v>95</v>
      </c>
      <c r="F3957" s="10">
        <v>4.8</v>
      </c>
      <c r="G3957" s="10">
        <v>3000000</v>
      </c>
      <c r="H3957" s="10">
        <v>25078937</v>
      </c>
      <c r="I3957" s="5">
        <f>IMDB_Movies!$H3957-IMDB_Movies!$G3957</f>
        <v>22078937</v>
      </c>
    </row>
    <row r="3958" spans="1:9" ht="23">
      <c r="A3958" s="2" t="s">
        <v>5832</v>
      </c>
      <c r="B3958" s="9" t="s">
        <v>5833</v>
      </c>
      <c r="C3958" s="9" t="s">
        <v>2945</v>
      </c>
      <c r="D3958" s="9" t="s">
        <v>11</v>
      </c>
      <c r="E3958" s="9">
        <v>82</v>
      </c>
      <c r="F3958" s="9">
        <v>3.9</v>
      </c>
      <c r="G3958" s="9">
        <v>3000000</v>
      </c>
      <c r="H3958" s="9">
        <v>25078937</v>
      </c>
      <c r="I3958" s="5">
        <f>IMDB_Movies!$H3958-IMDB_Movies!$G3958</f>
        <v>22078937</v>
      </c>
    </row>
    <row r="3959" spans="1:9" ht="23">
      <c r="A3959" s="3" t="s">
        <v>5834</v>
      </c>
      <c r="B3959" s="10" t="s">
        <v>5835</v>
      </c>
      <c r="C3959" s="10" t="s">
        <v>24</v>
      </c>
      <c r="D3959" s="10" t="s">
        <v>11</v>
      </c>
      <c r="E3959" s="10">
        <v>97</v>
      </c>
      <c r="F3959" s="10">
        <v>6.2</v>
      </c>
      <c r="G3959" s="10">
        <v>3000000</v>
      </c>
      <c r="H3959" s="10">
        <v>25078937</v>
      </c>
      <c r="I3959" s="5">
        <f>IMDB_Movies!$H3959-IMDB_Movies!$G3959</f>
        <v>22078937</v>
      </c>
    </row>
    <row r="3960" spans="1:9" ht="23">
      <c r="A3960" s="2" t="s">
        <v>5836</v>
      </c>
      <c r="B3960" s="9" t="s">
        <v>5837</v>
      </c>
      <c r="C3960" s="9" t="s">
        <v>10</v>
      </c>
      <c r="D3960" s="9" t="s">
        <v>11</v>
      </c>
      <c r="E3960" s="9">
        <v>94</v>
      </c>
      <c r="F3960" s="9">
        <v>6.2</v>
      </c>
      <c r="G3960" s="9">
        <v>3000000</v>
      </c>
      <c r="H3960" s="9">
        <v>25078937</v>
      </c>
      <c r="I3960" s="5">
        <f>IMDB_Movies!$H3960-IMDB_Movies!$G3960</f>
        <v>22078937</v>
      </c>
    </row>
    <row r="3961" spans="1:9" ht="23">
      <c r="A3961" s="3" t="s">
        <v>5838</v>
      </c>
      <c r="B3961" s="10" t="s">
        <v>5839</v>
      </c>
      <c r="C3961" s="10" t="s">
        <v>138</v>
      </c>
      <c r="D3961" s="10" t="s">
        <v>11</v>
      </c>
      <c r="E3961" s="10">
        <v>95</v>
      </c>
      <c r="F3961" s="10">
        <v>5.9</v>
      </c>
      <c r="G3961" s="10">
        <v>20000000</v>
      </c>
      <c r="H3961" s="10">
        <v>25078937</v>
      </c>
      <c r="I3961" s="5">
        <f>IMDB_Movies!$H3961-IMDB_Movies!$G3961</f>
        <v>5078937</v>
      </c>
    </row>
    <row r="3962" spans="1:9" ht="23">
      <c r="A3962" s="2" t="s">
        <v>5840</v>
      </c>
      <c r="B3962" s="9" t="s">
        <v>1187</v>
      </c>
      <c r="C3962" s="9" t="s">
        <v>56</v>
      </c>
      <c r="D3962" s="9" t="s">
        <v>4233</v>
      </c>
      <c r="E3962" s="9">
        <v>113</v>
      </c>
      <c r="F3962" s="9">
        <v>8</v>
      </c>
      <c r="G3962" s="9">
        <v>2900000</v>
      </c>
      <c r="H3962" s="9">
        <v>5595428</v>
      </c>
      <c r="I3962" s="5">
        <f>IMDB_Movies!$H3962-IMDB_Movies!$G3962</f>
        <v>2695428</v>
      </c>
    </row>
    <row r="3963" spans="1:9" ht="23">
      <c r="A3963" s="3" t="s">
        <v>5841</v>
      </c>
      <c r="B3963" s="10" t="s">
        <v>5708</v>
      </c>
      <c r="C3963" s="10" t="s">
        <v>138</v>
      </c>
      <c r="D3963" s="10" t="s">
        <v>11</v>
      </c>
      <c r="E3963" s="10">
        <v>136</v>
      </c>
      <c r="F3963" s="10">
        <v>7.3</v>
      </c>
      <c r="G3963" s="10">
        <v>2900000</v>
      </c>
      <c r="H3963" s="10">
        <v>25078937</v>
      </c>
      <c r="I3963" s="5">
        <f>IMDB_Movies!$H3963-IMDB_Movies!$G3963</f>
        <v>22178937</v>
      </c>
    </row>
    <row r="3964" spans="1:9" ht="23">
      <c r="A3964" s="2" t="s">
        <v>5842</v>
      </c>
      <c r="B3964" s="9" t="s">
        <v>5843</v>
      </c>
      <c r="C3964" s="9" t="s">
        <v>10</v>
      </c>
      <c r="D3964" s="9" t="s">
        <v>11</v>
      </c>
      <c r="E3964" s="9">
        <v>80</v>
      </c>
      <c r="F3964" s="9">
        <v>4.9000000000000004</v>
      </c>
      <c r="G3964" s="9">
        <v>3000000</v>
      </c>
      <c r="H3964" s="9">
        <v>25078937</v>
      </c>
      <c r="I3964" s="5">
        <f>IMDB_Movies!$H3964-IMDB_Movies!$G3964</f>
        <v>22078937</v>
      </c>
    </row>
    <row r="3965" spans="1:9" ht="23">
      <c r="A3965" s="3" t="s">
        <v>5844</v>
      </c>
      <c r="B3965" s="10" t="s">
        <v>5845</v>
      </c>
      <c r="C3965" s="10" t="s">
        <v>138</v>
      </c>
      <c r="D3965" s="10" t="s">
        <v>11</v>
      </c>
      <c r="E3965" s="10">
        <v>105</v>
      </c>
      <c r="F3965" s="10">
        <v>6.5</v>
      </c>
      <c r="G3965" s="10">
        <v>1500000</v>
      </c>
      <c r="H3965" s="10">
        <v>3123749</v>
      </c>
      <c r="I3965" s="5">
        <f>IMDB_Movies!$H3965-IMDB_Movies!$G3965</f>
        <v>1623749</v>
      </c>
    </row>
    <row r="3966" spans="1:9" ht="23">
      <c r="A3966" s="2" t="s">
        <v>5846</v>
      </c>
      <c r="B3966" s="9" t="s">
        <v>4001</v>
      </c>
      <c r="C3966" s="9" t="s">
        <v>56</v>
      </c>
      <c r="D3966" s="9" t="s">
        <v>11</v>
      </c>
      <c r="E3966" s="9">
        <v>90</v>
      </c>
      <c r="F3966" s="9">
        <v>4.3</v>
      </c>
      <c r="G3966" s="9">
        <v>3000000</v>
      </c>
      <c r="H3966" s="9">
        <v>25078937</v>
      </c>
      <c r="I3966" s="5">
        <f>IMDB_Movies!$H3966-IMDB_Movies!$G3966</f>
        <v>22078937</v>
      </c>
    </row>
    <row r="3967" spans="1:9" ht="23">
      <c r="A3967" s="3" t="s">
        <v>5847</v>
      </c>
      <c r="B3967" s="10" t="s">
        <v>5848</v>
      </c>
      <c r="C3967" s="10" t="s">
        <v>772</v>
      </c>
      <c r="D3967" s="10" t="s">
        <v>11</v>
      </c>
      <c r="E3967" s="10">
        <v>93</v>
      </c>
      <c r="F3967" s="10">
        <v>6.4</v>
      </c>
      <c r="G3967" s="10">
        <v>3000000</v>
      </c>
      <c r="H3967" s="10">
        <v>100675</v>
      </c>
      <c r="I3967" s="5">
        <f>IMDB_Movies!$H3967-IMDB_Movies!$G3967</f>
        <v>-2899325</v>
      </c>
    </row>
    <row r="3968" spans="1:9" ht="23">
      <c r="A3968" s="2" t="s">
        <v>5849</v>
      </c>
      <c r="B3968" s="9" t="s">
        <v>2071</v>
      </c>
      <c r="C3968" s="9" t="s">
        <v>810</v>
      </c>
      <c r="D3968" s="9" t="s">
        <v>394</v>
      </c>
      <c r="E3968" s="9">
        <v>89</v>
      </c>
      <c r="F3968" s="9">
        <v>6.8</v>
      </c>
      <c r="G3968" s="9">
        <v>2200000</v>
      </c>
      <c r="H3968" s="9">
        <v>3645438</v>
      </c>
      <c r="I3968" s="5">
        <f>IMDB_Movies!$H3968-IMDB_Movies!$G3968</f>
        <v>1445438</v>
      </c>
    </row>
    <row r="3969" spans="1:9" ht="23">
      <c r="A3969" s="3" t="s">
        <v>5850</v>
      </c>
      <c r="B3969" s="10" t="s">
        <v>5851</v>
      </c>
      <c r="C3969" s="10" t="s">
        <v>138</v>
      </c>
      <c r="D3969" s="10" t="s">
        <v>11</v>
      </c>
      <c r="E3969" s="10">
        <v>90</v>
      </c>
      <c r="F3969" s="10">
        <v>6.1</v>
      </c>
      <c r="G3969" s="10">
        <v>20000000</v>
      </c>
      <c r="H3969" s="10">
        <v>25078937</v>
      </c>
      <c r="I3969" s="5">
        <f>IMDB_Movies!$H3969-IMDB_Movies!$G3969</f>
        <v>5078937</v>
      </c>
    </row>
    <row r="3970" spans="1:9" ht="23">
      <c r="A3970" s="2" t="s">
        <v>5852</v>
      </c>
      <c r="B3970" s="9" t="s">
        <v>5853</v>
      </c>
      <c r="C3970" s="9" t="s">
        <v>10</v>
      </c>
      <c r="D3970" s="9" t="s">
        <v>11</v>
      </c>
      <c r="E3970" s="9">
        <v>89</v>
      </c>
      <c r="F3970" s="9">
        <v>4</v>
      </c>
      <c r="G3970" s="9">
        <v>3000000</v>
      </c>
      <c r="H3970" s="9">
        <v>25078937</v>
      </c>
      <c r="I3970" s="5">
        <f>IMDB_Movies!$H3970-IMDB_Movies!$G3970</f>
        <v>22078937</v>
      </c>
    </row>
    <row r="3971" spans="1:9" ht="23">
      <c r="A3971" s="3" t="s">
        <v>5854</v>
      </c>
      <c r="B3971" s="10" t="s">
        <v>3778</v>
      </c>
      <c r="C3971" s="10" t="s">
        <v>414</v>
      </c>
      <c r="D3971" s="10" t="s">
        <v>11</v>
      </c>
      <c r="E3971" s="10">
        <v>116</v>
      </c>
      <c r="F3971" s="10">
        <v>7.4</v>
      </c>
      <c r="G3971" s="10">
        <v>8000000</v>
      </c>
      <c r="H3971" s="10">
        <v>22201636</v>
      </c>
      <c r="I3971" s="5">
        <f>IMDB_Movies!$H3971-IMDB_Movies!$G3971</f>
        <v>14201636</v>
      </c>
    </row>
    <row r="3972" spans="1:9" ht="23">
      <c r="A3972" s="2" t="s">
        <v>5855</v>
      </c>
      <c r="B3972" s="9" t="s">
        <v>5488</v>
      </c>
      <c r="C3972" s="9" t="s">
        <v>138</v>
      </c>
      <c r="D3972" s="9" t="s">
        <v>11</v>
      </c>
      <c r="E3972" s="9">
        <v>120</v>
      </c>
      <c r="F3972" s="9">
        <v>8.3000000000000007</v>
      </c>
      <c r="G3972" s="9">
        <v>2883848</v>
      </c>
      <c r="H3972" s="9">
        <v>25000000</v>
      </c>
      <c r="I3972" s="5">
        <f>IMDB_Movies!$H3972-IMDB_Movies!$G3972</f>
        <v>22116152</v>
      </c>
    </row>
    <row r="3973" spans="1:9" ht="23">
      <c r="A3973" s="3" t="s">
        <v>5856</v>
      </c>
      <c r="B3973" s="10" t="s">
        <v>5857</v>
      </c>
      <c r="C3973" s="10" t="s">
        <v>810</v>
      </c>
      <c r="D3973" s="10" t="s">
        <v>11</v>
      </c>
      <c r="E3973" s="10">
        <v>88</v>
      </c>
      <c r="F3973" s="10">
        <v>5.3</v>
      </c>
      <c r="G3973" s="10">
        <v>2800000</v>
      </c>
      <c r="H3973" s="10">
        <v>19170001</v>
      </c>
      <c r="I3973" s="5">
        <f>IMDB_Movies!$H3973-IMDB_Movies!$G3973</f>
        <v>16370001</v>
      </c>
    </row>
    <row r="3974" spans="1:9" ht="23">
      <c r="A3974" s="2" t="s">
        <v>5858</v>
      </c>
      <c r="B3974" s="9" t="s">
        <v>5589</v>
      </c>
      <c r="C3974" s="9" t="s">
        <v>24</v>
      </c>
      <c r="D3974" s="9" t="s">
        <v>11</v>
      </c>
      <c r="E3974" s="9">
        <v>102</v>
      </c>
      <c r="F3974" s="9">
        <v>8.1</v>
      </c>
      <c r="G3974" s="9">
        <v>2800000</v>
      </c>
      <c r="H3974" s="9">
        <v>22202612</v>
      </c>
      <c r="I3974" s="5">
        <f>IMDB_Movies!$H3974-IMDB_Movies!$G3974</f>
        <v>19402612</v>
      </c>
    </row>
    <row r="3975" spans="1:9" ht="23">
      <c r="A3975" s="3" t="s">
        <v>5859</v>
      </c>
      <c r="B3975" s="10" t="s">
        <v>2920</v>
      </c>
      <c r="C3975" s="10" t="s">
        <v>138</v>
      </c>
      <c r="D3975" s="10" t="s">
        <v>11</v>
      </c>
      <c r="E3975" s="10">
        <v>106</v>
      </c>
      <c r="F3975" s="10">
        <v>8</v>
      </c>
      <c r="G3975" s="10">
        <v>2800000</v>
      </c>
      <c r="H3975" s="10">
        <v>86300000</v>
      </c>
      <c r="I3975" s="5">
        <f>IMDB_Movies!$H3975-IMDB_Movies!$G3975</f>
        <v>83500000</v>
      </c>
    </row>
    <row r="3976" spans="1:9" ht="23">
      <c r="A3976" s="2" t="s">
        <v>5860</v>
      </c>
      <c r="B3976" s="9" t="s">
        <v>668</v>
      </c>
      <c r="C3976" s="9" t="s">
        <v>810</v>
      </c>
      <c r="D3976" s="9" t="s">
        <v>11</v>
      </c>
      <c r="E3976" s="9">
        <v>95</v>
      </c>
      <c r="F3976" s="9">
        <v>5.7</v>
      </c>
      <c r="G3976" s="9">
        <v>2000000</v>
      </c>
      <c r="H3976" s="9">
        <v>952620</v>
      </c>
      <c r="I3976" s="5">
        <f>IMDB_Movies!$H3976-IMDB_Movies!$G3976</f>
        <v>-1047380</v>
      </c>
    </row>
    <row r="3977" spans="1:9" ht="23">
      <c r="A3977" s="3" t="s">
        <v>5861</v>
      </c>
      <c r="B3977" s="10" t="s">
        <v>5862</v>
      </c>
      <c r="C3977" s="10" t="s">
        <v>138</v>
      </c>
      <c r="D3977" s="10" t="s">
        <v>1534</v>
      </c>
      <c r="E3977" s="10">
        <v>144</v>
      </c>
      <c r="F3977" s="10">
        <v>8.1999999999999993</v>
      </c>
      <c r="G3977" s="10">
        <v>120000000</v>
      </c>
      <c r="H3977" s="10">
        <v>25078937</v>
      </c>
      <c r="I3977" s="5">
        <f>IMDB_Movies!$H3977-IMDB_Movies!$G3977</f>
        <v>-94921063</v>
      </c>
    </row>
    <row r="3978" spans="1:9" ht="23">
      <c r="A3978" s="2" t="s">
        <v>5863</v>
      </c>
      <c r="B3978" s="9" t="s">
        <v>5864</v>
      </c>
      <c r="C3978" s="9" t="s">
        <v>56</v>
      </c>
      <c r="D3978" s="9" t="s">
        <v>11</v>
      </c>
      <c r="E3978" s="9">
        <v>113</v>
      </c>
      <c r="F3978" s="9">
        <v>7.1</v>
      </c>
      <c r="G3978" s="9">
        <v>2700000</v>
      </c>
      <c r="H3978" s="9">
        <v>9054736</v>
      </c>
      <c r="I3978" s="5">
        <f>IMDB_Movies!$H3978-IMDB_Movies!$G3978</f>
        <v>6354736</v>
      </c>
    </row>
    <row r="3979" spans="1:9" ht="23">
      <c r="A3979" s="3" t="s">
        <v>5865</v>
      </c>
      <c r="B3979" s="10" t="s">
        <v>4188</v>
      </c>
      <c r="C3979" s="10" t="s">
        <v>24</v>
      </c>
      <c r="D3979" s="10" t="s">
        <v>11</v>
      </c>
      <c r="E3979" s="10">
        <v>118</v>
      </c>
      <c r="F3979" s="10">
        <v>7.4</v>
      </c>
      <c r="G3979" s="10">
        <v>2700000</v>
      </c>
      <c r="H3979" s="10">
        <v>25078937</v>
      </c>
      <c r="I3979" s="5">
        <f>IMDB_Movies!$H3979-IMDB_Movies!$G3979</f>
        <v>22378937</v>
      </c>
    </row>
    <row r="3980" spans="1:9" ht="23">
      <c r="A3980" s="2" t="s">
        <v>5866</v>
      </c>
      <c r="B3980" s="9" t="s">
        <v>5867</v>
      </c>
      <c r="C3980" s="9" t="s">
        <v>1359</v>
      </c>
      <c r="D3980" s="9" t="s">
        <v>5868</v>
      </c>
      <c r="E3980" s="9">
        <v>141</v>
      </c>
      <c r="F3980" s="9">
        <v>6.6</v>
      </c>
      <c r="G3980" s="9">
        <v>3000000</v>
      </c>
      <c r="H3980" s="9">
        <v>25078937</v>
      </c>
      <c r="I3980" s="5">
        <f>IMDB_Movies!$H3980-IMDB_Movies!$G3980</f>
        <v>22078937</v>
      </c>
    </row>
    <row r="3981" spans="1:9" ht="23">
      <c r="A3981" s="3" t="s">
        <v>5869</v>
      </c>
      <c r="B3981" s="10" t="s">
        <v>5870</v>
      </c>
      <c r="C3981" s="10" t="s">
        <v>10</v>
      </c>
      <c r="D3981" s="10" t="s">
        <v>4656</v>
      </c>
      <c r="E3981" s="10">
        <v>90</v>
      </c>
      <c r="F3981" s="10">
        <v>5.7</v>
      </c>
      <c r="G3981" s="10">
        <v>20000000</v>
      </c>
      <c r="H3981" s="10">
        <v>25078937</v>
      </c>
      <c r="I3981" s="5">
        <f>IMDB_Movies!$H3981-IMDB_Movies!$G3981</f>
        <v>5078937</v>
      </c>
    </row>
    <row r="3982" spans="1:9" ht="23">
      <c r="A3982" s="2" t="s">
        <v>5871</v>
      </c>
      <c r="B3982" s="9" t="s">
        <v>5695</v>
      </c>
      <c r="C3982" s="9" t="s">
        <v>24</v>
      </c>
      <c r="D3982" s="9" t="s">
        <v>11</v>
      </c>
      <c r="E3982" s="9">
        <v>109</v>
      </c>
      <c r="F3982" s="9">
        <v>6.9</v>
      </c>
      <c r="G3982" s="9">
        <v>2686585</v>
      </c>
      <c r="H3982" s="9">
        <v>25078937</v>
      </c>
      <c r="I3982" s="5">
        <f>IMDB_Movies!$H3982-IMDB_Movies!$G3982</f>
        <v>22392352</v>
      </c>
    </row>
    <row r="3983" spans="1:9" ht="23">
      <c r="A3983" s="3" t="s">
        <v>5872</v>
      </c>
      <c r="B3983" s="10" t="s">
        <v>5873</v>
      </c>
      <c r="C3983" s="10" t="s">
        <v>138</v>
      </c>
      <c r="D3983" s="10" t="s">
        <v>2970</v>
      </c>
      <c r="E3983" s="10">
        <v>95</v>
      </c>
      <c r="F3983" s="10">
        <v>7</v>
      </c>
      <c r="G3983" s="10">
        <v>2650000</v>
      </c>
      <c r="H3983" s="10">
        <v>25078937</v>
      </c>
      <c r="I3983" s="5">
        <f>IMDB_Movies!$H3983-IMDB_Movies!$G3983</f>
        <v>22428937</v>
      </c>
    </row>
    <row r="3984" spans="1:9" ht="23">
      <c r="A3984" s="2" t="s">
        <v>5874</v>
      </c>
      <c r="B3984" s="9" t="s">
        <v>5589</v>
      </c>
      <c r="C3984" s="9" t="s">
        <v>56</v>
      </c>
      <c r="D3984" s="9" t="s">
        <v>11</v>
      </c>
      <c r="E3984" s="9">
        <v>122</v>
      </c>
      <c r="F3984" s="9">
        <v>7</v>
      </c>
      <c r="G3984" s="9">
        <v>2627000</v>
      </c>
      <c r="H3984" s="9">
        <v>25078937</v>
      </c>
      <c r="I3984" s="5">
        <f>IMDB_Movies!$H3984-IMDB_Movies!$G3984</f>
        <v>22451937</v>
      </c>
    </row>
    <row r="3985" spans="1:9" ht="23">
      <c r="A3985" s="3" t="s">
        <v>5875</v>
      </c>
      <c r="B3985" s="10" t="s">
        <v>2920</v>
      </c>
      <c r="C3985" s="10" t="s">
        <v>138</v>
      </c>
      <c r="D3985" s="10" t="s">
        <v>11</v>
      </c>
      <c r="E3985" s="10">
        <v>93</v>
      </c>
      <c r="F3985" s="10">
        <v>7.8</v>
      </c>
      <c r="G3985" s="10">
        <v>2600000</v>
      </c>
      <c r="H3985" s="10">
        <v>119500000</v>
      </c>
      <c r="I3985" s="5">
        <f>IMDB_Movies!$H3985-IMDB_Movies!$G3985</f>
        <v>116900000</v>
      </c>
    </row>
    <row r="3986" spans="1:9" ht="23">
      <c r="A3986" s="2" t="s">
        <v>5876</v>
      </c>
      <c r="B3986" s="9" t="s">
        <v>4384</v>
      </c>
      <c r="C3986" s="9" t="s">
        <v>810</v>
      </c>
      <c r="D3986" s="9" t="s">
        <v>11</v>
      </c>
      <c r="E3986" s="9">
        <v>97</v>
      </c>
      <c r="F3986" s="9">
        <v>5.9</v>
      </c>
      <c r="G3986" s="9">
        <v>1800000</v>
      </c>
      <c r="H3986" s="9">
        <v>32600000</v>
      </c>
      <c r="I3986" s="5">
        <f>IMDB_Movies!$H3986-IMDB_Movies!$G3986</f>
        <v>30800000</v>
      </c>
    </row>
    <row r="3987" spans="1:9" ht="23">
      <c r="A3987" s="3" t="s">
        <v>5877</v>
      </c>
      <c r="B3987" s="10" t="s">
        <v>5878</v>
      </c>
      <c r="C3987" s="10" t="s">
        <v>56</v>
      </c>
      <c r="D3987" s="10" t="s">
        <v>5879</v>
      </c>
      <c r="E3987" s="10">
        <v>82</v>
      </c>
      <c r="F3987" s="10">
        <v>7.4</v>
      </c>
      <c r="G3987" s="10">
        <v>20000000</v>
      </c>
      <c r="H3987" s="10">
        <v>3826455</v>
      </c>
      <c r="I3987" s="5">
        <f>IMDB_Movies!$H3987-IMDB_Movies!$G3987</f>
        <v>-16173545</v>
      </c>
    </row>
    <row r="3988" spans="1:9" ht="23">
      <c r="A3988" s="2" t="s">
        <v>5880</v>
      </c>
      <c r="B3988" s="9" t="s">
        <v>3607</v>
      </c>
      <c r="C3988" s="9" t="s">
        <v>56</v>
      </c>
      <c r="D3988" s="9" t="s">
        <v>11</v>
      </c>
      <c r="E3988" s="9">
        <v>140</v>
      </c>
      <c r="F3988" s="9">
        <v>7.8</v>
      </c>
      <c r="G3988" s="9">
        <v>2600000</v>
      </c>
      <c r="H3988" s="9">
        <v>3130592</v>
      </c>
      <c r="I3988" s="5">
        <f>IMDB_Movies!$H3988-IMDB_Movies!$G3988</f>
        <v>530592</v>
      </c>
    </row>
    <row r="3989" spans="1:9" ht="23">
      <c r="A3989" s="3" t="s">
        <v>5881</v>
      </c>
      <c r="B3989" s="10" t="s">
        <v>5882</v>
      </c>
      <c r="C3989" s="10" t="s">
        <v>138</v>
      </c>
      <c r="D3989" s="10" t="s">
        <v>11</v>
      </c>
      <c r="E3989" s="10">
        <v>86</v>
      </c>
      <c r="F3989" s="10">
        <v>6</v>
      </c>
      <c r="G3989" s="10">
        <v>2800000</v>
      </c>
      <c r="H3989" s="10">
        <v>475000</v>
      </c>
      <c r="I3989" s="5">
        <f>IMDB_Movies!$H3989-IMDB_Movies!$G3989</f>
        <v>-2325000</v>
      </c>
    </row>
    <row r="3990" spans="1:9" ht="23">
      <c r="A3990" s="2" t="s">
        <v>5883</v>
      </c>
      <c r="B3990" s="9" t="s">
        <v>5884</v>
      </c>
      <c r="C3990" s="9" t="s">
        <v>772</v>
      </c>
      <c r="D3990" s="9" t="s">
        <v>11</v>
      </c>
      <c r="E3990" s="9">
        <v>105</v>
      </c>
      <c r="F3990" s="9">
        <v>7.9</v>
      </c>
      <c r="G3990" s="9">
        <v>20000000</v>
      </c>
      <c r="H3990" s="9">
        <v>2276368</v>
      </c>
      <c r="I3990" s="5">
        <f>IMDB_Movies!$H3990-IMDB_Movies!$G3990</f>
        <v>-17723632</v>
      </c>
    </row>
    <row r="3991" spans="1:9" ht="23">
      <c r="A3991" s="3" t="s">
        <v>5885</v>
      </c>
      <c r="B3991" s="10" t="s">
        <v>5886</v>
      </c>
      <c r="C3991" s="10" t="s">
        <v>810</v>
      </c>
      <c r="D3991" s="10" t="s">
        <v>741</v>
      </c>
      <c r="E3991" s="10">
        <v>66</v>
      </c>
      <c r="F3991" s="10">
        <v>7.2</v>
      </c>
      <c r="G3991" s="10">
        <v>2600000</v>
      </c>
      <c r="H3991" s="10">
        <v>38108</v>
      </c>
      <c r="I3991" s="5">
        <f>IMDB_Movies!$H3991-IMDB_Movies!$G3991</f>
        <v>-2561892</v>
      </c>
    </row>
    <row r="3992" spans="1:9" ht="23">
      <c r="A3992" s="2" t="s">
        <v>5887</v>
      </c>
      <c r="B3992" s="9" t="s">
        <v>5888</v>
      </c>
      <c r="C3992" s="9" t="s">
        <v>10</v>
      </c>
      <c r="D3992" s="9" t="s">
        <v>521</v>
      </c>
      <c r="E3992" s="9">
        <v>99</v>
      </c>
      <c r="F3992" s="9">
        <v>7.4</v>
      </c>
      <c r="G3992" s="9">
        <v>15000000</v>
      </c>
      <c r="H3992" s="9">
        <v>25078937</v>
      </c>
      <c r="I3992" s="5">
        <f>IMDB_Movies!$H3992-IMDB_Movies!$G3992</f>
        <v>10078937</v>
      </c>
    </row>
    <row r="3993" spans="1:9" ht="23">
      <c r="A3993" s="3" t="s">
        <v>5889</v>
      </c>
      <c r="B3993" s="10" t="s">
        <v>5890</v>
      </c>
      <c r="C3993" s="10" t="s">
        <v>810</v>
      </c>
      <c r="D3993" s="10" t="s">
        <v>11</v>
      </c>
      <c r="E3993" s="10">
        <v>100</v>
      </c>
      <c r="F3993" s="10">
        <v>5.3</v>
      </c>
      <c r="G3993" s="10">
        <v>2600000</v>
      </c>
      <c r="H3993" s="10">
        <v>25078937</v>
      </c>
      <c r="I3993" s="5">
        <f>IMDB_Movies!$H3993-IMDB_Movies!$G3993</f>
        <v>22478937</v>
      </c>
    </row>
    <row r="3994" spans="1:9" ht="23">
      <c r="A3994" s="2" t="s">
        <v>5891</v>
      </c>
      <c r="B3994" s="9" t="s">
        <v>5892</v>
      </c>
      <c r="C3994" s="9" t="s">
        <v>138</v>
      </c>
      <c r="D3994" s="9" t="s">
        <v>11</v>
      </c>
      <c r="E3994" s="9">
        <v>103</v>
      </c>
      <c r="F3994" s="9">
        <v>8.3000000000000007</v>
      </c>
      <c r="G3994" s="9">
        <v>2540800</v>
      </c>
      <c r="H3994" s="9">
        <v>25078937</v>
      </c>
      <c r="I3994" s="5">
        <f>IMDB_Movies!$H3994-IMDB_Movies!$G3994</f>
        <v>22538137</v>
      </c>
    </row>
    <row r="3995" spans="1:9" ht="23">
      <c r="A3995" s="3" t="s">
        <v>5893</v>
      </c>
      <c r="B3995" s="10" t="s">
        <v>5894</v>
      </c>
      <c r="C3995" s="10" t="s">
        <v>772</v>
      </c>
      <c r="D3995" s="10" t="s">
        <v>11</v>
      </c>
      <c r="E3995" s="10">
        <v>97</v>
      </c>
      <c r="F3995" s="10">
        <v>7.6</v>
      </c>
      <c r="G3995" s="10">
        <v>2500000</v>
      </c>
      <c r="H3995" s="10">
        <v>25078937</v>
      </c>
      <c r="I3995" s="5">
        <f>IMDB_Movies!$H3995-IMDB_Movies!$G3995</f>
        <v>22578937</v>
      </c>
    </row>
    <row r="3996" spans="1:9" ht="23">
      <c r="A3996" s="2" t="s">
        <v>5895</v>
      </c>
      <c r="B3996" s="9" t="s">
        <v>5282</v>
      </c>
      <c r="C3996" s="9" t="s">
        <v>138</v>
      </c>
      <c r="D3996" s="9" t="s">
        <v>11</v>
      </c>
      <c r="E3996" s="9">
        <v>86</v>
      </c>
      <c r="F3996" s="9">
        <v>5.0999999999999996</v>
      </c>
      <c r="G3996" s="9">
        <v>2500000</v>
      </c>
      <c r="H3996" s="9">
        <v>40041683</v>
      </c>
      <c r="I3996" s="5">
        <f>IMDB_Movies!$H3996-IMDB_Movies!$G3996</f>
        <v>37541683</v>
      </c>
    </row>
    <row r="3997" spans="1:9" ht="23">
      <c r="A3997" s="3" t="s">
        <v>5896</v>
      </c>
      <c r="B3997" s="10" t="s">
        <v>5897</v>
      </c>
      <c r="C3997" s="10" t="s">
        <v>772</v>
      </c>
      <c r="D3997" s="10" t="s">
        <v>11</v>
      </c>
      <c r="E3997" s="10">
        <v>87</v>
      </c>
      <c r="F3997" s="10">
        <v>5.0999999999999996</v>
      </c>
      <c r="G3997" s="10">
        <v>2500000</v>
      </c>
      <c r="H3997" s="10">
        <v>33349949</v>
      </c>
      <c r="I3997" s="5">
        <f>IMDB_Movies!$H3997-IMDB_Movies!$G3997</f>
        <v>30849949</v>
      </c>
    </row>
    <row r="3998" spans="1:9" ht="23">
      <c r="A3998" s="2" t="s">
        <v>5898</v>
      </c>
      <c r="B3998" s="9" t="s">
        <v>2349</v>
      </c>
      <c r="C3998" s="9" t="s">
        <v>138</v>
      </c>
      <c r="D3998" s="9" t="s">
        <v>11</v>
      </c>
      <c r="E3998" s="9">
        <v>149</v>
      </c>
      <c r="F3998" s="9">
        <v>6.9</v>
      </c>
      <c r="G3998" s="9">
        <v>26000000</v>
      </c>
      <c r="H3998" s="9">
        <v>25809813</v>
      </c>
      <c r="I3998" s="5">
        <f>IMDB_Movies!$H3998-IMDB_Movies!$G3998</f>
        <v>-190187</v>
      </c>
    </row>
    <row r="3999" spans="1:9" ht="23">
      <c r="A3999" s="3" t="s">
        <v>5899</v>
      </c>
      <c r="B3999" s="10" t="s">
        <v>5900</v>
      </c>
      <c r="C3999" s="10" t="s">
        <v>810</v>
      </c>
      <c r="D3999" s="10" t="s">
        <v>11</v>
      </c>
      <c r="E3999" s="10">
        <v>98</v>
      </c>
      <c r="F3999" s="10">
        <v>4.5999999999999996</v>
      </c>
      <c r="G3999" s="10">
        <v>2500000</v>
      </c>
      <c r="H3999" s="10">
        <v>14400000</v>
      </c>
      <c r="I3999" s="5">
        <f>IMDB_Movies!$H3999-IMDB_Movies!$G3999</f>
        <v>11900000</v>
      </c>
    </row>
    <row r="4000" spans="1:9" ht="23">
      <c r="A4000" s="2" t="s">
        <v>5901</v>
      </c>
      <c r="B4000" s="9" t="s">
        <v>5902</v>
      </c>
      <c r="C4000" s="9" t="s">
        <v>10</v>
      </c>
      <c r="D4000" s="9" t="s">
        <v>11</v>
      </c>
      <c r="E4000" s="9">
        <v>98</v>
      </c>
      <c r="F4000" s="9">
        <v>6.3</v>
      </c>
      <c r="G4000" s="9">
        <v>2500000</v>
      </c>
      <c r="H4000" s="9">
        <v>25078937</v>
      </c>
      <c r="I4000" s="5">
        <f>IMDB_Movies!$H4000-IMDB_Movies!$G4000</f>
        <v>22578937</v>
      </c>
    </row>
    <row r="4001" spans="1:9" ht="23">
      <c r="A4001" s="3" t="s">
        <v>5903</v>
      </c>
      <c r="B4001" s="10" t="s">
        <v>4285</v>
      </c>
      <c r="C4001" s="10" t="s">
        <v>56</v>
      </c>
      <c r="D4001" s="10" t="s">
        <v>11</v>
      </c>
      <c r="E4001" s="10">
        <v>112</v>
      </c>
      <c r="F4001" s="10">
        <v>7.9</v>
      </c>
      <c r="G4001" s="10">
        <v>2500000</v>
      </c>
      <c r="H4001" s="10">
        <v>25078937</v>
      </c>
      <c r="I4001" s="5">
        <f>IMDB_Movies!$H4001-IMDB_Movies!$G4001</f>
        <v>22578937</v>
      </c>
    </row>
    <row r="4002" spans="1:9" ht="23">
      <c r="A4002" s="2" t="s">
        <v>5904</v>
      </c>
      <c r="B4002" s="9" t="s">
        <v>5905</v>
      </c>
      <c r="C4002" s="9" t="s">
        <v>138</v>
      </c>
      <c r="D4002" s="9" t="s">
        <v>11</v>
      </c>
      <c r="E4002" s="9">
        <v>75</v>
      </c>
      <c r="F4002" s="9">
        <v>6.7</v>
      </c>
      <c r="G4002" s="9">
        <v>2500000</v>
      </c>
      <c r="H4002" s="9">
        <v>32230907</v>
      </c>
      <c r="I4002" s="5">
        <f>IMDB_Movies!$H4002-IMDB_Movies!$G4002</f>
        <v>29730907</v>
      </c>
    </row>
    <row r="4003" spans="1:9" ht="23">
      <c r="A4003" s="3" t="s">
        <v>5906</v>
      </c>
      <c r="B4003" s="10" t="s">
        <v>1664</v>
      </c>
      <c r="C4003" s="10" t="s">
        <v>56</v>
      </c>
      <c r="D4003" s="10" t="s">
        <v>11</v>
      </c>
      <c r="E4003" s="10">
        <v>104</v>
      </c>
      <c r="F4003" s="10">
        <v>7.1</v>
      </c>
      <c r="G4003" s="10">
        <v>2500000</v>
      </c>
      <c r="H4003" s="10">
        <v>6401336</v>
      </c>
      <c r="I4003" s="5">
        <f>IMDB_Movies!$H4003-IMDB_Movies!$G4003</f>
        <v>3901336</v>
      </c>
    </row>
    <row r="4004" spans="1:9" ht="23">
      <c r="A4004" s="2" t="s">
        <v>5907</v>
      </c>
      <c r="B4004" s="9" t="s">
        <v>5085</v>
      </c>
      <c r="C4004" s="9" t="s">
        <v>138</v>
      </c>
      <c r="D4004" s="9" t="s">
        <v>11</v>
      </c>
      <c r="E4004" s="9">
        <v>102</v>
      </c>
      <c r="F4004" s="9">
        <v>7.6</v>
      </c>
      <c r="G4004" s="9">
        <v>2500000</v>
      </c>
      <c r="H4004" s="9">
        <v>26781723</v>
      </c>
      <c r="I4004" s="5">
        <f>IMDB_Movies!$H4004-IMDB_Movies!$G4004</f>
        <v>24281723</v>
      </c>
    </row>
    <row r="4005" spans="1:9" ht="23">
      <c r="A4005" s="3" t="s">
        <v>5908</v>
      </c>
      <c r="B4005" s="10" t="s">
        <v>2571</v>
      </c>
      <c r="C4005" s="10" t="s">
        <v>56</v>
      </c>
      <c r="D4005" s="10" t="s">
        <v>11</v>
      </c>
      <c r="E4005" s="10">
        <v>105</v>
      </c>
      <c r="F4005" s="10">
        <v>8.1</v>
      </c>
      <c r="G4005" s="10">
        <v>2500000</v>
      </c>
      <c r="H4005" s="10">
        <v>5400000</v>
      </c>
      <c r="I4005" s="5">
        <f>IMDB_Movies!$H4005-IMDB_Movies!$G4005</f>
        <v>2900000</v>
      </c>
    </row>
    <row r="4006" spans="1:9" ht="23">
      <c r="A4006" s="2" t="s">
        <v>5909</v>
      </c>
      <c r="B4006" s="9" t="s">
        <v>5910</v>
      </c>
      <c r="C4006" s="9" t="s">
        <v>10</v>
      </c>
      <c r="D4006" s="9" t="s">
        <v>394</v>
      </c>
      <c r="E4006" s="9">
        <v>99</v>
      </c>
      <c r="F4006" s="9">
        <v>6.6</v>
      </c>
      <c r="G4006" s="9">
        <v>3200000</v>
      </c>
      <c r="H4006" s="9">
        <v>25078937</v>
      </c>
      <c r="I4006" s="5">
        <f>IMDB_Movies!$H4006-IMDB_Movies!$G4006</f>
        <v>21878937</v>
      </c>
    </row>
    <row r="4007" spans="1:9" ht="23">
      <c r="A4007" s="3" t="s">
        <v>5911</v>
      </c>
      <c r="B4007" s="10" t="s">
        <v>5912</v>
      </c>
      <c r="C4007" s="10" t="s">
        <v>56</v>
      </c>
      <c r="D4007" s="10" t="s">
        <v>11</v>
      </c>
      <c r="E4007" s="10">
        <v>107</v>
      </c>
      <c r="F4007" s="10">
        <v>7</v>
      </c>
      <c r="G4007" s="10">
        <v>2500000</v>
      </c>
      <c r="H4007" s="10">
        <v>1282084</v>
      </c>
      <c r="I4007" s="5">
        <f>IMDB_Movies!$H4007-IMDB_Movies!$G4007</f>
        <v>-1217916</v>
      </c>
    </row>
    <row r="4008" spans="1:9" ht="23">
      <c r="A4008" s="2" t="s">
        <v>5913</v>
      </c>
      <c r="B4008" s="9" t="s">
        <v>5914</v>
      </c>
      <c r="C4008" s="9" t="s">
        <v>138</v>
      </c>
      <c r="D4008" s="9" t="s">
        <v>11</v>
      </c>
      <c r="E4008" s="9">
        <v>96</v>
      </c>
      <c r="F4008" s="9">
        <v>7.6</v>
      </c>
      <c r="G4008" s="9">
        <v>20000000</v>
      </c>
      <c r="H4008" s="9">
        <v>1186323</v>
      </c>
      <c r="I4008" s="5">
        <f>IMDB_Movies!$H4008-IMDB_Movies!$G4008</f>
        <v>-18813677</v>
      </c>
    </row>
    <row r="4009" spans="1:9" ht="23">
      <c r="A4009" s="3" t="s">
        <v>5915</v>
      </c>
      <c r="B4009" s="10" t="s">
        <v>5916</v>
      </c>
      <c r="C4009" s="10" t="s">
        <v>56</v>
      </c>
      <c r="D4009" s="10" t="s">
        <v>11</v>
      </c>
      <c r="E4009" s="10">
        <v>101</v>
      </c>
      <c r="F4009" s="10">
        <v>6.7</v>
      </c>
      <c r="G4009" s="10">
        <v>20000000</v>
      </c>
      <c r="H4009" s="10">
        <v>1094998</v>
      </c>
      <c r="I4009" s="5">
        <f>IMDB_Movies!$H4009-IMDB_Movies!$G4009</f>
        <v>-18905002</v>
      </c>
    </row>
    <row r="4010" spans="1:9" ht="23">
      <c r="A4010" s="2" t="s">
        <v>5917</v>
      </c>
      <c r="B4010" s="9" t="s">
        <v>4131</v>
      </c>
      <c r="C4010" s="9" t="s">
        <v>138</v>
      </c>
      <c r="D4010" s="9" t="s">
        <v>11</v>
      </c>
      <c r="E4010" s="9">
        <v>89</v>
      </c>
      <c r="F4010" s="9">
        <v>7.1</v>
      </c>
      <c r="G4010" s="9">
        <v>2500000</v>
      </c>
      <c r="H4010" s="9">
        <v>3325638</v>
      </c>
      <c r="I4010" s="5">
        <f>IMDB_Movies!$H4010-IMDB_Movies!$G4010</f>
        <v>825638</v>
      </c>
    </row>
    <row r="4011" spans="1:9" ht="23">
      <c r="A4011" s="3" t="s">
        <v>5918</v>
      </c>
      <c r="B4011" s="10" t="s">
        <v>5919</v>
      </c>
      <c r="C4011" s="10" t="s">
        <v>56</v>
      </c>
      <c r="D4011" s="10" t="s">
        <v>11</v>
      </c>
      <c r="E4011" s="10">
        <v>106</v>
      </c>
      <c r="F4011" s="10">
        <v>7.6</v>
      </c>
      <c r="G4011" s="10">
        <v>2000000</v>
      </c>
      <c r="H4011" s="10">
        <v>395592</v>
      </c>
      <c r="I4011" s="5">
        <f>IMDB_Movies!$H4011-IMDB_Movies!$G4011</f>
        <v>-1604408</v>
      </c>
    </row>
    <row r="4012" spans="1:9" ht="23">
      <c r="A4012" s="2" t="s">
        <v>5920</v>
      </c>
      <c r="B4012" s="9" t="s">
        <v>5921</v>
      </c>
      <c r="C4012" s="9" t="s">
        <v>138</v>
      </c>
      <c r="D4012" s="9" t="s">
        <v>11</v>
      </c>
      <c r="E4012" s="9">
        <v>95</v>
      </c>
      <c r="F4012" s="9">
        <v>7.1</v>
      </c>
      <c r="G4012" s="9">
        <v>2500000</v>
      </c>
      <c r="H4012" s="9">
        <v>6851969</v>
      </c>
      <c r="I4012" s="5">
        <f>IMDB_Movies!$H4012-IMDB_Movies!$G4012</f>
        <v>4351969</v>
      </c>
    </row>
    <row r="4013" spans="1:9" ht="23">
      <c r="A4013" s="3" t="s">
        <v>5922</v>
      </c>
      <c r="B4013" s="10" t="s">
        <v>5313</v>
      </c>
      <c r="C4013" s="10" t="s">
        <v>138</v>
      </c>
      <c r="D4013" s="10" t="s">
        <v>11</v>
      </c>
      <c r="E4013" s="10">
        <v>34</v>
      </c>
      <c r="F4013" s="10">
        <v>7.1</v>
      </c>
      <c r="G4013" s="10">
        <v>34000</v>
      </c>
      <c r="H4013" s="10">
        <v>333658</v>
      </c>
      <c r="I4013" s="5">
        <f>IMDB_Movies!$H4013-IMDB_Movies!$G4013</f>
        <v>299658</v>
      </c>
    </row>
    <row r="4014" spans="1:9" ht="23">
      <c r="A4014" s="2" t="s">
        <v>5923</v>
      </c>
      <c r="B4014" s="9" t="s">
        <v>999</v>
      </c>
      <c r="C4014" s="9" t="s">
        <v>138</v>
      </c>
      <c r="D4014" s="9" t="s">
        <v>11</v>
      </c>
      <c r="E4014" s="9">
        <v>101</v>
      </c>
      <c r="F4014" s="9">
        <v>7.7</v>
      </c>
      <c r="G4014" s="9">
        <v>2500000</v>
      </c>
      <c r="H4014" s="9">
        <v>12995673</v>
      </c>
      <c r="I4014" s="5">
        <f>IMDB_Movies!$H4014-IMDB_Movies!$G4014</f>
        <v>10495673</v>
      </c>
    </row>
    <row r="4015" spans="1:9" ht="23">
      <c r="A4015" s="3" t="s">
        <v>5924</v>
      </c>
      <c r="B4015" s="10" t="s">
        <v>5925</v>
      </c>
      <c r="C4015" s="10" t="s">
        <v>772</v>
      </c>
      <c r="D4015" s="10" t="s">
        <v>11</v>
      </c>
      <c r="E4015" s="10">
        <v>112</v>
      </c>
      <c r="F4015" s="10">
        <v>7.6</v>
      </c>
      <c r="G4015" s="10">
        <v>2500000</v>
      </c>
      <c r="H4015" s="10">
        <v>173783</v>
      </c>
      <c r="I4015" s="5">
        <f>IMDB_Movies!$H4015-IMDB_Movies!$G4015</f>
        <v>-2326217</v>
      </c>
    </row>
    <row r="4016" spans="1:9" ht="23">
      <c r="A4016" s="2" t="s">
        <v>5926</v>
      </c>
      <c r="B4016" s="9" t="s">
        <v>5927</v>
      </c>
      <c r="C4016" s="9" t="s">
        <v>56</v>
      </c>
      <c r="D4016" s="9" t="s">
        <v>11</v>
      </c>
      <c r="E4016" s="9">
        <v>100</v>
      </c>
      <c r="F4016" s="9">
        <v>6.6</v>
      </c>
      <c r="G4016" s="9">
        <v>2500000</v>
      </c>
      <c r="H4016" s="9">
        <v>118666</v>
      </c>
      <c r="I4016" s="5">
        <f>IMDB_Movies!$H4016-IMDB_Movies!$G4016</f>
        <v>-2381334</v>
      </c>
    </row>
    <row r="4017" spans="1:9" ht="23">
      <c r="A4017" s="3" t="s">
        <v>5928</v>
      </c>
      <c r="B4017" s="10" t="s">
        <v>5929</v>
      </c>
      <c r="C4017" s="10" t="s">
        <v>138</v>
      </c>
      <c r="D4017" s="10" t="s">
        <v>11</v>
      </c>
      <c r="E4017" s="10">
        <v>100</v>
      </c>
      <c r="F4017" s="10">
        <v>5.7</v>
      </c>
      <c r="G4017" s="10">
        <v>2500000</v>
      </c>
      <c r="H4017" s="10">
        <v>71904</v>
      </c>
      <c r="I4017" s="5">
        <f>IMDB_Movies!$H4017-IMDB_Movies!$G4017</f>
        <v>-2428096</v>
      </c>
    </row>
    <row r="4018" spans="1:9" ht="23">
      <c r="A4018" s="2" t="s">
        <v>5930</v>
      </c>
      <c r="B4018" s="9" t="s">
        <v>5931</v>
      </c>
      <c r="C4018" s="9" t="s">
        <v>772</v>
      </c>
      <c r="D4018" s="9" t="s">
        <v>11</v>
      </c>
      <c r="E4018" s="9">
        <v>80</v>
      </c>
      <c r="F4018" s="9">
        <v>7.1</v>
      </c>
      <c r="G4018" s="9">
        <v>2500000</v>
      </c>
      <c r="H4018" s="9">
        <v>99851</v>
      </c>
      <c r="I4018" s="5">
        <f>IMDB_Movies!$H4018-IMDB_Movies!$G4018</f>
        <v>-2400149</v>
      </c>
    </row>
    <row r="4019" spans="1:9" ht="23">
      <c r="A4019" s="3" t="s">
        <v>5932</v>
      </c>
      <c r="B4019" s="10" t="s">
        <v>5933</v>
      </c>
      <c r="C4019" s="10" t="s">
        <v>138</v>
      </c>
      <c r="D4019" s="10" t="s">
        <v>11</v>
      </c>
      <c r="E4019" s="10">
        <v>106</v>
      </c>
      <c r="F4019" s="10">
        <v>6.2</v>
      </c>
      <c r="G4019" s="10">
        <v>14000000</v>
      </c>
      <c r="H4019" s="10">
        <v>115504</v>
      </c>
      <c r="I4019" s="5">
        <f>IMDB_Movies!$H4019-IMDB_Movies!$G4019</f>
        <v>-13884496</v>
      </c>
    </row>
    <row r="4020" spans="1:9" ht="23">
      <c r="A4020" s="2" t="s">
        <v>5934</v>
      </c>
      <c r="B4020" s="9" t="s">
        <v>3845</v>
      </c>
      <c r="C4020" s="9" t="s">
        <v>810</v>
      </c>
      <c r="D4020" s="9" t="s">
        <v>2452</v>
      </c>
      <c r="E4020" s="9">
        <v>103</v>
      </c>
      <c r="F4020" s="9">
        <v>6.1</v>
      </c>
      <c r="G4020" s="9">
        <v>8400000</v>
      </c>
      <c r="H4020" s="9">
        <v>5725</v>
      </c>
      <c r="I4020" s="5">
        <f>IMDB_Movies!$H4020-IMDB_Movies!$G4020</f>
        <v>-8394275</v>
      </c>
    </row>
    <row r="4021" spans="1:9" ht="23">
      <c r="A4021" s="3" t="s">
        <v>5935</v>
      </c>
      <c r="B4021" s="10" t="s">
        <v>5936</v>
      </c>
      <c r="C4021" s="10" t="s">
        <v>56</v>
      </c>
      <c r="D4021" s="10" t="s">
        <v>741</v>
      </c>
      <c r="E4021" s="10">
        <v>90</v>
      </c>
      <c r="F4021" s="10">
        <v>5.9</v>
      </c>
      <c r="G4021" s="10">
        <v>2500000</v>
      </c>
      <c r="H4021" s="10">
        <v>75727</v>
      </c>
      <c r="I4021" s="5">
        <f>IMDB_Movies!$H4021-IMDB_Movies!$G4021</f>
        <v>-2424273</v>
      </c>
    </row>
    <row r="4022" spans="1:9" ht="23">
      <c r="A4022" s="2" t="s">
        <v>5937</v>
      </c>
      <c r="B4022" s="9" t="s">
        <v>174</v>
      </c>
      <c r="C4022" s="9" t="s">
        <v>138</v>
      </c>
      <c r="D4022" s="9" t="s">
        <v>11</v>
      </c>
      <c r="E4022" s="9">
        <v>96</v>
      </c>
      <c r="F4022" s="9">
        <v>6.8</v>
      </c>
      <c r="G4022" s="9">
        <v>2500000</v>
      </c>
      <c r="H4022" s="9">
        <v>322157</v>
      </c>
      <c r="I4022" s="5">
        <f>IMDB_Movies!$H4022-IMDB_Movies!$G4022</f>
        <v>-2177843</v>
      </c>
    </row>
    <row r="4023" spans="1:9" ht="23">
      <c r="A4023" s="3" t="s">
        <v>5938</v>
      </c>
      <c r="B4023" s="10" t="s">
        <v>5939</v>
      </c>
      <c r="C4023" s="10" t="s">
        <v>138</v>
      </c>
      <c r="D4023" s="10" t="s">
        <v>11</v>
      </c>
      <c r="E4023" s="10">
        <v>89</v>
      </c>
      <c r="F4023" s="10">
        <v>5.8</v>
      </c>
      <c r="G4023" s="10">
        <v>2500000</v>
      </c>
      <c r="H4023" s="10">
        <v>25078937</v>
      </c>
      <c r="I4023" s="5">
        <f>IMDB_Movies!$H4023-IMDB_Movies!$G4023</f>
        <v>22578937</v>
      </c>
    </row>
    <row r="4024" spans="1:9" ht="23">
      <c r="A4024" s="2" t="s">
        <v>5940</v>
      </c>
      <c r="B4024" s="9" t="s">
        <v>5941</v>
      </c>
      <c r="C4024" s="9" t="s">
        <v>138</v>
      </c>
      <c r="D4024" s="9" t="s">
        <v>11</v>
      </c>
      <c r="E4024" s="9">
        <v>87</v>
      </c>
      <c r="F4024" s="9">
        <v>5</v>
      </c>
      <c r="G4024" s="9">
        <v>2500000</v>
      </c>
      <c r="H4024" s="9">
        <v>25078937</v>
      </c>
      <c r="I4024" s="5">
        <f>IMDB_Movies!$H4024-IMDB_Movies!$G4024</f>
        <v>22578937</v>
      </c>
    </row>
    <row r="4025" spans="1:9" ht="23">
      <c r="A4025" s="3" t="s">
        <v>5942</v>
      </c>
      <c r="B4025" s="10" t="s">
        <v>5943</v>
      </c>
      <c r="C4025" s="10" t="s">
        <v>810</v>
      </c>
      <c r="D4025" s="10" t="s">
        <v>11</v>
      </c>
      <c r="E4025" s="10">
        <v>94</v>
      </c>
      <c r="F4025" s="10">
        <v>6.3</v>
      </c>
      <c r="G4025" s="10">
        <v>3500000</v>
      </c>
      <c r="H4025" s="10">
        <v>25078937</v>
      </c>
      <c r="I4025" s="5">
        <f>IMDB_Movies!$H4025-IMDB_Movies!$G4025</f>
        <v>21578937</v>
      </c>
    </row>
    <row r="4026" spans="1:9" ht="23">
      <c r="A4026" s="2" t="s">
        <v>5944</v>
      </c>
      <c r="B4026" s="9" t="s">
        <v>1380</v>
      </c>
      <c r="C4026" s="9" t="s">
        <v>56</v>
      </c>
      <c r="D4026" s="9" t="s">
        <v>11</v>
      </c>
      <c r="E4026" s="9">
        <v>120</v>
      </c>
      <c r="F4026" s="9">
        <v>6.8</v>
      </c>
      <c r="G4026" s="9">
        <v>2400000</v>
      </c>
      <c r="H4026" s="9">
        <v>5731103</v>
      </c>
      <c r="I4026" s="5">
        <f>IMDB_Movies!$H4026-IMDB_Movies!$G4026</f>
        <v>3331103</v>
      </c>
    </row>
    <row r="4027" spans="1:9" ht="23">
      <c r="A4027" s="3" t="s">
        <v>5945</v>
      </c>
      <c r="B4027" s="10" t="s">
        <v>5946</v>
      </c>
      <c r="C4027" s="10" t="s">
        <v>56</v>
      </c>
      <c r="D4027" s="10" t="s">
        <v>11</v>
      </c>
      <c r="E4027" s="10">
        <v>101</v>
      </c>
      <c r="F4027" s="10">
        <v>5.0999999999999996</v>
      </c>
      <c r="G4027" s="10">
        <v>2400000</v>
      </c>
      <c r="H4027" s="10">
        <v>978908</v>
      </c>
      <c r="I4027" s="5">
        <f>IMDB_Movies!$H4027-IMDB_Movies!$G4027</f>
        <v>-1421092</v>
      </c>
    </row>
    <row r="4028" spans="1:9" ht="23">
      <c r="A4028" s="2" t="s">
        <v>5947</v>
      </c>
      <c r="B4028" s="9" t="s">
        <v>4095</v>
      </c>
      <c r="C4028" s="9" t="s">
        <v>24</v>
      </c>
      <c r="D4028" s="9" t="s">
        <v>11</v>
      </c>
      <c r="E4028" s="9">
        <v>84</v>
      </c>
      <c r="F4028" s="9">
        <v>6.6</v>
      </c>
      <c r="G4028" s="9">
        <v>20000000</v>
      </c>
      <c r="H4028" s="9">
        <v>438653</v>
      </c>
      <c r="I4028" s="5">
        <f>IMDB_Movies!$H4028-IMDB_Movies!$G4028</f>
        <v>-19561347</v>
      </c>
    </row>
    <row r="4029" spans="1:9" ht="23">
      <c r="A4029" s="3" t="s">
        <v>5948</v>
      </c>
      <c r="B4029" s="10" t="s">
        <v>5949</v>
      </c>
      <c r="C4029" s="10" t="s">
        <v>414</v>
      </c>
      <c r="D4029" s="10" t="s">
        <v>11</v>
      </c>
      <c r="E4029" s="10">
        <v>110</v>
      </c>
      <c r="F4029" s="10">
        <v>5</v>
      </c>
      <c r="G4029" s="10">
        <v>2500000</v>
      </c>
      <c r="H4029" s="10">
        <v>25078937</v>
      </c>
      <c r="I4029" s="5">
        <f>IMDB_Movies!$H4029-IMDB_Movies!$G4029</f>
        <v>22578937</v>
      </c>
    </row>
    <row r="4030" spans="1:9" ht="23">
      <c r="A4030" s="2" t="s">
        <v>5950</v>
      </c>
      <c r="B4030" s="9" t="s">
        <v>5186</v>
      </c>
      <c r="C4030" s="9" t="s">
        <v>414</v>
      </c>
      <c r="D4030" s="9" t="s">
        <v>11</v>
      </c>
      <c r="E4030" s="9">
        <v>101</v>
      </c>
      <c r="F4030" s="9">
        <v>7.7</v>
      </c>
      <c r="G4030" s="9">
        <v>1500000</v>
      </c>
      <c r="H4030" s="9">
        <v>327919</v>
      </c>
      <c r="I4030" s="5">
        <f>IMDB_Movies!$H4030-IMDB_Movies!$G4030</f>
        <v>-1172081</v>
      </c>
    </row>
    <row r="4031" spans="1:9" ht="23">
      <c r="A4031" s="3" t="s">
        <v>5951</v>
      </c>
      <c r="B4031" s="10" t="s">
        <v>5952</v>
      </c>
      <c r="C4031" s="10" t="s">
        <v>138</v>
      </c>
      <c r="D4031" s="10" t="s">
        <v>11</v>
      </c>
      <c r="E4031" s="10">
        <v>101</v>
      </c>
      <c r="F4031" s="10">
        <v>3.1</v>
      </c>
      <c r="G4031" s="10">
        <v>2500000</v>
      </c>
      <c r="H4031" s="10">
        <v>25078937</v>
      </c>
      <c r="I4031" s="5">
        <f>IMDB_Movies!$H4031-IMDB_Movies!$G4031</f>
        <v>22578937</v>
      </c>
    </row>
    <row r="4032" spans="1:9" ht="23">
      <c r="A4032" s="2" t="s">
        <v>5953</v>
      </c>
      <c r="B4032" s="9" t="s">
        <v>5596</v>
      </c>
      <c r="C4032" s="9" t="s">
        <v>138</v>
      </c>
      <c r="D4032" s="9" t="s">
        <v>11</v>
      </c>
      <c r="E4032" s="9">
        <v>101</v>
      </c>
      <c r="F4032" s="9">
        <v>6.5</v>
      </c>
      <c r="G4032" s="9">
        <v>2361000</v>
      </c>
      <c r="H4032" s="9">
        <v>25078937</v>
      </c>
      <c r="I4032" s="5">
        <f>IMDB_Movies!$H4032-IMDB_Movies!$G4032</f>
        <v>22717937</v>
      </c>
    </row>
    <row r="4033" spans="1:9" ht="23">
      <c r="A4033" s="3" t="s">
        <v>5954</v>
      </c>
      <c r="B4033" s="10" t="s">
        <v>5955</v>
      </c>
      <c r="C4033" s="10" t="s">
        <v>56</v>
      </c>
      <c r="D4033" s="10" t="s">
        <v>11</v>
      </c>
      <c r="E4033" s="10">
        <v>105</v>
      </c>
      <c r="F4033" s="10">
        <v>3.9</v>
      </c>
      <c r="G4033" s="10">
        <v>2450000</v>
      </c>
      <c r="H4033" s="10">
        <v>178739</v>
      </c>
      <c r="I4033" s="5">
        <f>IMDB_Movies!$H4033-IMDB_Movies!$G4033</f>
        <v>-2271261</v>
      </c>
    </row>
    <row r="4034" spans="1:9" ht="23">
      <c r="A4034" s="2" t="s">
        <v>5956</v>
      </c>
      <c r="B4034" s="9" t="s">
        <v>2332</v>
      </c>
      <c r="C4034" s="9" t="s">
        <v>138</v>
      </c>
      <c r="D4034" s="9" t="s">
        <v>11</v>
      </c>
      <c r="E4034" s="9">
        <v>97</v>
      </c>
      <c r="F4034" s="9">
        <v>6.8</v>
      </c>
      <c r="G4034" s="9">
        <v>20000000</v>
      </c>
      <c r="H4034" s="9">
        <v>565592</v>
      </c>
      <c r="I4034" s="5">
        <f>IMDB_Movies!$H4034-IMDB_Movies!$G4034</f>
        <v>-19434408</v>
      </c>
    </row>
    <row r="4035" spans="1:9" ht="23">
      <c r="A4035" s="3" t="s">
        <v>5957</v>
      </c>
      <c r="B4035" s="10" t="s">
        <v>5596</v>
      </c>
      <c r="C4035" s="10" t="s">
        <v>56</v>
      </c>
      <c r="D4035" s="10" t="s">
        <v>11</v>
      </c>
      <c r="E4035" s="10">
        <v>108</v>
      </c>
      <c r="F4035" s="10">
        <v>7</v>
      </c>
      <c r="G4035" s="10">
        <v>2295429</v>
      </c>
      <c r="H4035" s="10">
        <v>25078937</v>
      </c>
      <c r="I4035" s="5">
        <f>IMDB_Movies!$H4035-IMDB_Movies!$G4035</f>
        <v>22783508</v>
      </c>
    </row>
    <row r="4036" spans="1:9" ht="23">
      <c r="A4036" s="2" t="s">
        <v>5958</v>
      </c>
      <c r="B4036" s="9" t="s">
        <v>2840</v>
      </c>
      <c r="C4036" s="9" t="s">
        <v>56</v>
      </c>
      <c r="D4036" s="9" t="s">
        <v>11</v>
      </c>
      <c r="E4036" s="9">
        <v>95</v>
      </c>
      <c r="F4036" s="9">
        <v>5.9</v>
      </c>
      <c r="G4036" s="9">
        <v>20000000</v>
      </c>
      <c r="H4036" s="9">
        <v>27012</v>
      </c>
      <c r="I4036" s="5">
        <f>IMDB_Movies!$H4036-IMDB_Movies!$G4036</f>
        <v>-19972988</v>
      </c>
    </row>
    <row r="4037" spans="1:9" ht="23">
      <c r="A4037" s="3" t="s">
        <v>5959</v>
      </c>
      <c r="B4037" s="10" t="s">
        <v>5960</v>
      </c>
      <c r="C4037" s="10" t="s">
        <v>2945</v>
      </c>
      <c r="D4037" s="10" t="s">
        <v>11</v>
      </c>
      <c r="E4037" s="10">
        <v>108</v>
      </c>
      <c r="F4037" s="10">
        <v>5.8</v>
      </c>
      <c r="G4037" s="10">
        <v>20000000</v>
      </c>
      <c r="H4037" s="10">
        <v>25078937</v>
      </c>
      <c r="I4037" s="5">
        <f>IMDB_Movies!$H4037-IMDB_Movies!$G4037</f>
        <v>5078937</v>
      </c>
    </row>
    <row r="4038" spans="1:9" ht="23">
      <c r="A4038" s="2" t="s">
        <v>5961</v>
      </c>
      <c r="B4038" s="9" t="s">
        <v>5962</v>
      </c>
      <c r="C4038" s="9" t="s">
        <v>24</v>
      </c>
      <c r="D4038" s="9" t="s">
        <v>11</v>
      </c>
      <c r="E4038" s="9">
        <v>90</v>
      </c>
      <c r="F4038" s="9">
        <v>7.3</v>
      </c>
      <c r="G4038" s="9">
        <v>2300000</v>
      </c>
      <c r="H4038" s="9">
        <v>25078937</v>
      </c>
      <c r="I4038" s="5">
        <f>IMDB_Movies!$H4038-IMDB_Movies!$G4038</f>
        <v>22778937</v>
      </c>
    </row>
    <row r="4039" spans="1:9" ht="23">
      <c r="A4039" s="3" t="s">
        <v>5963</v>
      </c>
      <c r="B4039" s="10" t="s">
        <v>736</v>
      </c>
      <c r="C4039" s="10" t="s">
        <v>116</v>
      </c>
      <c r="D4039" s="10" t="s">
        <v>11</v>
      </c>
      <c r="E4039" s="10">
        <v>120</v>
      </c>
      <c r="F4039" s="10">
        <v>7.8</v>
      </c>
      <c r="G4039" s="10">
        <v>2280000</v>
      </c>
      <c r="H4039" s="10">
        <v>76400000</v>
      </c>
      <c r="I4039" s="5">
        <f>IMDB_Movies!$H4039-IMDB_Movies!$G4039</f>
        <v>74120000</v>
      </c>
    </row>
    <row r="4040" spans="1:9" ht="23">
      <c r="A4040" s="2" t="s">
        <v>5964</v>
      </c>
      <c r="B4040" s="9" t="s">
        <v>5965</v>
      </c>
      <c r="C4040" s="9" t="s">
        <v>56</v>
      </c>
      <c r="D4040" s="9" t="s">
        <v>11</v>
      </c>
      <c r="E4040" s="9">
        <v>90</v>
      </c>
      <c r="F4040" s="9">
        <v>6.9</v>
      </c>
      <c r="G4040" s="9">
        <v>2500000</v>
      </c>
      <c r="H4040" s="9">
        <v>25078937</v>
      </c>
      <c r="I4040" s="5">
        <f>IMDB_Movies!$H4040-IMDB_Movies!$G4040</f>
        <v>22578937</v>
      </c>
    </row>
    <row r="4041" spans="1:9" ht="23">
      <c r="A4041" s="3" t="s">
        <v>5966</v>
      </c>
      <c r="B4041" s="10" t="s">
        <v>1952</v>
      </c>
      <c r="C4041" s="10" t="s">
        <v>810</v>
      </c>
      <c r="D4041" s="10" t="s">
        <v>11</v>
      </c>
      <c r="E4041" s="10">
        <v>91</v>
      </c>
      <c r="F4041" s="10">
        <v>5.7</v>
      </c>
      <c r="G4041" s="10">
        <v>4000000</v>
      </c>
      <c r="H4041" s="10">
        <v>36200000</v>
      </c>
      <c r="I4041" s="5">
        <f>IMDB_Movies!$H4041-IMDB_Movies!$G4041</f>
        <v>32200000</v>
      </c>
    </row>
    <row r="4042" spans="1:9" ht="23">
      <c r="A4042" s="2" t="s">
        <v>5967</v>
      </c>
      <c r="B4042" s="9" t="s">
        <v>5968</v>
      </c>
      <c r="C4042" s="9" t="s">
        <v>810</v>
      </c>
      <c r="D4042" s="9" t="s">
        <v>11</v>
      </c>
      <c r="E4042" s="9">
        <v>92</v>
      </c>
      <c r="F4042" s="9">
        <v>4.7</v>
      </c>
      <c r="G4042" s="9">
        <v>2200000</v>
      </c>
      <c r="H4042" s="9">
        <v>21300000</v>
      </c>
      <c r="I4042" s="5">
        <f>IMDB_Movies!$H4042-IMDB_Movies!$G4042</f>
        <v>19100000</v>
      </c>
    </row>
    <row r="4043" spans="1:9" ht="23">
      <c r="A4043" s="3" t="s">
        <v>5969</v>
      </c>
      <c r="B4043" s="10" t="s">
        <v>5970</v>
      </c>
      <c r="C4043" s="10" t="s">
        <v>56</v>
      </c>
      <c r="D4043" s="10" t="s">
        <v>11</v>
      </c>
      <c r="E4043" s="10">
        <v>117</v>
      </c>
      <c r="F4043" s="10">
        <v>5.9</v>
      </c>
      <c r="G4043" s="10">
        <v>2200000</v>
      </c>
      <c r="H4043" s="10">
        <v>379643</v>
      </c>
      <c r="I4043" s="5">
        <f>IMDB_Movies!$H4043-IMDB_Movies!$G4043</f>
        <v>-1820357</v>
      </c>
    </row>
    <row r="4044" spans="1:9" ht="23">
      <c r="A4044" s="2" t="s">
        <v>5971</v>
      </c>
      <c r="B4044" s="9" t="s">
        <v>5972</v>
      </c>
      <c r="C4044" s="9" t="s">
        <v>56</v>
      </c>
      <c r="D4044" s="9" t="s">
        <v>11</v>
      </c>
      <c r="E4044" s="9">
        <v>120</v>
      </c>
      <c r="F4044" s="9">
        <v>5.9</v>
      </c>
      <c r="G4044" s="9">
        <v>2300000</v>
      </c>
      <c r="H4044" s="9">
        <v>12985267</v>
      </c>
      <c r="I4044" s="5">
        <f>IMDB_Movies!$H4044-IMDB_Movies!$G4044</f>
        <v>10685267</v>
      </c>
    </row>
    <row r="4045" spans="1:9" ht="23">
      <c r="A4045" s="3" t="s">
        <v>5973</v>
      </c>
      <c r="B4045" s="10" t="s">
        <v>5974</v>
      </c>
      <c r="C4045" s="10" t="s">
        <v>2945</v>
      </c>
      <c r="D4045" s="10" t="s">
        <v>11</v>
      </c>
      <c r="E4045" s="10">
        <v>90</v>
      </c>
      <c r="F4045" s="10">
        <v>4.3</v>
      </c>
      <c r="G4045" s="10">
        <v>2200000</v>
      </c>
      <c r="H4045" s="10">
        <v>25078937</v>
      </c>
      <c r="I4045" s="5">
        <f>IMDB_Movies!$H4045-IMDB_Movies!$G4045</f>
        <v>22878937</v>
      </c>
    </row>
    <row r="4046" spans="1:9" ht="23">
      <c r="A4046" s="2" t="s">
        <v>5975</v>
      </c>
      <c r="B4046" s="9" t="s">
        <v>5976</v>
      </c>
      <c r="C4046" s="9" t="s">
        <v>56</v>
      </c>
      <c r="D4046" s="9" t="s">
        <v>11</v>
      </c>
      <c r="E4046" s="9">
        <v>119</v>
      </c>
      <c r="F4046" s="9">
        <v>7.5</v>
      </c>
      <c r="G4046" s="9">
        <v>2160000</v>
      </c>
      <c r="H4046" s="9">
        <v>25078937</v>
      </c>
      <c r="I4046" s="5">
        <f>IMDB_Movies!$H4046-IMDB_Movies!$G4046</f>
        <v>22918937</v>
      </c>
    </row>
    <row r="4047" spans="1:9" ht="23">
      <c r="A4047" s="3" t="s">
        <v>5977</v>
      </c>
      <c r="B4047" s="10" t="s">
        <v>5978</v>
      </c>
      <c r="C4047" s="10" t="s">
        <v>56</v>
      </c>
      <c r="D4047" s="10" t="s">
        <v>11</v>
      </c>
      <c r="E4047" s="10">
        <v>90</v>
      </c>
      <c r="F4047" s="10">
        <v>4.8</v>
      </c>
      <c r="G4047" s="10">
        <v>20000000</v>
      </c>
      <c r="H4047" s="10">
        <v>25078937</v>
      </c>
      <c r="I4047" s="5">
        <f>IMDB_Movies!$H4047-IMDB_Movies!$G4047</f>
        <v>5078937</v>
      </c>
    </row>
    <row r="4048" spans="1:9" ht="23">
      <c r="A4048" s="2" t="s">
        <v>5979</v>
      </c>
      <c r="B4048" s="9" t="s">
        <v>5980</v>
      </c>
      <c r="C4048" s="9" t="s">
        <v>138</v>
      </c>
      <c r="D4048" s="9" t="s">
        <v>11</v>
      </c>
      <c r="E4048" s="9">
        <v>90</v>
      </c>
      <c r="F4048" s="9">
        <v>5.8</v>
      </c>
      <c r="G4048" s="9">
        <v>1200000</v>
      </c>
      <c r="H4048" s="9">
        <v>25078937</v>
      </c>
      <c r="I4048" s="5">
        <f>IMDB_Movies!$H4048-IMDB_Movies!$G4048</f>
        <v>23878937</v>
      </c>
    </row>
    <row r="4049" spans="1:9" ht="23">
      <c r="A4049" s="3" t="s">
        <v>5981</v>
      </c>
      <c r="B4049" s="10" t="s">
        <v>5982</v>
      </c>
      <c r="C4049" s="10" t="s">
        <v>138</v>
      </c>
      <c r="D4049" s="10" t="s">
        <v>11</v>
      </c>
      <c r="E4049" s="10">
        <v>97</v>
      </c>
      <c r="F4049" s="10">
        <v>5.3</v>
      </c>
      <c r="G4049" s="10">
        <v>2400000</v>
      </c>
      <c r="H4049" s="10">
        <v>25078937</v>
      </c>
      <c r="I4049" s="5">
        <f>IMDB_Movies!$H4049-IMDB_Movies!$G4049</f>
        <v>22678937</v>
      </c>
    </row>
    <row r="4050" spans="1:9" ht="23">
      <c r="A4050" s="2" t="s">
        <v>5983</v>
      </c>
      <c r="B4050" s="9" t="s">
        <v>5092</v>
      </c>
      <c r="C4050" s="9" t="s">
        <v>10</v>
      </c>
      <c r="D4050" s="9" t="s">
        <v>11</v>
      </c>
      <c r="E4050" s="9">
        <v>90</v>
      </c>
      <c r="F4050" s="9">
        <v>6</v>
      </c>
      <c r="G4050" s="9">
        <v>2500000</v>
      </c>
      <c r="H4050" s="9">
        <v>25078937</v>
      </c>
      <c r="I4050" s="5">
        <f>IMDB_Movies!$H4050-IMDB_Movies!$G4050</f>
        <v>22578937</v>
      </c>
    </row>
    <row r="4051" spans="1:9" ht="23">
      <c r="A4051" s="3" t="s">
        <v>5984</v>
      </c>
      <c r="B4051" s="10" t="s">
        <v>5985</v>
      </c>
      <c r="C4051" s="10" t="s">
        <v>56</v>
      </c>
      <c r="D4051" s="10" t="s">
        <v>11</v>
      </c>
      <c r="E4051" s="10">
        <v>172</v>
      </c>
      <c r="F4051" s="10">
        <v>8.1</v>
      </c>
      <c r="G4051" s="10">
        <v>2100000</v>
      </c>
      <c r="H4051" s="10">
        <v>23650000</v>
      </c>
      <c r="I4051" s="5">
        <f>IMDB_Movies!$H4051-IMDB_Movies!$G4051</f>
        <v>21550000</v>
      </c>
    </row>
    <row r="4052" spans="1:9" ht="23">
      <c r="A4052" s="2" t="s">
        <v>5986</v>
      </c>
      <c r="B4052" s="9" t="s">
        <v>5987</v>
      </c>
      <c r="C4052" s="9" t="s">
        <v>418</v>
      </c>
      <c r="D4052" s="9" t="s">
        <v>11</v>
      </c>
      <c r="E4052" s="9">
        <v>115</v>
      </c>
      <c r="F4052" s="9">
        <v>7</v>
      </c>
      <c r="G4052" s="9">
        <v>20000000</v>
      </c>
      <c r="H4052" s="9">
        <v>510092</v>
      </c>
      <c r="I4052" s="5">
        <f>IMDB_Movies!$H4052-IMDB_Movies!$G4052</f>
        <v>-19489908</v>
      </c>
    </row>
    <row r="4053" spans="1:9" ht="23">
      <c r="A4053" s="3" t="s">
        <v>5988</v>
      </c>
      <c r="B4053" s="10" t="s">
        <v>5989</v>
      </c>
      <c r="C4053" s="10" t="s">
        <v>138</v>
      </c>
      <c r="D4053" s="10" t="s">
        <v>5188</v>
      </c>
      <c r="E4053" s="10">
        <v>89</v>
      </c>
      <c r="F4053" s="10">
        <v>7.6</v>
      </c>
      <c r="G4053" s="10">
        <v>15500000</v>
      </c>
      <c r="H4053" s="10">
        <v>313436</v>
      </c>
      <c r="I4053" s="5">
        <f>IMDB_Movies!$H4053-IMDB_Movies!$G4053</f>
        <v>-15186564</v>
      </c>
    </row>
    <row r="4054" spans="1:9" ht="23">
      <c r="A4054" s="2" t="s">
        <v>5990</v>
      </c>
      <c r="B4054" s="9" t="s">
        <v>5991</v>
      </c>
      <c r="C4054" s="9" t="s">
        <v>414</v>
      </c>
      <c r="D4054" s="9" t="s">
        <v>11</v>
      </c>
      <c r="E4054" s="9">
        <v>125</v>
      </c>
      <c r="F4054" s="9">
        <v>7.2</v>
      </c>
      <c r="G4054" s="9">
        <v>2100000</v>
      </c>
      <c r="H4054" s="9">
        <v>3330</v>
      </c>
      <c r="I4054" s="5">
        <f>IMDB_Movies!$H4054-IMDB_Movies!$G4054</f>
        <v>-2096670</v>
      </c>
    </row>
    <row r="4055" spans="1:9" ht="23">
      <c r="A4055" s="3" t="s">
        <v>5992</v>
      </c>
      <c r="B4055" s="10" t="s">
        <v>4305</v>
      </c>
      <c r="C4055" s="10" t="s">
        <v>810</v>
      </c>
      <c r="D4055" s="10" t="s">
        <v>741</v>
      </c>
      <c r="E4055" s="10">
        <v>78</v>
      </c>
      <c r="F4055" s="10">
        <v>7.5</v>
      </c>
      <c r="G4055" s="10">
        <v>1500000</v>
      </c>
      <c r="H4055" s="10">
        <v>25078937</v>
      </c>
      <c r="I4055" s="5">
        <f>IMDB_Movies!$H4055-IMDB_Movies!$G4055</f>
        <v>23578937</v>
      </c>
    </row>
    <row r="4056" spans="1:9" ht="23">
      <c r="A4056" s="2" t="s">
        <v>5993</v>
      </c>
      <c r="B4056" s="9" t="s">
        <v>5756</v>
      </c>
      <c r="C4056" s="9" t="s">
        <v>56</v>
      </c>
      <c r="D4056" s="9" t="s">
        <v>11</v>
      </c>
      <c r="E4056" s="9">
        <v>89</v>
      </c>
      <c r="F4056" s="9">
        <v>6.3</v>
      </c>
      <c r="G4056" s="9">
        <v>2100000</v>
      </c>
      <c r="H4056" s="9">
        <v>25078937</v>
      </c>
      <c r="I4056" s="5">
        <f>IMDB_Movies!$H4056-IMDB_Movies!$G4056</f>
        <v>22978937</v>
      </c>
    </row>
    <row r="4057" spans="1:9" ht="23">
      <c r="A4057" s="3" t="s">
        <v>5994</v>
      </c>
      <c r="B4057" s="10" t="s">
        <v>5995</v>
      </c>
      <c r="C4057" s="10" t="s">
        <v>138</v>
      </c>
      <c r="D4057" s="10" t="s">
        <v>11</v>
      </c>
      <c r="E4057" s="10">
        <v>100</v>
      </c>
      <c r="F4057" s="10">
        <v>6.7</v>
      </c>
      <c r="G4057" s="10">
        <v>2100000</v>
      </c>
      <c r="H4057" s="10">
        <v>25078937</v>
      </c>
      <c r="I4057" s="5">
        <f>IMDB_Movies!$H4057-IMDB_Movies!$G4057</f>
        <v>22978937</v>
      </c>
    </row>
    <row r="4058" spans="1:9" ht="23">
      <c r="A4058" s="2" t="s">
        <v>5996</v>
      </c>
      <c r="B4058" s="9" t="s">
        <v>5997</v>
      </c>
      <c r="C4058" s="9" t="s">
        <v>810</v>
      </c>
      <c r="D4058" s="9" t="s">
        <v>11</v>
      </c>
      <c r="E4058" s="9">
        <v>77</v>
      </c>
      <c r="F4058" s="9">
        <v>4.8</v>
      </c>
      <c r="G4058" s="9">
        <v>20000000</v>
      </c>
      <c r="H4058" s="9">
        <v>25078937</v>
      </c>
      <c r="I4058" s="5">
        <f>IMDB_Movies!$H4058-IMDB_Movies!$G4058</f>
        <v>5078937</v>
      </c>
    </row>
    <row r="4059" spans="1:9" ht="23">
      <c r="A4059" s="3" t="s">
        <v>5998</v>
      </c>
      <c r="B4059" s="10" t="s">
        <v>5999</v>
      </c>
      <c r="C4059" s="10" t="s">
        <v>24</v>
      </c>
      <c r="D4059" s="10" t="s">
        <v>11</v>
      </c>
      <c r="E4059" s="10">
        <v>81</v>
      </c>
      <c r="F4059" s="10">
        <v>5.5</v>
      </c>
      <c r="G4059" s="10">
        <v>2100000</v>
      </c>
      <c r="H4059" s="10">
        <v>25078937</v>
      </c>
      <c r="I4059" s="5">
        <f>IMDB_Movies!$H4059-IMDB_Movies!$G4059</f>
        <v>22978937</v>
      </c>
    </row>
    <row r="4060" spans="1:9" ht="23">
      <c r="A4060" s="2" t="s">
        <v>6000</v>
      </c>
      <c r="B4060" s="9" t="s">
        <v>1560</v>
      </c>
      <c r="C4060" s="9" t="s">
        <v>10</v>
      </c>
      <c r="D4060" s="9" t="s">
        <v>11</v>
      </c>
      <c r="E4060" s="9">
        <v>115</v>
      </c>
      <c r="F4060" s="9">
        <v>7.5</v>
      </c>
      <c r="G4060" s="9">
        <v>2000000</v>
      </c>
      <c r="H4060" s="9">
        <v>24800000</v>
      </c>
      <c r="I4060" s="5">
        <f>IMDB_Movies!$H4060-IMDB_Movies!$G4060</f>
        <v>22800000</v>
      </c>
    </row>
    <row r="4061" spans="1:9" ht="23">
      <c r="A4061" s="3" t="s">
        <v>6001</v>
      </c>
      <c r="B4061" s="10" t="s">
        <v>6002</v>
      </c>
      <c r="C4061" s="10" t="s">
        <v>10</v>
      </c>
      <c r="D4061" s="10" t="s">
        <v>11</v>
      </c>
      <c r="E4061" s="10">
        <v>96</v>
      </c>
      <c r="F4061" s="10">
        <v>5.0999999999999996</v>
      </c>
      <c r="G4061" s="10">
        <v>2300000</v>
      </c>
      <c r="H4061" s="10">
        <v>792966</v>
      </c>
      <c r="I4061" s="5">
        <f>IMDB_Movies!$H4061-IMDB_Movies!$G4061</f>
        <v>-1507034</v>
      </c>
    </row>
    <row r="4062" spans="1:9" ht="23">
      <c r="A4062" s="2" t="s">
        <v>6003</v>
      </c>
      <c r="B4062" s="9" t="s">
        <v>2304</v>
      </c>
      <c r="C4062" s="9" t="s">
        <v>138</v>
      </c>
      <c r="D4062" s="9" t="s">
        <v>11</v>
      </c>
      <c r="E4062" s="9">
        <v>89</v>
      </c>
      <c r="F4062" s="9">
        <v>7.3</v>
      </c>
      <c r="G4062" s="9">
        <v>2000000</v>
      </c>
      <c r="H4062" s="9">
        <v>25078937</v>
      </c>
      <c r="I4062" s="5">
        <f>IMDB_Movies!$H4062-IMDB_Movies!$G4062</f>
        <v>23078937</v>
      </c>
    </row>
    <row r="4063" spans="1:9" ht="23">
      <c r="A4063" s="3" t="s">
        <v>6004</v>
      </c>
      <c r="B4063" s="10" t="s">
        <v>6005</v>
      </c>
      <c r="C4063" s="10" t="s">
        <v>810</v>
      </c>
      <c r="D4063" s="10" t="s">
        <v>11</v>
      </c>
      <c r="E4063" s="10">
        <v>100</v>
      </c>
      <c r="F4063" s="10">
        <v>6.9</v>
      </c>
      <c r="G4063" s="10">
        <v>2000000</v>
      </c>
      <c r="H4063" s="10">
        <v>14673301</v>
      </c>
      <c r="I4063" s="5">
        <f>IMDB_Movies!$H4063-IMDB_Movies!$G4063</f>
        <v>12673301</v>
      </c>
    </row>
    <row r="4064" spans="1:9" ht="23">
      <c r="A4064" s="2" t="s">
        <v>6006</v>
      </c>
      <c r="B4064" s="9" t="s">
        <v>2304</v>
      </c>
      <c r="C4064" s="9" t="s">
        <v>138</v>
      </c>
      <c r="D4064" s="9" t="s">
        <v>11</v>
      </c>
      <c r="E4064" s="9">
        <v>88</v>
      </c>
      <c r="F4064" s="9">
        <v>6.8</v>
      </c>
      <c r="G4064" s="9">
        <v>2000000</v>
      </c>
      <c r="H4064" s="9">
        <v>25078937</v>
      </c>
      <c r="I4064" s="5">
        <f>IMDB_Movies!$H4064-IMDB_Movies!$G4064</f>
        <v>23078937</v>
      </c>
    </row>
    <row r="4065" spans="1:9" ht="23">
      <c r="A4065" s="3" t="s">
        <v>6007</v>
      </c>
      <c r="B4065" s="10" t="s">
        <v>6008</v>
      </c>
      <c r="C4065" s="10" t="s">
        <v>414</v>
      </c>
      <c r="D4065" s="10" t="s">
        <v>11</v>
      </c>
      <c r="E4065" s="10">
        <v>129</v>
      </c>
      <c r="F4065" s="10">
        <v>8.4</v>
      </c>
      <c r="G4065" s="10">
        <v>2000000</v>
      </c>
      <c r="H4065" s="10">
        <v>25078937</v>
      </c>
      <c r="I4065" s="5">
        <f>IMDB_Movies!$H4065-IMDB_Movies!$G4065</f>
        <v>23078937</v>
      </c>
    </row>
    <row r="4066" spans="1:9" ht="23">
      <c r="A4066" s="2" t="s">
        <v>6009</v>
      </c>
      <c r="B4066" s="9" t="s">
        <v>225</v>
      </c>
      <c r="C4066" s="9" t="s">
        <v>10</v>
      </c>
      <c r="D4066" s="9" t="s">
        <v>11</v>
      </c>
      <c r="E4066" s="9">
        <v>87</v>
      </c>
      <c r="F4066" s="9">
        <v>7.6</v>
      </c>
      <c r="G4066" s="9">
        <v>2000000</v>
      </c>
      <c r="H4066" s="9">
        <v>9003011</v>
      </c>
      <c r="I4066" s="5">
        <f>IMDB_Movies!$H4066-IMDB_Movies!$G4066</f>
        <v>7003011</v>
      </c>
    </row>
    <row r="4067" spans="1:9" ht="23">
      <c r="A4067" s="3" t="s">
        <v>6010</v>
      </c>
      <c r="B4067" s="10" t="s">
        <v>6011</v>
      </c>
      <c r="C4067" s="10" t="s">
        <v>10</v>
      </c>
      <c r="D4067" s="10" t="s">
        <v>2005</v>
      </c>
      <c r="E4067" s="10">
        <v>102</v>
      </c>
      <c r="F4067" s="10">
        <v>7.6</v>
      </c>
      <c r="G4067" s="10">
        <v>2000000</v>
      </c>
      <c r="H4067" s="10">
        <v>11546543</v>
      </c>
      <c r="I4067" s="5">
        <f>IMDB_Movies!$H4067-IMDB_Movies!$G4067</f>
        <v>9546543</v>
      </c>
    </row>
    <row r="4068" spans="1:9" ht="23">
      <c r="A4068" s="2" t="s">
        <v>6012</v>
      </c>
      <c r="B4068" s="9" t="s">
        <v>2351</v>
      </c>
      <c r="C4068" s="9" t="s">
        <v>418</v>
      </c>
      <c r="D4068" s="9" t="s">
        <v>11</v>
      </c>
      <c r="E4068" s="9">
        <v>118</v>
      </c>
      <c r="F4068" s="9">
        <v>7.6</v>
      </c>
      <c r="G4068" s="9">
        <v>2000000</v>
      </c>
      <c r="H4068" s="9">
        <v>11533945</v>
      </c>
      <c r="I4068" s="5">
        <f>IMDB_Movies!$H4068-IMDB_Movies!$G4068</f>
        <v>9533945</v>
      </c>
    </row>
    <row r="4069" spans="1:9" ht="23">
      <c r="A4069" s="3" t="s">
        <v>6013</v>
      </c>
      <c r="B4069" s="10" t="s">
        <v>6014</v>
      </c>
      <c r="C4069" s="10" t="s">
        <v>56</v>
      </c>
      <c r="D4069" s="10" t="s">
        <v>11</v>
      </c>
      <c r="E4069" s="10">
        <v>86</v>
      </c>
      <c r="F4069" s="10">
        <v>5.3</v>
      </c>
      <c r="G4069" s="10">
        <v>2000000</v>
      </c>
      <c r="H4069" s="10">
        <v>12555230</v>
      </c>
      <c r="I4069" s="5">
        <f>IMDB_Movies!$H4069-IMDB_Movies!$G4069</f>
        <v>10555230</v>
      </c>
    </row>
    <row r="4070" spans="1:9" ht="23">
      <c r="A4070" s="2" t="s">
        <v>6015</v>
      </c>
      <c r="B4070" s="9" t="s">
        <v>487</v>
      </c>
      <c r="C4070" s="9" t="s">
        <v>56</v>
      </c>
      <c r="D4070" s="9" t="s">
        <v>2452</v>
      </c>
      <c r="E4070" s="9">
        <v>137</v>
      </c>
      <c r="F4070" s="9">
        <v>8.5</v>
      </c>
      <c r="G4070" s="9">
        <v>2000000</v>
      </c>
      <c r="H4070" s="9">
        <v>11284657</v>
      </c>
      <c r="I4070" s="5">
        <f>IMDB_Movies!$H4070-IMDB_Movies!$G4070</f>
        <v>9284657</v>
      </c>
    </row>
    <row r="4071" spans="1:9" ht="23">
      <c r="A4071" s="3" t="s">
        <v>6016</v>
      </c>
      <c r="B4071" s="10" t="s">
        <v>6017</v>
      </c>
      <c r="C4071" s="10" t="s">
        <v>56</v>
      </c>
      <c r="D4071" s="10" t="s">
        <v>11</v>
      </c>
      <c r="E4071" s="10">
        <v>129</v>
      </c>
      <c r="F4071" s="10">
        <v>7</v>
      </c>
      <c r="G4071" s="10">
        <v>2000000</v>
      </c>
      <c r="H4071" s="10">
        <v>34522221</v>
      </c>
      <c r="I4071" s="5">
        <f>IMDB_Movies!$H4071-IMDB_Movies!$G4071</f>
        <v>32522221</v>
      </c>
    </row>
    <row r="4072" spans="1:9" ht="23">
      <c r="A4072" s="2" t="s">
        <v>6018</v>
      </c>
      <c r="B4072" s="9" t="s">
        <v>6019</v>
      </c>
      <c r="C4072" s="9" t="s">
        <v>56</v>
      </c>
      <c r="D4072" s="9" t="s">
        <v>11</v>
      </c>
      <c r="E4072" s="9">
        <v>134</v>
      </c>
      <c r="F4072" s="9">
        <v>8</v>
      </c>
      <c r="G4072" s="9">
        <v>2000000</v>
      </c>
      <c r="H4072" s="9">
        <v>25078937</v>
      </c>
      <c r="I4072" s="5">
        <f>IMDB_Movies!$H4072-IMDB_Movies!$G4072</f>
        <v>23078937</v>
      </c>
    </row>
    <row r="4073" spans="1:9" ht="23">
      <c r="A4073" s="3" t="s">
        <v>6020</v>
      </c>
      <c r="B4073" s="10" t="s">
        <v>6021</v>
      </c>
      <c r="C4073" s="10" t="s">
        <v>24</v>
      </c>
      <c r="D4073" s="10" t="s">
        <v>11</v>
      </c>
      <c r="E4073" s="10">
        <v>119</v>
      </c>
      <c r="F4073" s="10">
        <v>7.1</v>
      </c>
      <c r="G4073" s="10">
        <v>1614000</v>
      </c>
      <c r="H4073" s="10">
        <v>25078937</v>
      </c>
      <c r="I4073" s="5">
        <f>IMDB_Movies!$H4073-IMDB_Movies!$G4073</f>
        <v>23464937</v>
      </c>
    </row>
    <row r="4074" spans="1:9" ht="23">
      <c r="A4074" s="2" t="s">
        <v>6022</v>
      </c>
      <c r="B4074" s="9" t="s">
        <v>6023</v>
      </c>
      <c r="C4074" s="9" t="s">
        <v>116</v>
      </c>
      <c r="D4074" s="9" t="s">
        <v>394</v>
      </c>
      <c r="E4074" s="9">
        <v>80</v>
      </c>
      <c r="F4074" s="9">
        <v>7.8</v>
      </c>
      <c r="G4074" s="9">
        <v>9500000</v>
      </c>
      <c r="H4074" s="9">
        <v>7002255</v>
      </c>
      <c r="I4074" s="5">
        <f>IMDB_Movies!$H4074-IMDB_Movies!$G4074</f>
        <v>-2497745</v>
      </c>
    </row>
    <row r="4075" spans="1:9" ht="23">
      <c r="A4075" s="3" t="s">
        <v>6024</v>
      </c>
      <c r="B4075" s="10" t="s">
        <v>6025</v>
      </c>
      <c r="C4075" s="10" t="s">
        <v>138</v>
      </c>
      <c r="D4075" s="10" t="s">
        <v>11</v>
      </c>
      <c r="E4075" s="10">
        <v>89</v>
      </c>
      <c r="F4075" s="10">
        <v>7.2</v>
      </c>
      <c r="G4075" s="10">
        <v>2000000</v>
      </c>
      <c r="H4075" s="10">
        <v>6719300</v>
      </c>
      <c r="I4075" s="5">
        <f>IMDB_Movies!$H4075-IMDB_Movies!$G4075</f>
        <v>4719300</v>
      </c>
    </row>
    <row r="4076" spans="1:9" ht="23">
      <c r="A4076" s="2" t="s">
        <v>6026</v>
      </c>
      <c r="B4076" s="9" t="s">
        <v>4955</v>
      </c>
      <c r="C4076" s="9" t="s">
        <v>418</v>
      </c>
      <c r="D4076" s="9" t="s">
        <v>11</v>
      </c>
      <c r="E4076" s="9">
        <v>101</v>
      </c>
      <c r="F4076" s="9">
        <v>7.5</v>
      </c>
      <c r="G4076" s="9">
        <v>20000000</v>
      </c>
      <c r="H4076" s="9">
        <v>6003587</v>
      </c>
      <c r="I4076" s="5">
        <f>IMDB_Movies!$H4076-IMDB_Movies!$G4076</f>
        <v>-13996413</v>
      </c>
    </row>
    <row r="4077" spans="1:9" ht="23">
      <c r="A4077" s="3" t="s">
        <v>6027</v>
      </c>
      <c r="B4077" s="10" t="s">
        <v>2571</v>
      </c>
      <c r="C4077" s="10" t="s">
        <v>56</v>
      </c>
      <c r="D4077" s="10" t="s">
        <v>11</v>
      </c>
      <c r="E4077" s="10">
        <v>80</v>
      </c>
      <c r="F4077" s="10">
        <v>8</v>
      </c>
      <c r="G4077" s="10">
        <v>2700000</v>
      </c>
      <c r="H4077" s="10">
        <v>5792822</v>
      </c>
      <c r="I4077" s="5">
        <f>IMDB_Movies!$H4077-IMDB_Movies!$G4077</f>
        <v>3092822</v>
      </c>
    </row>
    <row r="4078" spans="1:9" ht="23">
      <c r="A4078" s="2" t="s">
        <v>6028</v>
      </c>
      <c r="B4078" s="9" t="s">
        <v>305</v>
      </c>
      <c r="C4078" s="9" t="s">
        <v>56</v>
      </c>
      <c r="D4078" s="9" t="s">
        <v>741</v>
      </c>
      <c r="E4078" s="9">
        <v>115</v>
      </c>
      <c r="F4078" s="9">
        <v>8.1</v>
      </c>
      <c r="G4078" s="9">
        <v>2000000</v>
      </c>
      <c r="H4078" s="9">
        <v>5383834</v>
      </c>
      <c r="I4078" s="5">
        <f>IMDB_Movies!$H4078-IMDB_Movies!$G4078</f>
        <v>3383834</v>
      </c>
    </row>
    <row r="4079" spans="1:9" ht="23">
      <c r="A4079" s="3" t="s">
        <v>6029</v>
      </c>
      <c r="B4079" s="10" t="s">
        <v>1693</v>
      </c>
      <c r="C4079" s="10" t="s">
        <v>56</v>
      </c>
      <c r="D4079" s="10" t="s">
        <v>11</v>
      </c>
      <c r="E4079" s="10">
        <v>100</v>
      </c>
      <c r="F4079" s="10">
        <v>6.8</v>
      </c>
      <c r="G4079" s="10">
        <v>1500000</v>
      </c>
      <c r="H4079" s="10">
        <v>4599680</v>
      </c>
      <c r="I4079" s="5">
        <f>IMDB_Movies!$H4079-IMDB_Movies!$G4079</f>
        <v>3099680</v>
      </c>
    </row>
    <row r="4080" spans="1:9" ht="23">
      <c r="A4080" s="2" t="s">
        <v>6030</v>
      </c>
      <c r="B4080" s="9" t="s">
        <v>6031</v>
      </c>
      <c r="C4080" s="9" t="s">
        <v>56</v>
      </c>
      <c r="D4080" s="9" t="s">
        <v>11</v>
      </c>
      <c r="E4080" s="9">
        <v>118</v>
      </c>
      <c r="F4080" s="9">
        <v>7.4</v>
      </c>
      <c r="G4080" s="9">
        <v>2000000</v>
      </c>
      <c r="H4080" s="9">
        <v>25078937</v>
      </c>
      <c r="I4080" s="5">
        <f>IMDB_Movies!$H4080-IMDB_Movies!$G4080</f>
        <v>23078937</v>
      </c>
    </row>
    <row r="4081" spans="1:9" ht="23">
      <c r="A4081" s="3" t="s">
        <v>6032</v>
      </c>
      <c r="B4081" s="10" t="s">
        <v>6033</v>
      </c>
      <c r="C4081" s="10" t="s">
        <v>56</v>
      </c>
      <c r="D4081" s="10" t="s">
        <v>11</v>
      </c>
      <c r="E4081" s="10">
        <v>100</v>
      </c>
      <c r="F4081" s="10">
        <v>7.2</v>
      </c>
      <c r="G4081" s="10">
        <v>2000000</v>
      </c>
      <c r="H4081" s="10">
        <v>6531491</v>
      </c>
      <c r="I4081" s="5">
        <f>IMDB_Movies!$H4081-IMDB_Movies!$G4081</f>
        <v>4531491</v>
      </c>
    </row>
    <row r="4082" spans="1:9" ht="23">
      <c r="A4082" s="2" t="s">
        <v>6034</v>
      </c>
      <c r="B4082" s="9" t="s">
        <v>1144</v>
      </c>
      <c r="C4082" s="9" t="s">
        <v>24</v>
      </c>
      <c r="D4082" s="9" t="s">
        <v>11</v>
      </c>
      <c r="E4082" s="9">
        <v>106</v>
      </c>
      <c r="F4082" s="9">
        <v>8.1</v>
      </c>
      <c r="G4082" s="9">
        <v>20000000</v>
      </c>
      <c r="H4082" s="9">
        <v>4581222</v>
      </c>
      <c r="I4082" s="5">
        <f>IMDB_Movies!$H4082-IMDB_Movies!$G4082</f>
        <v>-15418778</v>
      </c>
    </row>
    <row r="4083" spans="1:9" ht="23">
      <c r="A4083" s="3" t="s">
        <v>6035</v>
      </c>
      <c r="B4083" s="10" t="s">
        <v>6036</v>
      </c>
      <c r="C4083" s="10" t="s">
        <v>56</v>
      </c>
      <c r="D4083" s="10" t="s">
        <v>11</v>
      </c>
      <c r="E4083" s="10">
        <v>106</v>
      </c>
      <c r="F4083" s="10">
        <v>7</v>
      </c>
      <c r="G4083" s="10">
        <v>2000000</v>
      </c>
      <c r="H4083" s="10">
        <v>25078937</v>
      </c>
      <c r="I4083" s="5">
        <f>IMDB_Movies!$H4083-IMDB_Movies!$G4083</f>
        <v>23078937</v>
      </c>
    </row>
    <row r="4084" spans="1:9" ht="23">
      <c r="A4084" s="2" t="s">
        <v>6037</v>
      </c>
      <c r="B4084" s="9" t="s">
        <v>6038</v>
      </c>
      <c r="C4084" s="9" t="s">
        <v>138</v>
      </c>
      <c r="D4084" s="9" t="s">
        <v>11</v>
      </c>
      <c r="E4084" s="9">
        <v>91</v>
      </c>
      <c r="F4084" s="9">
        <v>7.4</v>
      </c>
      <c r="G4084" s="9">
        <v>2000000</v>
      </c>
      <c r="H4084" s="9">
        <v>3885134</v>
      </c>
      <c r="I4084" s="5">
        <f>IMDB_Movies!$H4084-IMDB_Movies!$G4084</f>
        <v>1885134</v>
      </c>
    </row>
    <row r="4085" spans="1:9" ht="23">
      <c r="A4085" s="3" t="s">
        <v>6039</v>
      </c>
      <c r="B4085" s="10" t="s">
        <v>5658</v>
      </c>
      <c r="C4085" s="10" t="s">
        <v>414</v>
      </c>
      <c r="D4085" s="10" t="s">
        <v>11</v>
      </c>
      <c r="E4085" s="10">
        <v>105</v>
      </c>
      <c r="F4085" s="10">
        <v>8.3000000000000007</v>
      </c>
      <c r="G4085" s="10">
        <v>20000000</v>
      </c>
      <c r="H4085" s="10">
        <v>4311834</v>
      </c>
      <c r="I4085" s="5">
        <f>IMDB_Movies!$H4085-IMDB_Movies!$G4085</f>
        <v>-15688166</v>
      </c>
    </row>
    <row r="4086" spans="1:9" ht="23">
      <c r="A4086" s="2" t="s">
        <v>6040</v>
      </c>
      <c r="B4086" s="9" t="s">
        <v>6041</v>
      </c>
      <c r="C4086" s="9" t="s">
        <v>56</v>
      </c>
      <c r="D4086" s="9" t="s">
        <v>11</v>
      </c>
      <c r="E4086" s="9">
        <v>96</v>
      </c>
      <c r="F4086" s="9">
        <v>6.1</v>
      </c>
      <c r="G4086" s="9">
        <v>2000000</v>
      </c>
      <c r="H4086" s="9">
        <v>3590010</v>
      </c>
      <c r="I4086" s="5">
        <f>IMDB_Movies!$H4086-IMDB_Movies!$G4086</f>
        <v>1590010</v>
      </c>
    </row>
    <row r="4087" spans="1:9" ht="23">
      <c r="A4087" s="3" t="s">
        <v>6042</v>
      </c>
      <c r="B4087" s="10" t="s">
        <v>6043</v>
      </c>
      <c r="C4087" s="10" t="s">
        <v>10</v>
      </c>
      <c r="D4087" s="10" t="s">
        <v>11</v>
      </c>
      <c r="E4087" s="10">
        <v>116</v>
      </c>
      <c r="F4087" s="10">
        <v>7.5</v>
      </c>
      <c r="G4087" s="10">
        <v>20000000</v>
      </c>
      <c r="H4087" s="10">
        <v>3300230</v>
      </c>
      <c r="I4087" s="5">
        <f>IMDB_Movies!$H4087-IMDB_Movies!$G4087</f>
        <v>-16699770</v>
      </c>
    </row>
    <row r="4088" spans="1:9" ht="23">
      <c r="A4088" s="2" t="s">
        <v>6044</v>
      </c>
      <c r="B4088" s="9" t="s">
        <v>135</v>
      </c>
      <c r="C4088" s="9" t="s">
        <v>10</v>
      </c>
      <c r="D4088" s="9" t="s">
        <v>11</v>
      </c>
      <c r="E4088" s="9">
        <v>116</v>
      </c>
      <c r="F4088" s="9">
        <v>7</v>
      </c>
      <c r="G4088" s="9">
        <v>2000000</v>
      </c>
      <c r="H4088" s="9">
        <v>3335839</v>
      </c>
      <c r="I4088" s="5">
        <f>IMDB_Movies!$H4088-IMDB_Movies!$G4088</f>
        <v>1335839</v>
      </c>
    </row>
    <row r="4089" spans="1:9" ht="23">
      <c r="A4089" s="3" t="s">
        <v>6045</v>
      </c>
      <c r="B4089" s="10" t="s">
        <v>1877</v>
      </c>
      <c r="C4089" s="10" t="s">
        <v>414</v>
      </c>
      <c r="D4089" s="10" t="s">
        <v>11</v>
      </c>
      <c r="E4089" s="10">
        <v>97</v>
      </c>
      <c r="F4089" s="10">
        <v>5.3</v>
      </c>
      <c r="G4089" s="10">
        <v>2000000</v>
      </c>
      <c r="H4089" s="10">
        <v>2557668</v>
      </c>
      <c r="I4089" s="5">
        <f>IMDB_Movies!$H4089-IMDB_Movies!$G4089</f>
        <v>557668</v>
      </c>
    </row>
    <row r="4090" spans="1:9" ht="23">
      <c r="A4090" s="2" t="s">
        <v>6046</v>
      </c>
      <c r="B4090" s="9" t="s">
        <v>413</v>
      </c>
      <c r="C4090" s="9" t="s">
        <v>138</v>
      </c>
      <c r="D4090" s="9" t="s">
        <v>11</v>
      </c>
      <c r="E4090" s="9">
        <v>101</v>
      </c>
      <c r="F4090" s="9">
        <v>4.7</v>
      </c>
      <c r="G4090" s="9">
        <v>2000000</v>
      </c>
      <c r="H4090" s="9">
        <v>2506446</v>
      </c>
      <c r="I4090" s="5">
        <f>IMDB_Movies!$H4090-IMDB_Movies!$G4090</f>
        <v>506446</v>
      </c>
    </row>
    <row r="4091" spans="1:9" ht="23">
      <c r="A4091" s="3" t="s">
        <v>6047</v>
      </c>
      <c r="B4091" s="10" t="s">
        <v>6048</v>
      </c>
      <c r="C4091" s="10" t="s">
        <v>810</v>
      </c>
      <c r="D4091" s="10" t="s">
        <v>11</v>
      </c>
      <c r="E4091" s="10">
        <v>98</v>
      </c>
      <c r="F4091" s="10">
        <v>5.7</v>
      </c>
      <c r="G4091" s="10">
        <v>2000000</v>
      </c>
      <c r="H4091" s="10">
        <v>7369373</v>
      </c>
      <c r="I4091" s="5">
        <f>IMDB_Movies!$H4091-IMDB_Movies!$G4091</f>
        <v>5369373</v>
      </c>
    </row>
    <row r="4092" spans="1:9" ht="23">
      <c r="A4092" s="2" t="s">
        <v>6049</v>
      </c>
      <c r="B4092" s="9" t="s">
        <v>5089</v>
      </c>
      <c r="C4092" s="9" t="s">
        <v>138</v>
      </c>
      <c r="D4092" s="9" t="s">
        <v>11</v>
      </c>
      <c r="E4092" s="9">
        <v>101</v>
      </c>
      <c r="F4092" s="9">
        <v>6.5</v>
      </c>
      <c r="G4092" s="9">
        <v>2000000</v>
      </c>
      <c r="H4092" s="9">
        <v>1984378</v>
      </c>
      <c r="I4092" s="5">
        <f>IMDB_Movies!$H4092-IMDB_Movies!$G4092</f>
        <v>-15622</v>
      </c>
    </row>
    <row r="4093" spans="1:9" ht="23">
      <c r="A4093" s="3" t="s">
        <v>6050</v>
      </c>
      <c r="B4093" s="10" t="s">
        <v>6051</v>
      </c>
      <c r="C4093" s="10" t="s">
        <v>116</v>
      </c>
      <c r="D4093" s="10" t="s">
        <v>3331</v>
      </c>
      <c r="E4093" s="10">
        <v>90</v>
      </c>
      <c r="F4093" s="10">
        <v>8</v>
      </c>
      <c r="G4093" s="10">
        <v>1500000</v>
      </c>
      <c r="H4093" s="10">
        <v>2283276</v>
      </c>
      <c r="I4093" s="5">
        <f>IMDB_Movies!$H4093-IMDB_Movies!$G4093</f>
        <v>783276</v>
      </c>
    </row>
    <row r="4094" spans="1:9" ht="23">
      <c r="A4094" s="2" t="s">
        <v>6052</v>
      </c>
      <c r="B4094" s="9" t="s">
        <v>6053</v>
      </c>
      <c r="C4094" s="9" t="s">
        <v>24</v>
      </c>
      <c r="D4094" s="9" t="s">
        <v>11</v>
      </c>
      <c r="E4094" s="9">
        <v>120</v>
      </c>
      <c r="F4094" s="9">
        <v>3.3</v>
      </c>
      <c r="G4094" s="9">
        <v>2000000</v>
      </c>
      <c r="H4094" s="9">
        <v>1098224</v>
      </c>
      <c r="I4094" s="5">
        <f>IMDB_Movies!$H4094-IMDB_Movies!$G4094</f>
        <v>-901776</v>
      </c>
    </row>
    <row r="4095" spans="1:9" ht="23">
      <c r="A4095" s="3" t="s">
        <v>6054</v>
      </c>
      <c r="B4095" s="10" t="s">
        <v>5658</v>
      </c>
      <c r="C4095" s="10" t="s">
        <v>772</v>
      </c>
      <c r="D4095" s="10" t="s">
        <v>11</v>
      </c>
      <c r="E4095" s="10">
        <v>102</v>
      </c>
      <c r="F4095" s="10">
        <v>8.3000000000000007</v>
      </c>
      <c r="G4095" s="10">
        <v>2000000</v>
      </c>
      <c r="H4095" s="10">
        <v>1430185</v>
      </c>
      <c r="I4095" s="5">
        <f>IMDB_Movies!$H4095-IMDB_Movies!$G4095</f>
        <v>-569815</v>
      </c>
    </row>
    <row r="4096" spans="1:9" ht="23">
      <c r="A4096" s="2" t="s">
        <v>6055</v>
      </c>
      <c r="B4096" s="9" t="s">
        <v>6056</v>
      </c>
      <c r="C4096" s="9" t="s">
        <v>56</v>
      </c>
      <c r="D4096" s="9" t="s">
        <v>11</v>
      </c>
      <c r="E4096" s="9">
        <v>102</v>
      </c>
      <c r="F4096" s="9">
        <v>6.9</v>
      </c>
      <c r="G4096" s="9">
        <v>2000000</v>
      </c>
      <c r="H4096" s="9">
        <v>1477002</v>
      </c>
      <c r="I4096" s="5">
        <f>IMDB_Movies!$H4096-IMDB_Movies!$G4096</f>
        <v>-522998</v>
      </c>
    </row>
    <row r="4097" spans="1:9" ht="23">
      <c r="A4097" s="3" t="s">
        <v>6057</v>
      </c>
      <c r="B4097" s="10" t="s">
        <v>6058</v>
      </c>
      <c r="C4097" s="10" t="s">
        <v>772</v>
      </c>
      <c r="D4097" s="10" t="s">
        <v>11</v>
      </c>
      <c r="E4097" s="10">
        <v>100</v>
      </c>
      <c r="F4097" s="10">
        <v>8.1</v>
      </c>
      <c r="G4097" s="10">
        <v>2000000</v>
      </c>
      <c r="H4097" s="10">
        <v>1134049</v>
      </c>
      <c r="I4097" s="5">
        <f>IMDB_Movies!$H4097-IMDB_Movies!$G4097</f>
        <v>-865951</v>
      </c>
    </row>
    <row r="4098" spans="1:9" ht="23">
      <c r="A4098" s="2" t="s">
        <v>6059</v>
      </c>
      <c r="B4098" s="9" t="s">
        <v>6060</v>
      </c>
      <c r="C4098" s="9" t="s">
        <v>56</v>
      </c>
      <c r="D4098" s="9" t="s">
        <v>11</v>
      </c>
      <c r="E4098" s="9">
        <v>104</v>
      </c>
      <c r="F4098" s="9">
        <v>6.5</v>
      </c>
      <c r="G4098" s="9">
        <v>20000000</v>
      </c>
      <c r="H4098" s="9">
        <v>977600</v>
      </c>
      <c r="I4098" s="5">
        <f>IMDB_Movies!$H4098-IMDB_Movies!$G4098</f>
        <v>-19022400</v>
      </c>
    </row>
    <row r="4099" spans="1:9" ht="23">
      <c r="A4099" s="3" t="s">
        <v>6061</v>
      </c>
      <c r="B4099" s="10" t="s">
        <v>5327</v>
      </c>
      <c r="C4099" s="10" t="s">
        <v>418</v>
      </c>
      <c r="D4099" s="10" t="s">
        <v>11</v>
      </c>
      <c r="E4099" s="10">
        <v>89</v>
      </c>
      <c r="F4099" s="10">
        <v>6.8</v>
      </c>
      <c r="G4099" s="10">
        <v>2000000</v>
      </c>
      <c r="H4099" s="10">
        <v>653621</v>
      </c>
      <c r="I4099" s="5">
        <f>IMDB_Movies!$H4099-IMDB_Movies!$G4099</f>
        <v>-1346379</v>
      </c>
    </row>
    <row r="4100" spans="1:9" ht="23">
      <c r="A4100" s="2" t="s">
        <v>6062</v>
      </c>
      <c r="B4100" s="9" t="s">
        <v>6063</v>
      </c>
      <c r="C4100" s="9" t="s">
        <v>414</v>
      </c>
      <c r="D4100" s="9" t="s">
        <v>11</v>
      </c>
      <c r="E4100" s="9">
        <v>99</v>
      </c>
      <c r="F4100" s="9">
        <v>7.3</v>
      </c>
      <c r="G4100" s="9">
        <v>20000000</v>
      </c>
      <c r="H4100" s="9">
        <v>110000</v>
      </c>
      <c r="I4100" s="5">
        <f>IMDB_Movies!$H4100-IMDB_Movies!$G4100</f>
        <v>-19890000</v>
      </c>
    </row>
    <row r="4101" spans="1:9" ht="23">
      <c r="A4101" s="3" t="s">
        <v>6064</v>
      </c>
      <c r="B4101" s="10" t="s">
        <v>5772</v>
      </c>
      <c r="C4101" s="10" t="s">
        <v>138</v>
      </c>
      <c r="D4101" s="10" t="s">
        <v>11</v>
      </c>
      <c r="E4101" s="10">
        <v>96</v>
      </c>
      <c r="F4101" s="10">
        <v>6.4</v>
      </c>
      <c r="G4101" s="10">
        <v>20000000</v>
      </c>
      <c r="H4101" s="10">
        <v>444354</v>
      </c>
      <c r="I4101" s="5">
        <f>IMDB_Movies!$H4101-IMDB_Movies!$G4101</f>
        <v>-19555646</v>
      </c>
    </row>
    <row r="4102" spans="1:9" ht="23">
      <c r="A4102" s="2" t="s">
        <v>6065</v>
      </c>
      <c r="B4102" s="9" t="s">
        <v>6066</v>
      </c>
      <c r="C4102" s="9" t="s">
        <v>138</v>
      </c>
      <c r="D4102" s="9" t="s">
        <v>11</v>
      </c>
      <c r="E4102" s="9">
        <v>86</v>
      </c>
      <c r="F4102" s="9">
        <v>4.5999999999999996</v>
      </c>
      <c r="G4102" s="9">
        <v>3400000</v>
      </c>
      <c r="H4102" s="9">
        <v>535249</v>
      </c>
      <c r="I4102" s="5">
        <f>IMDB_Movies!$H4102-IMDB_Movies!$G4102</f>
        <v>-2864751</v>
      </c>
    </row>
    <row r="4103" spans="1:9" ht="23">
      <c r="A4103" s="3" t="s">
        <v>6067</v>
      </c>
      <c r="B4103" s="10" t="s">
        <v>530</v>
      </c>
      <c r="C4103" s="10" t="s">
        <v>138</v>
      </c>
      <c r="D4103" s="10" t="s">
        <v>394</v>
      </c>
      <c r="E4103" s="10">
        <v>98</v>
      </c>
      <c r="F4103" s="10">
        <v>6.5</v>
      </c>
      <c r="G4103" s="10">
        <v>17000000</v>
      </c>
      <c r="H4103" s="10">
        <v>25078937</v>
      </c>
      <c r="I4103" s="5">
        <f>IMDB_Movies!$H4103-IMDB_Movies!$G4103</f>
        <v>8078937</v>
      </c>
    </row>
    <row r="4104" spans="1:9" ht="23">
      <c r="A4104" s="2" t="s">
        <v>6068</v>
      </c>
      <c r="B4104" s="9" t="s">
        <v>6069</v>
      </c>
      <c r="C4104" s="9" t="s">
        <v>138</v>
      </c>
      <c r="D4104" s="9" t="s">
        <v>11</v>
      </c>
      <c r="E4104" s="9">
        <v>96</v>
      </c>
      <c r="F4104" s="9">
        <v>7</v>
      </c>
      <c r="G4104" s="9">
        <v>6000000</v>
      </c>
      <c r="H4104" s="9">
        <v>371081</v>
      </c>
      <c r="I4104" s="5">
        <f>IMDB_Movies!$H4104-IMDB_Movies!$G4104</f>
        <v>-5628919</v>
      </c>
    </row>
    <row r="4105" spans="1:9" ht="23">
      <c r="A4105" s="3" t="s">
        <v>6070</v>
      </c>
      <c r="B4105" s="10" t="s">
        <v>6071</v>
      </c>
      <c r="C4105" s="10" t="s">
        <v>138</v>
      </c>
      <c r="D4105" s="10" t="s">
        <v>11</v>
      </c>
      <c r="E4105" s="10">
        <v>94</v>
      </c>
      <c r="F4105" s="10">
        <v>5.4</v>
      </c>
      <c r="G4105" s="10">
        <v>20000000</v>
      </c>
      <c r="H4105" s="10">
        <v>347578</v>
      </c>
      <c r="I4105" s="5">
        <f>IMDB_Movies!$H4105-IMDB_Movies!$G4105</f>
        <v>-19652422</v>
      </c>
    </row>
    <row r="4106" spans="1:9" ht="23">
      <c r="A4106" s="2" t="s">
        <v>6072</v>
      </c>
      <c r="B4106" s="9" t="s">
        <v>6073</v>
      </c>
      <c r="C4106" s="9" t="s">
        <v>10</v>
      </c>
      <c r="D4106" s="9" t="s">
        <v>11</v>
      </c>
      <c r="E4106" s="9">
        <v>91</v>
      </c>
      <c r="F4106" s="9">
        <v>6.7</v>
      </c>
      <c r="G4106" s="9">
        <v>2000000</v>
      </c>
      <c r="H4106" s="9">
        <v>124494</v>
      </c>
      <c r="I4106" s="5">
        <f>IMDB_Movies!$H4106-IMDB_Movies!$G4106</f>
        <v>-1875506</v>
      </c>
    </row>
    <row r="4107" spans="1:9" ht="23">
      <c r="A4107" s="3" t="s">
        <v>6074</v>
      </c>
      <c r="B4107" s="10" t="s">
        <v>3321</v>
      </c>
      <c r="C4107" s="10" t="s">
        <v>418</v>
      </c>
      <c r="D4107" s="10" t="s">
        <v>11</v>
      </c>
      <c r="E4107" s="10">
        <v>90</v>
      </c>
      <c r="F4107" s="10">
        <v>7.4</v>
      </c>
      <c r="G4107" s="10">
        <v>20000000</v>
      </c>
      <c r="H4107" s="10">
        <v>120620</v>
      </c>
      <c r="I4107" s="5">
        <f>IMDB_Movies!$H4107-IMDB_Movies!$G4107</f>
        <v>-19879380</v>
      </c>
    </row>
    <row r="4108" spans="1:9" ht="23">
      <c r="A4108" s="2" t="s">
        <v>6075</v>
      </c>
      <c r="B4108" s="9" t="s">
        <v>6076</v>
      </c>
      <c r="C4108" s="9" t="s">
        <v>138</v>
      </c>
      <c r="D4108" s="9" t="s">
        <v>11</v>
      </c>
      <c r="E4108" s="9">
        <v>85</v>
      </c>
      <c r="F4108" s="9">
        <v>5.8</v>
      </c>
      <c r="G4108" s="9">
        <v>3800000</v>
      </c>
      <c r="H4108" s="9">
        <v>100669</v>
      </c>
      <c r="I4108" s="5">
        <f>IMDB_Movies!$H4108-IMDB_Movies!$G4108</f>
        <v>-3699331</v>
      </c>
    </row>
    <row r="4109" spans="1:9" ht="23">
      <c r="A4109" s="3" t="s">
        <v>6077</v>
      </c>
      <c r="B4109" s="10" t="s">
        <v>5186</v>
      </c>
      <c r="C4109" s="10" t="s">
        <v>138</v>
      </c>
      <c r="D4109" s="10" t="s">
        <v>11</v>
      </c>
      <c r="E4109" s="10">
        <v>96</v>
      </c>
      <c r="F4109" s="10">
        <v>7.1</v>
      </c>
      <c r="G4109" s="10">
        <v>20000000</v>
      </c>
      <c r="H4109" s="10">
        <v>25078937</v>
      </c>
      <c r="I4109" s="5">
        <f>IMDB_Movies!$H4109-IMDB_Movies!$G4109</f>
        <v>5078937</v>
      </c>
    </row>
    <row r="4110" spans="1:9" ht="23">
      <c r="A4110" s="2" t="s">
        <v>6078</v>
      </c>
      <c r="B4110" s="9" t="s">
        <v>113</v>
      </c>
      <c r="C4110" s="9" t="s">
        <v>56</v>
      </c>
      <c r="D4110" s="9" t="s">
        <v>11</v>
      </c>
      <c r="E4110" s="9">
        <v>129</v>
      </c>
      <c r="F4110" s="9">
        <v>4.5</v>
      </c>
      <c r="G4110" s="9">
        <v>13500000</v>
      </c>
      <c r="H4110" s="9">
        <v>186354</v>
      </c>
      <c r="I4110" s="5">
        <f>IMDB_Movies!$H4110-IMDB_Movies!$G4110</f>
        <v>-13313646</v>
      </c>
    </row>
    <row r="4111" spans="1:9" ht="23">
      <c r="A4111" s="3" t="s">
        <v>6079</v>
      </c>
      <c r="B4111" s="10" t="s">
        <v>6080</v>
      </c>
      <c r="C4111" s="10" t="s">
        <v>116</v>
      </c>
      <c r="D4111" s="10" t="s">
        <v>1534</v>
      </c>
      <c r="E4111" s="10">
        <v>93</v>
      </c>
      <c r="F4111" s="10">
        <v>5.3</v>
      </c>
      <c r="G4111" s="10">
        <v>20000000</v>
      </c>
      <c r="H4111" s="10">
        <v>55202</v>
      </c>
      <c r="I4111" s="5">
        <f>IMDB_Movies!$H4111-IMDB_Movies!$G4111</f>
        <v>-19944798</v>
      </c>
    </row>
    <row r="4112" spans="1:9" ht="23">
      <c r="A4112" s="2" t="s">
        <v>6081</v>
      </c>
      <c r="B4112" s="9" t="s">
        <v>6082</v>
      </c>
      <c r="C4112" s="9" t="s">
        <v>414</v>
      </c>
      <c r="D4112" s="9" t="s">
        <v>11</v>
      </c>
      <c r="E4112" s="9">
        <v>100</v>
      </c>
      <c r="F4112" s="9">
        <v>5.4</v>
      </c>
      <c r="G4112" s="9">
        <v>20000000</v>
      </c>
      <c r="H4112" s="9">
        <v>25078937</v>
      </c>
      <c r="I4112" s="5">
        <f>IMDB_Movies!$H4112-IMDB_Movies!$G4112</f>
        <v>5078937</v>
      </c>
    </row>
    <row r="4113" spans="1:9" ht="23">
      <c r="A4113" s="3" t="s">
        <v>6083</v>
      </c>
      <c r="B4113" s="10" t="s">
        <v>6084</v>
      </c>
      <c r="C4113" s="10" t="s">
        <v>24</v>
      </c>
      <c r="D4113" s="10" t="s">
        <v>11</v>
      </c>
      <c r="E4113" s="10">
        <v>97</v>
      </c>
      <c r="F4113" s="10">
        <v>4.8</v>
      </c>
      <c r="G4113" s="10">
        <v>20000000</v>
      </c>
      <c r="H4113" s="10">
        <v>549632</v>
      </c>
      <c r="I4113" s="5">
        <f>IMDB_Movies!$H4113-IMDB_Movies!$G4113</f>
        <v>-19450368</v>
      </c>
    </row>
    <row r="4114" spans="1:9" ht="23">
      <c r="A4114" s="2" t="s">
        <v>6085</v>
      </c>
      <c r="B4114" s="9" t="s">
        <v>1497</v>
      </c>
      <c r="C4114" s="9" t="s">
        <v>138</v>
      </c>
      <c r="D4114" s="9" t="s">
        <v>11</v>
      </c>
      <c r="E4114" s="9">
        <v>94</v>
      </c>
      <c r="F4114" s="9">
        <v>5.9</v>
      </c>
      <c r="G4114" s="9">
        <v>20000000</v>
      </c>
      <c r="H4114" s="9">
        <v>137945</v>
      </c>
      <c r="I4114" s="5">
        <f>IMDB_Movies!$H4114-IMDB_Movies!$G4114</f>
        <v>-19862055</v>
      </c>
    </row>
    <row r="4115" spans="1:9" ht="23">
      <c r="A4115" s="3" t="s">
        <v>6086</v>
      </c>
      <c r="B4115" s="10" t="s">
        <v>6087</v>
      </c>
      <c r="C4115" s="10" t="s">
        <v>56</v>
      </c>
      <c r="D4115" s="10" t="s">
        <v>11</v>
      </c>
      <c r="E4115" s="10">
        <v>95</v>
      </c>
      <c r="F4115" s="10">
        <v>6.2</v>
      </c>
      <c r="G4115" s="10">
        <v>1500000</v>
      </c>
      <c r="H4115" s="10">
        <v>17580</v>
      </c>
      <c r="I4115" s="5">
        <f>IMDB_Movies!$H4115-IMDB_Movies!$G4115</f>
        <v>-1482420</v>
      </c>
    </row>
    <row r="4116" spans="1:9" ht="23">
      <c r="A4116" s="2" t="s">
        <v>6088</v>
      </c>
      <c r="B4116" s="9" t="s">
        <v>6089</v>
      </c>
      <c r="C4116" s="9" t="s">
        <v>810</v>
      </c>
      <c r="D4116" s="9" t="s">
        <v>11</v>
      </c>
      <c r="E4116" s="9">
        <v>97</v>
      </c>
      <c r="F4116" s="9">
        <v>5.9</v>
      </c>
      <c r="G4116" s="9">
        <v>2000000</v>
      </c>
      <c r="H4116" s="9">
        <v>25078937</v>
      </c>
      <c r="I4116" s="5">
        <f>IMDB_Movies!$H4116-IMDB_Movies!$G4116</f>
        <v>23078937</v>
      </c>
    </row>
    <row r="4117" spans="1:9" ht="23">
      <c r="A4117" s="3" t="s">
        <v>6090</v>
      </c>
      <c r="B4117" s="10" t="s">
        <v>6091</v>
      </c>
      <c r="C4117" s="10" t="s">
        <v>56</v>
      </c>
      <c r="D4117" s="10" t="s">
        <v>11</v>
      </c>
      <c r="E4117" s="10">
        <v>92</v>
      </c>
      <c r="F4117" s="10">
        <v>6.6</v>
      </c>
      <c r="G4117" s="10">
        <v>14000</v>
      </c>
      <c r="H4117" s="10">
        <v>12667</v>
      </c>
      <c r="I4117" s="5">
        <f>IMDB_Movies!$H4117-IMDB_Movies!$G4117</f>
        <v>-1333</v>
      </c>
    </row>
    <row r="4118" spans="1:9" ht="23">
      <c r="A4118" s="2" t="s">
        <v>6092</v>
      </c>
      <c r="B4118" s="9" t="s">
        <v>6093</v>
      </c>
      <c r="C4118" s="9" t="s">
        <v>56</v>
      </c>
      <c r="D4118" s="9" t="s">
        <v>11</v>
      </c>
      <c r="E4118" s="9">
        <v>96</v>
      </c>
      <c r="F4118" s="9">
        <v>6.6</v>
      </c>
      <c r="G4118" s="9">
        <v>2000000</v>
      </c>
      <c r="H4118" s="9">
        <v>198407</v>
      </c>
      <c r="I4118" s="5">
        <f>IMDB_Movies!$H4118-IMDB_Movies!$G4118</f>
        <v>-1801593</v>
      </c>
    </row>
    <row r="4119" spans="1:9" ht="23">
      <c r="A4119" s="3" t="s">
        <v>6094</v>
      </c>
      <c r="B4119" s="10" t="s">
        <v>6095</v>
      </c>
      <c r="C4119" s="10" t="s">
        <v>56</v>
      </c>
      <c r="D4119" s="10" t="s">
        <v>11</v>
      </c>
      <c r="E4119" s="10">
        <v>87</v>
      </c>
      <c r="F4119" s="10">
        <v>6</v>
      </c>
      <c r="G4119" s="10">
        <v>20000000</v>
      </c>
      <c r="H4119" s="10">
        <v>25078937</v>
      </c>
      <c r="I4119" s="5">
        <f>IMDB_Movies!$H4119-IMDB_Movies!$G4119</f>
        <v>5078937</v>
      </c>
    </row>
    <row r="4120" spans="1:9" ht="23">
      <c r="A4120" s="2" t="s">
        <v>6096</v>
      </c>
      <c r="B4120" s="9" t="s">
        <v>3663</v>
      </c>
      <c r="C4120" s="9" t="s">
        <v>810</v>
      </c>
      <c r="D4120" s="9" t="s">
        <v>11</v>
      </c>
      <c r="E4120" s="9">
        <v>91</v>
      </c>
      <c r="F4120" s="9">
        <v>6.8</v>
      </c>
      <c r="G4120" s="9">
        <v>20000000</v>
      </c>
      <c r="H4120" s="9">
        <v>5824</v>
      </c>
      <c r="I4120" s="5">
        <f>IMDB_Movies!$H4120-IMDB_Movies!$G4120</f>
        <v>-19994176</v>
      </c>
    </row>
    <row r="4121" spans="1:9" ht="23">
      <c r="A4121" s="3" t="s">
        <v>6097</v>
      </c>
      <c r="B4121" s="10" t="s">
        <v>1693</v>
      </c>
      <c r="C4121" s="10" t="s">
        <v>2945</v>
      </c>
      <c r="D4121" s="10" t="s">
        <v>11</v>
      </c>
      <c r="E4121" s="10">
        <v>99</v>
      </c>
      <c r="F4121" s="10">
        <v>5.4</v>
      </c>
      <c r="G4121" s="10">
        <v>20000000</v>
      </c>
      <c r="H4121" s="10">
        <v>2843</v>
      </c>
      <c r="I4121" s="5">
        <f>IMDB_Movies!$H4121-IMDB_Movies!$G4121</f>
        <v>-19997157</v>
      </c>
    </row>
    <row r="4122" spans="1:9" ht="23">
      <c r="A4122" s="2" t="s">
        <v>6098</v>
      </c>
      <c r="B4122" s="9" t="s">
        <v>6099</v>
      </c>
      <c r="C4122" s="9" t="s">
        <v>10</v>
      </c>
      <c r="D4122" s="9" t="s">
        <v>11</v>
      </c>
      <c r="E4122" s="9">
        <v>88</v>
      </c>
      <c r="F4122" s="9">
        <v>5.2</v>
      </c>
      <c r="G4122" s="9">
        <v>20000000</v>
      </c>
      <c r="H4122" s="9">
        <v>25078937</v>
      </c>
      <c r="I4122" s="5">
        <f>IMDB_Movies!$H4122-IMDB_Movies!$G4122</f>
        <v>5078937</v>
      </c>
    </row>
    <row r="4123" spans="1:9" ht="23">
      <c r="A4123" s="3" t="s">
        <v>6100</v>
      </c>
      <c r="B4123" s="10" t="s">
        <v>6101</v>
      </c>
      <c r="C4123" s="10" t="s">
        <v>10</v>
      </c>
      <c r="D4123" s="10" t="s">
        <v>11</v>
      </c>
      <c r="E4123" s="10">
        <v>119</v>
      </c>
      <c r="F4123" s="10">
        <v>7.8</v>
      </c>
      <c r="G4123" s="10">
        <v>2000000</v>
      </c>
      <c r="H4123" s="10">
        <v>4958</v>
      </c>
      <c r="I4123" s="5">
        <f>IMDB_Movies!$H4123-IMDB_Movies!$G4123</f>
        <v>-1995042</v>
      </c>
    </row>
    <row r="4124" spans="1:9" ht="23">
      <c r="A4124" s="2" t="s">
        <v>6102</v>
      </c>
      <c r="B4124" s="9" t="s">
        <v>6103</v>
      </c>
      <c r="C4124" s="9" t="s">
        <v>414</v>
      </c>
      <c r="D4124" s="9" t="s">
        <v>11</v>
      </c>
      <c r="E4124" s="9">
        <v>99</v>
      </c>
      <c r="F4124" s="9">
        <v>6.4</v>
      </c>
      <c r="G4124" s="9">
        <v>2000000</v>
      </c>
      <c r="H4124" s="9">
        <v>25078937</v>
      </c>
      <c r="I4124" s="5">
        <f>IMDB_Movies!$H4124-IMDB_Movies!$G4124</f>
        <v>23078937</v>
      </c>
    </row>
    <row r="4125" spans="1:9" ht="23">
      <c r="A4125" s="3" t="s">
        <v>6104</v>
      </c>
      <c r="B4125" s="10" t="s">
        <v>6105</v>
      </c>
      <c r="C4125" s="10" t="s">
        <v>810</v>
      </c>
      <c r="D4125" s="10" t="s">
        <v>11</v>
      </c>
      <c r="E4125" s="10">
        <v>92</v>
      </c>
      <c r="F4125" s="10">
        <v>6.1</v>
      </c>
      <c r="G4125" s="10">
        <v>100000</v>
      </c>
      <c r="H4125" s="10">
        <v>25078937</v>
      </c>
      <c r="I4125" s="5">
        <f>IMDB_Movies!$H4125-IMDB_Movies!$G4125</f>
        <v>24978937</v>
      </c>
    </row>
    <row r="4126" spans="1:9" ht="23">
      <c r="A4126" s="2" t="s">
        <v>6106</v>
      </c>
      <c r="B4126" s="9" t="s">
        <v>6107</v>
      </c>
      <c r="C4126" s="9" t="s">
        <v>138</v>
      </c>
      <c r="D4126" s="9" t="s">
        <v>11</v>
      </c>
      <c r="E4126" s="9">
        <v>86</v>
      </c>
      <c r="F4126" s="9">
        <v>5.7</v>
      </c>
      <c r="G4126" s="9">
        <v>20000000</v>
      </c>
      <c r="H4126" s="9">
        <v>25078937</v>
      </c>
      <c r="I4126" s="5">
        <f>IMDB_Movies!$H4126-IMDB_Movies!$G4126</f>
        <v>5078937</v>
      </c>
    </row>
    <row r="4127" spans="1:9" ht="23">
      <c r="A4127" s="3" t="s">
        <v>6108</v>
      </c>
      <c r="B4127" s="10" t="s">
        <v>6109</v>
      </c>
      <c r="C4127" s="10" t="s">
        <v>414</v>
      </c>
      <c r="D4127" s="10" t="s">
        <v>11</v>
      </c>
      <c r="E4127" s="10">
        <v>83</v>
      </c>
      <c r="F4127" s="10">
        <v>5.5</v>
      </c>
      <c r="G4127" s="10">
        <v>2000000</v>
      </c>
      <c r="H4127" s="10">
        <v>25078937</v>
      </c>
      <c r="I4127" s="5">
        <f>IMDB_Movies!$H4127-IMDB_Movies!$G4127</f>
        <v>23078937</v>
      </c>
    </row>
    <row r="4128" spans="1:9" ht="23">
      <c r="A4128" s="2" t="s">
        <v>6110</v>
      </c>
      <c r="B4128" s="9" t="s">
        <v>6111</v>
      </c>
      <c r="C4128" s="9" t="s">
        <v>772</v>
      </c>
      <c r="D4128" s="9" t="s">
        <v>11</v>
      </c>
      <c r="E4128" s="9">
        <v>81</v>
      </c>
      <c r="F4128" s="9">
        <v>7.4</v>
      </c>
      <c r="G4128" s="9">
        <v>2000000</v>
      </c>
      <c r="H4128" s="9">
        <v>25078937</v>
      </c>
      <c r="I4128" s="5">
        <f>IMDB_Movies!$H4128-IMDB_Movies!$G4128</f>
        <v>23078937</v>
      </c>
    </row>
    <row r="4129" spans="1:9" ht="23">
      <c r="A4129" s="3" t="s">
        <v>6112</v>
      </c>
      <c r="B4129" s="10" t="s">
        <v>2304</v>
      </c>
      <c r="C4129" s="10" t="s">
        <v>138</v>
      </c>
      <c r="D4129" s="10" t="s">
        <v>11</v>
      </c>
      <c r="E4129" s="10">
        <v>82</v>
      </c>
      <c r="F4129" s="10">
        <v>7.1</v>
      </c>
      <c r="G4129" s="10">
        <v>2000000</v>
      </c>
      <c r="H4129" s="10">
        <v>25078937</v>
      </c>
      <c r="I4129" s="5">
        <f>IMDB_Movies!$H4129-IMDB_Movies!$G4129</f>
        <v>23078937</v>
      </c>
    </row>
    <row r="4130" spans="1:9" ht="23">
      <c r="A4130" s="2" t="s">
        <v>6113</v>
      </c>
      <c r="B4130" s="9" t="s">
        <v>6114</v>
      </c>
      <c r="C4130" s="9" t="s">
        <v>2945</v>
      </c>
      <c r="D4130" s="9" t="s">
        <v>11</v>
      </c>
      <c r="E4130" s="9">
        <v>102</v>
      </c>
      <c r="F4130" s="9">
        <v>3.9</v>
      </c>
      <c r="G4130" s="9">
        <v>20000000</v>
      </c>
      <c r="H4130" s="9">
        <v>13220</v>
      </c>
      <c r="I4130" s="5">
        <f>IMDB_Movies!$H4130-IMDB_Movies!$G4130</f>
        <v>-19986780</v>
      </c>
    </row>
    <row r="4131" spans="1:9" ht="23">
      <c r="A4131" s="3" t="s">
        <v>6115</v>
      </c>
      <c r="B4131" s="10" t="s">
        <v>6116</v>
      </c>
      <c r="C4131" s="10" t="s">
        <v>10</v>
      </c>
      <c r="D4131" s="10" t="s">
        <v>11</v>
      </c>
      <c r="E4131" s="10">
        <v>90</v>
      </c>
      <c r="F4131" s="10">
        <v>4.5999999999999996</v>
      </c>
      <c r="G4131" s="10">
        <v>2000000</v>
      </c>
      <c r="H4131" s="10">
        <v>25078937</v>
      </c>
      <c r="I4131" s="5">
        <f>IMDB_Movies!$H4131-IMDB_Movies!$G4131</f>
        <v>23078937</v>
      </c>
    </row>
    <row r="4132" spans="1:9" ht="23">
      <c r="A4132" s="2" t="s">
        <v>6117</v>
      </c>
      <c r="B4132" s="9" t="s">
        <v>6118</v>
      </c>
      <c r="C4132" s="9" t="s">
        <v>414</v>
      </c>
      <c r="D4132" s="9" t="s">
        <v>11</v>
      </c>
      <c r="E4132" s="9">
        <v>92</v>
      </c>
      <c r="F4132" s="9">
        <v>7.7</v>
      </c>
      <c r="G4132" s="9">
        <v>2300000</v>
      </c>
      <c r="H4132" s="9">
        <v>7927</v>
      </c>
      <c r="I4132" s="5">
        <f>IMDB_Movies!$H4132-IMDB_Movies!$G4132</f>
        <v>-2292073</v>
      </c>
    </row>
    <row r="4133" spans="1:9" ht="23">
      <c r="A4133" s="3" t="s">
        <v>6119</v>
      </c>
      <c r="B4133" s="10" t="s">
        <v>6120</v>
      </c>
      <c r="C4133" s="10" t="s">
        <v>810</v>
      </c>
      <c r="D4133" s="10" t="s">
        <v>11</v>
      </c>
      <c r="E4133" s="10">
        <v>88</v>
      </c>
      <c r="F4133" s="10">
        <v>4.9000000000000004</v>
      </c>
      <c r="G4133" s="10">
        <v>2000000</v>
      </c>
      <c r="H4133" s="10">
        <v>25078937</v>
      </c>
      <c r="I4133" s="5">
        <f>IMDB_Movies!$H4133-IMDB_Movies!$G4133</f>
        <v>23078937</v>
      </c>
    </row>
    <row r="4134" spans="1:9" ht="23">
      <c r="A4134" s="2" t="s">
        <v>6121</v>
      </c>
      <c r="B4134" s="9" t="s">
        <v>5169</v>
      </c>
      <c r="C4134" s="9" t="s">
        <v>414</v>
      </c>
      <c r="D4134" s="9" t="s">
        <v>11</v>
      </c>
      <c r="E4134" s="9">
        <v>97</v>
      </c>
      <c r="F4134" s="9">
        <v>6.3</v>
      </c>
      <c r="G4134" s="9">
        <v>14000000</v>
      </c>
      <c r="H4134" s="9">
        <v>25078937</v>
      </c>
      <c r="I4134" s="5">
        <f>IMDB_Movies!$H4134-IMDB_Movies!$G4134</f>
        <v>11078937</v>
      </c>
    </row>
    <row r="4135" spans="1:9" ht="23">
      <c r="A4135" s="3" t="s">
        <v>6122</v>
      </c>
      <c r="B4135" s="10" t="s">
        <v>5436</v>
      </c>
      <c r="C4135" s="10" t="s">
        <v>138</v>
      </c>
      <c r="D4135" s="10" t="s">
        <v>11</v>
      </c>
      <c r="E4135" s="10">
        <v>96</v>
      </c>
      <c r="F4135" s="10">
        <v>6.1</v>
      </c>
      <c r="G4135" s="10">
        <v>2000000</v>
      </c>
      <c r="H4135" s="10">
        <v>25078937</v>
      </c>
      <c r="I4135" s="5">
        <f>IMDB_Movies!$H4135-IMDB_Movies!$G4135</f>
        <v>23078937</v>
      </c>
    </row>
    <row r="4136" spans="1:9" ht="23">
      <c r="A4136" s="2" t="s">
        <v>6123</v>
      </c>
      <c r="B4136" s="9" t="s">
        <v>6124</v>
      </c>
      <c r="C4136" s="9" t="s">
        <v>138</v>
      </c>
      <c r="D4136" s="9" t="s">
        <v>11</v>
      </c>
      <c r="E4136" s="9">
        <v>87</v>
      </c>
      <c r="F4136" s="9">
        <v>6.6</v>
      </c>
      <c r="G4136" s="9">
        <v>2000000</v>
      </c>
      <c r="H4136" s="9">
        <v>25078937</v>
      </c>
      <c r="I4136" s="5">
        <f>IMDB_Movies!$H4136-IMDB_Movies!$G4136</f>
        <v>23078937</v>
      </c>
    </row>
    <row r="4137" spans="1:9" ht="23">
      <c r="A4137" s="3" t="s">
        <v>6125</v>
      </c>
      <c r="B4137" s="10" t="s">
        <v>6126</v>
      </c>
      <c r="C4137" s="10" t="s">
        <v>138</v>
      </c>
      <c r="D4137" s="10" t="s">
        <v>11</v>
      </c>
      <c r="E4137" s="10">
        <v>106</v>
      </c>
      <c r="F4137" s="10">
        <v>5.7</v>
      </c>
      <c r="G4137" s="10">
        <v>2000000</v>
      </c>
      <c r="H4137" s="10">
        <v>2436</v>
      </c>
      <c r="I4137" s="5">
        <f>IMDB_Movies!$H4137-IMDB_Movies!$G4137</f>
        <v>-1997564</v>
      </c>
    </row>
    <row r="4138" spans="1:9" ht="23">
      <c r="A4138" s="2" t="s">
        <v>6127</v>
      </c>
      <c r="B4138" s="9" t="s">
        <v>6128</v>
      </c>
      <c r="C4138" s="9" t="s">
        <v>138</v>
      </c>
      <c r="D4138" s="9" t="s">
        <v>11</v>
      </c>
      <c r="E4138" s="9">
        <v>107</v>
      </c>
      <c r="F4138" s="9">
        <v>5.6</v>
      </c>
      <c r="G4138" s="9">
        <v>20000000</v>
      </c>
      <c r="H4138" s="9">
        <v>4556</v>
      </c>
      <c r="I4138" s="5">
        <f>IMDB_Movies!$H4138-IMDB_Movies!$G4138</f>
        <v>-19995444</v>
      </c>
    </row>
    <row r="4139" spans="1:9" ht="23">
      <c r="A4139" s="3" t="s">
        <v>6129</v>
      </c>
      <c r="B4139" s="10" t="s">
        <v>6130</v>
      </c>
      <c r="C4139" s="10" t="s">
        <v>810</v>
      </c>
      <c r="D4139" s="10" t="s">
        <v>2452</v>
      </c>
      <c r="E4139" s="10">
        <v>80</v>
      </c>
      <c r="F4139" s="10">
        <v>6</v>
      </c>
      <c r="G4139" s="10">
        <v>20000000</v>
      </c>
      <c r="H4139" s="10">
        <v>25078937</v>
      </c>
      <c r="I4139" s="5">
        <f>IMDB_Movies!$H4139-IMDB_Movies!$G4139</f>
        <v>5078937</v>
      </c>
    </row>
    <row r="4140" spans="1:9" ht="23">
      <c r="A4140" s="2" t="s">
        <v>6131</v>
      </c>
      <c r="B4140" s="9" t="s">
        <v>5169</v>
      </c>
      <c r="C4140" s="9" t="s">
        <v>138</v>
      </c>
      <c r="D4140" s="9" t="s">
        <v>11</v>
      </c>
      <c r="E4140" s="9">
        <v>91</v>
      </c>
      <c r="F4140" s="9">
        <v>5.7</v>
      </c>
      <c r="G4140" s="9">
        <v>2000000</v>
      </c>
      <c r="H4140" s="9">
        <v>25078937</v>
      </c>
      <c r="I4140" s="5">
        <f>IMDB_Movies!$H4140-IMDB_Movies!$G4140</f>
        <v>23078937</v>
      </c>
    </row>
    <row r="4141" spans="1:9" ht="23">
      <c r="A4141" s="3" t="s">
        <v>6132</v>
      </c>
      <c r="B4141" s="10" t="s">
        <v>1315</v>
      </c>
      <c r="C4141" s="10" t="s">
        <v>138</v>
      </c>
      <c r="D4141" s="10" t="s">
        <v>11</v>
      </c>
      <c r="E4141" s="10">
        <v>99</v>
      </c>
      <c r="F4141" s="10">
        <v>7</v>
      </c>
      <c r="G4141" s="10">
        <v>2000000</v>
      </c>
      <c r="H4141" s="10">
        <v>25078937</v>
      </c>
      <c r="I4141" s="5">
        <f>IMDB_Movies!$H4141-IMDB_Movies!$G4141</f>
        <v>23078937</v>
      </c>
    </row>
    <row r="4142" spans="1:9" ht="23">
      <c r="A4142" s="2" t="s">
        <v>6133</v>
      </c>
      <c r="B4142" s="9" t="s">
        <v>3168</v>
      </c>
      <c r="C4142" s="9" t="s">
        <v>772</v>
      </c>
      <c r="D4142" s="9" t="s">
        <v>11</v>
      </c>
      <c r="E4142" s="9">
        <v>102</v>
      </c>
      <c r="F4142" s="9">
        <v>5.3</v>
      </c>
      <c r="G4142" s="9">
        <v>2000000</v>
      </c>
      <c r="H4142" s="9">
        <v>25078937</v>
      </c>
      <c r="I4142" s="5">
        <f>IMDB_Movies!$H4142-IMDB_Movies!$G4142</f>
        <v>23078937</v>
      </c>
    </row>
    <row r="4143" spans="1:9" ht="23">
      <c r="A4143" s="3" t="s">
        <v>6134</v>
      </c>
      <c r="B4143" s="10" t="s">
        <v>6135</v>
      </c>
      <c r="C4143" s="10" t="s">
        <v>10</v>
      </c>
      <c r="D4143" s="10" t="s">
        <v>11</v>
      </c>
      <c r="E4143" s="10">
        <v>108</v>
      </c>
      <c r="F4143" s="10">
        <v>4.4000000000000004</v>
      </c>
      <c r="G4143" s="10">
        <v>2000000</v>
      </c>
      <c r="H4143" s="10">
        <v>25078937</v>
      </c>
      <c r="I4143" s="5">
        <f>IMDB_Movies!$H4143-IMDB_Movies!$G4143</f>
        <v>23078937</v>
      </c>
    </row>
    <row r="4144" spans="1:9" ht="23">
      <c r="A4144" s="2" t="s">
        <v>6136</v>
      </c>
      <c r="B4144" s="9" t="s">
        <v>6137</v>
      </c>
      <c r="C4144" s="9" t="s">
        <v>138</v>
      </c>
      <c r="D4144" s="9" t="s">
        <v>11</v>
      </c>
      <c r="E4144" s="9">
        <v>88</v>
      </c>
      <c r="F4144" s="9">
        <v>3.4</v>
      </c>
      <c r="G4144" s="9">
        <v>1250000</v>
      </c>
      <c r="H4144" s="9">
        <v>25078937</v>
      </c>
      <c r="I4144" s="5">
        <f>IMDB_Movies!$H4144-IMDB_Movies!$G4144</f>
        <v>23828937</v>
      </c>
    </row>
    <row r="4145" spans="1:9" ht="23">
      <c r="A4145" s="3" t="s">
        <v>6138</v>
      </c>
      <c r="B4145" s="10" t="s">
        <v>6139</v>
      </c>
      <c r="C4145" s="10" t="s">
        <v>56</v>
      </c>
      <c r="D4145" s="10" t="s">
        <v>11</v>
      </c>
      <c r="E4145" s="10">
        <v>89</v>
      </c>
      <c r="F4145" s="10">
        <v>4.5</v>
      </c>
      <c r="G4145" s="10">
        <v>2000000</v>
      </c>
      <c r="H4145" s="10">
        <v>25078937</v>
      </c>
      <c r="I4145" s="5">
        <f>IMDB_Movies!$H4145-IMDB_Movies!$G4145</f>
        <v>23078937</v>
      </c>
    </row>
    <row r="4146" spans="1:9" ht="23">
      <c r="A4146" s="2" t="s">
        <v>6140</v>
      </c>
      <c r="B4146" s="9" t="s">
        <v>6141</v>
      </c>
      <c r="C4146" s="9" t="s">
        <v>2945</v>
      </c>
      <c r="D4146" s="9" t="s">
        <v>11</v>
      </c>
      <c r="E4146" s="9">
        <v>92</v>
      </c>
      <c r="F4146" s="9">
        <v>3.4</v>
      </c>
      <c r="G4146" s="9">
        <v>2000000</v>
      </c>
      <c r="H4146" s="9">
        <v>25078937</v>
      </c>
      <c r="I4146" s="5">
        <f>IMDB_Movies!$H4146-IMDB_Movies!$G4146</f>
        <v>23078937</v>
      </c>
    </row>
    <row r="4147" spans="1:9" ht="23">
      <c r="A4147" s="3" t="s">
        <v>6142</v>
      </c>
      <c r="B4147" s="10" t="s">
        <v>6143</v>
      </c>
      <c r="C4147" s="10" t="s">
        <v>414</v>
      </c>
      <c r="D4147" s="10" t="s">
        <v>11</v>
      </c>
      <c r="E4147" s="10">
        <v>99</v>
      </c>
      <c r="F4147" s="10">
        <v>7.1</v>
      </c>
      <c r="G4147" s="10">
        <v>1900000</v>
      </c>
      <c r="H4147" s="10">
        <v>4600000</v>
      </c>
      <c r="I4147" s="5">
        <f>IMDB_Movies!$H4147-IMDB_Movies!$G4147</f>
        <v>2700000</v>
      </c>
    </row>
    <row r="4148" spans="1:9" ht="23">
      <c r="A4148" s="2" t="s">
        <v>6144</v>
      </c>
      <c r="B4148" s="9" t="s">
        <v>4001</v>
      </c>
      <c r="C4148" s="9" t="s">
        <v>56</v>
      </c>
      <c r="D4148" s="9" t="s">
        <v>11</v>
      </c>
      <c r="E4148" s="9">
        <v>103</v>
      </c>
      <c r="F4148" s="9">
        <v>6.4</v>
      </c>
      <c r="G4148" s="9">
        <v>1900000</v>
      </c>
      <c r="H4148" s="9">
        <v>1420578</v>
      </c>
      <c r="I4148" s="5">
        <f>IMDB_Movies!$H4148-IMDB_Movies!$G4148</f>
        <v>-479422</v>
      </c>
    </row>
    <row r="4149" spans="1:9" ht="23">
      <c r="A4149" s="3" t="s">
        <v>6145</v>
      </c>
      <c r="B4149" s="10" t="s">
        <v>5128</v>
      </c>
      <c r="C4149" s="10" t="s">
        <v>10</v>
      </c>
      <c r="D4149" s="10" t="s">
        <v>11</v>
      </c>
      <c r="E4149" s="10">
        <v>90</v>
      </c>
      <c r="F4149" s="10">
        <v>5.2</v>
      </c>
      <c r="G4149" s="10">
        <v>1950000</v>
      </c>
      <c r="H4149" s="10">
        <v>25078937</v>
      </c>
      <c r="I4149" s="5">
        <f>IMDB_Movies!$H4149-IMDB_Movies!$G4149</f>
        <v>23128937</v>
      </c>
    </row>
    <row r="4150" spans="1:9" ht="23">
      <c r="A4150" s="2" t="s">
        <v>6146</v>
      </c>
      <c r="B4150" s="9" t="s">
        <v>3448</v>
      </c>
      <c r="C4150" s="9" t="s">
        <v>56</v>
      </c>
      <c r="D4150" s="9" t="s">
        <v>11</v>
      </c>
      <c r="E4150" s="9">
        <v>95</v>
      </c>
      <c r="F4150" s="9">
        <v>7</v>
      </c>
      <c r="G4150" s="9">
        <v>3000000</v>
      </c>
      <c r="H4150" s="9">
        <v>1028658</v>
      </c>
      <c r="I4150" s="5">
        <f>IMDB_Movies!$H4150-IMDB_Movies!$G4150</f>
        <v>-1971342</v>
      </c>
    </row>
    <row r="4151" spans="1:9" ht="23">
      <c r="A4151" s="3" t="s">
        <v>6147</v>
      </c>
      <c r="B4151" s="10" t="s">
        <v>6148</v>
      </c>
      <c r="C4151" s="10" t="s">
        <v>138</v>
      </c>
      <c r="D4151" s="10" t="s">
        <v>11</v>
      </c>
      <c r="E4151" s="10">
        <v>97</v>
      </c>
      <c r="F4151" s="10">
        <v>7.3</v>
      </c>
      <c r="G4151" s="10">
        <v>20000000</v>
      </c>
      <c r="H4151" s="10">
        <v>466702</v>
      </c>
      <c r="I4151" s="5">
        <f>IMDB_Movies!$H4151-IMDB_Movies!$G4151</f>
        <v>-19533298</v>
      </c>
    </row>
    <row r="4152" spans="1:9" ht="23">
      <c r="A4152" s="2" t="s">
        <v>6149</v>
      </c>
      <c r="B4152" s="9" t="s">
        <v>6150</v>
      </c>
      <c r="C4152" s="9" t="s">
        <v>772</v>
      </c>
      <c r="D4152" s="9" t="s">
        <v>4714</v>
      </c>
      <c r="E4152" s="9">
        <v>108</v>
      </c>
      <c r="F4152" s="9">
        <v>8.1</v>
      </c>
      <c r="G4152" s="9">
        <v>1500000</v>
      </c>
      <c r="H4152" s="9">
        <v>25078937</v>
      </c>
      <c r="I4152" s="5">
        <f>IMDB_Movies!$H4152-IMDB_Movies!$G4152</f>
        <v>23578937</v>
      </c>
    </row>
    <row r="4153" spans="1:9" ht="23">
      <c r="A4153" s="3" t="s">
        <v>6151</v>
      </c>
      <c r="B4153" s="10" t="s">
        <v>6152</v>
      </c>
      <c r="C4153" s="10" t="s">
        <v>56</v>
      </c>
      <c r="D4153" s="10" t="s">
        <v>394</v>
      </c>
      <c r="E4153" s="10">
        <v>95</v>
      </c>
      <c r="F4153" s="10">
        <v>5.8</v>
      </c>
      <c r="G4153" s="10">
        <v>1400000</v>
      </c>
      <c r="H4153" s="10">
        <v>18435</v>
      </c>
      <c r="I4153" s="5">
        <f>IMDB_Movies!$H4153-IMDB_Movies!$G4153</f>
        <v>-1381565</v>
      </c>
    </row>
    <row r="4154" spans="1:9" ht="23">
      <c r="A4154" s="2" t="s">
        <v>6153</v>
      </c>
      <c r="B4154" s="9" t="s">
        <v>6154</v>
      </c>
      <c r="C4154" s="9" t="s">
        <v>56</v>
      </c>
      <c r="D4154" s="9" t="s">
        <v>1534</v>
      </c>
      <c r="E4154" s="9">
        <v>160</v>
      </c>
      <c r="F4154" s="9">
        <v>6.4</v>
      </c>
      <c r="G4154" s="9">
        <v>20000000</v>
      </c>
      <c r="H4154" s="9">
        <v>95236</v>
      </c>
      <c r="I4154" s="5">
        <f>IMDB_Movies!$H4154-IMDB_Movies!$G4154</f>
        <v>-19904764</v>
      </c>
    </row>
    <row r="4155" spans="1:9" ht="23">
      <c r="A4155" s="3" t="s">
        <v>6155</v>
      </c>
      <c r="B4155" s="10" t="s">
        <v>3682</v>
      </c>
      <c r="C4155" s="10" t="s">
        <v>418</v>
      </c>
      <c r="D4155" s="10" t="s">
        <v>11</v>
      </c>
      <c r="E4155" s="10">
        <v>90</v>
      </c>
      <c r="F4155" s="10">
        <v>7.8</v>
      </c>
      <c r="G4155" s="10">
        <v>1000000</v>
      </c>
      <c r="H4155" s="10">
        <v>2957978</v>
      </c>
      <c r="I4155" s="5">
        <f>IMDB_Movies!$H4155-IMDB_Movies!$G4155</f>
        <v>1957978</v>
      </c>
    </row>
    <row r="4156" spans="1:9" ht="23">
      <c r="A4156" s="2" t="s">
        <v>6156</v>
      </c>
      <c r="B4156" s="9" t="s">
        <v>6157</v>
      </c>
      <c r="C4156" s="9" t="s">
        <v>56</v>
      </c>
      <c r="D4156" s="9" t="s">
        <v>11</v>
      </c>
      <c r="E4156" s="9">
        <v>86</v>
      </c>
      <c r="F4156" s="9">
        <v>6.3</v>
      </c>
      <c r="G4156" s="9">
        <v>20000000</v>
      </c>
      <c r="H4156" s="9">
        <v>25078937</v>
      </c>
      <c r="I4156" s="5">
        <f>IMDB_Movies!$H4156-IMDB_Movies!$G4156</f>
        <v>5078937</v>
      </c>
    </row>
    <row r="4157" spans="1:9" ht="23">
      <c r="A4157" s="3" t="s">
        <v>6158</v>
      </c>
      <c r="B4157" s="10" t="s">
        <v>6159</v>
      </c>
      <c r="C4157" s="10" t="s">
        <v>56</v>
      </c>
      <c r="D4157" s="10" t="s">
        <v>11</v>
      </c>
      <c r="E4157" s="10">
        <v>89</v>
      </c>
      <c r="F4157" s="10">
        <v>7.2</v>
      </c>
      <c r="G4157" s="10">
        <v>1900000</v>
      </c>
      <c r="H4157" s="10">
        <v>444044</v>
      </c>
      <c r="I4157" s="5">
        <f>IMDB_Movies!$H4157-IMDB_Movies!$G4157</f>
        <v>-1455956</v>
      </c>
    </row>
    <row r="4158" spans="1:9" ht="23">
      <c r="A4158" s="2" t="s">
        <v>6160</v>
      </c>
      <c r="B4158" s="9" t="s">
        <v>6161</v>
      </c>
      <c r="C4158" s="9" t="s">
        <v>56</v>
      </c>
      <c r="D4158" s="9" t="s">
        <v>11</v>
      </c>
      <c r="E4158" s="9">
        <v>87</v>
      </c>
      <c r="F4158" s="9">
        <v>5.6</v>
      </c>
      <c r="G4158" s="9">
        <v>1800000</v>
      </c>
      <c r="H4158" s="9">
        <v>40990055</v>
      </c>
      <c r="I4158" s="5">
        <f>IMDB_Movies!$H4158-IMDB_Movies!$G4158</f>
        <v>39190055</v>
      </c>
    </row>
    <row r="4159" spans="1:9" ht="23">
      <c r="A4159" s="3" t="s">
        <v>6162</v>
      </c>
      <c r="B4159" s="10" t="s">
        <v>1727</v>
      </c>
      <c r="C4159" s="10" t="s">
        <v>418</v>
      </c>
      <c r="D4159" s="10" t="s">
        <v>11</v>
      </c>
      <c r="E4159" s="10">
        <v>98</v>
      </c>
      <c r="F4159" s="10">
        <v>7.2</v>
      </c>
      <c r="G4159" s="10">
        <v>20000000</v>
      </c>
      <c r="H4159" s="10">
        <v>1445366</v>
      </c>
      <c r="I4159" s="5">
        <f>IMDB_Movies!$H4159-IMDB_Movies!$G4159</f>
        <v>-18554634</v>
      </c>
    </row>
    <row r="4160" spans="1:9" ht="23">
      <c r="A4160" s="2" t="s">
        <v>6163</v>
      </c>
      <c r="B4160" s="9" t="s">
        <v>6031</v>
      </c>
      <c r="C4160" s="9" t="s">
        <v>56</v>
      </c>
      <c r="D4160" s="9" t="s">
        <v>11</v>
      </c>
      <c r="E4160" s="9">
        <v>125</v>
      </c>
      <c r="F4160" s="9">
        <v>8</v>
      </c>
      <c r="G4160" s="9">
        <v>1800000</v>
      </c>
      <c r="H4160" s="9">
        <v>25078937</v>
      </c>
      <c r="I4160" s="5">
        <f>IMDB_Movies!$H4160-IMDB_Movies!$G4160</f>
        <v>23278937</v>
      </c>
    </row>
    <row r="4161" spans="1:9" ht="23">
      <c r="A4161" s="3" t="s">
        <v>6164</v>
      </c>
      <c r="B4161" s="10" t="s">
        <v>1001</v>
      </c>
      <c r="C4161" s="10" t="s">
        <v>138</v>
      </c>
      <c r="D4161" s="10" t="s">
        <v>11</v>
      </c>
      <c r="E4161" s="10">
        <v>95</v>
      </c>
      <c r="F4161" s="10">
        <v>8.5</v>
      </c>
      <c r="G4161" s="10">
        <v>1800000</v>
      </c>
      <c r="H4161" s="10">
        <v>25078937</v>
      </c>
      <c r="I4161" s="5">
        <f>IMDB_Movies!$H4161-IMDB_Movies!$G4161</f>
        <v>23278937</v>
      </c>
    </row>
    <row r="4162" spans="1:9" ht="23">
      <c r="A4162" s="2" t="s">
        <v>6165</v>
      </c>
      <c r="B4162" s="9" t="s">
        <v>6166</v>
      </c>
      <c r="C4162" s="9" t="s">
        <v>56</v>
      </c>
      <c r="D4162" s="9" t="s">
        <v>741</v>
      </c>
      <c r="E4162" s="9">
        <v>118</v>
      </c>
      <c r="F4162" s="9">
        <v>6.8</v>
      </c>
      <c r="G4162" s="9">
        <v>1800000</v>
      </c>
      <c r="H4162" s="9">
        <v>5709616</v>
      </c>
      <c r="I4162" s="5">
        <f>IMDB_Movies!$H4162-IMDB_Movies!$G4162</f>
        <v>3909616</v>
      </c>
    </row>
    <row r="4163" spans="1:9" ht="23">
      <c r="A4163" s="3" t="s">
        <v>6167</v>
      </c>
      <c r="B4163" s="10" t="s">
        <v>6168</v>
      </c>
      <c r="C4163" s="10" t="s">
        <v>56</v>
      </c>
      <c r="D4163" s="10" t="s">
        <v>11</v>
      </c>
      <c r="E4163" s="10">
        <v>93</v>
      </c>
      <c r="F4163" s="10">
        <v>7.3</v>
      </c>
      <c r="G4163" s="10">
        <v>1800000</v>
      </c>
      <c r="H4163" s="10">
        <v>12784397</v>
      </c>
      <c r="I4163" s="5">
        <f>IMDB_Movies!$H4163-IMDB_Movies!$G4163</f>
        <v>10984397</v>
      </c>
    </row>
    <row r="4164" spans="1:9" ht="23">
      <c r="A4164" s="2" t="s">
        <v>6169</v>
      </c>
      <c r="B4164" s="9" t="s">
        <v>6170</v>
      </c>
      <c r="C4164" s="9" t="s">
        <v>10</v>
      </c>
      <c r="D4164" s="9" t="s">
        <v>11</v>
      </c>
      <c r="E4164" s="9">
        <v>96</v>
      </c>
      <c r="F4164" s="9">
        <v>5.5</v>
      </c>
      <c r="G4164" s="9">
        <v>1800000</v>
      </c>
      <c r="H4164" s="9">
        <v>25078937</v>
      </c>
      <c r="I4164" s="5">
        <f>IMDB_Movies!$H4164-IMDB_Movies!$G4164</f>
        <v>23278937</v>
      </c>
    </row>
    <row r="4165" spans="1:9" ht="23">
      <c r="A4165" s="3" t="s">
        <v>6171</v>
      </c>
      <c r="B4165" s="10" t="s">
        <v>6172</v>
      </c>
      <c r="C4165" s="10" t="s">
        <v>56</v>
      </c>
      <c r="D4165" s="10" t="s">
        <v>11</v>
      </c>
      <c r="E4165" s="10">
        <v>109</v>
      </c>
      <c r="F4165" s="10">
        <v>7.3</v>
      </c>
      <c r="G4165" s="10">
        <v>1800000</v>
      </c>
      <c r="H4165" s="10">
        <v>3050934</v>
      </c>
      <c r="I4165" s="5">
        <f>IMDB_Movies!$H4165-IMDB_Movies!$G4165</f>
        <v>1250934</v>
      </c>
    </row>
    <row r="4166" spans="1:9" ht="23">
      <c r="A4166" s="2" t="s">
        <v>6173</v>
      </c>
      <c r="B4166" s="9" t="s">
        <v>6174</v>
      </c>
      <c r="C4166" s="9" t="s">
        <v>56</v>
      </c>
      <c r="D4166" s="9" t="s">
        <v>11</v>
      </c>
      <c r="E4166" s="9">
        <v>109</v>
      </c>
      <c r="F4166" s="9">
        <v>6.3</v>
      </c>
      <c r="G4166" s="9">
        <v>20000000</v>
      </c>
      <c r="H4166" s="9">
        <v>841206</v>
      </c>
      <c r="I4166" s="5">
        <f>IMDB_Movies!$H4166-IMDB_Movies!$G4166</f>
        <v>-19158794</v>
      </c>
    </row>
    <row r="4167" spans="1:9" ht="23">
      <c r="A4167" s="3" t="s">
        <v>6175</v>
      </c>
      <c r="B4167" s="10" t="s">
        <v>6176</v>
      </c>
      <c r="C4167" s="10" t="s">
        <v>138</v>
      </c>
      <c r="D4167" s="10" t="s">
        <v>6177</v>
      </c>
      <c r="E4167" s="10">
        <v>155</v>
      </c>
      <c r="F4167" s="10">
        <v>5.0999999999999996</v>
      </c>
      <c r="G4167" s="10">
        <v>150000000</v>
      </c>
      <c r="H4167" s="10">
        <v>25078937</v>
      </c>
      <c r="I4167" s="5">
        <f>IMDB_Movies!$H4167-IMDB_Movies!$G4167</f>
        <v>-124921063</v>
      </c>
    </row>
    <row r="4168" spans="1:9" ht="23">
      <c r="A4168" s="2" t="s">
        <v>6178</v>
      </c>
      <c r="B4168" s="9" t="s">
        <v>4404</v>
      </c>
      <c r="C4168" s="9" t="s">
        <v>138</v>
      </c>
      <c r="D4168" s="9" t="s">
        <v>11</v>
      </c>
      <c r="E4168" s="9">
        <v>90</v>
      </c>
      <c r="F4168" s="9">
        <v>6.6</v>
      </c>
      <c r="G4168" s="9">
        <v>1500000</v>
      </c>
      <c r="H4168" s="9">
        <v>638476</v>
      </c>
      <c r="I4168" s="5">
        <f>IMDB_Movies!$H4168-IMDB_Movies!$G4168</f>
        <v>-861524</v>
      </c>
    </row>
    <row r="4169" spans="1:9" ht="23">
      <c r="A4169" s="3" t="s">
        <v>6179</v>
      </c>
      <c r="B4169" s="10" t="s">
        <v>6180</v>
      </c>
      <c r="C4169" s="10" t="s">
        <v>138</v>
      </c>
      <c r="D4169" s="10" t="s">
        <v>11</v>
      </c>
      <c r="E4169" s="10">
        <v>93</v>
      </c>
      <c r="F4169" s="10">
        <v>6.1</v>
      </c>
      <c r="G4169" s="10">
        <v>1800000</v>
      </c>
      <c r="H4169" s="10">
        <v>25078937</v>
      </c>
      <c r="I4169" s="5">
        <f>IMDB_Movies!$H4169-IMDB_Movies!$G4169</f>
        <v>23278937</v>
      </c>
    </row>
    <row r="4170" spans="1:9" ht="23">
      <c r="A4170" s="2" t="s">
        <v>6181</v>
      </c>
      <c r="B4170" s="9" t="s">
        <v>6182</v>
      </c>
      <c r="C4170" s="9" t="s">
        <v>24</v>
      </c>
      <c r="D4170" s="9" t="s">
        <v>6183</v>
      </c>
      <c r="E4170" s="9">
        <v>108</v>
      </c>
      <c r="F4170" s="9">
        <v>7.5</v>
      </c>
      <c r="G4170" s="9">
        <v>1800000</v>
      </c>
      <c r="H4170" s="9">
        <v>505295</v>
      </c>
      <c r="I4170" s="5">
        <f>IMDB_Movies!$H4170-IMDB_Movies!$G4170</f>
        <v>-1294705</v>
      </c>
    </row>
    <row r="4171" spans="1:9" ht="23">
      <c r="A4171" s="3" t="s">
        <v>6184</v>
      </c>
      <c r="B4171" s="10" t="s">
        <v>5724</v>
      </c>
      <c r="C4171" s="10" t="s">
        <v>4398</v>
      </c>
      <c r="D4171" s="10" t="s">
        <v>11</v>
      </c>
      <c r="E4171" s="10">
        <v>114</v>
      </c>
      <c r="F4171" s="10">
        <v>7</v>
      </c>
      <c r="G4171" s="10">
        <v>1800000</v>
      </c>
      <c r="H4171" s="10">
        <v>25078937</v>
      </c>
      <c r="I4171" s="5">
        <f>IMDB_Movies!$H4171-IMDB_Movies!$G4171</f>
        <v>23278937</v>
      </c>
    </row>
    <row r="4172" spans="1:9" ht="23">
      <c r="A4172" s="2" t="s">
        <v>6185</v>
      </c>
      <c r="B4172" s="9" t="s">
        <v>5620</v>
      </c>
      <c r="C4172" s="9" t="s">
        <v>414</v>
      </c>
      <c r="D4172" s="9" t="s">
        <v>11</v>
      </c>
      <c r="E4172" s="9">
        <v>87</v>
      </c>
      <c r="F4172" s="9">
        <v>7.2</v>
      </c>
      <c r="G4172" s="9">
        <v>20000000</v>
      </c>
      <c r="H4172" s="9">
        <v>25078937</v>
      </c>
      <c r="I4172" s="5">
        <f>IMDB_Movies!$H4172-IMDB_Movies!$G4172</f>
        <v>5078937</v>
      </c>
    </row>
    <row r="4173" spans="1:9" ht="23">
      <c r="A4173" s="3" t="s">
        <v>6186</v>
      </c>
      <c r="B4173" s="10" t="s">
        <v>6187</v>
      </c>
      <c r="C4173" s="10" t="s">
        <v>810</v>
      </c>
      <c r="D4173" s="10" t="s">
        <v>11</v>
      </c>
      <c r="E4173" s="10">
        <v>113</v>
      </c>
      <c r="F4173" s="10">
        <v>5.3</v>
      </c>
      <c r="G4173" s="10">
        <v>1800000</v>
      </c>
      <c r="H4173" s="10">
        <v>25078937</v>
      </c>
      <c r="I4173" s="5">
        <f>IMDB_Movies!$H4173-IMDB_Movies!$G4173</f>
        <v>23278937</v>
      </c>
    </row>
    <row r="4174" spans="1:9" ht="23">
      <c r="A4174" s="2" t="s">
        <v>6188</v>
      </c>
      <c r="B4174" s="9" t="s">
        <v>6189</v>
      </c>
      <c r="C4174" s="9" t="s">
        <v>138</v>
      </c>
      <c r="D4174" s="9" t="s">
        <v>11</v>
      </c>
      <c r="E4174" s="9">
        <v>87</v>
      </c>
      <c r="F4174" s="9">
        <v>8.6999999999999993</v>
      </c>
      <c r="G4174" s="9">
        <v>20000000</v>
      </c>
      <c r="H4174" s="9">
        <v>25078937</v>
      </c>
      <c r="I4174" s="5">
        <f>IMDB_Movies!$H4174-IMDB_Movies!$G4174</f>
        <v>5078937</v>
      </c>
    </row>
    <row r="4175" spans="1:9" ht="23">
      <c r="A4175" s="3" t="s">
        <v>6190</v>
      </c>
      <c r="B4175" s="10" t="s">
        <v>6191</v>
      </c>
      <c r="C4175" s="10" t="s">
        <v>10</v>
      </c>
      <c r="D4175" s="10" t="s">
        <v>11</v>
      </c>
      <c r="E4175" s="10">
        <v>90</v>
      </c>
      <c r="F4175" s="10">
        <v>3.4</v>
      </c>
      <c r="G4175" s="10">
        <v>1800000</v>
      </c>
      <c r="H4175" s="10">
        <v>25078937</v>
      </c>
      <c r="I4175" s="5">
        <f>IMDB_Movies!$H4175-IMDB_Movies!$G4175</f>
        <v>23278937</v>
      </c>
    </row>
    <row r="4176" spans="1:9" ht="23">
      <c r="A4176" s="2" t="s">
        <v>6192</v>
      </c>
      <c r="B4176" s="9" t="s">
        <v>6193</v>
      </c>
      <c r="C4176" s="9" t="s">
        <v>138</v>
      </c>
      <c r="D4176" s="9" t="s">
        <v>11</v>
      </c>
      <c r="E4176" s="9">
        <v>111</v>
      </c>
      <c r="F4176" s="9">
        <v>5.4</v>
      </c>
      <c r="G4176" s="9">
        <v>1800000</v>
      </c>
      <c r="H4176" s="9">
        <v>25078937</v>
      </c>
      <c r="I4176" s="5">
        <f>IMDB_Movies!$H4176-IMDB_Movies!$G4176</f>
        <v>23278937</v>
      </c>
    </row>
    <row r="4177" spans="1:9" ht="23">
      <c r="A4177" s="3" t="s">
        <v>6194</v>
      </c>
      <c r="B4177" s="10" t="s">
        <v>495</v>
      </c>
      <c r="C4177" s="10" t="s">
        <v>414</v>
      </c>
      <c r="D4177" s="10" t="s">
        <v>2452</v>
      </c>
      <c r="E4177" s="10">
        <v>81</v>
      </c>
      <c r="F4177" s="10">
        <v>7.8</v>
      </c>
      <c r="G4177" s="10">
        <v>3500000</v>
      </c>
      <c r="H4177" s="10">
        <v>7267324</v>
      </c>
      <c r="I4177" s="5">
        <f>IMDB_Movies!$H4177-IMDB_Movies!$G4177</f>
        <v>3767324</v>
      </c>
    </row>
    <row r="4178" spans="1:9" ht="23">
      <c r="A4178" s="2" t="s">
        <v>6195</v>
      </c>
      <c r="B4178" s="9" t="s">
        <v>6196</v>
      </c>
      <c r="C4178" s="9" t="s">
        <v>56</v>
      </c>
      <c r="D4178" s="9" t="s">
        <v>11</v>
      </c>
      <c r="E4178" s="9">
        <v>93</v>
      </c>
      <c r="F4178" s="9">
        <v>6.7</v>
      </c>
      <c r="G4178" s="9">
        <v>500000</v>
      </c>
      <c r="H4178" s="9">
        <v>145540</v>
      </c>
      <c r="I4178" s="5">
        <f>IMDB_Movies!$H4178-IMDB_Movies!$G4178</f>
        <v>-354460</v>
      </c>
    </row>
    <row r="4179" spans="1:9" ht="23">
      <c r="A4179" s="3" t="s">
        <v>6197</v>
      </c>
      <c r="B4179" s="10" t="s">
        <v>6198</v>
      </c>
      <c r="C4179" s="10" t="s">
        <v>24</v>
      </c>
      <c r="D4179" s="10" t="s">
        <v>11</v>
      </c>
      <c r="E4179" s="10">
        <v>90</v>
      </c>
      <c r="F4179" s="10">
        <v>4.7</v>
      </c>
      <c r="G4179" s="10">
        <v>2000000</v>
      </c>
      <c r="H4179" s="10">
        <v>25078937</v>
      </c>
      <c r="I4179" s="5">
        <f>IMDB_Movies!$H4179-IMDB_Movies!$G4179</f>
        <v>23078937</v>
      </c>
    </row>
    <row r="4180" spans="1:9" ht="23">
      <c r="A4180" s="2" t="s">
        <v>6199</v>
      </c>
      <c r="B4180" s="9" t="s">
        <v>6200</v>
      </c>
      <c r="C4180" s="9" t="s">
        <v>810</v>
      </c>
      <c r="D4180" s="9" t="s">
        <v>11</v>
      </c>
      <c r="E4180" s="9">
        <v>112</v>
      </c>
      <c r="F4180" s="9">
        <v>6.3</v>
      </c>
      <c r="G4180" s="9">
        <v>1750000</v>
      </c>
      <c r="H4180" s="9">
        <v>25078937</v>
      </c>
      <c r="I4180" s="5">
        <f>IMDB_Movies!$H4180-IMDB_Movies!$G4180</f>
        <v>23328937</v>
      </c>
    </row>
    <row r="4181" spans="1:9" ht="23">
      <c r="A4181" s="3" t="s">
        <v>6201</v>
      </c>
      <c r="B4181" s="10" t="s">
        <v>2780</v>
      </c>
      <c r="C4181" s="10" t="s">
        <v>24</v>
      </c>
      <c r="D4181" s="10" t="s">
        <v>741</v>
      </c>
      <c r="E4181" s="10">
        <v>106</v>
      </c>
      <c r="F4181" s="10">
        <v>7.4</v>
      </c>
      <c r="G4181" s="10">
        <v>20000000</v>
      </c>
      <c r="H4181" s="10">
        <v>12589108</v>
      </c>
      <c r="I4181" s="5">
        <f>IMDB_Movies!$H4181-IMDB_Movies!$G4181</f>
        <v>-7410892</v>
      </c>
    </row>
    <row r="4182" spans="1:9" ht="23">
      <c r="A4182" s="2" t="s">
        <v>6202</v>
      </c>
      <c r="B4182" s="9" t="s">
        <v>6170</v>
      </c>
      <c r="C4182" s="9" t="s">
        <v>10</v>
      </c>
      <c r="D4182" s="9" t="s">
        <v>11</v>
      </c>
      <c r="E4182" s="9">
        <v>88</v>
      </c>
      <c r="F4182" s="9">
        <v>6.1</v>
      </c>
      <c r="G4182" s="9">
        <v>1700000</v>
      </c>
      <c r="H4182" s="9">
        <v>25078937</v>
      </c>
      <c r="I4182" s="5">
        <f>IMDB_Movies!$H4182-IMDB_Movies!$G4182</f>
        <v>23378937</v>
      </c>
    </row>
    <row r="4183" spans="1:9" ht="23">
      <c r="A4183" s="3" t="s">
        <v>6203</v>
      </c>
      <c r="B4183" s="10" t="s">
        <v>3923</v>
      </c>
      <c r="C4183" s="10" t="s">
        <v>414</v>
      </c>
      <c r="D4183" s="10" t="s">
        <v>11</v>
      </c>
      <c r="E4183" s="10">
        <v>138</v>
      </c>
      <c r="F4183" s="10">
        <v>7.5</v>
      </c>
      <c r="G4183" s="10">
        <v>1700000</v>
      </c>
      <c r="H4183" s="10">
        <v>35918429</v>
      </c>
      <c r="I4183" s="5">
        <f>IMDB_Movies!$H4183-IMDB_Movies!$G4183</f>
        <v>34218429</v>
      </c>
    </row>
    <row r="4184" spans="1:9" ht="23">
      <c r="A4184" s="2" t="s">
        <v>6204</v>
      </c>
      <c r="B4184" s="9" t="s">
        <v>6205</v>
      </c>
      <c r="C4184" s="9" t="s">
        <v>810</v>
      </c>
      <c r="D4184" s="9" t="s">
        <v>11</v>
      </c>
      <c r="E4184" s="9">
        <v>105</v>
      </c>
      <c r="F4184" s="9">
        <v>6.3</v>
      </c>
      <c r="G4184" s="9">
        <v>2000000</v>
      </c>
      <c r="H4184" s="9">
        <v>92401</v>
      </c>
      <c r="I4184" s="5">
        <f>IMDB_Movies!$H4184-IMDB_Movies!$G4184</f>
        <v>-1907599</v>
      </c>
    </row>
    <row r="4185" spans="1:9" ht="23">
      <c r="A4185" s="3" t="s">
        <v>6206</v>
      </c>
      <c r="B4185" s="10" t="s">
        <v>6207</v>
      </c>
      <c r="C4185" s="10" t="s">
        <v>138</v>
      </c>
      <c r="D4185" s="10" t="s">
        <v>11</v>
      </c>
      <c r="E4185" s="10">
        <v>98</v>
      </c>
      <c r="F4185" s="10">
        <v>6.3</v>
      </c>
      <c r="G4185" s="10">
        <v>1700000</v>
      </c>
      <c r="H4185" s="10">
        <v>1943649</v>
      </c>
      <c r="I4185" s="5">
        <f>IMDB_Movies!$H4185-IMDB_Movies!$G4185</f>
        <v>243649</v>
      </c>
    </row>
    <row r="4186" spans="1:9" ht="23">
      <c r="A4186" s="2" t="s">
        <v>6208</v>
      </c>
      <c r="B4186" s="9" t="s">
        <v>5878</v>
      </c>
      <c r="C4186" s="9" t="s">
        <v>56</v>
      </c>
      <c r="D4186" s="9" t="s">
        <v>11</v>
      </c>
      <c r="E4186" s="9">
        <v>86</v>
      </c>
      <c r="F4186" s="9">
        <v>6.8</v>
      </c>
      <c r="G4186" s="9">
        <v>1700000</v>
      </c>
      <c r="H4186" s="9">
        <v>992238</v>
      </c>
      <c r="I4186" s="5">
        <f>IMDB_Movies!$H4186-IMDB_Movies!$G4186</f>
        <v>-707762</v>
      </c>
    </row>
    <row r="4187" spans="1:9" ht="23">
      <c r="A4187" s="3" t="s">
        <v>6209</v>
      </c>
      <c r="B4187" s="10" t="s">
        <v>6210</v>
      </c>
      <c r="C4187" s="10" t="s">
        <v>56</v>
      </c>
      <c r="D4187" s="10" t="s">
        <v>1534</v>
      </c>
      <c r="E4187" s="10">
        <v>104</v>
      </c>
      <c r="F4187" s="10">
        <v>7.8</v>
      </c>
      <c r="G4187" s="10">
        <v>1000000</v>
      </c>
      <c r="H4187" s="10">
        <v>4231500</v>
      </c>
      <c r="I4187" s="5">
        <f>IMDB_Movies!$H4187-IMDB_Movies!$G4187</f>
        <v>3231500</v>
      </c>
    </row>
    <row r="4188" spans="1:9" ht="23">
      <c r="A4188" s="2" t="s">
        <v>6211</v>
      </c>
      <c r="B4188" s="9" t="s">
        <v>6212</v>
      </c>
      <c r="C4188" s="9" t="s">
        <v>56</v>
      </c>
      <c r="D4188" s="9" t="s">
        <v>11</v>
      </c>
      <c r="E4188" s="9">
        <v>100</v>
      </c>
      <c r="F4188" s="9">
        <v>6.9</v>
      </c>
      <c r="G4188" s="9">
        <v>1000000</v>
      </c>
      <c r="H4188" s="9">
        <v>396035</v>
      </c>
      <c r="I4188" s="5">
        <f>IMDB_Movies!$H4188-IMDB_Movies!$G4188</f>
        <v>-603965</v>
      </c>
    </row>
    <row r="4189" spans="1:9" ht="23">
      <c r="A4189" s="3" t="s">
        <v>6213</v>
      </c>
      <c r="B4189" s="10" t="s">
        <v>5708</v>
      </c>
      <c r="C4189" s="10" t="s">
        <v>138</v>
      </c>
      <c r="D4189" s="10" t="s">
        <v>11</v>
      </c>
      <c r="E4189" s="10">
        <v>126</v>
      </c>
      <c r="F4189" s="10">
        <v>8</v>
      </c>
      <c r="G4189" s="10">
        <v>1644736</v>
      </c>
      <c r="H4189" s="10">
        <v>25078937</v>
      </c>
      <c r="I4189" s="5">
        <f>IMDB_Movies!$H4189-IMDB_Movies!$G4189</f>
        <v>23434201</v>
      </c>
    </row>
    <row r="4190" spans="1:9" ht="23">
      <c r="A4190" s="2" t="s">
        <v>6214</v>
      </c>
      <c r="B4190" s="9" t="s">
        <v>5115</v>
      </c>
      <c r="C4190" s="9" t="s">
        <v>56</v>
      </c>
      <c r="D4190" s="9" t="s">
        <v>11</v>
      </c>
      <c r="E4190" s="9">
        <v>118</v>
      </c>
      <c r="F4190" s="9">
        <v>7.8</v>
      </c>
      <c r="G4190" s="9">
        <v>1650000</v>
      </c>
      <c r="H4190" s="9">
        <v>25078937</v>
      </c>
      <c r="I4190" s="5">
        <f>IMDB_Movies!$H4190-IMDB_Movies!$G4190</f>
        <v>23428937</v>
      </c>
    </row>
    <row r="4191" spans="1:9" ht="23">
      <c r="A4191" s="3" t="s">
        <v>6215</v>
      </c>
      <c r="B4191" s="10" t="s">
        <v>5695</v>
      </c>
      <c r="C4191" s="10" t="s">
        <v>4398</v>
      </c>
      <c r="D4191" s="10" t="s">
        <v>11</v>
      </c>
      <c r="E4191" s="10">
        <v>103</v>
      </c>
      <c r="F4191" s="10">
        <v>7.4</v>
      </c>
      <c r="G4191" s="10">
        <v>1600000</v>
      </c>
      <c r="H4191" s="10">
        <v>25078937</v>
      </c>
      <c r="I4191" s="5">
        <f>IMDB_Movies!$H4191-IMDB_Movies!$G4191</f>
        <v>23478937</v>
      </c>
    </row>
    <row r="4192" spans="1:9" ht="23">
      <c r="A4192" s="2" t="s">
        <v>6216</v>
      </c>
      <c r="B4192" s="9" t="s">
        <v>6217</v>
      </c>
      <c r="C4192" s="9" t="s">
        <v>56</v>
      </c>
      <c r="D4192" s="9" t="s">
        <v>11</v>
      </c>
      <c r="E4192" s="9">
        <v>102</v>
      </c>
      <c r="F4192" s="9">
        <v>6.1</v>
      </c>
      <c r="G4192" s="9">
        <v>20000000</v>
      </c>
      <c r="H4192" s="9">
        <v>2507106</v>
      </c>
      <c r="I4192" s="5">
        <f>IMDB_Movies!$H4192-IMDB_Movies!$G4192</f>
        <v>-17492894</v>
      </c>
    </row>
    <row r="4193" spans="1:9" ht="23">
      <c r="A4193" s="3" t="s">
        <v>6218</v>
      </c>
      <c r="B4193" s="10" t="s">
        <v>6219</v>
      </c>
      <c r="C4193" s="10" t="s">
        <v>138</v>
      </c>
      <c r="D4193" s="10" t="s">
        <v>11</v>
      </c>
      <c r="E4193" s="10">
        <v>84</v>
      </c>
      <c r="F4193" s="10">
        <v>4.3</v>
      </c>
      <c r="G4193" s="10">
        <v>2000000</v>
      </c>
      <c r="H4193" s="10">
        <v>6026908</v>
      </c>
      <c r="I4193" s="5">
        <f>IMDB_Movies!$H4193-IMDB_Movies!$G4193</f>
        <v>4026908</v>
      </c>
    </row>
    <row r="4194" spans="1:9" ht="23">
      <c r="A4194" s="2" t="s">
        <v>6220</v>
      </c>
      <c r="B4194" s="9" t="s">
        <v>6221</v>
      </c>
      <c r="C4194" s="9" t="s">
        <v>138</v>
      </c>
      <c r="D4194" s="9" t="s">
        <v>4714</v>
      </c>
      <c r="E4194" s="9">
        <v>95</v>
      </c>
      <c r="F4194" s="9">
        <v>7.2</v>
      </c>
      <c r="G4194" s="9">
        <v>1300000</v>
      </c>
      <c r="H4194" s="9">
        <v>1060591</v>
      </c>
      <c r="I4194" s="5">
        <f>IMDB_Movies!$H4194-IMDB_Movies!$G4194</f>
        <v>-239409</v>
      </c>
    </row>
    <row r="4195" spans="1:9" ht="23">
      <c r="A4195" s="3" t="s">
        <v>6222</v>
      </c>
      <c r="B4195" s="10" t="s">
        <v>6223</v>
      </c>
      <c r="C4195" s="10" t="s">
        <v>810</v>
      </c>
      <c r="D4195" s="10" t="s">
        <v>11</v>
      </c>
      <c r="E4195" s="10">
        <v>92</v>
      </c>
      <c r="F4195" s="10">
        <v>4.7</v>
      </c>
      <c r="G4195" s="10">
        <v>20000000</v>
      </c>
      <c r="H4195" s="10">
        <v>25078937</v>
      </c>
      <c r="I4195" s="5">
        <f>IMDB_Movies!$H4195-IMDB_Movies!$G4195</f>
        <v>5078937</v>
      </c>
    </row>
    <row r="4196" spans="1:9" ht="23">
      <c r="A4196" s="2" t="s">
        <v>6224</v>
      </c>
      <c r="B4196" s="9" t="s">
        <v>6225</v>
      </c>
      <c r="C4196" s="9" t="s">
        <v>138</v>
      </c>
      <c r="D4196" s="9" t="s">
        <v>3331</v>
      </c>
      <c r="E4196" s="9">
        <v>90</v>
      </c>
      <c r="F4196" s="9">
        <v>7.3</v>
      </c>
      <c r="G4196" s="9">
        <v>1500000</v>
      </c>
      <c r="H4196" s="9">
        <v>155972</v>
      </c>
      <c r="I4196" s="5">
        <f>IMDB_Movies!$H4196-IMDB_Movies!$G4196</f>
        <v>-1344028</v>
      </c>
    </row>
    <row r="4197" spans="1:9" ht="23">
      <c r="A4197" s="3" t="s">
        <v>6226</v>
      </c>
      <c r="B4197" s="10" t="s">
        <v>1311</v>
      </c>
      <c r="C4197" s="10" t="s">
        <v>56</v>
      </c>
      <c r="D4197" s="10" t="s">
        <v>11</v>
      </c>
      <c r="E4197" s="10">
        <v>113</v>
      </c>
      <c r="F4197" s="10">
        <v>7.9</v>
      </c>
      <c r="G4197" s="10">
        <v>1600000</v>
      </c>
      <c r="H4197" s="10">
        <v>25078937</v>
      </c>
      <c r="I4197" s="5">
        <f>IMDB_Movies!$H4197-IMDB_Movies!$G4197</f>
        <v>23478937</v>
      </c>
    </row>
    <row r="4198" spans="1:9" ht="23">
      <c r="A4198" s="2" t="s">
        <v>6227</v>
      </c>
      <c r="B4198" s="9" t="s">
        <v>6228</v>
      </c>
      <c r="C4198" s="9" t="s">
        <v>414</v>
      </c>
      <c r="D4198" s="9" t="s">
        <v>394</v>
      </c>
      <c r="E4198" s="9">
        <v>123</v>
      </c>
      <c r="F4198" s="9">
        <v>7.2</v>
      </c>
      <c r="G4198" s="9">
        <v>1600000</v>
      </c>
      <c r="H4198" s="9">
        <v>26893</v>
      </c>
      <c r="I4198" s="5">
        <f>IMDB_Movies!$H4198-IMDB_Movies!$G4198</f>
        <v>-1573107</v>
      </c>
    </row>
    <row r="4199" spans="1:9" ht="23">
      <c r="A4199" s="3" t="s">
        <v>6229</v>
      </c>
      <c r="B4199" s="10" t="s">
        <v>6230</v>
      </c>
      <c r="C4199" s="10" t="s">
        <v>56</v>
      </c>
      <c r="D4199" s="10" t="s">
        <v>11</v>
      </c>
      <c r="E4199" s="10">
        <v>111</v>
      </c>
      <c r="F4199" s="10">
        <v>5.4</v>
      </c>
      <c r="G4199" s="10">
        <v>1650000</v>
      </c>
      <c r="H4199" s="10">
        <v>2580</v>
      </c>
      <c r="I4199" s="5">
        <f>IMDB_Movies!$H4199-IMDB_Movies!$G4199</f>
        <v>-1647420</v>
      </c>
    </row>
    <row r="4200" spans="1:9" ht="23">
      <c r="A4200" s="2" t="s">
        <v>6231</v>
      </c>
      <c r="B4200" s="9" t="s">
        <v>6232</v>
      </c>
      <c r="C4200" s="9" t="s">
        <v>810</v>
      </c>
      <c r="D4200" s="9" t="s">
        <v>11</v>
      </c>
      <c r="E4200" s="9">
        <v>99</v>
      </c>
      <c r="F4200" s="9">
        <v>3.7</v>
      </c>
      <c r="G4200" s="9">
        <v>20000000</v>
      </c>
      <c r="H4200" s="9">
        <v>25078937</v>
      </c>
      <c r="I4200" s="5">
        <f>IMDB_Movies!$H4200-IMDB_Movies!$G4200</f>
        <v>5078937</v>
      </c>
    </row>
    <row r="4201" spans="1:9" ht="23">
      <c r="A4201" s="3" t="s">
        <v>6233</v>
      </c>
      <c r="B4201" s="10" t="s">
        <v>6234</v>
      </c>
      <c r="C4201" s="10" t="s">
        <v>138</v>
      </c>
      <c r="D4201" s="10" t="s">
        <v>11</v>
      </c>
      <c r="E4201" s="10">
        <v>108</v>
      </c>
      <c r="F4201" s="10">
        <v>7.1</v>
      </c>
      <c r="G4201" s="10">
        <v>2000000</v>
      </c>
      <c r="H4201" s="10">
        <v>19067631</v>
      </c>
      <c r="I4201" s="5">
        <f>IMDB_Movies!$H4201-IMDB_Movies!$G4201</f>
        <v>17067631</v>
      </c>
    </row>
    <row r="4202" spans="1:9" ht="23">
      <c r="A4202" s="2" t="s">
        <v>6235</v>
      </c>
      <c r="B4202" s="9" t="s">
        <v>6236</v>
      </c>
      <c r="C4202" s="9" t="s">
        <v>10</v>
      </c>
      <c r="D4202" s="9" t="s">
        <v>11</v>
      </c>
      <c r="E4202" s="9">
        <v>92</v>
      </c>
      <c r="F4202" s="9">
        <v>6.8</v>
      </c>
      <c r="G4202" s="9">
        <v>1100000</v>
      </c>
      <c r="H4202" s="9">
        <v>11806119</v>
      </c>
      <c r="I4202" s="5">
        <f>IMDB_Movies!$H4202-IMDB_Movies!$G4202</f>
        <v>10706119</v>
      </c>
    </row>
    <row r="4203" spans="1:9" ht="23">
      <c r="A4203" s="3" t="s">
        <v>6237</v>
      </c>
      <c r="B4203" s="10" t="s">
        <v>5708</v>
      </c>
      <c r="C4203" s="10" t="s">
        <v>138</v>
      </c>
      <c r="D4203" s="10" t="s">
        <v>11</v>
      </c>
      <c r="E4203" s="10">
        <v>120</v>
      </c>
      <c r="F4203" s="10">
        <v>8.1999999999999993</v>
      </c>
      <c r="G4203" s="10">
        <v>1500000</v>
      </c>
      <c r="H4203" s="10">
        <v>25078937</v>
      </c>
      <c r="I4203" s="5">
        <f>IMDB_Movies!$H4203-IMDB_Movies!$G4203</f>
        <v>23578937</v>
      </c>
    </row>
    <row r="4204" spans="1:9" ht="23">
      <c r="A4204" s="2" t="s">
        <v>6238</v>
      </c>
      <c r="B4204" s="9" t="s">
        <v>5987</v>
      </c>
      <c r="C4204" s="9" t="s">
        <v>56</v>
      </c>
      <c r="D4204" s="9" t="s">
        <v>11</v>
      </c>
      <c r="E4204" s="9">
        <v>91</v>
      </c>
      <c r="F4204" s="9">
        <v>7</v>
      </c>
      <c r="G4204" s="9">
        <v>1500000</v>
      </c>
      <c r="H4204" s="9">
        <v>7417210</v>
      </c>
      <c r="I4204" s="5">
        <f>IMDB_Movies!$H4204-IMDB_Movies!$G4204</f>
        <v>5917210</v>
      </c>
    </row>
    <row r="4205" spans="1:9" ht="23">
      <c r="A4205" s="3" t="s">
        <v>6239</v>
      </c>
      <c r="B4205" s="10" t="s">
        <v>4479</v>
      </c>
      <c r="C4205" s="10" t="s">
        <v>138</v>
      </c>
      <c r="D4205" s="10" t="s">
        <v>11</v>
      </c>
      <c r="E4205" s="10">
        <v>88</v>
      </c>
      <c r="F4205" s="10">
        <v>7.4</v>
      </c>
      <c r="G4205" s="10">
        <v>1500000</v>
      </c>
      <c r="H4205" s="10">
        <v>7362100</v>
      </c>
      <c r="I4205" s="5">
        <f>IMDB_Movies!$H4205-IMDB_Movies!$G4205</f>
        <v>5862100</v>
      </c>
    </row>
    <row r="4206" spans="1:9" ht="23">
      <c r="A4206" s="2" t="s">
        <v>6240</v>
      </c>
      <c r="B4206" s="9" t="s">
        <v>2657</v>
      </c>
      <c r="C4206" s="9" t="s">
        <v>138</v>
      </c>
      <c r="D4206" s="9" t="s">
        <v>11</v>
      </c>
      <c r="E4206" s="9">
        <v>97</v>
      </c>
      <c r="F4206" s="9">
        <v>6.7</v>
      </c>
      <c r="G4206" s="9">
        <v>1000000</v>
      </c>
      <c r="H4206" s="9">
        <v>7022940</v>
      </c>
      <c r="I4206" s="5">
        <f>IMDB_Movies!$H4206-IMDB_Movies!$G4206</f>
        <v>6022940</v>
      </c>
    </row>
    <row r="4207" spans="1:9" ht="23">
      <c r="A4207" s="3" t="s">
        <v>6241</v>
      </c>
      <c r="B4207" s="10" t="s">
        <v>3135</v>
      </c>
      <c r="C4207" s="10" t="s">
        <v>6242</v>
      </c>
      <c r="D4207" s="10" t="s">
        <v>11</v>
      </c>
      <c r="E4207" s="10">
        <v>95</v>
      </c>
      <c r="F4207" s="10">
        <v>7.6</v>
      </c>
      <c r="G4207" s="10">
        <v>1696377</v>
      </c>
      <c r="H4207" s="10">
        <v>25078937</v>
      </c>
      <c r="I4207" s="5">
        <f>IMDB_Movies!$H4207-IMDB_Movies!$G4207</f>
        <v>23382560</v>
      </c>
    </row>
    <row r="4208" spans="1:9" ht="23">
      <c r="A4208" s="2" t="s">
        <v>6243</v>
      </c>
      <c r="B4208" s="9" t="s">
        <v>2815</v>
      </c>
      <c r="C4208" s="9" t="s">
        <v>56</v>
      </c>
      <c r="D4208" s="9" t="s">
        <v>11</v>
      </c>
      <c r="E4208" s="9">
        <v>103</v>
      </c>
      <c r="F4208" s="9">
        <v>7.2</v>
      </c>
      <c r="G4208" s="9">
        <v>2000000</v>
      </c>
      <c r="H4208" s="9">
        <v>5132222</v>
      </c>
      <c r="I4208" s="5">
        <f>IMDB_Movies!$H4208-IMDB_Movies!$G4208</f>
        <v>3132222</v>
      </c>
    </row>
    <row r="4209" spans="1:9" ht="23">
      <c r="A4209" s="3" t="s">
        <v>6244</v>
      </c>
      <c r="B4209" s="10" t="s">
        <v>4503</v>
      </c>
      <c r="C4209" s="10" t="s">
        <v>138</v>
      </c>
      <c r="D4209" s="10" t="s">
        <v>11</v>
      </c>
      <c r="E4209" s="10">
        <v>110</v>
      </c>
      <c r="F4209" s="10">
        <v>7.5</v>
      </c>
      <c r="G4209" s="10">
        <v>1500000</v>
      </c>
      <c r="H4209" s="10">
        <v>2365931</v>
      </c>
      <c r="I4209" s="5">
        <f>IMDB_Movies!$H4209-IMDB_Movies!$G4209</f>
        <v>865931</v>
      </c>
    </row>
    <row r="4210" spans="1:9" ht="23">
      <c r="A4210" s="2" t="s">
        <v>6245</v>
      </c>
      <c r="B4210" s="9" t="s">
        <v>89</v>
      </c>
      <c r="C4210" s="9" t="s">
        <v>713</v>
      </c>
      <c r="D4210" s="9" t="s">
        <v>11</v>
      </c>
      <c r="E4210" s="9">
        <v>103</v>
      </c>
      <c r="F4210" s="9">
        <v>6.8</v>
      </c>
      <c r="G4210" s="9">
        <v>1500000</v>
      </c>
      <c r="H4210" s="9">
        <v>53991137</v>
      </c>
      <c r="I4210" s="5">
        <f>IMDB_Movies!$H4210-IMDB_Movies!$G4210</f>
        <v>52491137</v>
      </c>
    </row>
    <row r="4211" spans="1:9" ht="23">
      <c r="A4211" s="3" t="s">
        <v>6246</v>
      </c>
      <c r="B4211" s="10" t="s">
        <v>6247</v>
      </c>
      <c r="C4211" s="10" t="s">
        <v>138</v>
      </c>
      <c r="D4211" s="10" t="s">
        <v>11</v>
      </c>
      <c r="E4211" s="10">
        <v>92</v>
      </c>
      <c r="F4211" s="10">
        <v>6.9</v>
      </c>
      <c r="G4211" s="10">
        <v>1500000</v>
      </c>
      <c r="H4211" s="10">
        <v>25078937</v>
      </c>
      <c r="I4211" s="5">
        <f>IMDB_Movies!$H4211-IMDB_Movies!$G4211</f>
        <v>23578937</v>
      </c>
    </row>
    <row r="4212" spans="1:9" ht="23">
      <c r="A4212" s="2" t="s">
        <v>6248</v>
      </c>
      <c r="B4212" s="9" t="s">
        <v>6249</v>
      </c>
      <c r="C4212" s="9" t="s">
        <v>414</v>
      </c>
      <c r="D4212" s="9" t="s">
        <v>741</v>
      </c>
      <c r="E4212" s="9">
        <v>114</v>
      </c>
      <c r="F4212" s="9">
        <v>7.9</v>
      </c>
      <c r="G4212" s="9">
        <v>1500000</v>
      </c>
      <c r="H4212" s="9">
        <v>1221261</v>
      </c>
      <c r="I4212" s="5">
        <f>IMDB_Movies!$H4212-IMDB_Movies!$G4212</f>
        <v>-278739</v>
      </c>
    </row>
    <row r="4213" spans="1:9" ht="23">
      <c r="A4213" s="3" t="s">
        <v>6250</v>
      </c>
      <c r="B4213" s="10" t="s">
        <v>6251</v>
      </c>
      <c r="C4213" s="10" t="s">
        <v>772</v>
      </c>
      <c r="D4213" s="10" t="s">
        <v>3331</v>
      </c>
      <c r="E4213" s="10">
        <v>101</v>
      </c>
      <c r="F4213" s="10">
        <v>7.6</v>
      </c>
      <c r="G4213" s="10">
        <v>20000000</v>
      </c>
      <c r="H4213" s="10">
        <v>2408553</v>
      </c>
      <c r="I4213" s="5">
        <f>IMDB_Movies!$H4213-IMDB_Movies!$G4213</f>
        <v>-17591447</v>
      </c>
    </row>
    <row r="4214" spans="1:9" ht="23">
      <c r="A4214" s="2" t="s">
        <v>6252</v>
      </c>
      <c r="B4214" s="9" t="s">
        <v>6253</v>
      </c>
      <c r="C4214" s="9" t="s">
        <v>56</v>
      </c>
      <c r="D4214" s="9" t="s">
        <v>11</v>
      </c>
      <c r="E4214" s="9">
        <v>112</v>
      </c>
      <c r="F4214" s="9">
        <v>6.7</v>
      </c>
      <c r="G4214" s="9">
        <v>1500000</v>
      </c>
      <c r="H4214" s="9">
        <v>712294</v>
      </c>
      <c r="I4214" s="5">
        <f>IMDB_Movies!$H4214-IMDB_Movies!$G4214</f>
        <v>-787706</v>
      </c>
    </row>
    <row r="4215" spans="1:9" ht="23">
      <c r="A4215" s="3" t="s">
        <v>6254</v>
      </c>
      <c r="B4215" s="10" t="s">
        <v>6255</v>
      </c>
      <c r="C4215" s="10" t="s">
        <v>138</v>
      </c>
      <c r="D4215" s="10" t="s">
        <v>11</v>
      </c>
      <c r="E4215" s="10">
        <v>104</v>
      </c>
      <c r="F4215" s="10">
        <v>5.8</v>
      </c>
      <c r="G4215" s="10">
        <v>1500000</v>
      </c>
      <c r="H4215" s="10">
        <v>3447339</v>
      </c>
      <c r="I4215" s="5">
        <f>IMDB_Movies!$H4215-IMDB_Movies!$G4215</f>
        <v>1947339</v>
      </c>
    </row>
    <row r="4216" spans="1:9" ht="23">
      <c r="A4216" s="2" t="s">
        <v>6256</v>
      </c>
      <c r="B4216" s="9" t="s">
        <v>5513</v>
      </c>
      <c r="C4216" s="9" t="s">
        <v>414</v>
      </c>
      <c r="D4216" s="9" t="s">
        <v>11</v>
      </c>
      <c r="E4216" s="9">
        <v>99</v>
      </c>
      <c r="F4216" s="9">
        <v>6.5</v>
      </c>
      <c r="G4216" s="9">
        <v>1500000</v>
      </c>
      <c r="H4216" s="9">
        <v>418953</v>
      </c>
      <c r="I4216" s="5">
        <f>IMDB_Movies!$H4216-IMDB_Movies!$G4216</f>
        <v>-1081047</v>
      </c>
    </row>
    <row r="4217" spans="1:9" ht="23">
      <c r="A4217" s="3" t="s">
        <v>6257</v>
      </c>
      <c r="B4217" s="10" t="s">
        <v>6258</v>
      </c>
      <c r="C4217" s="10" t="s">
        <v>56</v>
      </c>
      <c r="D4217" s="10" t="s">
        <v>11</v>
      </c>
      <c r="E4217" s="10">
        <v>98</v>
      </c>
      <c r="F4217" s="10">
        <v>7.2</v>
      </c>
      <c r="G4217" s="10">
        <v>1500000</v>
      </c>
      <c r="H4217" s="10">
        <v>406035</v>
      </c>
      <c r="I4217" s="5">
        <f>IMDB_Movies!$H4217-IMDB_Movies!$G4217</f>
        <v>-1093965</v>
      </c>
    </row>
    <row r="4218" spans="1:9" ht="23">
      <c r="A4218" s="2" t="s">
        <v>6259</v>
      </c>
      <c r="B4218" s="9" t="s">
        <v>1484</v>
      </c>
      <c r="C4218" s="9" t="s">
        <v>56</v>
      </c>
      <c r="D4218" s="9" t="s">
        <v>11</v>
      </c>
      <c r="E4218" s="9">
        <v>107</v>
      </c>
      <c r="F4218" s="9">
        <v>6.9</v>
      </c>
      <c r="G4218" s="9">
        <v>20000000</v>
      </c>
      <c r="H4218" s="9">
        <v>402820</v>
      </c>
      <c r="I4218" s="5">
        <f>IMDB_Movies!$H4218-IMDB_Movies!$G4218</f>
        <v>-19597180</v>
      </c>
    </row>
    <row r="4219" spans="1:9" ht="23">
      <c r="A4219" s="3" t="s">
        <v>6260</v>
      </c>
      <c r="B4219" s="10" t="s">
        <v>6261</v>
      </c>
      <c r="C4219" s="10" t="s">
        <v>10</v>
      </c>
      <c r="D4219" s="10" t="s">
        <v>11</v>
      </c>
      <c r="E4219" s="10">
        <v>93</v>
      </c>
      <c r="F4219" s="10">
        <v>5.5</v>
      </c>
      <c r="G4219" s="10">
        <v>1500000</v>
      </c>
      <c r="H4219" s="10">
        <v>25078937</v>
      </c>
      <c r="I4219" s="5">
        <f>IMDB_Movies!$H4219-IMDB_Movies!$G4219</f>
        <v>23578937</v>
      </c>
    </row>
    <row r="4220" spans="1:9" ht="23">
      <c r="A4220" s="2" t="s">
        <v>6262</v>
      </c>
      <c r="B4220" s="9" t="s">
        <v>3815</v>
      </c>
      <c r="C4220" s="9" t="s">
        <v>810</v>
      </c>
      <c r="D4220" s="9" t="s">
        <v>11</v>
      </c>
      <c r="E4220" s="9">
        <v>100</v>
      </c>
      <c r="F4220" s="9">
        <v>6.5</v>
      </c>
      <c r="G4220" s="9">
        <v>1500000</v>
      </c>
      <c r="H4220" s="9">
        <v>373967</v>
      </c>
      <c r="I4220" s="5">
        <f>IMDB_Movies!$H4220-IMDB_Movies!$G4220</f>
        <v>-1126033</v>
      </c>
    </row>
    <row r="4221" spans="1:9" ht="23">
      <c r="A4221" s="3" t="s">
        <v>6263</v>
      </c>
      <c r="B4221" s="10" t="s">
        <v>6264</v>
      </c>
      <c r="C4221" s="10" t="s">
        <v>138</v>
      </c>
      <c r="D4221" s="10" t="s">
        <v>11</v>
      </c>
      <c r="E4221" s="10">
        <v>80</v>
      </c>
      <c r="F4221" s="10">
        <v>6.2</v>
      </c>
      <c r="G4221" s="10">
        <v>1500000</v>
      </c>
      <c r="H4221" s="10">
        <v>194568</v>
      </c>
      <c r="I4221" s="5">
        <f>IMDB_Movies!$H4221-IMDB_Movies!$G4221</f>
        <v>-1305432</v>
      </c>
    </row>
    <row r="4222" spans="1:9" ht="23">
      <c r="A4222" s="2" t="s">
        <v>6265</v>
      </c>
      <c r="B4222" s="9" t="s">
        <v>6266</v>
      </c>
      <c r="C4222" s="9" t="s">
        <v>56</v>
      </c>
      <c r="D4222" s="9" t="s">
        <v>11</v>
      </c>
      <c r="E4222" s="9">
        <v>94</v>
      </c>
      <c r="F4222" s="9">
        <v>6.7</v>
      </c>
      <c r="G4222" s="9">
        <v>20000000</v>
      </c>
      <c r="H4222" s="9">
        <v>25078937</v>
      </c>
      <c r="I4222" s="5">
        <f>IMDB_Movies!$H4222-IMDB_Movies!$G4222</f>
        <v>5078937</v>
      </c>
    </row>
    <row r="4223" spans="1:9" ht="23">
      <c r="A4223" s="3" t="s">
        <v>6267</v>
      </c>
      <c r="B4223" s="10" t="s">
        <v>6268</v>
      </c>
      <c r="C4223" s="10" t="s">
        <v>138</v>
      </c>
      <c r="D4223" s="10" t="s">
        <v>11</v>
      </c>
      <c r="E4223" s="10">
        <v>93</v>
      </c>
      <c r="F4223" s="10">
        <v>5.7</v>
      </c>
      <c r="G4223" s="10">
        <v>1500000</v>
      </c>
      <c r="H4223" s="10">
        <v>25078937</v>
      </c>
      <c r="I4223" s="5">
        <f>IMDB_Movies!$H4223-IMDB_Movies!$G4223</f>
        <v>23578937</v>
      </c>
    </row>
    <row r="4224" spans="1:9" ht="23">
      <c r="A4224" s="2" t="s">
        <v>6269</v>
      </c>
      <c r="B4224" s="9" t="s">
        <v>6270</v>
      </c>
      <c r="C4224" s="9" t="s">
        <v>138</v>
      </c>
      <c r="D4224" s="9" t="s">
        <v>11</v>
      </c>
      <c r="E4224" s="9">
        <v>87</v>
      </c>
      <c r="F4224" s="9">
        <v>8.6</v>
      </c>
      <c r="G4224" s="9">
        <v>1500000</v>
      </c>
      <c r="H4224" s="9">
        <v>163245</v>
      </c>
      <c r="I4224" s="5">
        <f>IMDB_Movies!$H4224-IMDB_Movies!$G4224</f>
        <v>-1336755</v>
      </c>
    </row>
    <row r="4225" spans="1:9" ht="23">
      <c r="A4225" s="3" t="s">
        <v>6271</v>
      </c>
      <c r="B4225" s="10" t="s">
        <v>6272</v>
      </c>
      <c r="C4225" s="10" t="s">
        <v>56</v>
      </c>
      <c r="D4225" s="10" t="s">
        <v>11</v>
      </c>
      <c r="E4225" s="10">
        <v>91</v>
      </c>
      <c r="F4225" s="10">
        <v>6.5</v>
      </c>
      <c r="G4225" s="10">
        <v>1500000</v>
      </c>
      <c r="H4225" s="10">
        <v>119841</v>
      </c>
      <c r="I4225" s="5">
        <f>IMDB_Movies!$H4225-IMDB_Movies!$G4225</f>
        <v>-1380159</v>
      </c>
    </row>
    <row r="4226" spans="1:9" ht="23">
      <c r="A4226" s="2" t="s">
        <v>6273</v>
      </c>
      <c r="B4226" s="9" t="s">
        <v>6274</v>
      </c>
      <c r="C4226" s="9" t="s">
        <v>138</v>
      </c>
      <c r="D4226" s="9" t="s">
        <v>11</v>
      </c>
      <c r="E4226" s="9">
        <v>84</v>
      </c>
      <c r="F4226" s="9">
        <v>6.3</v>
      </c>
      <c r="G4226" s="9">
        <v>1500000</v>
      </c>
      <c r="H4226" s="9">
        <v>173066</v>
      </c>
      <c r="I4226" s="5">
        <f>IMDB_Movies!$H4226-IMDB_Movies!$G4226</f>
        <v>-1326934</v>
      </c>
    </row>
    <row r="4227" spans="1:9" ht="23">
      <c r="A4227" s="3" t="s">
        <v>6275</v>
      </c>
      <c r="B4227" s="10" t="s">
        <v>3996</v>
      </c>
      <c r="C4227" s="10" t="s">
        <v>138</v>
      </c>
      <c r="D4227" s="10" t="s">
        <v>11</v>
      </c>
      <c r="E4227" s="10">
        <v>90</v>
      </c>
      <c r="F4227" s="10">
        <v>4.3</v>
      </c>
      <c r="G4227" s="10">
        <v>1500000</v>
      </c>
      <c r="H4227" s="10">
        <v>92362</v>
      </c>
      <c r="I4227" s="5">
        <f>IMDB_Movies!$H4227-IMDB_Movies!$G4227</f>
        <v>-1407638</v>
      </c>
    </row>
    <row r="4228" spans="1:9" ht="23">
      <c r="A4228" s="2" t="s">
        <v>6276</v>
      </c>
      <c r="B4228" s="9" t="s">
        <v>6277</v>
      </c>
      <c r="C4228" s="9" t="s">
        <v>138</v>
      </c>
      <c r="D4228" s="9" t="s">
        <v>11</v>
      </c>
      <c r="E4228" s="9">
        <v>98</v>
      </c>
      <c r="F4228" s="9">
        <v>6.1</v>
      </c>
      <c r="G4228" s="9">
        <v>1500000</v>
      </c>
      <c r="H4228" s="9">
        <v>105943</v>
      </c>
      <c r="I4228" s="5">
        <f>IMDB_Movies!$H4228-IMDB_Movies!$G4228</f>
        <v>-1394057</v>
      </c>
    </row>
    <row r="4229" spans="1:9" ht="23">
      <c r="A4229" s="3" t="s">
        <v>6278</v>
      </c>
      <c r="B4229" s="10" t="s">
        <v>4186</v>
      </c>
      <c r="C4229" s="10" t="s">
        <v>56</v>
      </c>
      <c r="D4229" s="10" t="s">
        <v>11</v>
      </c>
      <c r="E4229" s="10">
        <v>108</v>
      </c>
      <c r="F4229" s="10">
        <v>6</v>
      </c>
      <c r="G4229" s="10">
        <v>1500000</v>
      </c>
      <c r="H4229" s="10">
        <v>25078937</v>
      </c>
      <c r="I4229" s="5">
        <f>IMDB_Movies!$H4229-IMDB_Movies!$G4229</f>
        <v>23578937</v>
      </c>
    </row>
    <row r="4230" spans="1:9" ht="23">
      <c r="A4230" s="2" t="s">
        <v>6279</v>
      </c>
      <c r="B4230" s="9" t="s">
        <v>4702</v>
      </c>
      <c r="C4230" s="9" t="s">
        <v>56</v>
      </c>
      <c r="D4230" s="9" t="s">
        <v>11</v>
      </c>
      <c r="E4230" s="9">
        <v>124</v>
      </c>
      <c r="F4230" s="9">
        <v>5.8</v>
      </c>
      <c r="G4230" s="9">
        <v>1700000</v>
      </c>
      <c r="H4230" s="9">
        <v>183490</v>
      </c>
      <c r="I4230" s="5">
        <f>IMDB_Movies!$H4230-IMDB_Movies!$G4230</f>
        <v>-1516510</v>
      </c>
    </row>
    <row r="4231" spans="1:9" ht="23">
      <c r="A4231" s="3" t="s">
        <v>6280</v>
      </c>
      <c r="B4231" s="10" t="s">
        <v>6281</v>
      </c>
      <c r="C4231" s="10" t="s">
        <v>713</v>
      </c>
      <c r="D4231" s="10" t="s">
        <v>11</v>
      </c>
      <c r="E4231" s="10">
        <v>95</v>
      </c>
      <c r="F4231" s="10">
        <v>6.7</v>
      </c>
      <c r="G4231" s="10">
        <v>1500000</v>
      </c>
      <c r="H4231" s="10">
        <v>3478</v>
      </c>
      <c r="I4231" s="5">
        <f>IMDB_Movies!$H4231-IMDB_Movies!$G4231</f>
        <v>-1496522</v>
      </c>
    </row>
    <row r="4232" spans="1:9" ht="23">
      <c r="A4232" s="2" t="s">
        <v>6282</v>
      </c>
      <c r="B4232" s="9" t="s">
        <v>6283</v>
      </c>
      <c r="C4232" s="9" t="s">
        <v>56</v>
      </c>
      <c r="D4232" s="9" t="s">
        <v>11</v>
      </c>
      <c r="E4232" s="9">
        <v>90</v>
      </c>
      <c r="F4232" s="9">
        <v>6.7</v>
      </c>
      <c r="G4232" s="9">
        <v>2000000</v>
      </c>
      <c r="H4232" s="9">
        <v>52166</v>
      </c>
      <c r="I4232" s="5">
        <f>IMDB_Movies!$H4232-IMDB_Movies!$G4232</f>
        <v>-1947834</v>
      </c>
    </row>
    <row r="4233" spans="1:9" ht="23">
      <c r="A4233" s="3" t="s">
        <v>6284</v>
      </c>
      <c r="B4233" s="10" t="s">
        <v>6285</v>
      </c>
      <c r="C4233" s="10" t="s">
        <v>138</v>
      </c>
      <c r="D4233" s="10" t="s">
        <v>11</v>
      </c>
      <c r="E4233" s="10">
        <v>93</v>
      </c>
      <c r="F4233" s="10">
        <v>7.6</v>
      </c>
      <c r="G4233" s="10">
        <v>1500000</v>
      </c>
      <c r="H4233" s="10">
        <v>25078937</v>
      </c>
      <c r="I4233" s="5">
        <f>IMDB_Movies!$H4233-IMDB_Movies!$G4233</f>
        <v>23578937</v>
      </c>
    </row>
    <row r="4234" spans="1:9" ht="23">
      <c r="A4234" s="2" t="s">
        <v>6286</v>
      </c>
      <c r="B4234" s="9" t="s">
        <v>3688</v>
      </c>
      <c r="C4234" s="9" t="s">
        <v>56</v>
      </c>
      <c r="D4234" s="9" t="s">
        <v>11</v>
      </c>
      <c r="E4234" s="9">
        <v>101</v>
      </c>
      <c r="F4234" s="9">
        <v>5.0999999999999996</v>
      </c>
      <c r="G4234" s="9">
        <v>2500000</v>
      </c>
      <c r="H4234" s="9">
        <v>1163508</v>
      </c>
      <c r="I4234" s="5">
        <f>IMDB_Movies!$H4234-IMDB_Movies!$G4234</f>
        <v>-1336492</v>
      </c>
    </row>
    <row r="4235" spans="1:9" ht="23">
      <c r="A4235" s="3" t="s">
        <v>6287</v>
      </c>
      <c r="B4235" s="10" t="s">
        <v>6288</v>
      </c>
      <c r="C4235" s="10" t="s">
        <v>138</v>
      </c>
      <c r="D4235" s="10" t="s">
        <v>11</v>
      </c>
      <c r="E4235" s="10">
        <v>107</v>
      </c>
      <c r="F4235" s="10">
        <v>6.8</v>
      </c>
      <c r="G4235" s="10">
        <v>350000</v>
      </c>
      <c r="H4235" s="10">
        <v>25078937</v>
      </c>
      <c r="I4235" s="5">
        <f>IMDB_Movies!$H4235-IMDB_Movies!$G4235</f>
        <v>24728937</v>
      </c>
    </row>
    <row r="4236" spans="1:9" ht="23">
      <c r="A4236" s="2" t="s">
        <v>6289</v>
      </c>
      <c r="B4236" s="9" t="s">
        <v>6290</v>
      </c>
      <c r="C4236" s="9" t="s">
        <v>772</v>
      </c>
      <c r="D4236" s="9" t="s">
        <v>11</v>
      </c>
      <c r="E4236" s="9">
        <v>20</v>
      </c>
      <c r="F4236" s="9">
        <v>6.8</v>
      </c>
      <c r="G4236" s="9">
        <v>1500000</v>
      </c>
      <c r="H4236" s="9">
        <v>25078937</v>
      </c>
      <c r="I4236" s="5">
        <f>IMDB_Movies!$H4236-IMDB_Movies!$G4236</f>
        <v>23578937</v>
      </c>
    </row>
    <row r="4237" spans="1:9" ht="23">
      <c r="A4237" s="3" t="s">
        <v>6291</v>
      </c>
      <c r="B4237" s="10" t="s">
        <v>6292</v>
      </c>
      <c r="C4237" s="10" t="s">
        <v>56</v>
      </c>
      <c r="D4237" s="10" t="s">
        <v>11</v>
      </c>
      <c r="E4237" s="10">
        <v>87</v>
      </c>
      <c r="F4237" s="10">
        <v>6.8</v>
      </c>
      <c r="G4237" s="10">
        <v>1500000</v>
      </c>
      <c r="H4237" s="10">
        <v>25078937</v>
      </c>
      <c r="I4237" s="5">
        <f>IMDB_Movies!$H4237-IMDB_Movies!$G4237</f>
        <v>23578937</v>
      </c>
    </row>
    <row r="4238" spans="1:9" ht="23">
      <c r="A4238" s="2" t="s">
        <v>6293</v>
      </c>
      <c r="B4238" s="9" t="s">
        <v>6294</v>
      </c>
      <c r="C4238" s="9" t="s">
        <v>138</v>
      </c>
      <c r="D4238" s="9" t="s">
        <v>11</v>
      </c>
      <c r="E4238" s="9">
        <v>98</v>
      </c>
      <c r="F4238" s="9">
        <v>6.3</v>
      </c>
      <c r="G4238" s="9">
        <v>1500000</v>
      </c>
      <c r="H4238" s="9">
        <v>25078937</v>
      </c>
      <c r="I4238" s="5">
        <f>IMDB_Movies!$H4238-IMDB_Movies!$G4238</f>
        <v>23578937</v>
      </c>
    </row>
    <row r="4239" spans="1:9" ht="23">
      <c r="A4239" s="3" t="s">
        <v>6295</v>
      </c>
      <c r="B4239" s="10" t="s">
        <v>6296</v>
      </c>
      <c r="C4239" s="10" t="s">
        <v>138</v>
      </c>
      <c r="D4239" s="10" t="s">
        <v>11</v>
      </c>
      <c r="E4239" s="10">
        <v>112</v>
      </c>
      <c r="F4239" s="10">
        <v>7.1</v>
      </c>
      <c r="G4239" s="10">
        <v>5000000</v>
      </c>
      <c r="H4239" s="10">
        <v>25078937</v>
      </c>
      <c r="I4239" s="5">
        <f>IMDB_Movies!$H4239-IMDB_Movies!$G4239</f>
        <v>20078937</v>
      </c>
    </row>
    <row r="4240" spans="1:9" ht="23">
      <c r="A4240" s="2" t="s">
        <v>6297</v>
      </c>
      <c r="B4240" s="9" t="s">
        <v>6298</v>
      </c>
      <c r="C4240" s="9" t="s">
        <v>790</v>
      </c>
      <c r="D4240" s="9" t="s">
        <v>11</v>
      </c>
      <c r="E4240" s="9">
        <v>82</v>
      </c>
      <c r="F4240" s="9">
        <v>2.8</v>
      </c>
      <c r="G4240" s="9">
        <v>1500000</v>
      </c>
      <c r="H4240" s="9">
        <v>25078937</v>
      </c>
      <c r="I4240" s="5">
        <f>IMDB_Movies!$H4240-IMDB_Movies!$G4240</f>
        <v>23578937</v>
      </c>
    </row>
    <row r="4241" spans="1:9" ht="23">
      <c r="A4241" s="3" t="s">
        <v>6299</v>
      </c>
      <c r="B4241" s="10" t="s">
        <v>6300</v>
      </c>
      <c r="C4241" s="10" t="s">
        <v>138</v>
      </c>
      <c r="D4241" s="10" t="s">
        <v>11</v>
      </c>
      <c r="E4241" s="10">
        <v>102</v>
      </c>
      <c r="F4241" s="10">
        <v>8.1999999999999993</v>
      </c>
      <c r="G4241" s="10">
        <v>2000000</v>
      </c>
      <c r="H4241" s="10">
        <v>25078937</v>
      </c>
      <c r="I4241" s="5">
        <f>IMDB_Movies!$H4241-IMDB_Movies!$G4241</f>
        <v>23078937</v>
      </c>
    </row>
    <row r="4242" spans="1:9" ht="23">
      <c r="A4242" s="2" t="s">
        <v>6301</v>
      </c>
      <c r="B4242" s="9" t="s">
        <v>6302</v>
      </c>
      <c r="C4242" s="9" t="s">
        <v>10</v>
      </c>
      <c r="D4242" s="9" t="s">
        <v>11</v>
      </c>
      <c r="E4242" s="9">
        <v>97</v>
      </c>
      <c r="F4242" s="9">
        <v>3.1</v>
      </c>
      <c r="G4242" s="9">
        <v>1500000</v>
      </c>
      <c r="H4242" s="9">
        <v>25078937</v>
      </c>
      <c r="I4242" s="5">
        <f>IMDB_Movies!$H4242-IMDB_Movies!$G4242</f>
        <v>23578937</v>
      </c>
    </row>
    <row r="4243" spans="1:9" ht="23">
      <c r="A4243" s="3" t="s">
        <v>6303</v>
      </c>
      <c r="B4243" s="10" t="s">
        <v>6304</v>
      </c>
      <c r="C4243" s="10" t="s">
        <v>56</v>
      </c>
      <c r="D4243" s="10" t="s">
        <v>11</v>
      </c>
      <c r="E4243" s="10">
        <v>101</v>
      </c>
      <c r="F4243" s="10">
        <v>3.3</v>
      </c>
      <c r="G4243" s="10">
        <v>1500000</v>
      </c>
      <c r="H4243" s="10">
        <v>25078937</v>
      </c>
      <c r="I4243" s="5">
        <f>IMDB_Movies!$H4243-IMDB_Movies!$G4243</f>
        <v>23578937</v>
      </c>
    </row>
    <row r="4244" spans="1:9" ht="23">
      <c r="A4244" s="2" t="s">
        <v>6305</v>
      </c>
      <c r="B4244" s="9" t="s">
        <v>6306</v>
      </c>
      <c r="C4244" s="9" t="s">
        <v>10</v>
      </c>
      <c r="D4244" s="9" t="s">
        <v>11</v>
      </c>
      <c r="E4244" s="9">
        <v>93</v>
      </c>
      <c r="F4244" s="9">
        <v>3.6</v>
      </c>
      <c r="G4244" s="9">
        <v>2000000</v>
      </c>
      <c r="H4244" s="9">
        <v>25078937</v>
      </c>
      <c r="I4244" s="5">
        <f>IMDB_Movies!$H4244-IMDB_Movies!$G4244</f>
        <v>23078937</v>
      </c>
    </row>
    <row r="4245" spans="1:9" ht="23">
      <c r="A4245" s="3" t="s">
        <v>6307</v>
      </c>
      <c r="B4245" s="10" t="s">
        <v>6308</v>
      </c>
      <c r="C4245" s="10" t="s">
        <v>116</v>
      </c>
      <c r="D4245" s="10" t="s">
        <v>11</v>
      </c>
      <c r="E4245" s="10">
        <v>83</v>
      </c>
      <c r="F4245" s="10">
        <v>7.7</v>
      </c>
      <c r="G4245" s="10">
        <v>2000000</v>
      </c>
      <c r="H4245" s="10">
        <v>184925485</v>
      </c>
      <c r="I4245" s="5">
        <f>IMDB_Movies!$H4245-IMDB_Movies!$G4245</f>
        <v>182925485</v>
      </c>
    </row>
    <row r="4246" spans="1:9" ht="23">
      <c r="A4246" s="2" t="s">
        <v>6309</v>
      </c>
      <c r="B4246" s="9" t="s">
        <v>6310</v>
      </c>
      <c r="C4246" s="9" t="s">
        <v>56</v>
      </c>
      <c r="D4246" s="9" t="s">
        <v>741</v>
      </c>
      <c r="E4246" s="9">
        <v>106</v>
      </c>
      <c r="F4246" s="9">
        <v>6.7</v>
      </c>
      <c r="G4246" s="9">
        <v>1400000</v>
      </c>
      <c r="H4246" s="9">
        <v>304124</v>
      </c>
      <c r="I4246" s="5">
        <f>IMDB_Movies!$H4246-IMDB_Movies!$G4246</f>
        <v>-1095876</v>
      </c>
    </row>
    <row r="4247" spans="1:9" ht="23">
      <c r="A4247" s="3" t="s">
        <v>6311</v>
      </c>
      <c r="B4247" s="10" t="s">
        <v>6312</v>
      </c>
      <c r="C4247" s="10" t="s">
        <v>4398</v>
      </c>
      <c r="D4247" s="10" t="s">
        <v>11</v>
      </c>
      <c r="E4247" s="10">
        <v>113</v>
      </c>
      <c r="F4247" s="10">
        <v>5.5</v>
      </c>
      <c r="G4247" s="10">
        <v>1455000</v>
      </c>
      <c r="H4247" s="10">
        <v>25078937</v>
      </c>
      <c r="I4247" s="5">
        <f>IMDB_Movies!$H4247-IMDB_Movies!$G4247</f>
        <v>23623937</v>
      </c>
    </row>
    <row r="4248" spans="1:9" ht="23">
      <c r="A4248" s="2" t="s">
        <v>6313</v>
      </c>
      <c r="B4248" s="9" t="s">
        <v>6314</v>
      </c>
      <c r="C4248" s="9" t="s">
        <v>24</v>
      </c>
      <c r="D4248" s="9" t="s">
        <v>11</v>
      </c>
      <c r="E4248" s="9">
        <v>94</v>
      </c>
      <c r="F4248" s="9">
        <v>6.6</v>
      </c>
      <c r="G4248" s="9">
        <v>1400000</v>
      </c>
      <c r="H4248" s="9">
        <v>36830</v>
      </c>
      <c r="I4248" s="5">
        <f>IMDB_Movies!$H4248-IMDB_Movies!$G4248</f>
        <v>-1363170</v>
      </c>
    </row>
    <row r="4249" spans="1:9" ht="23">
      <c r="A4249" s="3" t="s">
        <v>6315</v>
      </c>
      <c r="B4249" s="10" t="s">
        <v>6316</v>
      </c>
      <c r="C4249" s="10" t="s">
        <v>56</v>
      </c>
      <c r="D4249" s="10" t="s">
        <v>11</v>
      </c>
      <c r="E4249" s="10">
        <v>101</v>
      </c>
      <c r="F4249" s="10">
        <v>4.8</v>
      </c>
      <c r="G4249" s="10">
        <v>2000000</v>
      </c>
      <c r="H4249" s="10">
        <v>25078937</v>
      </c>
      <c r="I4249" s="5">
        <f>IMDB_Movies!$H4249-IMDB_Movies!$G4249</f>
        <v>23078937</v>
      </c>
    </row>
    <row r="4250" spans="1:9" ht="23">
      <c r="A4250" s="2" t="s">
        <v>6317</v>
      </c>
      <c r="B4250" s="9" t="s">
        <v>5092</v>
      </c>
      <c r="C4250" s="9" t="s">
        <v>810</v>
      </c>
      <c r="D4250" s="9" t="s">
        <v>11</v>
      </c>
      <c r="E4250" s="9">
        <v>99</v>
      </c>
      <c r="F4250" s="9">
        <v>5.5</v>
      </c>
      <c r="G4250" s="9">
        <v>3150000</v>
      </c>
      <c r="H4250" s="9">
        <v>25078937</v>
      </c>
      <c r="I4250" s="5">
        <f>IMDB_Movies!$H4250-IMDB_Movies!$G4250</f>
        <v>21928937</v>
      </c>
    </row>
    <row r="4251" spans="1:9" ht="23">
      <c r="A4251" s="3" t="s">
        <v>6318</v>
      </c>
      <c r="B4251" s="10" t="s">
        <v>6319</v>
      </c>
      <c r="C4251" s="10" t="s">
        <v>414</v>
      </c>
      <c r="D4251" s="10" t="s">
        <v>394</v>
      </c>
      <c r="E4251" s="10">
        <v>76</v>
      </c>
      <c r="F4251" s="10">
        <v>6.3</v>
      </c>
      <c r="G4251" s="10">
        <v>20000000</v>
      </c>
      <c r="H4251" s="10">
        <v>231186</v>
      </c>
      <c r="I4251" s="5">
        <f>IMDB_Movies!$H4251-IMDB_Movies!$G4251</f>
        <v>-19768814</v>
      </c>
    </row>
    <row r="4252" spans="1:9" ht="23">
      <c r="A4252" s="2" t="s">
        <v>6320</v>
      </c>
      <c r="B4252" s="9" t="s">
        <v>6321</v>
      </c>
      <c r="C4252" s="9" t="s">
        <v>810</v>
      </c>
      <c r="D4252" s="9" t="s">
        <v>11</v>
      </c>
      <c r="E4252" s="9">
        <v>91</v>
      </c>
      <c r="F4252" s="9">
        <v>6.9</v>
      </c>
      <c r="G4252" s="9">
        <v>1400000</v>
      </c>
      <c r="H4252" s="9">
        <v>25078937</v>
      </c>
      <c r="I4252" s="5">
        <f>IMDB_Movies!$H4252-IMDB_Movies!$G4252</f>
        <v>23678937</v>
      </c>
    </row>
    <row r="4253" spans="1:9" ht="23">
      <c r="A4253" s="3" t="s">
        <v>6322</v>
      </c>
      <c r="B4253" s="10" t="s">
        <v>6323</v>
      </c>
      <c r="C4253" s="10" t="s">
        <v>24</v>
      </c>
      <c r="D4253" s="10" t="s">
        <v>11</v>
      </c>
      <c r="E4253" s="10">
        <v>105</v>
      </c>
      <c r="F4253" s="10">
        <v>6.5</v>
      </c>
      <c r="G4253" s="10">
        <v>1377800</v>
      </c>
      <c r="H4253" s="10">
        <v>25078937</v>
      </c>
      <c r="I4253" s="5">
        <f>IMDB_Movies!$H4253-IMDB_Movies!$G4253</f>
        <v>23701137</v>
      </c>
    </row>
    <row r="4254" spans="1:9" ht="23">
      <c r="A4254" s="2" t="s">
        <v>6324</v>
      </c>
      <c r="B4254" s="9" t="s">
        <v>348</v>
      </c>
      <c r="C4254" s="9" t="s">
        <v>138</v>
      </c>
      <c r="D4254" s="9" t="s">
        <v>11</v>
      </c>
      <c r="E4254" s="9">
        <v>120</v>
      </c>
      <c r="F4254" s="9">
        <v>8.1999999999999993</v>
      </c>
      <c r="G4254" s="9">
        <v>960000</v>
      </c>
      <c r="H4254" s="9">
        <v>3650677</v>
      </c>
      <c r="I4254" s="5">
        <f>IMDB_Movies!$H4254-IMDB_Movies!$G4254</f>
        <v>2690677</v>
      </c>
    </row>
    <row r="4255" spans="1:9" ht="23">
      <c r="A4255" s="3" t="s">
        <v>6325</v>
      </c>
      <c r="B4255" s="10" t="s">
        <v>6326</v>
      </c>
      <c r="C4255" s="10" t="s">
        <v>4398</v>
      </c>
      <c r="D4255" s="10" t="s">
        <v>11</v>
      </c>
      <c r="E4255" s="10">
        <v>105</v>
      </c>
      <c r="F4255" s="10">
        <v>7.1</v>
      </c>
      <c r="G4255" s="10">
        <v>1250000</v>
      </c>
      <c r="H4255" s="10">
        <v>25078937</v>
      </c>
      <c r="I4255" s="5">
        <f>IMDB_Movies!$H4255-IMDB_Movies!$G4255</f>
        <v>23828937</v>
      </c>
    </row>
    <row r="4256" spans="1:9" ht="23">
      <c r="A4256" s="2" t="s">
        <v>6327</v>
      </c>
      <c r="B4256" s="9" t="s">
        <v>4811</v>
      </c>
      <c r="C4256" s="9" t="s">
        <v>56</v>
      </c>
      <c r="D4256" s="9" t="s">
        <v>4656</v>
      </c>
      <c r="E4256" s="9">
        <v>105</v>
      </c>
      <c r="F4256" s="9">
        <v>8.1</v>
      </c>
      <c r="G4256" s="9">
        <v>1300000</v>
      </c>
      <c r="H4256" s="9">
        <v>1647780</v>
      </c>
      <c r="I4256" s="5">
        <f>IMDB_Movies!$H4256-IMDB_Movies!$G4256</f>
        <v>347780</v>
      </c>
    </row>
    <row r="4257" spans="1:9" ht="23">
      <c r="A4257" s="3" t="s">
        <v>6328</v>
      </c>
      <c r="B4257" s="10" t="s">
        <v>6329</v>
      </c>
      <c r="C4257" s="10" t="s">
        <v>138</v>
      </c>
      <c r="D4257" s="10" t="s">
        <v>11</v>
      </c>
      <c r="E4257" s="10">
        <v>95</v>
      </c>
      <c r="F4257" s="10">
        <v>7.2</v>
      </c>
      <c r="G4257" s="10">
        <v>1300000</v>
      </c>
      <c r="H4257" s="10">
        <v>695229</v>
      </c>
      <c r="I4257" s="5">
        <f>IMDB_Movies!$H4257-IMDB_Movies!$G4257</f>
        <v>-604771</v>
      </c>
    </row>
    <row r="4258" spans="1:9" ht="23">
      <c r="A4258" s="2" t="s">
        <v>6330</v>
      </c>
      <c r="B4258" s="9" t="s">
        <v>6331</v>
      </c>
      <c r="C4258" s="9" t="s">
        <v>56</v>
      </c>
      <c r="D4258" s="9" t="s">
        <v>6332</v>
      </c>
      <c r="E4258" s="9">
        <v>135</v>
      </c>
      <c r="F4258" s="9">
        <v>7.4</v>
      </c>
      <c r="G4258" s="9">
        <v>1592000</v>
      </c>
      <c r="H4258" s="9">
        <v>638951</v>
      </c>
      <c r="I4258" s="5">
        <f>IMDB_Movies!$H4258-IMDB_Movies!$G4258</f>
        <v>-953049</v>
      </c>
    </row>
    <row r="4259" spans="1:9" ht="23">
      <c r="A4259" s="3" t="s">
        <v>6333</v>
      </c>
      <c r="B4259" s="10" t="s">
        <v>6334</v>
      </c>
      <c r="C4259" s="10" t="s">
        <v>56</v>
      </c>
      <c r="D4259" s="10" t="s">
        <v>11</v>
      </c>
      <c r="E4259" s="10">
        <v>105</v>
      </c>
      <c r="F4259" s="10">
        <v>6.5</v>
      </c>
      <c r="G4259" s="10">
        <v>1300000</v>
      </c>
      <c r="H4259" s="10">
        <v>609042</v>
      </c>
      <c r="I4259" s="5">
        <f>IMDB_Movies!$H4259-IMDB_Movies!$G4259</f>
        <v>-690958</v>
      </c>
    </row>
    <row r="4260" spans="1:9" ht="23">
      <c r="A4260" s="2" t="s">
        <v>6335</v>
      </c>
      <c r="B4260" s="9" t="s">
        <v>6336</v>
      </c>
      <c r="C4260" s="9" t="s">
        <v>138</v>
      </c>
      <c r="D4260" s="9" t="s">
        <v>11</v>
      </c>
      <c r="E4260" s="9">
        <v>83</v>
      </c>
      <c r="F4260" s="9">
        <v>5.7</v>
      </c>
      <c r="G4260" s="9">
        <v>1500000</v>
      </c>
      <c r="H4260" s="9">
        <v>1521</v>
      </c>
      <c r="I4260" s="5">
        <f>IMDB_Movies!$H4260-IMDB_Movies!$G4260</f>
        <v>-1498479</v>
      </c>
    </row>
    <row r="4261" spans="1:9" ht="23">
      <c r="A4261" s="3" t="s">
        <v>6337</v>
      </c>
      <c r="B4261" s="10" t="s">
        <v>6338</v>
      </c>
      <c r="C4261" s="10" t="s">
        <v>10</v>
      </c>
      <c r="D4261" s="10" t="s">
        <v>11</v>
      </c>
      <c r="E4261" s="10">
        <v>135</v>
      </c>
      <c r="F4261" s="10">
        <v>8.6999999999999993</v>
      </c>
      <c r="G4261" s="10">
        <v>1400000</v>
      </c>
      <c r="H4261" s="10">
        <v>25078937</v>
      </c>
      <c r="I4261" s="5">
        <f>IMDB_Movies!$H4261-IMDB_Movies!$G4261</f>
        <v>23678937</v>
      </c>
    </row>
    <row r="4262" spans="1:9" ht="23">
      <c r="A4262" s="2" t="s">
        <v>6339</v>
      </c>
      <c r="B4262" s="9" t="s">
        <v>6340</v>
      </c>
      <c r="C4262" s="9" t="s">
        <v>10</v>
      </c>
      <c r="D4262" s="9" t="s">
        <v>11</v>
      </c>
      <c r="E4262" s="9">
        <v>88</v>
      </c>
      <c r="F4262" s="9">
        <v>4.3</v>
      </c>
      <c r="G4262" s="9">
        <v>1750000</v>
      </c>
      <c r="H4262" s="9">
        <v>25078937</v>
      </c>
      <c r="I4262" s="5">
        <f>IMDB_Movies!$H4262-IMDB_Movies!$G4262</f>
        <v>23328937</v>
      </c>
    </row>
    <row r="4263" spans="1:9" ht="23">
      <c r="A4263" s="3" t="s">
        <v>6341</v>
      </c>
      <c r="B4263" s="10" t="s">
        <v>6342</v>
      </c>
      <c r="C4263" s="10" t="s">
        <v>138</v>
      </c>
      <c r="D4263" s="10" t="s">
        <v>11</v>
      </c>
      <c r="E4263" s="10">
        <v>87</v>
      </c>
      <c r="F4263" s="10">
        <v>6.2</v>
      </c>
      <c r="G4263" s="10">
        <v>1000000</v>
      </c>
      <c r="H4263" s="10">
        <v>19539</v>
      </c>
      <c r="I4263" s="5">
        <f>IMDB_Movies!$H4263-IMDB_Movies!$G4263</f>
        <v>-980461</v>
      </c>
    </row>
    <row r="4264" spans="1:9" ht="23">
      <c r="A4264" s="2" t="s">
        <v>6343</v>
      </c>
      <c r="B4264" s="9" t="s">
        <v>6344</v>
      </c>
      <c r="C4264" s="9" t="s">
        <v>138</v>
      </c>
      <c r="D4264" s="9" t="s">
        <v>11</v>
      </c>
      <c r="E4264" s="9">
        <v>97</v>
      </c>
      <c r="F4264" s="9">
        <v>3.3</v>
      </c>
      <c r="G4264" s="9">
        <v>1500000</v>
      </c>
      <c r="H4264" s="9">
        <v>100358</v>
      </c>
      <c r="I4264" s="5">
        <f>IMDB_Movies!$H4264-IMDB_Movies!$G4264</f>
        <v>-1399642</v>
      </c>
    </row>
    <row r="4265" spans="1:9" ht="23">
      <c r="A4265" s="3" t="s">
        <v>6345</v>
      </c>
      <c r="B4265" s="10" t="s">
        <v>5822</v>
      </c>
      <c r="C4265" s="10" t="s">
        <v>138</v>
      </c>
      <c r="D4265" s="10" t="s">
        <v>11</v>
      </c>
      <c r="E4265" s="10">
        <v>82</v>
      </c>
      <c r="F4265" s="10">
        <v>2.7</v>
      </c>
      <c r="G4265" s="10">
        <v>1300000</v>
      </c>
      <c r="H4265" s="10">
        <v>25078937</v>
      </c>
      <c r="I4265" s="5">
        <f>IMDB_Movies!$H4265-IMDB_Movies!$G4265</f>
        <v>23778937</v>
      </c>
    </row>
    <row r="4266" spans="1:9" ht="23">
      <c r="A4266" s="2" t="s">
        <v>6346</v>
      </c>
      <c r="B4266" s="9" t="s">
        <v>6347</v>
      </c>
      <c r="C4266" s="9" t="s">
        <v>810</v>
      </c>
      <c r="D4266" s="9" t="s">
        <v>11</v>
      </c>
      <c r="E4266" s="9">
        <v>103</v>
      </c>
      <c r="F4266" s="9">
        <v>5.2</v>
      </c>
      <c r="G4266" s="9">
        <v>1300000</v>
      </c>
      <c r="H4266" s="9">
        <v>25078937</v>
      </c>
      <c r="I4266" s="5">
        <f>IMDB_Movies!$H4266-IMDB_Movies!$G4266</f>
        <v>23778937</v>
      </c>
    </row>
    <row r="4267" spans="1:9" ht="23">
      <c r="A4267" s="3" t="s">
        <v>6348</v>
      </c>
      <c r="B4267" s="10" t="s">
        <v>3135</v>
      </c>
      <c r="C4267" s="10" t="s">
        <v>56</v>
      </c>
      <c r="D4267" s="10" t="s">
        <v>11</v>
      </c>
      <c r="E4267" s="10">
        <v>130</v>
      </c>
      <c r="F4267" s="10">
        <v>8.1999999999999993</v>
      </c>
      <c r="G4267" s="10">
        <v>1288000</v>
      </c>
      <c r="H4267" s="10">
        <v>25078937</v>
      </c>
      <c r="I4267" s="5">
        <f>IMDB_Movies!$H4267-IMDB_Movies!$G4267</f>
        <v>23790937</v>
      </c>
    </row>
    <row r="4268" spans="1:9" ht="23">
      <c r="A4268" s="2" t="s">
        <v>6349</v>
      </c>
      <c r="B4268" s="9" t="s">
        <v>1952</v>
      </c>
      <c r="C4268" s="9" t="s">
        <v>810</v>
      </c>
      <c r="D4268" s="9" t="s">
        <v>11</v>
      </c>
      <c r="E4268" s="9">
        <v>87</v>
      </c>
      <c r="F4268" s="9">
        <v>6.1</v>
      </c>
      <c r="G4268" s="9">
        <v>1250000</v>
      </c>
      <c r="H4268" s="9">
        <v>19100000</v>
      </c>
      <c r="I4268" s="5">
        <f>IMDB_Movies!$H4268-IMDB_Movies!$G4268</f>
        <v>17850000</v>
      </c>
    </row>
    <row r="4269" spans="1:9" ht="23">
      <c r="A4269" s="3" t="s">
        <v>6350</v>
      </c>
      <c r="B4269" s="10" t="s">
        <v>5488</v>
      </c>
      <c r="C4269" s="10" t="s">
        <v>56</v>
      </c>
      <c r="D4269" s="10" t="s">
        <v>11</v>
      </c>
      <c r="E4269" s="10">
        <v>101</v>
      </c>
      <c r="F4269" s="10">
        <v>8</v>
      </c>
      <c r="G4269" s="10">
        <v>1250000</v>
      </c>
      <c r="H4269" s="10">
        <v>25078937</v>
      </c>
      <c r="I4269" s="5">
        <f>IMDB_Movies!$H4269-IMDB_Movies!$G4269</f>
        <v>23828937</v>
      </c>
    </row>
    <row r="4270" spans="1:9" ht="23">
      <c r="A4270" s="2" t="s">
        <v>6351</v>
      </c>
      <c r="B4270" s="9" t="s">
        <v>6352</v>
      </c>
      <c r="C4270" s="9" t="s">
        <v>810</v>
      </c>
      <c r="D4270" s="9" t="s">
        <v>11</v>
      </c>
      <c r="E4270" s="9">
        <v>96</v>
      </c>
      <c r="F4270" s="9">
        <v>5.5</v>
      </c>
      <c r="G4270" s="9">
        <v>1250000</v>
      </c>
      <c r="H4270" s="9">
        <v>25078937</v>
      </c>
      <c r="I4270" s="5">
        <f>IMDB_Movies!$H4270-IMDB_Movies!$G4270</f>
        <v>23828937</v>
      </c>
    </row>
    <row r="4271" spans="1:9" ht="23">
      <c r="A4271" s="3" t="s">
        <v>6353</v>
      </c>
      <c r="B4271" s="10" t="s">
        <v>5829</v>
      </c>
      <c r="C4271" s="10" t="s">
        <v>56</v>
      </c>
      <c r="D4271" s="10" t="s">
        <v>11</v>
      </c>
      <c r="E4271" s="10">
        <v>80</v>
      </c>
      <c r="F4271" s="10">
        <v>5.7</v>
      </c>
      <c r="G4271" s="10">
        <v>427000</v>
      </c>
      <c r="H4271" s="10">
        <v>2833383</v>
      </c>
      <c r="I4271" s="5">
        <f>IMDB_Movies!$H4271-IMDB_Movies!$G4271</f>
        <v>2406383</v>
      </c>
    </row>
    <row r="4272" spans="1:9" ht="23">
      <c r="A4272" s="2" t="s">
        <v>6354</v>
      </c>
      <c r="B4272" s="9" t="s">
        <v>6355</v>
      </c>
      <c r="C4272" s="9" t="s">
        <v>116</v>
      </c>
      <c r="D4272" s="9" t="s">
        <v>11</v>
      </c>
      <c r="E4272" s="9">
        <v>87</v>
      </c>
      <c r="F4272" s="9">
        <v>3.7</v>
      </c>
      <c r="G4272" s="9">
        <v>15000000</v>
      </c>
      <c r="H4272" s="9">
        <v>25078937</v>
      </c>
      <c r="I4272" s="5">
        <f>IMDB_Movies!$H4272-IMDB_Movies!$G4272</f>
        <v>10078937</v>
      </c>
    </row>
    <row r="4273" spans="1:9" ht="23">
      <c r="A4273" s="3" t="s">
        <v>6356</v>
      </c>
      <c r="B4273" s="10" t="s">
        <v>6357</v>
      </c>
      <c r="C4273" s="10" t="s">
        <v>414</v>
      </c>
      <c r="D4273" s="10" t="s">
        <v>11</v>
      </c>
      <c r="E4273" s="10">
        <v>92</v>
      </c>
      <c r="F4273" s="10">
        <v>7.1</v>
      </c>
      <c r="G4273" s="10">
        <v>1250000</v>
      </c>
      <c r="H4273" s="10">
        <v>25078937</v>
      </c>
      <c r="I4273" s="5">
        <f>IMDB_Movies!$H4273-IMDB_Movies!$G4273</f>
        <v>23828937</v>
      </c>
    </row>
    <row r="4274" spans="1:9" ht="23">
      <c r="A4274" s="2" t="s">
        <v>6358</v>
      </c>
      <c r="B4274" s="9" t="s">
        <v>5695</v>
      </c>
      <c r="C4274" s="9" t="s">
        <v>56</v>
      </c>
      <c r="D4274" s="9" t="s">
        <v>11</v>
      </c>
      <c r="E4274" s="9">
        <v>118</v>
      </c>
      <c r="F4274" s="9">
        <v>7.8</v>
      </c>
      <c r="G4274" s="9">
        <v>1250000</v>
      </c>
      <c r="H4274" s="9">
        <v>25078937</v>
      </c>
      <c r="I4274" s="5">
        <f>IMDB_Movies!$H4274-IMDB_Movies!$G4274</f>
        <v>23828937</v>
      </c>
    </row>
    <row r="4275" spans="1:9" ht="23">
      <c r="A4275" s="3" t="s">
        <v>6359</v>
      </c>
      <c r="B4275" s="10" t="s">
        <v>1380</v>
      </c>
      <c r="C4275" s="10" t="s">
        <v>138</v>
      </c>
      <c r="D4275" s="10" t="s">
        <v>11</v>
      </c>
      <c r="E4275" s="10">
        <v>123</v>
      </c>
      <c r="F4275" s="10">
        <v>4.0999999999999996</v>
      </c>
      <c r="G4275" s="10">
        <v>1420000</v>
      </c>
      <c r="H4275" s="10">
        <v>25078937</v>
      </c>
      <c r="I4275" s="5">
        <f>IMDB_Movies!$H4275-IMDB_Movies!$G4275</f>
        <v>23658937</v>
      </c>
    </row>
    <row r="4276" spans="1:9" ht="23">
      <c r="A4276" s="2" t="s">
        <v>6360</v>
      </c>
      <c r="B4276" s="9" t="s">
        <v>413</v>
      </c>
      <c r="C4276" s="9" t="s">
        <v>56</v>
      </c>
      <c r="D4276" s="9" t="s">
        <v>11</v>
      </c>
      <c r="E4276" s="9">
        <v>100</v>
      </c>
      <c r="F4276" s="9">
        <v>7.2</v>
      </c>
      <c r="G4276" s="9">
        <v>1200000</v>
      </c>
      <c r="H4276" s="9">
        <v>24741700</v>
      </c>
      <c r="I4276" s="5">
        <f>IMDB_Movies!$H4276-IMDB_Movies!$G4276</f>
        <v>23541700</v>
      </c>
    </row>
    <row r="4277" spans="1:9" ht="23">
      <c r="A4277" s="3" t="s">
        <v>6361</v>
      </c>
      <c r="B4277" s="10" t="s">
        <v>89</v>
      </c>
      <c r="C4277" s="10" t="s">
        <v>810</v>
      </c>
      <c r="D4277" s="10" t="s">
        <v>11</v>
      </c>
      <c r="E4277" s="10">
        <v>103</v>
      </c>
      <c r="F4277" s="10">
        <v>7.7</v>
      </c>
      <c r="G4277" s="10">
        <v>1200000</v>
      </c>
      <c r="H4277" s="10">
        <v>55153403</v>
      </c>
      <c r="I4277" s="5">
        <f>IMDB_Movies!$H4277-IMDB_Movies!$G4277</f>
        <v>53953403</v>
      </c>
    </row>
    <row r="4278" spans="1:9" ht="23">
      <c r="A4278" s="2" t="s">
        <v>6362</v>
      </c>
      <c r="B4278" s="9" t="s">
        <v>1338</v>
      </c>
      <c r="C4278" s="9" t="s">
        <v>138</v>
      </c>
      <c r="D4278" s="9" t="s">
        <v>11</v>
      </c>
      <c r="E4278" s="9">
        <v>100</v>
      </c>
      <c r="F4278" s="9">
        <v>7.1</v>
      </c>
      <c r="G4278" s="9">
        <v>1200000</v>
      </c>
      <c r="H4278" s="9">
        <v>18488314</v>
      </c>
      <c r="I4278" s="5">
        <f>IMDB_Movies!$H4278-IMDB_Movies!$G4278</f>
        <v>17288314</v>
      </c>
    </row>
    <row r="4279" spans="1:9" ht="23">
      <c r="A4279" s="3" t="s">
        <v>6363</v>
      </c>
      <c r="B4279" s="10" t="s">
        <v>6364</v>
      </c>
      <c r="C4279" s="10" t="s">
        <v>10</v>
      </c>
      <c r="D4279" s="10" t="s">
        <v>11</v>
      </c>
      <c r="E4279" s="10">
        <v>99</v>
      </c>
      <c r="F4279" s="10">
        <v>7.6</v>
      </c>
      <c r="G4279" s="10">
        <v>1300000</v>
      </c>
      <c r="H4279" s="10">
        <v>25078937</v>
      </c>
      <c r="I4279" s="5">
        <f>IMDB_Movies!$H4279-IMDB_Movies!$G4279</f>
        <v>23778937</v>
      </c>
    </row>
    <row r="4280" spans="1:9" ht="23">
      <c r="A4280" s="2" t="s">
        <v>6365</v>
      </c>
      <c r="B4280" s="9" t="s">
        <v>6366</v>
      </c>
      <c r="C4280" s="9" t="s">
        <v>138</v>
      </c>
      <c r="D4280" s="9" t="s">
        <v>741</v>
      </c>
      <c r="E4280" s="9">
        <v>89</v>
      </c>
      <c r="F4280" s="9">
        <v>7</v>
      </c>
      <c r="G4280" s="9">
        <v>1300000</v>
      </c>
      <c r="H4280" s="9">
        <v>11278</v>
      </c>
      <c r="I4280" s="5">
        <f>IMDB_Movies!$H4280-IMDB_Movies!$G4280</f>
        <v>-1288722</v>
      </c>
    </row>
    <row r="4281" spans="1:9" ht="23">
      <c r="A4281" s="3" t="s">
        <v>6367</v>
      </c>
      <c r="B4281" s="10" t="s">
        <v>2916</v>
      </c>
      <c r="C4281" s="10" t="s">
        <v>138</v>
      </c>
      <c r="D4281" s="10" t="s">
        <v>1534</v>
      </c>
      <c r="E4281" s="10">
        <v>114</v>
      </c>
      <c r="F4281" s="10">
        <v>7.4</v>
      </c>
      <c r="G4281" s="10">
        <v>7000000</v>
      </c>
      <c r="H4281" s="10">
        <v>13876974</v>
      </c>
      <c r="I4281" s="5">
        <f>IMDB_Movies!$H4281-IMDB_Movies!$G4281</f>
        <v>6876974</v>
      </c>
    </row>
    <row r="4282" spans="1:9" ht="23">
      <c r="A4282" s="2" t="s">
        <v>6368</v>
      </c>
      <c r="B4282" s="9" t="s">
        <v>3942</v>
      </c>
      <c r="C4282" s="9" t="s">
        <v>56</v>
      </c>
      <c r="D4282" s="9" t="s">
        <v>11</v>
      </c>
      <c r="E4282" s="9">
        <v>111</v>
      </c>
      <c r="F4282" s="9">
        <v>7.7</v>
      </c>
      <c r="G4282" s="9">
        <v>1200000</v>
      </c>
      <c r="H4282" s="9">
        <v>9180275</v>
      </c>
      <c r="I4282" s="5">
        <f>IMDB_Movies!$H4282-IMDB_Movies!$G4282</f>
        <v>7980275</v>
      </c>
    </row>
    <row r="4283" spans="1:9" ht="23">
      <c r="A4283" s="3" t="s">
        <v>6369</v>
      </c>
      <c r="B4283" s="10" t="s">
        <v>3135</v>
      </c>
      <c r="C4283" s="10" t="s">
        <v>138</v>
      </c>
      <c r="D4283" s="10" t="s">
        <v>11</v>
      </c>
      <c r="E4283" s="10">
        <v>99</v>
      </c>
      <c r="F4283" s="10">
        <v>7.2</v>
      </c>
      <c r="G4283" s="10">
        <v>1200000</v>
      </c>
      <c r="H4283" s="10">
        <v>25078937</v>
      </c>
      <c r="I4283" s="5">
        <f>IMDB_Movies!$H4283-IMDB_Movies!$G4283</f>
        <v>23878937</v>
      </c>
    </row>
    <row r="4284" spans="1:9" ht="23">
      <c r="A4284" s="2" t="s">
        <v>6370</v>
      </c>
      <c r="B4284" s="9" t="s">
        <v>6371</v>
      </c>
      <c r="C4284" s="9" t="s">
        <v>138</v>
      </c>
      <c r="D4284" s="9" t="s">
        <v>11</v>
      </c>
      <c r="E4284" s="9">
        <v>85</v>
      </c>
      <c r="F4284" s="9">
        <v>6.6</v>
      </c>
      <c r="G4284" s="9">
        <v>1200000</v>
      </c>
      <c r="H4284" s="9">
        <v>2199853</v>
      </c>
      <c r="I4284" s="5">
        <f>IMDB_Movies!$H4284-IMDB_Movies!$G4284</f>
        <v>999853</v>
      </c>
    </row>
    <row r="4285" spans="1:9" ht="23">
      <c r="A4285" s="3" t="s">
        <v>6372</v>
      </c>
      <c r="B4285" s="10" t="s">
        <v>6373</v>
      </c>
      <c r="C4285" s="10" t="s">
        <v>56</v>
      </c>
      <c r="D4285" s="10" t="s">
        <v>11</v>
      </c>
      <c r="E4285" s="10">
        <v>113</v>
      </c>
      <c r="F4285" s="10">
        <v>6</v>
      </c>
      <c r="G4285" s="10">
        <v>1200000</v>
      </c>
      <c r="H4285" s="10">
        <v>2859955</v>
      </c>
      <c r="I4285" s="5">
        <f>IMDB_Movies!$H4285-IMDB_Movies!$G4285</f>
        <v>1659955</v>
      </c>
    </row>
    <row r="4286" spans="1:9" ht="23">
      <c r="A4286" s="2" t="s">
        <v>6374</v>
      </c>
      <c r="B4286" s="9" t="s">
        <v>472</v>
      </c>
      <c r="C4286" s="9" t="s">
        <v>414</v>
      </c>
      <c r="D4286" s="9" t="s">
        <v>11</v>
      </c>
      <c r="E4286" s="9">
        <v>99</v>
      </c>
      <c r="F4286" s="9">
        <v>8.4</v>
      </c>
      <c r="G4286" s="9">
        <v>1200000</v>
      </c>
      <c r="H4286" s="9">
        <v>2812029</v>
      </c>
      <c r="I4286" s="5">
        <f>IMDB_Movies!$H4286-IMDB_Movies!$G4286</f>
        <v>1612029</v>
      </c>
    </row>
    <row r="4287" spans="1:9" ht="23">
      <c r="A4287" s="3" t="s">
        <v>6375</v>
      </c>
      <c r="B4287" s="10" t="s">
        <v>5424</v>
      </c>
      <c r="C4287" s="10" t="s">
        <v>56</v>
      </c>
      <c r="D4287" s="10" t="s">
        <v>11</v>
      </c>
      <c r="E4287" s="10">
        <v>83</v>
      </c>
      <c r="F4287" s="10">
        <v>6.5</v>
      </c>
      <c r="G4287" s="10">
        <v>20000000</v>
      </c>
      <c r="H4287" s="10">
        <v>25078937</v>
      </c>
      <c r="I4287" s="5">
        <f>IMDB_Movies!$H4287-IMDB_Movies!$G4287</f>
        <v>5078937</v>
      </c>
    </row>
    <row r="4288" spans="1:9" ht="23">
      <c r="A4288" s="2" t="s">
        <v>6376</v>
      </c>
      <c r="B4288" s="9" t="s">
        <v>2429</v>
      </c>
      <c r="C4288" s="9" t="s">
        <v>4398</v>
      </c>
      <c r="D4288" s="9" t="s">
        <v>2756</v>
      </c>
      <c r="E4288" s="9">
        <v>142</v>
      </c>
      <c r="F4288" s="9">
        <v>8.9</v>
      </c>
      <c r="G4288" s="9">
        <v>1200000</v>
      </c>
      <c r="H4288" s="9">
        <v>6100000</v>
      </c>
      <c r="I4288" s="5">
        <f>IMDB_Movies!$H4288-IMDB_Movies!$G4288</f>
        <v>4900000</v>
      </c>
    </row>
    <row r="4289" spans="1:9" ht="23">
      <c r="A4289" s="3" t="s">
        <v>6377</v>
      </c>
      <c r="B4289" s="10" t="s">
        <v>6378</v>
      </c>
      <c r="C4289" s="10" t="s">
        <v>138</v>
      </c>
      <c r="D4289" s="10" t="s">
        <v>4233</v>
      </c>
      <c r="E4289" s="10">
        <v>112</v>
      </c>
      <c r="F4289" s="10">
        <v>7.9</v>
      </c>
      <c r="G4289" s="10">
        <v>4000000</v>
      </c>
      <c r="H4289" s="10">
        <v>375723</v>
      </c>
      <c r="I4289" s="5">
        <f>IMDB_Movies!$H4289-IMDB_Movies!$G4289</f>
        <v>-3624277</v>
      </c>
    </row>
    <row r="4290" spans="1:9" ht="23">
      <c r="A4290" s="2" t="s">
        <v>6379</v>
      </c>
      <c r="B4290" s="9" t="s">
        <v>6380</v>
      </c>
      <c r="C4290" s="9" t="s">
        <v>138</v>
      </c>
      <c r="D4290" s="9" t="s">
        <v>11</v>
      </c>
      <c r="E4290" s="9">
        <v>108</v>
      </c>
      <c r="F4290" s="9">
        <v>6</v>
      </c>
      <c r="G4290" s="9">
        <v>1200000</v>
      </c>
      <c r="H4290" s="9">
        <v>594904</v>
      </c>
      <c r="I4290" s="5">
        <f>IMDB_Movies!$H4290-IMDB_Movies!$G4290</f>
        <v>-605096</v>
      </c>
    </row>
    <row r="4291" spans="1:9" ht="23">
      <c r="A4291" s="3" t="s">
        <v>6381</v>
      </c>
      <c r="B4291" s="10" t="s">
        <v>6382</v>
      </c>
      <c r="C4291" s="10" t="s">
        <v>138</v>
      </c>
      <c r="D4291" s="10" t="s">
        <v>11</v>
      </c>
      <c r="E4291" s="10">
        <v>88</v>
      </c>
      <c r="F4291" s="10">
        <v>6.1</v>
      </c>
      <c r="G4291" s="10">
        <v>1200000</v>
      </c>
      <c r="H4291" s="10">
        <v>58936</v>
      </c>
      <c r="I4291" s="5">
        <f>IMDB_Movies!$H4291-IMDB_Movies!$G4291</f>
        <v>-1141064</v>
      </c>
    </row>
    <row r="4292" spans="1:9" ht="23">
      <c r="A4292" s="2" t="s">
        <v>6383</v>
      </c>
      <c r="B4292" s="9" t="s">
        <v>4311</v>
      </c>
      <c r="C4292" s="9" t="s">
        <v>772</v>
      </c>
      <c r="D4292" s="9" t="s">
        <v>11</v>
      </c>
      <c r="E4292" s="9">
        <v>97</v>
      </c>
      <c r="F4292" s="9">
        <v>7.4</v>
      </c>
      <c r="G4292" s="9">
        <v>1200000</v>
      </c>
      <c r="H4292" s="9">
        <v>24784</v>
      </c>
      <c r="I4292" s="5">
        <f>IMDB_Movies!$H4292-IMDB_Movies!$G4292</f>
        <v>-1175216</v>
      </c>
    </row>
    <row r="4293" spans="1:9" ht="23">
      <c r="A4293" s="3" t="s">
        <v>6384</v>
      </c>
      <c r="B4293" s="10" t="s">
        <v>6385</v>
      </c>
      <c r="C4293" s="10" t="s">
        <v>138</v>
      </c>
      <c r="D4293" s="10" t="s">
        <v>11</v>
      </c>
      <c r="E4293" s="10">
        <v>85</v>
      </c>
      <c r="F4293" s="10">
        <v>6.2</v>
      </c>
      <c r="G4293" s="10">
        <v>1200000</v>
      </c>
      <c r="H4293" s="10">
        <v>7826</v>
      </c>
      <c r="I4293" s="5">
        <f>IMDB_Movies!$H4293-IMDB_Movies!$G4293</f>
        <v>-1192174</v>
      </c>
    </row>
    <row r="4294" spans="1:9" ht="23">
      <c r="A4294" s="2" t="s">
        <v>6386</v>
      </c>
      <c r="B4294" s="9" t="s">
        <v>6387</v>
      </c>
      <c r="C4294" s="9" t="s">
        <v>56</v>
      </c>
      <c r="D4294" s="9" t="s">
        <v>394</v>
      </c>
      <c r="E4294" s="9">
        <v>103</v>
      </c>
      <c r="F4294" s="9">
        <v>5.6</v>
      </c>
      <c r="G4294" s="9">
        <v>1500000</v>
      </c>
      <c r="H4294" s="9">
        <v>25078937</v>
      </c>
      <c r="I4294" s="5">
        <f>IMDB_Movies!$H4294-IMDB_Movies!$G4294</f>
        <v>23578937</v>
      </c>
    </row>
    <row r="4295" spans="1:9" ht="23">
      <c r="A4295" s="3" t="s">
        <v>6388</v>
      </c>
      <c r="B4295" s="10" t="s">
        <v>6389</v>
      </c>
      <c r="C4295" s="10" t="s">
        <v>138</v>
      </c>
      <c r="D4295" s="10" t="s">
        <v>741</v>
      </c>
      <c r="E4295" s="10">
        <v>110</v>
      </c>
      <c r="F4295" s="10">
        <v>7.2</v>
      </c>
      <c r="G4295" s="10">
        <v>1200000</v>
      </c>
      <c r="H4295" s="10">
        <v>3830</v>
      </c>
      <c r="I4295" s="5">
        <f>IMDB_Movies!$H4295-IMDB_Movies!$G4295</f>
        <v>-1196170</v>
      </c>
    </row>
    <row r="4296" spans="1:9" ht="23">
      <c r="A4296" s="2" t="s">
        <v>6390</v>
      </c>
      <c r="B4296" s="9" t="s">
        <v>6391</v>
      </c>
      <c r="C4296" s="9" t="s">
        <v>24</v>
      </c>
      <c r="D4296" s="9" t="s">
        <v>11</v>
      </c>
      <c r="E4296" s="9">
        <v>88</v>
      </c>
      <c r="F4296" s="9">
        <v>6.1</v>
      </c>
      <c r="G4296" s="9">
        <v>20000000</v>
      </c>
      <c r="H4296" s="9">
        <v>25078937</v>
      </c>
      <c r="I4296" s="5">
        <f>IMDB_Movies!$H4296-IMDB_Movies!$G4296</f>
        <v>5078937</v>
      </c>
    </row>
    <row r="4297" spans="1:9" ht="23">
      <c r="A4297" s="3" t="s">
        <v>6392</v>
      </c>
      <c r="B4297" s="10" t="s">
        <v>6393</v>
      </c>
      <c r="C4297" s="10" t="s">
        <v>138</v>
      </c>
      <c r="D4297" s="10" t="s">
        <v>11</v>
      </c>
      <c r="E4297" s="10">
        <v>76</v>
      </c>
      <c r="F4297" s="10">
        <v>3.8</v>
      </c>
      <c r="G4297" s="10">
        <v>20000000</v>
      </c>
      <c r="H4297" s="10">
        <v>25078937</v>
      </c>
      <c r="I4297" s="5">
        <f>IMDB_Movies!$H4297-IMDB_Movies!$G4297</f>
        <v>5078937</v>
      </c>
    </row>
    <row r="4298" spans="1:9" ht="23">
      <c r="A4298" s="2" t="s">
        <v>6394</v>
      </c>
      <c r="B4298" s="9" t="s">
        <v>5252</v>
      </c>
      <c r="C4298" s="9" t="s">
        <v>10</v>
      </c>
      <c r="D4298" s="9" t="s">
        <v>11</v>
      </c>
      <c r="E4298" s="9">
        <v>100</v>
      </c>
      <c r="F4298" s="9">
        <v>7.1</v>
      </c>
      <c r="G4298" s="9">
        <v>1200000</v>
      </c>
      <c r="H4298" s="9">
        <v>25078937</v>
      </c>
      <c r="I4298" s="5">
        <f>IMDB_Movies!$H4298-IMDB_Movies!$G4298</f>
        <v>23878937</v>
      </c>
    </row>
    <row r="4299" spans="1:9" ht="23">
      <c r="A4299" s="3" t="s">
        <v>6395</v>
      </c>
      <c r="B4299" s="10" t="s">
        <v>6396</v>
      </c>
      <c r="C4299" s="10" t="s">
        <v>2945</v>
      </c>
      <c r="D4299" s="10" t="s">
        <v>11</v>
      </c>
      <c r="E4299" s="10">
        <v>99</v>
      </c>
      <c r="F4299" s="10">
        <v>4.5</v>
      </c>
      <c r="G4299" s="10">
        <v>1200000</v>
      </c>
      <c r="H4299" s="10">
        <v>25078937</v>
      </c>
      <c r="I4299" s="5">
        <f>IMDB_Movies!$H4299-IMDB_Movies!$G4299</f>
        <v>23878937</v>
      </c>
    </row>
    <row r="4300" spans="1:9" ht="23">
      <c r="A4300" s="2" t="s">
        <v>6397</v>
      </c>
      <c r="B4300" s="9" t="s">
        <v>6398</v>
      </c>
      <c r="C4300" s="9" t="s">
        <v>10</v>
      </c>
      <c r="D4300" s="9" t="s">
        <v>11</v>
      </c>
      <c r="E4300" s="9">
        <v>84</v>
      </c>
      <c r="F4300" s="9">
        <v>3.8</v>
      </c>
      <c r="G4300" s="9">
        <v>1200000</v>
      </c>
      <c r="H4300" s="9">
        <v>25078937</v>
      </c>
      <c r="I4300" s="5">
        <f>IMDB_Movies!$H4300-IMDB_Movies!$G4300</f>
        <v>23878937</v>
      </c>
    </row>
    <row r="4301" spans="1:9" ht="23">
      <c r="A4301" s="3" t="s">
        <v>6399</v>
      </c>
      <c r="B4301" s="10" t="s">
        <v>967</v>
      </c>
      <c r="C4301" s="10" t="s">
        <v>24</v>
      </c>
      <c r="D4301" s="10" t="s">
        <v>11</v>
      </c>
      <c r="E4301" s="10">
        <v>91</v>
      </c>
      <c r="F4301" s="10">
        <v>6.2</v>
      </c>
      <c r="G4301" s="10">
        <v>2600000</v>
      </c>
      <c r="H4301" s="10">
        <v>2850263</v>
      </c>
      <c r="I4301" s="5">
        <f>IMDB_Movies!$H4301-IMDB_Movies!$G4301</f>
        <v>250263</v>
      </c>
    </row>
    <row r="4302" spans="1:9" ht="23">
      <c r="A4302" s="2" t="s">
        <v>6400</v>
      </c>
      <c r="B4302" s="9" t="s">
        <v>6401</v>
      </c>
      <c r="C4302" s="9" t="s">
        <v>10</v>
      </c>
      <c r="D4302" s="9" t="s">
        <v>11</v>
      </c>
      <c r="E4302" s="9">
        <v>97</v>
      </c>
      <c r="F4302" s="9">
        <v>6.6</v>
      </c>
      <c r="G4302" s="9">
        <v>1200000</v>
      </c>
      <c r="H4302" s="9">
        <v>25078937</v>
      </c>
      <c r="I4302" s="5">
        <f>IMDB_Movies!$H4302-IMDB_Movies!$G4302</f>
        <v>23878937</v>
      </c>
    </row>
    <row r="4303" spans="1:9" ht="23">
      <c r="A4303" s="3" t="s">
        <v>6402</v>
      </c>
      <c r="B4303" s="10" t="s">
        <v>6403</v>
      </c>
      <c r="C4303" s="10" t="s">
        <v>810</v>
      </c>
      <c r="D4303" s="10" t="s">
        <v>11</v>
      </c>
      <c r="E4303" s="10">
        <v>84</v>
      </c>
      <c r="F4303" s="10">
        <v>4.5999999999999996</v>
      </c>
      <c r="G4303" s="10">
        <v>1200000</v>
      </c>
      <c r="H4303" s="10">
        <v>25078937</v>
      </c>
      <c r="I4303" s="5">
        <f>IMDB_Movies!$H4303-IMDB_Movies!$G4303</f>
        <v>23878937</v>
      </c>
    </row>
    <row r="4304" spans="1:9" ht="23">
      <c r="A4304" s="2" t="s">
        <v>6404</v>
      </c>
      <c r="B4304" s="9" t="s">
        <v>6405</v>
      </c>
      <c r="C4304" s="9" t="s">
        <v>810</v>
      </c>
      <c r="D4304" s="9" t="s">
        <v>11</v>
      </c>
      <c r="E4304" s="9">
        <v>100</v>
      </c>
      <c r="F4304" s="9">
        <v>4.2</v>
      </c>
      <c r="G4304" s="9">
        <v>1200000</v>
      </c>
      <c r="H4304" s="9">
        <v>25078937</v>
      </c>
      <c r="I4304" s="5">
        <f>IMDB_Movies!$H4304-IMDB_Movies!$G4304</f>
        <v>23878937</v>
      </c>
    </row>
    <row r="4305" spans="1:9" ht="23">
      <c r="A4305" s="3" t="s">
        <v>6406</v>
      </c>
      <c r="B4305" s="10" t="s">
        <v>6407</v>
      </c>
      <c r="C4305" s="10" t="s">
        <v>138</v>
      </c>
      <c r="D4305" s="10" t="s">
        <v>11</v>
      </c>
      <c r="E4305" s="10">
        <v>94</v>
      </c>
      <c r="F4305" s="10">
        <v>6.8</v>
      </c>
      <c r="G4305" s="10">
        <v>3000000</v>
      </c>
      <c r="H4305" s="10">
        <v>16101109</v>
      </c>
      <c r="I4305" s="5">
        <f>IMDB_Movies!$H4305-IMDB_Movies!$G4305</f>
        <v>13101109</v>
      </c>
    </row>
    <row r="4306" spans="1:9" ht="23">
      <c r="A4306" s="2" t="s">
        <v>6408</v>
      </c>
      <c r="B4306" s="9" t="s">
        <v>5186</v>
      </c>
      <c r="C4306" s="9" t="s">
        <v>414</v>
      </c>
      <c r="D4306" s="9" t="s">
        <v>11</v>
      </c>
      <c r="E4306" s="9">
        <v>90</v>
      </c>
      <c r="F4306" s="9">
        <v>7.7</v>
      </c>
      <c r="G4306" s="9">
        <v>695393</v>
      </c>
      <c r="H4306" s="9">
        <v>6013</v>
      </c>
      <c r="I4306" s="5">
        <f>IMDB_Movies!$H4306-IMDB_Movies!$G4306</f>
        <v>-689380</v>
      </c>
    </row>
    <row r="4307" spans="1:9" ht="23">
      <c r="A4307" s="3" t="s">
        <v>6409</v>
      </c>
      <c r="B4307" s="10" t="s">
        <v>6410</v>
      </c>
      <c r="C4307" s="10" t="s">
        <v>10</v>
      </c>
      <c r="D4307" s="10" t="s">
        <v>11</v>
      </c>
      <c r="E4307" s="10">
        <v>92</v>
      </c>
      <c r="F4307" s="10">
        <v>5.9</v>
      </c>
      <c r="G4307" s="10">
        <v>1100000</v>
      </c>
      <c r="H4307" s="10">
        <v>1400000</v>
      </c>
      <c r="I4307" s="5">
        <f>IMDB_Movies!$H4307-IMDB_Movies!$G4307</f>
        <v>300000</v>
      </c>
    </row>
    <row r="4308" spans="1:9" ht="23">
      <c r="A4308" s="2" t="s">
        <v>6411</v>
      </c>
      <c r="B4308" s="9" t="s">
        <v>6412</v>
      </c>
      <c r="C4308" s="9" t="s">
        <v>772</v>
      </c>
      <c r="D4308" s="9" t="s">
        <v>11</v>
      </c>
      <c r="E4308" s="9">
        <v>105</v>
      </c>
      <c r="F4308" s="9">
        <v>4.7</v>
      </c>
      <c r="G4308" s="9">
        <v>20000000</v>
      </c>
      <c r="H4308" s="9">
        <v>247740</v>
      </c>
      <c r="I4308" s="5">
        <f>IMDB_Movies!$H4308-IMDB_Movies!$G4308</f>
        <v>-19752260</v>
      </c>
    </row>
    <row r="4309" spans="1:9" ht="23">
      <c r="A4309" s="3" t="s">
        <v>6413</v>
      </c>
      <c r="B4309" s="10" t="s">
        <v>6414</v>
      </c>
      <c r="C4309" s="10" t="s">
        <v>138</v>
      </c>
      <c r="D4309" s="10" t="s">
        <v>11</v>
      </c>
      <c r="E4309" s="10">
        <v>73</v>
      </c>
      <c r="F4309" s="10">
        <v>7</v>
      </c>
      <c r="G4309" s="10">
        <v>1600000</v>
      </c>
      <c r="H4309" s="10">
        <v>39659</v>
      </c>
      <c r="I4309" s="5">
        <f>IMDB_Movies!$H4309-IMDB_Movies!$G4309</f>
        <v>-1560341</v>
      </c>
    </row>
    <row r="4310" spans="1:9" ht="23">
      <c r="A4310" s="2" t="s">
        <v>6415</v>
      </c>
      <c r="B4310" s="9" t="s">
        <v>6416</v>
      </c>
      <c r="C4310" s="9" t="s">
        <v>56</v>
      </c>
      <c r="D4310" s="9" t="s">
        <v>3619</v>
      </c>
      <c r="E4310" s="9">
        <v>116</v>
      </c>
      <c r="F4310" s="9">
        <v>6.9</v>
      </c>
      <c r="G4310" s="9">
        <v>10000000</v>
      </c>
      <c r="H4310" s="9">
        <v>25078937</v>
      </c>
      <c r="I4310" s="5">
        <f>IMDB_Movies!$H4310-IMDB_Movies!$G4310</f>
        <v>15078937</v>
      </c>
    </row>
    <row r="4311" spans="1:9" ht="23">
      <c r="A4311" s="3" t="s">
        <v>6417</v>
      </c>
      <c r="B4311" s="10" t="s">
        <v>6418</v>
      </c>
      <c r="C4311" s="10" t="s">
        <v>790</v>
      </c>
      <c r="D4311" s="10" t="s">
        <v>11</v>
      </c>
      <c r="E4311" s="10">
        <v>110</v>
      </c>
      <c r="F4311" s="10">
        <v>6.1</v>
      </c>
      <c r="G4311" s="10">
        <v>1100000</v>
      </c>
      <c r="H4311" s="10">
        <v>56129</v>
      </c>
      <c r="I4311" s="5">
        <f>IMDB_Movies!$H4311-IMDB_Movies!$G4311</f>
        <v>-1043871</v>
      </c>
    </row>
    <row r="4312" spans="1:9" ht="23">
      <c r="A4312" s="2" t="s">
        <v>6419</v>
      </c>
      <c r="B4312" s="9" t="s">
        <v>6420</v>
      </c>
      <c r="C4312" s="9" t="s">
        <v>10</v>
      </c>
      <c r="D4312" s="9" t="s">
        <v>6421</v>
      </c>
      <c r="E4312" s="9">
        <v>102</v>
      </c>
      <c r="F4312" s="9">
        <v>7.6</v>
      </c>
      <c r="G4312" s="9">
        <v>1100000</v>
      </c>
      <c r="H4312" s="9">
        <v>4105123</v>
      </c>
      <c r="I4312" s="5">
        <f>IMDB_Movies!$H4312-IMDB_Movies!$G4312</f>
        <v>3005123</v>
      </c>
    </row>
    <row r="4313" spans="1:9" ht="23">
      <c r="A4313" s="3" t="s">
        <v>6422</v>
      </c>
      <c r="B4313" s="10" t="s">
        <v>6423</v>
      </c>
      <c r="C4313" s="10" t="s">
        <v>10</v>
      </c>
      <c r="D4313" s="10" t="s">
        <v>11</v>
      </c>
      <c r="E4313" s="10">
        <v>89</v>
      </c>
      <c r="F4313" s="10">
        <v>3</v>
      </c>
      <c r="G4313" s="10">
        <v>1100000</v>
      </c>
      <c r="H4313" s="10">
        <v>25078937</v>
      </c>
      <c r="I4313" s="5">
        <f>IMDB_Movies!$H4313-IMDB_Movies!$G4313</f>
        <v>23978937</v>
      </c>
    </row>
    <row r="4314" spans="1:9" ht="23">
      <c r="A4314" s="2" t="s">
        <v>6424</v>
      </c>
      <c r="B4314" s="9" t="s">
        <v>6425</v>
      </c>
      <c r="C4314" s="9" t="s">
        <v>810</v>
      </c>
      <c r="D4314" s="9" t="s">
        <v>11</v>
      </c>
      <c r="E4314" s="9">
        <v>76</v>
      </c>
      <c r="F4314" s="9">
        <v>2.6</v>
      </c>
      <c r="G4314" s="9">
        <v>1100000</v>
      </c>
      <c r="H4314" s="9">
        <v>25078937</v>
      </c>
      <c r="I4314" s="5">
        <f>IMDB_Movies!$H4314-IMDB_Movies!$G4314</f>
        <v>23978937</v>
      </c>
    </row>
    <row r="4315" spans="1:9" ht="23">
      <c r="A4315" s="3" t="s">
        <v>6426</v>
      </c>
      <c r="B4315" s="10" t="s">
        <v>5252</v>
      </c>
      <c r="C4315" s="10" t="s">
        <v>56</v>
      </c>
      <c r="D4315" s="10" t="s">
        <v>11</v>
      </c>
      <c r="E4315" s="10">
        <v>82</v>
      </c>
      <c r="F4315" s="10">
        <v>8.6</v>
      </c>
      <c r="G4315" s="10">
        <v>950000</v>
      </c>
      <c r="H4315" s="10">
        <v>25078937</v>
      </c>
      <c r="I4315" s="5">
        <f>IMDB_Movies!$H4315-IMDB_Movies!$G4315</f>
        <v>24128937</v>
      </c>
    </row>
    <row r="4316" spans="1:9" ht="23">
      <c r="A4316" s="2" t="s">
        <v>6427</v>
      </c>
      <c r="B4316" s="9" t="s">
        <v>6428</v>
      </c>
      <c r="C4316" s="9" t="s">
        <v>56</v>
      </c>
      <c r="D4316" s="9" t="s">
        <v>11</v>
      </c>
      <c r="E4316" s="9">
        <v>89</v>
      </c>
      <c r="F4316" s="9">
        <v>6.1</v>
      </c>
      <c r="G4316" s="9">
        <v>1400000</v>
      </c>
      <c r="H4316" s="9">
        <v>25078937</v>
      </c>
      <c r="I4316" s="5">
        <f>IMDB_Movies!$H4316-IMDB_Movies!$G4316</f>
        <v>23678937</v>
      </c>
    </row>
    <row r="4317" spans="1:9" ht="23">
      <c r="A4317" s="3" t="s">
        <v>6429</v>
      </c>
      <c r="B4317" s="10" t="s">
        <v>6430</v>
      </c>
      <c r="C4317" s="10" t="s">
        <v>138</v>
      </c>
      <c r="D4317" s="10" t="s">
        <v>1534</v>
      </c>
      <c r="E4317" s="10">
        <v>150</v>
      </c>
      <c r="F4317" s="10">
        <v>7.5</v>
      </c>
      <c r="G4317" s="10">
        <v>20000000</v>
      </c>
      <c r="H4317" s="10">
        <v>25078937</v>
      </c>
      <c r="I4317" s="5">
        <f>IMDB_Movies!$H4317-IMDB_Movies!$G4317</f>
        <v>5078937</v>
      </c>
    </row>
    <row r="4318" spans="1:9" ht="23">
      <c r="A4318" s="2" t="s">
        <v>6431</v>
      </c>
      <c r="B4318" s="9" t="s">
        <v>6432</v>
      </c>
      <c r="C4318" s="9" t="s">
        <v>56</v>
      </c>
      <c r="D4318" s="9" t="s">
        <v>11</v>
      </c>
      <c r="E4318" s="9">
        <v>89</v>
      </c>
      <c r="F4318" s="9">
        <v>6.7</v>
      </c>
      <c r="G4318" s="9">
        <v>1000000</v>
      </c>
      <c r="H4318" s="9">
        <v>25078937</v>
      </c>
      <c r="I4318" s="5">
        <f>IMDB_Movies!$H4318-IMDB_Movies!$G4318</f>
        <v>24078937</v>
      </c>
    </row>
    <row r="4319" spans="1:9" ht="23">
      <c r="A4319" s="3" t="s">
        <v>6433</v>
      </c>
      <c r="B4319" s="10" t="s">
        <v>1718</v>
      </c>
      <c r="C4319" s="10" t="s">
        <v>56</v>
      </c>
      <c r="D4319" s="10" t="s">
        <v>11</v>
      </c>
      <c r="E4319" s="10">
        <v>145</v>
      </c>
      <c r="F4319" s="10">
        <v>8.1</v>
      </c>
      <c r="G4319" s="10">
        <v>960000</v>
      </c>
      <c r="H4319" s="10">
        <v>117235247</v>
      </c>
      <c r="I4319" s="5">
        <f>IMDB_Movies!$H4319-IMDB_Movies!$G4319</f>
        <v>116275247</v>
      </c>
    </row>
    <row r="4320" spans="1:9" ht="23">
      <c r="A4320" s="2" t="s">
        <v>6434</v>
      </c>
      <c r="B4320" s="9" t="s">
        <v>6435</v>
      </c>
      <c r="C4320" s="9" t="s">
        <v>56</v>
      </c>
      <c r="D4320" s="9" t="s">
        <v>11</v>
      </c>
      <c r="E4320" s="9">
        <v>91</v>
      </c>
      <c r="F4320" s="9">
        <v>4.9000000000000004</v>
      </c>
      <c r="G4320" s="9">
        <v>1100000</v>
      </c>
      <c r="H4320" s="9">
        <v>25078937</v>
      </c>
      <c r="I4320" s="5">
        <f>IMDB_Movies!$H4320-IMDB_Movies!$G4320</f>
        <v>23978937</v>
      </c>
    </row>
    <row r="4321" spans="1:9" ht="23">
      <c r="A4321" s="3" t="s">
        <v>6436</v>
      </c>
      <c r="B4321" s="10" t="s">
        <v>4843</v>
      </c>
      <c r="C4321" s="10" t="s">
        <v>24</v>
      </c>
      <c r="D4321" s="10" t="s">
        <v>11</v>
      </c>
      <c r="E4321" s="10">
        <v>121</v>
      </c>
      <c r="F4321" s="10">
        <v>6.8</v>
      </c>
      <c r="G4321" s="10">
        <v>1000000</v>
      </c>
      <c r="H4321" s="10">
        <v>25078937</v>
      </c>
      <c r="I4321" s="5">
        <f>IMDB_Movies!$H4321-IMDB_Movies!$G4321</f>
        <v>24078937</v>
      </c>
    </row>
    <row r="4322" spans="1:9" ht="23">
      <c r="A4322" s="2" t="s">
        <v>6437</v>
      </c>
      <c r="B4322" s="9" t="s">
        <v>6438</v>
      </c>
      <c r="C4322" s="9" t="s">
        <v>810</v>
      </c>
      <c r="D4322" s="9" t="s">
        <v>11</v>
      </c>
      <c r="E4322" s="9">
        <v>83</v>
      </c>
      <c r="F4322" s="9">
        <v>5.7</v>
      </c>
      <c r="G4322" s="9">
        <v>1000000</v>
      </c>
      <c r="H4322" s="9">
        <v>31537320</v>
      </c>
      <c r="I4322" s="5">
        <f>IMDB_Movies!$H4322-IMDB_Movies!$G4322</f>
        <v>30537320</v>
      </c>
    </row>
    <row r="4323" spans="1:9" ht="23">
      <c r="A4323" s="3" t="s">
        <v>6439</v>
      </c>
      <c r="B4323" s="10" t="s">
        <v>130</v>
      </c>
      <c r="C4323" s="10" t="s">
        <v>414</v>
      </c>
      <c r="D4323" s="10" t="s">
        <v>11</v>
      </c>
      <c r="E4323" s="10">
        <v>110</v>
      </c>
      <c r="F4323" s="10">
        <v>8.3000000000000007</v>
      </c>
      <c r="G4323" s="10">
        <v>1300000</v>
      </c>
      <c r="H4323" s="10">
        <v>25078937</v>
      </c>
      <c r="I4323" s="5">
        <f>IMDB_Movies!$H4323-IMDB_Movies!$G4323</f>
        <v>23778937</v>
      </c>
    </row>
    <row r="4324" spans="1:9" ht="23">
      <c r="A4324" s="2" t="s">
        <v>6440</v>
      </c>
      <c r="B4324" s="9" t="s">
        <v>760</v>
      </c>
      <c r="C4324" s="9" t="s">
        <v>810</v>
      </c>
      <c r="D4324" s="9" t="s">
        <v>11</v>
      </c>
      <c r="E4324" s="9">
        <v>91</v>
      </c>
      <c r="F4324" s="9">
        <v>6.6</v>
      </c>
      <c r="G4324" s="9">
        <v>1000000</v>
      </c>
      <c r="H4324" s="9">
        <v>17986000</v>
      </c>
      <c r="I4324" s="5">
        <f>IMDB_Movies!$H4324-IMDB_Movies!$G4324</f>
        <v>16986000</v>
      </c>
    </row>
    <row r="4325" spans="1:9" ht="23">
      <c r="A4325" s="3" t="s">
        <v>6441</v>
      </c>
      <c r="B4325" s="10" t="s">
        <v>1560</v>
      </c>
      <c r="C4325" s="10" t="s">
        <v>10</v>
      </c>
      <c r="D4325" s="10" t="s">
        <v>11</v>
      </c>
      <c r="E4325" s="10">
        <v>110</v>
      </c>
      <c r="F4325" s="10">
        <v>7.3</v>
      </c>
      <c r="G4325" s="10">
        <v>1100000</v>
      </c>
      <c r="H4325" s="10">
        <v>16067035</v>
      </c>
      <c r="I4325" s="5">
        <f>IMDB_Movies!$H4325-IMDB_Movies!$G4325</f>
        <v>14967035</v>
      </c>
    </row>
    <row r="4326" spans="1:9" ht="23">
      <c r="A4326" s="2" t="s">
        <v>6442</v>
      </c>
      <c r="B4326" s="9" t="s">
        <v>6443</v>
      </c>
      <c r="C4326" s="9" t="s">
        <v>810</v>
      </c>
      <c r="D4326" s="9" t="s">
        <v>11</v>
      </c>
      <c r="E4326" s="9">
        <v>86</v>
      </c>
      <c r="F4326" s="9">
        <v>5</v>
      </c>
      <c r="G4326" s="9">
        <v>1000000</v>
      </c>
      <c r="H4326" s="9">
        <v>18112929</v>
      </c>
      <c r="I4326" s="5">
        <f>IMDB_Movies!$H4326-IMDB_Movies!$G4326</f>
        <v>17112929</v>
      </c>
    </row>
    <row r="4327" spans="1:9" ht="23">
      <c r="A4327" s="3" t="s">
        <v>6444</v>
      </c>
      <c r="B4327" s="10" t="s">
        <v>6445</v>
      </c>
      <c r="C4327" s="10" t="s">
        <v>713</v>
      </c>
      <c r="D4327" s="10" t="s">
        <v>11</v>
      </c>
      <c r="E4327" s="10">
        <v>86</v>
      </c>
      <c r="F4327" s="10">
        <v>7</v>
      </c>
      <c r="G4327" s="10">
        <v>1000000</v>
      </c>
      <c r="H4327" s="10">
        <v>14564027</v>
      </c>
      <c r="I4327" s="5">
        <f>IMDB_Movies!$H4327-IMDB_Movies!$G4327</f>
        <v>13564027</v>
      </c>
    </row>
    <row r="4328" spans="1:9" ht="23">
      <c r="A4328" s="2" t="s">
        <v>6446</v>
      </c>
      <c r="B4328" s="9" t="s">
        <v>6447</v>
      </c>
      <c r="C4328" s="9" t="s">
        <v>56</v>
      </c>
      <c r="D4328" s="9" t="s">
        <v>11</v>
      </c>
      <c r="E4328" s="9">
        <v>120</v>
      </c>
      <c r="F4328" s="9">
        <v>3.4</v>
      </c>
      <c r="G4328" s="9">
        <v>5000000</v>
      </c>
      <c r="H4328" s="9">
        <v>20773070</v>
      </c>
      <c r="I4328" s="5">
        <f>IMDB_Movies!$H4328-IMDB_Movies!$G4328</f>
        <v>15773070</v>
      </c>
    </row>
    <row r="4329" spans="1:9" ht="23">
      <c r="A4329" s="3" t="s">
        <v>6448</v>
      </c>
      <c r="B4329" s="10" t="s">
        <v>2534</v>
      </c>
      <c r="C4329" s="10" t="s">
        <v>56</v>
      </c>
      <c r="D4329" s="10" t="s">
        <v>11</v>
      </c>
      <c r="E4329" s="10">
        <v>90</v>
      </c>
      <c r="F4329" s="10">
        <v>5.9</v>
      </c>
      <c r="G4329" s="10">
        <v>1000000</v>
      </c>
      <c r="H4329" s="10">
        <v>10042266</v>
      </c>
      <c r="I4329" s="5">
        <f>IMDB_Movies!$H4329-IMDB_Movies!$G4329</f>
        <v>9042266</v>
      </c>
    </row>
    <row r="4330" spans="1:9" ht="23">
      <c r="A4330" s="2" t="s">
        <v>6449</v>
      </c>
      <c r="B4330" s="9" t="s">
        <v>6450</v>
      </c>
      <c r="C4330" s="9" t="s">
        <v>10</v>
      </c>
      <c r="D4330" s="9" t="s">
        <v>179</v>
      </c>
      <c r="E4330" s="9">
        <v>99</v>
      </c>
      <c r="F4330" s="9">
        <v>6</v>
      </c>
      <c r="G4330" s="9">
        <v>1000000000</v>
      </c>
      <c r="H4330" s="9">
        <v>10037390</v>
      </c>
      <c r="I4330" s="5">
        <f>IMDB_Movies!$H4330-IMDB_Movies!$G4330</f>
        <v>-989962610</v>
      </c>
    </row>
    <row r="4331" spans="1:9" ht="23">
      <c r="A4331" s="3" t="s">
        <v>6451</v>
      </c>
      <c r="B4331" s="10" t="s">
        <v>3736</v>
      </c>
      <c r="C4331" s="10" t="s">
        <v>56</v>
      </c>
      <c r="D4331" s="10" t="s">
        <v>11</v>
      </c>
      <c r="E4331" s="10">
        <v>112</v>
      </c>
      <c r="F4331" s="10">
        <v>7.4</v>
      </c>
      <c r="G4331" s="10">
        <v>3500000</v>
      </c>
      <c r="H4331" s="10">
        <v>9701559</v>
      </c>
      <c r="I4331" s="5">
        <f>IMDB_Movies!$H4331-IMDB_Movies!$G4331</f>
        <v>6201559</v>
      </c>
    </row>
    <row r="4332" spans="1:9" ht="23">
      <c r="A4332" s="2" t="s">
        <v>6452</v>
      </c>
      <c r="B4332" s="9" t="s">
        <v>6453</v>
      </c>
      <c r="C4332" s="9" t="s">
        <v>24</v>
      </c>
      <c r="D4332" s="9" t="s">
        <v>11</v>
      </c>
      <c r="E4332" s="9">
        <v>103</v>
      </c>
      <c r="F4332" s="9">
        <v>7.4</v>
      </c>
      <c r="G4332" s="9">
        <v>1000000</v>
      </c>
      <c r="H4332" s="9">
        <v>9013113</v>
      </c>
      <c r="I4332" s="5">
        <f>IMDB_Movies!$H4332-IMDB_Movies!$G4332</f>
        <v>8013113</v>
      </c>
    </row>
    <row r="4333" spans="1:9" ht="23">
      <c r="A4333" s="3" t="s">
        <v>6454</v>
      </c>
      <c r="B4333" s="10" t="s">
        <v>3120</v>
      </c>
      <c r="C4333" s="10" t="s">
        <v>810</v>
      </c>
      <c r="D4333" s="10" t="s">
        <v>11</v>
      </c>
      <c r="E4333" s="10">
        <v>83</v>
      </c>
      <c r="F4333" s="10">
        <v>4.2</v>
      </c>
      <c r="G4333" s="10">
        <v>1000000</v>
      </c>
      <c r="H4333" s="10">
        <v>53245055</v>
      </c>
      <c r="I4333" s="5">
        <f>IMDB_Movies!$H4333-IMDB_Movies!$G4333</f>
        <v>52245055</v>
      </c>
    </row>
    <row r="4334" spans="1:9" ht="23">
      <c r="A4334" s="2" t="s">
        <v>6455</v>
      </c>
      <c r="B4334" s="9" t="s">
        <v>6456</v>
      </c>
      <c r="C4334" s="9" t="s">
        <v>138</v>
      </c>
      <c r="D4334" s="9" t="s">
        <v>11</v>
      </c>
      <c r="E4334" s="9">
        <v>109</v>
      </c>
      <c r="F4334" s="9">
        <v>6.2</v>
      </c>
      <c r="G4334" s="9">
        <v>900000</v>
      </c>
      <c r="H4334" s="9">
        <v>9000000</v>
      </c>
      <c r="I4334" s="5">
        <f>IMDB_Movies!$H4334-IMDB_Movies!$G4334</f>
        <v>8100000</v>
      </c>
    </row>
    <row r="4335" spans="1:9" ht="23">
      <c r="A4335" s="3" t="s">
        <v>6457</v>
      </c>
      <c r="B4335" s="10" t="s">
        <v>6458</v>
      </c>
      <c r="C4335" s="10" t="s">
        <v>56</v>
      </c>
      <c r="D4335" s="10" t="s">
        <v>11</v>
      </c>
      <c r="E4335" s="10">
        <v>89</v>
      </c>
      <c r="F4335" s="10">
        <v>6.2</v>
      </c>
      <c r="G4335" s="10">
        <v>1000000</v>
      </c>
      <c r="H4335" s="10">
        <v>25078937</v>
      </c>
      <c r="I4335" s="5">
        <f>IMDB_Movies!$H4335-IMDB_Movies!$G4335</f>
        <v>24078937</v>
      </c>
    </row>
    <row r="4336" spans="1:9" ht="23">
      <c r="A4336" s="2" t="s">
        <v>6459</v>
      </c>
      <c r="B4336" s="9" t="s">
        <v>3925</v>
      </c>
      <c r="C4336" s="9" t="s">
        <v>772</v>
      </c>
      <c r="D4336" s="9" t="s">
        <v>11</v>
      </c>
      <c r="E4336" s="9">
        <v>96</v>
      </c>
      <c r="F4336" s="9">
        <v>7.5</v>
      </c>
      <c r="G4336" s="9">
        <v>20000000</v>
      </c>
      <c r="H4336" s="9">
        <v>23808111</v>
      </c>
      <c r="I4336" s="5">
        <f>IMDB_Movies!$H4336-IMDB_Movies!$G4336</f>
        <v>3808111</v>
      </c>
    </row>
    <row r="4337" spans="1:9" ht="23">
      <c r="A4337" s="3" t="s">
        <v>6460</v>
      </c>
      <c r="B4337" s="10" t="s">
        <v>6461</v>
      </c>
      <c r="C4337" s="10" t="s">
        <v>10</v>
      </c>
      <c r="D4337" s="10" t="s">
        <v>11</v>
      </c>
      <c r="E4337" s="10">
        <v>109</v>
      </c>
      <c r="F4337" s="10">
        <v>7.2</v>
      </c>
      <c r="G4337" s="10">
        <v>1000000</v>
      </c>
      <c r="H4337" s="10">
        <v>25078937</v>
      </c>
      <c r="I4337" s="5">
        <f>IMDB_Movies!$H4337-IMDB_Movies!$G4337</f>
        <v>24078937</v>
      </c>
    </row>
    <row r="4338" spans="1:9" ht="23">
      <c r="A4338" s="2" t="s">
        <v>6462</v>
      </c>
      <c r="B4338" s="9" t="s">
        <v>130</v>
      </c>
      <c r="C4338" s="9" t="s">
        <v>418</v>
      </c>
      <c r="D4338" s="9" t="s">
        <v>11</v>
      </c>
      <c r="E4338" s="9">
        <v>122</v>
      </c>
      <c r="F4338" s="9">
        <v>7.2</v>
      </c>
      <c r="G4338" s="9">
        <v>20000000</v>
      </c>
      <c r="H4338" s="9">
        <v>5355376</v>
      </c>
      <c r="I4338" s="5">
        <f>IMDB_Movies!$H4338-IMDB_Movies!$G4338</f>
        <v>-14644624</v>
      </c>
    </row>
    <row r="4339" spans="1:9" ht="23">
      <c r="A4339" s="3" t="s">
        <v>6463</v>
      </c>
      <c r="B4339" s="10" t="s">
        <v>4839</v>
      </c>
      <c r="C4339" s="10" t="s">
        <v>24</v>
      </c>
      <c r="D4339" s="10" t="s">
        <v>11</v>
      </c>
      <c r="E4339" s="10">
        <v>100</v>
      </c>
      <c r="F4339" s="10">
        <v>5.4</v>
      </c>
      <c r="G4339" s="10">
        <v>6000000</v>
      </c>
      <c r="H4339" s="10">
        <v>7186670</v>
      </c>
      <c r="I4339" s="5">
        <f>IMDB_Movies!$H4339-IMDB_Movies!$G4339</f>
        <v>1186670</v>
      </c>
    </row>
    <row r="4340" spans="1:9" ht="23">
      <c r="A4340" s="2" t="s">
        <v>6464</v>
      </c>
      <c r="B4340" s="9" t="s">
        <v>6465</v>
      </c>
      <c r="C4340" s="9" t="s">
        <v>56</v>
      </c>
      <c r="D4340" s="9" t="s">
        <v>11</v>
      </c>
      <c r="E4340" s="9">
        <v>109</v>
      </c>
      <c r="F4340" s="9">
        <v>7</v>
      </c>
      <c r="G4340" s="9">
        <v>1100000</v>
      </c>
      <c r="H4340" s="9">
        <v>25078937</v>
      </c>
      <c r="I4340" s="5">
        <f>IMDB_Movies!$H4340-IMDB_Movies!$G4340</f>
        <v>23978937</v>
      </c>
    </row>
    <row r="4341" spans="1:9" ht="23">
      <c r="A4341" s="3" t="s">
        <v>6466</v>
      </c>
      <c r="B4341" s="10" t="s">
        <v>6467</v>
      </c>
      <c r="C4341" s="10" t="s">
        <v>418</v>
      </c>
      <c r="D4341" s="10" t="s">
        <v>11</v>
      </c>
      <c r="E4341" s="10">
        <v>95</v>
      </c>
      <c r="F4341" s="10">
        <v>7.2</v>
      </c>
      <c r="G4341" s="10">
        <v>1000000</v>
      </c>
      <c r="H4341" s="10">
        <v>5997134</v>
      </c>
      <c r="I4341" s="5">
        <f>IMDB_Movies!$H4341-IMDB_Movies!$G4341</f>
        <v>4997134</v>
      </c>
    </row>
    <row r="4342" spans="1:9" ht="23">
      <c r="A4342" s="2" t="s">
        <v>6468</v>
      </c>
      <c r="B4342" s="9" t="s">
        <v>6469</v>
      </c>
      <c r="C4342" s="9" t="s">
        <v>772</v>
      </c>
      <c r="D4342" s="9" t="s">
        <v>11</v>
      </c>
      <c r="E4342" s="9">
        <v>94</v>
      </c>
      <c r="F4342" s="9">
        <v>7.9</v>
      </c>
      <c r="G4342" s="9">
        <v>20000000</v>
      </c>
      <c r="H4342" s="9">
        <v>4417124</v>
      </c>
      <c r="I4342" s="5">
        <f>IMDB_Movies!$H4342-IMDB_Movies!$G4342</f>
        <v>-15582876</v>
      </c>
    </row>
    <row r="4343" spans="1:9" ht="23">
      <c r="A4343" s="3" t="s">
        <v>6470</v>
      </c>
      <c r="B4343" s="10" t="s">
        <v>5429</v>
      </c>
      <c r="C4343" s="10" t="s">
        <v>56</v>
      </c>
      <c r="D4343" s="10" t="s">
        <v>11</v>
      </c>
      <c r="E4343" s="10">
        <v>107</v>
      </c>
      <c r="F4343" s="10">
        <v>6.8</v>
      </c>
      <c r="G4343" s="10">
        <v>20000000</v>
      </c>
      <c r="H4343" s="10">
        <v>5355847</v>
      </c>
      <c r="I4343" s="5">
        <f>IMDB_Movies!$H4343-IMDB_Movies!$G4343</f>
        <v>-14644153</v>
      </c>
    </row>
    <row r="4344" spans="1:9" ht="23">
      <c r="A4344" s="2" t="s">
        <v>6471</v>
      </c>
      <c r="B4344" s="9" t="s">
        <v>3815</v>
      </c>
      <c r="C4344" s="9" t="s">
        <v>138</v>
      </c>
      <c r="D4344" s="9" t="s">
        <v>11</v>
      </c>
      <c r="E4344" s="9">
        <v>104</v>
      </c>
      <c r="F4344" s="9">
        <v>6.7</v>
      </c>
      <c r="G4344" s="9">
        <v>1000000</v>
      </c>
      <c r="H4344" s="9">
        <v>3386698</v>
      </c>
      <c r="I4344" s="5">
        <f>IMDB_Movies!$H4344-IMDB_Movies!$G4344</f>
        <v>2386698</v>
      </c>
    </row>
    <row r="4345" spans="1:9" ht="23">
      <c r="A4345" s="3" t="s">
        <v>6472</v>
      </c>
      <c r="B4345" s="10" t="s">
        <v>6473</v>
      </c>
      <c r="C4345" s="10" t="s">
        <v>138</v>
      </c>
      <c r="D4345" s="10" t="s">
        <v>11</v>
      </c>
      <c r="E4345" s="10">
        <v>93</v>
      </c>
      <c r="F4345" s="10">
        <v>6.8</v>
      </c>
      <c r="G4345" s="10">
        <v>20000000</v>
      </c>
      <c r="H4345" s="10">
        <v>5283379</v>
      </c>
      <c r="I4345" s="5">
        <f>IMDB_Movies!$H4345-IMDB_Movies!$G4345</f>
        <v>-14716621</v>
      </c>
    </row>
    <row r="4346" spans="1:9" ht="23">
      <c r="A4346" s="2" t="s">
        <v>6474</v>
      </c>
      <c r="B4346" s="9" t="s">
        <v>6475</v>
      </c>
      <c r="C4346" s="9" t="s">
        <v>56</v>
      </c>
      <c r="D4346" s="9" t="s">
        <v>11</v>
      </c>
      <c r="E4346" s="9">
        <v>102</v>
      </c>
      <c r="F4346" s="9">
        <v>6.9</v>
      </c>
      <c r="G4346" s="9">
        <v>20000000</v>
      </c>
      <c r="H4346" s="9">
        <v>2981638</v>
      </c>
      <c r="I4346" s="5">
        <f>IMDB_Movies!$H4346-IMDB_Movies!$G4346</f>
        <v>-17018362</v>
      </c>
    </row>
    <row r="4347" spans="1:9" ht="23">
      <c r="A4347" s="3" t="s">
        <v>6476</v>
      </c>
      <c r="B4347" s="10" t="s">
        <v>6477</v>
      </c>
      <c r="C4347" s="10" t="s">
        <v>138</v>
      </c>
      <c r="D4347" s="10" t="s">
        <v>11</v>
      </c>
      <c r="E4347" s="10">
        <v>84</v>
      </c>
      <c r="F4347" s="10">
        <v>6.8</v>
      </c>
      <c r="G4347" s="10">
        <v>20000000</v>
      </c>
      <c r="H4347" s="10">
        <v>3122616</v>
      </c>
      <c r="I4347" s="5">
        <f>IMDB_Movies!$H4347-IMDB_Movies!$G4347</f>
        <v>-16877384</v>
      </c>
    </row>
    <row r="4348" spans="1:9" ht="23">
      <c r="A4348" s="2" t="s">
        <v>6478</v>
      </c>
      <c r="B4348" s="9" t="s">
        <v>6479</v>
      </c>
      <c r="C4348" s="9" t="s">
        <v>414</v>
      </c>
      <c r="D4348" s="9" t="s">
        <v>11</v>
      </c>
      <c r="E4348" s="9">
        <v>97</v>
      </c>
      <c r="F4348" s="9">
        <v>7.2</v>
      </c>
      <c r="G4348" s="9">
        <v>1000000</v>
      </c>
      <c r="H4348" s="9">
        <v>2508841</v>
      </c>
      <c r="I4348" s="5">
        <f>IMDB_Movies!$H4348-IMDB_Movies!$G4348</f>
        <v>1508841</v>
      </c>
    </row>
    <row r="4349" spans="1:9" ht="23">
      <c r="A4349" s="3" t="s">
        <v>6480</v>
      </c>
      <c r="B4349" s="10" t="s">
        <v>6481</v>
      </c>
      <c r="C4349" s="10" t="s">
        <v>772</v>
      </c>
      <c r="D4349" s="10" t="s">
        <v>11</v>
      </c>
      <c r="E4349" s="10">
        <v>91</v>
      </c>
      <c r="F4349" s="10">
        <v>7.4</v>
      </c>
      <c r="G4349" s="10">
        <v>1000000</v>
      </c>
      <c r="H4349" s="10">
        <v>4946250</v>
      </c>
      <c r="I4349" s="5">
        <f>IMDB_Movies!$H4349-IMDB_Movies!$G4349</f>
        <v>3946250</v>
      </c>
    </row>
    <row r="4350" spans="1:9" ht="23">
      <c r="A4350" s="2" t="s">
        <v>6482</v>
      </c>
      <c r="B4350" s="9" t="s">
        <v>5172</v>
      </c>
      <c r="C4350" s="9" t="s">
        <v>138</v>
      </c>
      <c r="D4350" s="9" t="s">
        <v>11</v>
      </c>
      <c r="E4350" s="9">
        <v>84</v>
      </c>
      <c r="F4350" s="9">
        <v>5.6</v>
      </c>
      <c r="G4350" s="9">
        <v>1000000</v>
      </c>
      <c r="H4350" s="9">
        <v>1950218</v>
      </c>
      <c r="I4350" s="5">
        <f>IMDB_Movies!$H4350-IMDB_Movies!$G4350</f>
        <v>950218</v>
      </c>
    </row>
    <row r="4351" spans="1:9" ht="23">
      <c r="A4351" s="3" t="s">
        <v>6483</v>
      </c>
      <c r="B4351" s="10" t="s">
        <v>4762</v>
      </c>
      <c r="C4351" s="10" t="s">
        <v>138</v>
      </c>
      <c r="D4351" s="10" t="s">
        <v>11</v>
      </c>
      <c r="E4351" s="10">
        <v>86</v>
      </c>
      <c r="F4351" s="10">
        <v>6.8</v>
      </c>
      <c r="G4351" s="10">
        <v>1000000</v>
      </c>
      <c r="H4351" s="10">
        <v>1277257</v>
      </c>
      <c r="I4351" s="5">
        <f>IMDB_Movies!$H4351-IMDB_Movies!$G4351</f>
        <v>277257</v>
      </c>
    </row>
    <row r="4352" spans="1:9" ht="23">
      <c r="A4352" s="2" t="s">
        <v>6484</v>
      </c>
      <c r="B4352" s="9" t="s">
        <v>6485</v>
      </c>
      <c r="C4352" s="9" t="s">
        <v>772</v>
      </c>
      <c r="D4352" s="9" t="s">
        <v>11</v>
      </c>
      <c r="E4352" s="9">
        <v>92</v>
      </c>
      <c r="F4352" s="9">
        <v>7.7</v>
      </c>
      <c r="G4352" s="9">
        <v>1000000</v>
      </c>
      <c r="H4352" s="9">
        <v>1677838</v>
      </c>
      <c r="I4352" s="5">
        <f>IMDB_Movies!$H4352-IMDB_Movies!$G4352</f>
        <v>677838</v>
      </c>
    </row>
    <row r="4353" spans="1:9" ht="23">
      <c r="A4353" s="3" t="s">
        <v>6486</v>
      </c>
      <c r="B4353" s="10" t="s">
        <v>6487</v>
      </c>
      <c r="C4353" s="10" t="s">
        <v>138</v>
      </c>
      <c r="D4353" s="10" t="s">
        <v>11</v>
      </c>
      <c r="E4353" s="10">
        <v>94</v>
      </c>
      <c r="F4353" s="10">
        <v>7</v>
      </c>
      <c r="G4353" s="10">
        <v>1000000</v>
      </c>
      <c r="H4353" s="10">
        <v>1744858</v>
      </c>
      <c r="I4353" s="5">
        <f>IMDB_Movies!$H4353-IMDB_Movies!$G4353</f>
        <v>744858</v>
      </c>
    </row>
    <row r="4354" spans="1:9" ht="23">
      <c r="A4354" s="2" t="s">
        <v>6488</v>
      </c>
      <c r="B4354" s="9" t="s">
        <v>5279</v>
      </c>
      <c r="C4354" s="9" t="s">
        <v>138</v>
      </c>
      <c r="D4354" s="9" t="s">
        <v>11</v>
      </c>
      <c r="E4354" s="9">
        <v>92</v>
      </c>
      <c r="F4354" s="9">
        <v>7.2</v>
      </c>
      <c r="G4354" s="9">
        <v>1000000</v>
      </c>
      <c r="H4354" s="9">
        <v>25078937</v>
      </c>
      <c r="I4354" s="5">
        <f>IMDB_Movies!$H4354-IMDB_Movies!$G4354</f>
        <v>24078937</v>
      </c>
    </row>
    <row r="4355" spans="1:9" ht="23">
      <c r="A4355" s="3" t="s">
        <v>6489</v>
      </c>
      <c r="B4355" s="10" t="s">
        <v>6490</v>
      </c>
      <c r="C4355" s="10" t="s">
        <v>56</v>
      </c>
      <c r="D4355" s="10" t="s">
        <v>11</v>
      </c>
      <c r="E4355" s="10">
        <v>100</v>
      </c>
      <c r="F4355" s="10">
        <v>7.2</v>
      </c>
      <c r="G4355" s="10">
        <v>1000000</v>
      </c>
      <c r="H4355" s="10">
        <v>982214</v>
      </c>
      <c r="I4355" s="5">
        <f>IMDB_Movies!$H4355-IMDB_Movies!$G4355</f>
        <v>-17786</v>
      </c>
    </row>
    <row r="4356" spans="1:9" ht="23">
      <c r="A4356" s="2" t="s">
        <v>6491</v>
      </c>
      <c r="B4356" s="9" t="s">
        <v>6492</v>
      </c>
      <c r="C4356" s="9" t="s">
        <v>414</v>
      </c>
      <c r="D4356" s="9" t="s">
        <v>11</v>
      </c>
      <c r="E4356" s="9">
        <v>119</v>
      </c>
      <c r="F4356" s="9">
        <v>7.2</v>
      </c>
      <c r="G4356" s="9">
        <v>1000000</v>
      </c>
      <c r="H4356" s="9">
        <v>798341</v>
      </c>
      <c r="I4356" s="5">
        <f>IMDB_Movies!$H4356-IMDB_Movies!$G4356</f>
        <v>-201659</v>
      </c>
    </row>
    <row r="4357" spans="1:9" ht="23">
      <c r="A4357" s="3" t="s">
        <v>6493</v>
      </c>
      <c r="B4357" s="10" t="s">
        <v>6494</v>
      </c>
      <c r="C4357" s="10" t="s">
        <v>56</v>
      </c>
      <c r="D4357" s="10" t="s">
        <v>1534</v>
      </c>
      <c r="E4357" s="10">
        <v>167</v>
      </c>
      <c r="F4357" s="10">
        <v>6.2</v>
      </c>
      <c r="G4357" s="10">
        <v>1000000</v>
      </c>
      <c r="H4357" s="10">
        <v>610991</v>
      </c>
      <c r="I4357" s="5">
        <f>IMDB_Movies!$H4357-IMDB_Movies!$G4357</f>
        <v>-389009</v>
      </c>
    </row>
    <row r="4358" spans="1:9" ht="23">
      <c r="A4358" s="2" t="s">
        <v>6495</v>
      </c>
      <c r="B4358" s="9" t="s">
        <v>2991</v>
      </c>
      <c r="C4358" s="9" t="s">
        <v>138</v>
      </c>
      <c r="D4358" s="9" t="s">
        <v>11</v>
      </c>
      <c r="E4358" s="9">
        <v>92</v>
      </c>
      <c r="F4358" s="9">
        <v>6.2</v>
      </c>
      <c r="G4358" s="9">
        <v>1000000</v>
      </c>
      <c r="H4358" s="9">
        <v>582024</v>
      </c>
      <c r="I4358" s="5">
        <f>IMDB_Movies!$H4358-IMDB_Movies!$G4358</f>
        <v>-417976</v>
      </c>
    </row>
    <row r="4359" spans="1:9" ht="23">
      <c r="A4359" s="3" t="s">
        <v>6496</v>
      </c>
      <c r="B4359" s="10" t="s">
        <v>1484</v>
      </c>
      <c r="C4359" s="10" t="s">
        <v>56</v>
      </c>
      <c r="D4359" s="10" t="s">
        <v>11</v>
      </c>
      <c r="E4359" s="10">
        <v>108</v>
      </c>
      <c r="F4359" s="10">
        <v>6.9</v>
      </c>
      <c r="G4359" s="10">
        <v>2500000</v>
      </c>
      <c r="H4359" s="10">
        <v>548712</v>
      </c>
      <c r="I4359" s="5">
        <f>IMDB_Movies!$H4359-IMDB_Movies!$G4359</f>
        <v>-1951288</v>
      </c>
    </row>
    <row r="4360" spans="1:9" ht="23">
      <c r="A4360" s="2" t="s">
        <v>6497</v>
      </c>
      <c r="B4360" s="9" t="s">
        <v>6498</v>
      </c>
      <c r="C4360" s="9" t="s">
        <v>138</v>
      </c>
      <c r="D4360" s="9" t="s">
        <v>11</v>
      </c>
      <c r="E4360" s="9">
        <v>97</v>
      </c>
      <c r="F4360" s="9">
        <v>7</v>
      </c>
      <c r="G4360" s="9">
        <v>1000000</v>
      </c>
      <c r="H4360" s="9">
        <v>464655</v>
      </c>
      <c r="I4360" s="5">
        <f>IMDB_Movies!$H4360-IMDB_Movies!$G4360</f>
        <v>-535345</v>
      </c>
    </row>
    <row r="4361" spans="1:9" ht="23">
      <c r="A4361" s="3" t="s">
        <v>6499</v>
      </c>
      <c r="B4361" s="10" t="s">
        <v>5682</v>
      </c>
      <c r="C4361" s="10" t="s">
        <v>56</v>
      </c>
      <c r="D4361" s="10" t="s">
        <v>11</v>
      </c>
      <c r="E4361" s="10">
        <v>88</v>
      </c>
      <c r="F4361" s="10">
        <v>6.7</v>
      </c>
      <c r="G4361" s="10">
        <v>1000000</v>
      </c>
      <c r="H4361" s="10">
        <v>464126</v>
      </c>
      <c r="I4361" s="5">
        <f>IMDB_Movies!$H4361-IMDB_Movies!$G4361</f>
        <v>-535874</v>
      </c>
    </row>
    <row r="4362" spans="1:9" ht="23">
      <c r="A4362" s="2" t="s">
        <v>6500</v>
      </c>
      <c r="B4362" s="9" t="s">
        <v>6501</v>
      </c>
      <c r="C4362" s="9" t="s">
        <v>138</v>
      </c>
      <c r="D4362" s="9" t="s">
        <v>11</v>
      </c>
      <c r="E4362" s="9">
        <v>100</v>
      </c>
      <c r="F4362" s="9">
        <v>3.6</v>
      </c>
      <c r="G4362" s="9">
        <v>1000000</v>
      </c>
      <c r="H4362" s="9">
        <v>428535</v>
      </c>
      <c r="I4362" s="5">
        <f>IMDB_Movies!$H4362-IMDB_Movies!$G4362</f>
        <v>-571465</v>
      </c>
    </row>
    <row r="4363" spans="1:9" ht="23">
      <c r="A4363" s="3" t="s">
        <v>6502</v>
      </c>
      <c r="B4363" s="10" t="s">
        <v>6503</v>
      </c>
      <c r="C4363" s="10" t="s">
        <v>56</v>
      </c>
      <c r="D4363" s="10" t="s">
        <v>11</v>
      </c>
      <c r="E4363" s="10">
        <v>100</v>
      </c>
      <c r="F4363" s="10">
        <v>6.3</v>
      </c>
      <c r="G4363" s="10">
        <v>20000000</v>
      </c>
      <c r="H4363" s="10">
        <v>750100</v>
      </c>
      <c r="I4363" s="5">
        <f>IMDB_Movies!$H4363-IMDB_Movies!$G4363</f>
        <v>-19249900</v>
      </c>
    </row>
    <row r="4364" spans="1:9" ht="23">
      <c r="A4364" s="2" t="s">
        <v>6504</v>
      </c>
      <c r="B4364" s="9" t="s">
        <v>6505</v>
      </c>
      <c r="C4364" s="9" t="s">
        <v>414</v>
      </c>
      <c r="D4364" s="9" t="s">
        <v>4714</v>
      </c>
      <c r="E4364" s="9">
        <v>124</v>
      </c>
      <c r="F4364" s="9">
        <v>7.4</v>
      </c>
      <c r="G4364" s="9">
        <v>20000000</v>
      </c>
      <c r="H4364" s="9">
        <v>621240</v>
      </c>
      <c r="I4364" s="5">
        <f>IMDB_Movies!$H4364-IMDB_Movies!$G4364</f>
        <v>-19378760</v>
      </c>
    </row>
    <row r="4365" spans="1:9" ht="23">
      <c r="A4365" s="3" t="s">
        <v>6506</v>
      </c>
      <c r="B4365" s="10" t="s">
        <v>6507</v>
      </c>
      <c r="C4365" s="10" t="s">
        <v>138</v>
      </c>
      <c r="D4365" s="10" t="s">
        <v>11</v>
      </c>
      <c r="E4365" s="10">
        <v>88</v>
      </c>
      <c r="F4365" s="10">
        <v>7.4</v>
      </c>
      <c r="G4365" s="10">
        <v>1000000</v>
      </c>
      <c r="H4365" s="10">
        <v>104077</v>
      </c>
      <c r="I4365" s="5">
        <f>IMDB_Movies!$H4365-IMDB_Movies!$G4365</f>
        <v>-895923</v>
      </c>
    </row>
    <row r="4366" spans="1:9" ht="23">
      <c r="A4366" s="2" t="s">
        <v>6508</v>
      </c>
      <c r="B4366" s="9" t="s">
        <v>6509</v>
      </c>
      <c r="C4366" s="9" t="s">
        <v>56</v>
      </c>
      <c r="D4366" s="9" t="s">
        <v>11</v>
      </c>
      <c r="E4366" s="9">
        <v>106</v>
      </c>
      <c r="F4366" s="9">
        <v>7.3</v>
      </c>
      <c r="G4366" s="9">
        <v>20000000</v>
      </c>
      <c r="H4366" s="9">
        <v>334658</v>
      </c>
      <c r="I4366" s="5">
        <f>IMDB_Movies!$H4366-IMDB_Movies!$G4366</f>
        <v>-19665342</v>
      </c>
    </row>
    <row r="4367" spans="1:9" ht="23">
      <c r="A4367" s="3" t="s">
        <v>6510</v>
      </c>
      <c r="B4367" s="10" t="s">
        <v>6511</v>
      </c>
      <c r="C4367" s="10" t="s">
        <v>138</v>
      </c>
      <c r="D4367" s="10" t="s">
        <v>11</v>
      </c>
      <c r="E4367" s="10">
        <v>79</v>
      </c>
      <c r="F4367" s="10">
        <v>6.1</v>
      </c>
      <c r="G4367" s="10">
        <v>1000000</v>
      </c>
      <c r="H4367" s="10">
        <v>279282</v>
      </c>
      <c r="I4367" s="5">
        <f>IMDB_Movies!$H4367-IMDB_Movies!$G4367</f>
        <v>-720718</v>
      </c>
    </row>
    <row r="4368" spans="1:9" ht="23">
      <c r="A4368" s="2" t="s">
        <v>6512</v>
      </c>
      <c r="B4368" s="9" t="s">
        <v>6513</v>
      </c>
      <c r="C4368" s="9" t="s">
        <v>418</v>
      </c>
      <c r="D4368" s="9" t="s">
        <v>6421</v>
      </c>
      <c r="E4368" s="9">
        <v>96</v>
      </c>
      <c r="F4368" s="9">
        <v>8.1999999999999993</v>
      </c>
      <c r="G4368" s="9">
        <v>1000000</v>
      </c>
      <c r="H4368" s="9">
        <v>484221</v>
      </c>
      <c r="I4368" s="5">
        <f>IMDB_Movies!$H4368-IMDB_Movies!$G4368</f>
        <v>-515779</v>
      </c>
    </row>
    <row r="4369" spans="1:9" ht="23">
      <c r="A4369" s="3" t="s">
        <v>6514</v>
      </c>
      <c r="B4369" s="10" t="s">
        <v>6515</v>
      </c>
      <c r="C4369" s="10" t="s">
        <v>414</v>
      </c>
      <c r="D4369" s="10" t="s">
        <v>11</v>
      </c>
      <c r="E4369" s="10">
        <v>53</v>
      </c>
      <c r="F4369" s="10">
        <v>7.7</v>
      </c>
      <c r="G4369" s="10">
        <v>1000000</v>
      </c>
      <c r="H4369" s="10">
        <v>274661</v>
      </c>
      <c r="I4369" s="5">
        <f>IMDB_Movies!$H4369-IMDB_Movies!$G4369</f>
        <v>-725339</v>
      </c>
    </row>
    <row r="4370" spans="1:9" ht="23">
      <c r="A4370" s="2" t="s">
        <v>6516</v>
      </c>
      <c r="B4370" s="9" t="s">
        <v>6517</v>
      </c>
      <c r="C4370" s="9" t="s">
        <v>772</v>
      </c>
      <c r="D4370" s="9" t="s">
        <v>11</v>
      </c>
      <c r="E4370" s="9">
        <v>97</v>
      </c>
      <c r="F4370" s="9">
        <v>7.3</v>
      </c>
      <c r="G4370" s="9">
        <v>1000000</v>
      </c>
      <c r="H4370" s="9">
        <v>144431</v>
      </c>
      <c r="I4370" s="5">
        <f>IMDB_Movies!$H4370-IMDB_Movies!$G4370</f>
        <v>-855569</v>
      </c>
    </row>
    <row r="4371" spans="1:9" ht="23">
      <c r="A4371" s="3" t="s">
        <v>6518</v>
      </c>
      <c r="B4371" s="10" t="s">
        <v>6519</v>
      </c>
      <c r="C4371" s="10" t="s">
        <v>56</v>
      </c>
      <c r="D4371" s="10" t="s">
        <v>11</v>
      </c>
      <c r="E4371" s="10">
        <v>120</v>
      </c>
      <c r="F4371" s="10">
        <v>7.4</v>
      </c>
      <c r="G4371" s="10">
        <v>20000000</v>
      </c>
      <c r="H4371" s="10">
        <v>227241</v>
      </c>
      <c r="I4371" s="5">
        <f>IMDB_Movies!$H4371-IMDB_Movies!$G4371</f>
        <v>-19772759</v>
      </c>
    </row>
    <row r="4372" spans="1:9" ht="23">
      <c r="A4372" s="2" t="s">
        <v>6520</v>
      </c>
      <c r="B4372" s="9" t="s">
        <v>1133</v>
      </c>
      <c r="C4372" s="9" t="s">
        <v>138</v>
      </c>
      <c r="D4372" s="9" t="s">
        <v>11</v>
      </c>
      <c r="E4372" s="9">
        <v>90</v>
      </c>
      <c r="F4372" s="9">
        <v>5.7</v>
      </c>
      <c r="G4372" s="9">
        <v>20000000</v>
      </c>
      <c r="H4372" s="9">
        <v>112521</v>
      </c>
      <c r="I4372" s="5">
        <f>IMDB_Movies!$H4372-IMDB_Movies!$G4372</f>
        <v>-19887479</v>
      </c>
    </row>
    <row r="4373" spans="1:9" ht="23">
      <c r="A4373" s="3" t="s">
        <v>6521</v>
      </c>
      <c r="B4373" s="10" t="s">
        <v>6522</v>
      </c>
      <c r="C4373" s="10" t="s">
        <v>24</v>
      </c>
      <c r="D4373" s="10" t="s">
        <v>11</v>
      </c>
      <c r="E4373" s="10">
        <v>91</v>
      </c>
      <c r="F4373" s="10">
        <v>7.6</v>
      </c>
      <c r="G4373" s="10">
        <v>1000000</v>
      </c>
      <c r="H4373" s="10">
        <v>287761</v>
      </c>
      <c r="I4373" s="5">
        <f>IMDB_Movies!$H4373-IMDB_Movies!$G4373</f>
        <v>-712239</v>
      </c>
    </row>
    <row r="4374" spans="1:9" ht="23">
      <c r="A4374" s="2" t="s">
        <v>6523</v>
      </c>
      <c r="B4374" s="9" t="s">
        <v>6524</v>
      </c>
      <c r="C4374" s="9" t="s">
        <v>772</v>
      </c>
      <c r="D4374" s="9" t="s">
        <v>11</v>
      </c>
      <c r="E4374" s="9">
        <v>93</v>
      </c>
      <c r="F4374" s="9">
        <v>6.8</v>
      </c>
      <c r="G4374" s="9">
        <v>1000000</v>
      </c>
      <c r="H4374" s="9">
        <v>100240</v>
      </c>
      <c r="I4374" s="5">
        <f>IMDB_Movies!$H4374-IMDB_Movies!$G4374</f>
        <v>-899760</v>
      </c>
    </row>
    <row r="4375" spans="1:9" ht="23">
      <c r="A4375" s="3" t="s">
        <v>6525</v>
      </c>
      <c r="B4375" s="10" t="s">
        <v>6526</v>
      </c>
      <c r="C4375" s="10" t="s">
        <v>10</v>
      </c>
      <c r="D4375" s="10" t="s">
        <v>11</v>
      </c>
      <c r="E4375" s="10">
        <v>112</v>
      </c>
      <c r="F4375" s="10">
        <v>5.6</v>
      </c>
      <c r="G4375" s="10">
        <v>1000000</v>
      </c>
      <c r="H4375" s="10">
        <v>96734</v>
      </c>
      <c r="I4375" s="5">
        <f>IMDB_Movies!$H4375-IMDB_Movies!$G4375</f>
        <v>-903266</v>
      </c>
    </row>
    <row r="4376" spans="1:9" ht="23">
      <c r="A4376" s="2" t="s">
        <v>6527</v>
      </c>
      <c r="B4376" s="9" t="s">
        <v>6528</v>
      </c>
      <c r="C4376" s="9" t="s">
        <v>2945</v>
      </c>
      <c r="D4376" s="9" t="s">
        <v>1534</v>
      </c>
      <c r="E4376" s="9">
        <v>160</v>
      </c>
      <c r="F4376" s="9">
        <v>4.8</v>
      </c>
      <c r="G4376" s="9">
        <v>1500000</v>
      </c>
      <c r="H4376" s="9">
        <v>49000</v>
      </c>
      <c r="I4376" s="5">
        <f>IMDB_Movies!$H4376-IMDB_Movies!$G4376</f>
        <v>-1451000</v>
      </c>
    </row>
    <row r="4377" spans="1:9" ht="23">
      <c r="A4377" s="3" t="s">
        <v>6529</v>
      </c>
      <c r="B4377" s="10" t="s">
        <v>6530</v>
      </c>
      <c r="C4377" s="10" t="s">
        <v>810</v>
      </c>
      <c r="D4377" s="10" t="s">
        <v>11</v>
      </c>
      <c r="E4377" s="10">
        <v>95</v>
      </c>
      <c r="F4377" s="10">
        <v>6.4</v>
      </c>
      <c r="G4377" s="10">
        <v>900000</v>
      </c>
      <c r="H4377" s="10">
        <v>100659</v>
      </c>
      <c r="I4377" s="5">
        <f>IMDB_Movies!$H4377-IMDB_Movies!$G4377</f>
        <v>-799341</v>
      </c>
    </row>
    <row r="4378" spans="1:9" ht="23">
      <c r="A4378" s="2" t="s">
        <v>6531</v>
      </c>
      <c r="B4378" s="9" t="s">
        <v>6532</v>
      </c>
      <c r="C4378" s="9" t="s">
        <v>138</v>
      </c>
      <c r="D4378" s="9" t="s">
        <v>11</v>
      </c>
      <c r="E4378" s="9">
        <v>93</v>
      </c>
      <c r="F4378" s="9">
        <v>6.8</v>
      </c>
      <c r="G4378" s="9">
        <v>500000</v>
      </c>
      <c r="H4378" s="9">
        <v>48430</v>
      </c>
      <c r="I4378" s="5">
        <f>IMDB_Movies!$H4378-IMDB_Movies!$G4378</f>
        <v>-451570</v>
      </c>
    </row>
    <row r="4379" spans="1:9" ht="23">
      <c r="A4379" s="3" t="s">
        <v>6533</v>
      </c>
      <c r="B4379" s="10" t="s">
        <v>1677</v>
      </c>
      <c r="C4379" s="10" t="s">
        <v>138</v>
      </c>
      <c r="D4379" s="10" t="s">
        <v>11</v>
      </c>
      <c r="E4379" s="10">
        <v>88</v>
      </c>
      <c r="F4379" s="10">
        <v>6.1</v>
      </c>
      <c r="G4379" s="10">
        <v>1000000</v>
      </c>
      <c r="H4379" s="10">
        <v>21210</v>
      </c>
      <c r="I4379" s="5">
        <f>IMDB_Movies!$H4379-IMDB_Movies!$G4379</f>
        <v>-978790</v>
      </c>
    </row>
    <row r="4380" spans="1:9" ht="23">
      <c r="A4380" s="2" t="s">
        <v>6534</v>
      </c>
      <c r="B4380" s="9" t="s">
        <v>6535</v>
      </c>
      <c r="C4380" s="9" t="s">
        <v>414</v>
      </c>
      <c r="D4380" s="9" t="s">
        <v>11</v>
      </c>
      <c r="E4380" s="9">
        <v>105</v>
      </c>
      <c r="F4380" s="9">
        <v>5.2</v>
      </c>
      <c r="G4380" s="9">
        <v>1000000</v>
      </c>
      <c r="H4380" s="9">
        <v>25078937</v>
      </c>
      <c r="I4380" s="5">
        <f>IMDB_Movies!$H4380-IMDB_Movies!$G4380</f>
        <v>24078937</v>
      </c>
    </row>
    <row r="4381" spans="1:9" ht="23">
      <c r="A4381" s="3" t="s">
        <v>6536</v>
      </c>
      <c r="B4381" s="10" t="s">
        <v>6537</v>
      </c>
      <c r="C4381" s="10" t="s">
        <v>138</v>
      </c>
      <c r="D4381" s="10" t="s">
        <v>11</v>
      </c>
      <c r="E4381" s="10">
        <v>98</v>
      </c>
      <c r="F4381" s="10">
        <v>6.9</v>
      </c>
      <c r="G4381" s="10">
        <v>20000000</v>
      </c>
      <c r="H4381" s="10">
        <v>22434</v>
      </c>
      <c r="I4381" s="5">
        <f>IMDB_Movies!$H4381-IMDB_Movies!$G4381</f>
        <v>-19977566</v>
      </c>
    </row>
    <row r="4382" spans="1:9" ht="23">
      <c r="A4382" s="2" t="s">
        <v>6538</v>
      </c>
      <c r="B4382" s="9" t="s">
        <v>2099</v>
      </c>
      <c r="C4382" s="9" t="s">
        <v>10</v>
      </c>
      <c r="D4382" s="9" t="s">
        <v>11</v>
      </c>
      <c r="E4382" s="9">
        <v>82</v>
      </c>
      <c r="F4382" s="9">
        <v>6</v>
      </c>
      <c r="G4382" s="9">
        <v>1000000</v>
      </c>
      <c r="H4382" s="9">
        <v>12996</v>
      </c>
      <c r="I4382" s="5">
        <f>IMDB_Movies!$H4382-IMDB_Movies!$G4382</f>
        <v>-987004</v>
      </c>
    </row>
    <row r="4383" spans="1:9" ht="23">
      <c r="A4383" s="3" t="s">
        <v>6539</v>
      </c>
      <c r="B4383" s="10" t="s">
        <v>6540</v>
      </c>
      <c r="C4383" s="10" t="s">
        <v>138</v>
      </c>
      <c r="D4383" s="10" t="s">
        <v>11</v>
      </c>
      <c r="E4383" s="10">
        <v>89</v>
      </c>
      <c r="F4383" s="10">
        <v>6.3</v>
      </c>
      <c r="G4383" s="10">
        <v>1000000</v>
      </c>
      <c r="H4383" s="10">
        <v>25078937</v>
      </c>
      <c r="I4383" s="5">
        <f>IMDB_Movies!$H4383-IMDB_Movies!$G4383</f>
        <v>24078937</v>
      </c>
    </row>
    <row r="4384" spans="1:9" ht="23">
      <c r="A4384" s="2" t="s">
        <v>6541</v>
      </c>
      <c r="B4384" s="9" t="s">
        <v>6542</v>
      </c>
      <c r="C4384" s="9" t="s">
        <v>414</v>
      </c>
      <c r="D4384" s="9" t="s">
        <v>11</v>
      </c>
      <c r="E4384" s="9">
        <v>78</v>
      </c>
      <c r="F4384" s="9">
        <v>6.1</v>
      </c>
      <c r="G4384" s="9">
        <v>1000000</v>
      </c>
      <c r="H4384" s="9">
        <v>10018</v>
      </c>
      <c r="I4384" s="5">
        <f>IMDB_Movies!$H4384-IMDB_Movies!$G4384</f>
        <v>-989982</v>
      </c>
    </row>
    <row r="4385" spans="1:9" ht="23">
      <c r="A4385" s="3" t="s">
        <v>6543</v>
      </c>
      <c r="B4385" s="10" t="s">
        <v>6544</v>
      </c>
      <c r="C4385" s="10" t="s">
        <v>56</v>
      </c>
      <c r="D4385" s="10" t="s">
        <v>11</v>
      </c>
      <c r="E4385" s="10">
        <v>97</v>
      </c>
      <c r="F4385" s="10">
        <v>5.5</v>
      </c>
      <c r="G4385" s="10">
        <v>1000000</v>
      </c>
      <c r="H4385" s="10">
        <v>62480</v>
      </c>
      <c r="I4385" s="5">
        <f>IMDB_Movies!$H4385-IMDB_Movies!$G4385</f>
        <v>-937520</v>
      </c>
    </row>
    <row r="4386" spans="1:9" ht="23">
      <c r="A4386" s="2" t="s">
        <v>6545</v>
      </c>
      <c r="B4386" s="9" t="s">
        <v>6546</v>
      </c>
      <c r="C4386" s="9" t="s">
        <v>138</v>
      </c>
      <c r="D4386" s="9" t="s">
        <v>11</v>
      </c>
      <c r="E4386" s="9">
        <v>81</v>
      </c>
      <c r="F4386" s="9">
        <v>6.9</v>
      </c>
      <c r="G4386" s="9">
        <v>1000000</v>
      </c>
      <c r="H4386" s="9">
        <v>6387</v>
      </c>
      <c r="I4386" s="5">
        <f>IMDB_Movies!$H4386-IMDB_Movies!$G4386</f>
        <v>-993613</v>
      </c>
    </row>
    <row r="4387" spans="1:9" ht="23">
      <c r="A4387" s="3" t="s">
        <v>6547</v>
      </c>
      <c r="B4387" s="10" t="s">
        <v>5774</v>
      </c>
      <c r="C4387" s="10" t="s">
        <v>138</v>
      </c>
      <c r="D4387" s="10" t="s">
        <v>11</v>
      </c>
      <c r="E4387" s="10">
        <v>90</v>
      </c>
      <c r="F4387" s="10">
        <v>5.6</v>
      </c>
      <c r="G4387" s="10">
        <v>20000000</v>
      </c>
      <c r="H4387" s="10">
        <v>5494</v>
      </c>
      <c r="I4387" s="5">
        <f>IMDB_Movies!$H4387-IMDB_Movies!$G4387</f>
        <v>-19994506</v>
      </c>
    </row>
    <row r="4388" spans="1:9" ht="23">
      <c r="A4388" s="2" t="s">
        <v>6548</v>
      </c>
      <c r="B4388" s="9" t="s">
        <v>6549</v>
      </c>
      <c r="C4388" s="9" t="s">
        <v>10</v>
      </c>
      <c r="D4388" s="9" t="s">
        <v>11</v>
      </c>
      <c r="E4388" s="9">
        <v>97</v>
      </c>
      <c r="F4388" s="9">
        <v>1.9</v>
      </c>
      <c r="G4388" s="9">
        <v>1000000</v>
      </c>
      <c r="H4388" s="9">
        <v>25078937</v>
      </c>
      <c r="I4388" s="5">
        <f>IMDB_Movies!$H4388-IMDB_Movies!$G4388</f>
        <v>24078937</v>
      </c>
    </row>
    <row r="4389" spans="1:9" ht="23">
      <c r="A4389" s="3" t="s">
        <v>6550</v>
      </c>
      <c r="B4389" s="10" t="s">
        <v>2962</v>
      </c>
      <c r="C4389" s="10" t="s">
        <v>10</v>
      </c>
      <c r="D4389" s="10" t="s">
        <v>11</v>
      </c>
      <c r="E4389" s="10">
        <v>88</v>
      </c>
      <c r="F4389" s="10">
        <v>4.0999999999999996</v>
      </c>
      <c r="G4389" s="10">
        <v>1000000</v>
      </c>
      <c r="H4389" s="10">
        <v>721</v>
      </c>
      <c r="I4389" s="5">
        <f>IMDB_Movies!$H4389-IMDB_Movies!$G4389</f>
        <v>-999279</v>
      </c>
    </row>
    <row r="4390" spans="1:9" ht="23">
      <c r="A4390" s="2" t="s">
        <v>6551</v>
      </c>
      <c r="B4390" s="9" t="s">
        <v>6552</v>
      </c>
      <c r="C4390" s="9" t="s">
        <v>138</v>
      </c>
      <c r="D4390" s="9" t="s">
        <v>11</v>
      </c>
      <c r="E4390" s="9">
        <v>96</v>
      </c>
      <c r="F4390" s="9">
        <v>5.4</v>
      </c>
      <c r="G4390" s="9">
        <v>1500000</v>
      </c>
      <c r="H4390" s="9">
        <v>703</v>
      </c>
      <c r="I4390" s="5">
        <f>IMDB_Movies!$H4390-IMDB_Movies!$G4390</f>
        <v>-1499297</v>
      </c>
    </row>
    <row r="4391" spans="1:9" ht="23">
      <c r="A4391" s="3" t="s">
        <v>6553</v>
      </c>
      <c r="B4391" s="10" t="s">
        <v>6554</v>
      </c>
      <c r="C4391" s="10" t="s">
        <v>414</v>
      </c>
      <c r="D4391" s="10" t="s">
        <v>741</v>
      </c>
      <c r="E4391" s="10">
        <v>105</v>
      </c>
      <c r="F4391" s="10">
        <v>6.8</v>
      </c>
      <c r="G4391" s="10">
        <v>1000000</v>
      </c>
      <c r="H4391" s="10">
        <v>25078937</v>
      </c>
      <c r="I4391" s="5">
        <f>IMDB_Movies!$H4391-IMDB_Movies!$G4391</f>
        <v>24078937</v>
      </c>
    </row>
    <row r="4392" spans="1:9" ht="23">
      <c r="A4392" s="2" t="s">
        <v>6555</v>
      </c>
      <c r="B4392" s="9" t="s">
        <v>6556</v>
      </c>
      <c r="C4392" s="9" t="s">
        <v>56</v>
      </c>
      <c r="D4392" s="9" t="s">
        <v>11</v>
      </c>
      <c r="E4392" s="9">
        <v>76</v>
      </c>
      <c r="F4392" s="9">
        <v>6.7</v>
      </c>
      <c r="G4392" s="9">
        <v>1000000</v>
      </c>
      <c r="H4392" s="9">
        <v>25078937</v>
      </c>
      <c r="I4392" s="5">
        <f>IMDB_Movies!$H4392-IMDB_Movies!$G4392</f>
        <v>24078937</v>
      </c>
    </row>
    <row r="4393" spans="1:9" ht="23">
      <c r="A4393" s="3" t="s">
        <v>6557</v>
      </c>
      <c r="B4393" s="10" t="s">
        <v>6558</v>
      </c>
      <c r="C4393" s="10" t="s">
        <v>138</v>
      </c>
      <c r="D4393" s="10" t="s">
        <v>11</v>
      </c>
      <c r="E4393" s="10">
        <v>96</v>
      </c>
      <c r="F4393" s="10">
        <v>5.8</v>
      </c>
      <c r="G4393" s="10">
        <v>1000000</v>
      </c>
      <c r="H4393" s="10">
        <v>25078937</v>
      </c>
      <c r="I4393" s="5">
        <f>IMDB_Movies!$H4393-IMDB_Movies!$G4393</f>
        <v>24078937</v>
      </c>
    </row>
    <row r="4394" spans="1:9" ht="23">
      <c r="A4394" s="2" t="s">
        <v>6559</v>
      </c>
      <c r="B4394" s="9" t="s">
        <v>6560</v>
      </c>
      <c r="C4394" s="9" t="s">
        <v>414</v>
      </c>
      <c r="D4394" s="9" t="s">
        <v>11</v>
      </c>
      <c r="E4394" s="9">
        <v>99</v>
      </c>
      <c r="F4394" s="9">
        <v>6.2</v>
      </c>
      <c r="G4394" s="9">
        <v>1000000</v>
      </c>
      <c r="H4394" s="9">
        <v>25078937</v>
      </c>
      <c r="I4394" s="5">
        <f>IMDB_Movies!$H4394-IMDB_Movies!$G4394</f>
        <v>24078937</v>
      </c>
    </row>
    <row r="4395" spans="1:9" ht="23">
      <c r="A4395" s="3" t="s">
        <v>6561</v>
      </c>
      <c r="B4395" s="10" t="s">
        <v>6562</v>
      </c>
      <c r="C4395" s="10" t="s">
        <v>138</v>
      </c>
      <c r="D4395" s="10" t="s">
        <v>11</v>
      </c>
      <c r="E4395" s="10">
        <v>90</v>
      </c>
      <c r="F4395" s="10">
        <v>2.8</v>
      </c>
      <c r="G4395" s="10">
        <v>1000000</v>
      </c>
      <c r="H4395" s="10">
        <v>25078937</v>
      </c>
      <c r="I4395" s="5">
        <f>IMDB_Movies!$H4395-IMDB_Movies!$G4395</f>
        <v>24078937</v>
      </c>
    </row>
    <row r="4396" spans="1:9" ht="23">
      <c r="A4396" s="2" t="s">
        <v>6563</v>
      </c>
      <c r="B4396" s="9" t="s">
        <v>4877</v>
      </c>
      <c r="C4396" s="9" t="s">
        <v>56</v>
      </c>
      <c r="D4396" s="9" t="s">
        <v>11</v>
      </c>
      <c r="E4396" s="9">
        <v>94</v>
      </c>
      <c r="F4396" s="9">
        <v>7.3</v>
      </c>
      <c r="G4396" s="9">
        <v>20000000</v>
      </c>
      <c r="H4396" s="9">
        <v>25078937</v>
      </c>
      <c r="I4396" s="5">
        <f>IMDB_Movies!$H4396-IMDB_Movies!$G4396</f>
        <v>5078937</v>
      </c>
    </row>
    <row r="4397" spans="1:9" ht="23">
      <c r="A4397" s="3" t="s">
        <v>6564</v>
      </c>
      <c r="B4397" s="10" t="s">
        <v>6565</v>
      </c>
      <c r="C4397" s="10" t="s">
        <v>56</v>
      </c>
      <c r="D4397" s="10" t="s">
        <v>11</v>
      </c>
      <c r="E4397" s="10">
        <v>87</v>
      </c>
      <c r="F4397" s="10">
        <v>5.8</v>
      </c>
      <c r="G4397" s="10">
        <v>1000000</v>
      </c>
      <c r="H4397" s="10">
        <v>25078937</v>
      </c>
      <c r="I4397" s="5">
        <f>IMDB_Movies!$H4397-IMDB_Movies!$G4397</f>
        <v>24078937</v>
      </c>
    </row>
    <row r="4398" spans="1:9" ht="23">
      <c r="A4398" s="2" t="s">
        <v>6566</v>
      </c>
      <c r="B4398" s="9" t="s">
        <v>6567</v>
      </c>
      <c r="C4398" s="9" t="s">
        <v>56</v>
      </c>
      <c r="D4398" s="9" t="s">
        <v>11</v>
      </c>
      <c r="E4398" s="9">
        <v>93</v>
      </c>
      <c r="F4398" s="9">
        <v>6.5</v>
      </c>
      <c r="G4398" s="9">
        <v>20000000</v>
      </c>
      <c r="H4398" s="9">
        <v>25078937</v>
      </c>
      <c r="I4398" s="5">
        <f>IMDB_Movies!$H4398-IMDB_Movies!$G4398</f>
        <v>5078937</v>
      </c>
    </row>
    <row r="4399" spans="1:9" ht="23">
      <c r="A4399" s="3" t="s">
        <v>6568</v>
      </c>
      <c r="B4399" s="10" t="s">
        <v>6569</v>
      </c>
      <c r="C4399" s="10" t="s">
        <v>56</v>
      </c>
      <c r="D4399" s="10" t="s">
        <v>11</v>
      </c>
      <c r="E4399" s="10">
        <v>90</v>
      </c>
      <c r="F4399" s="10">
        <v>6.1</v>
      </c>
      <c r="G4399" s="10">
        <v>1000000</v>
      </c>
      <c r="H4399" s="10">
        <v>25078937</v>
      </c>
      <c r="I4399" s="5">
        <f>IMDB_Movies!$H4399-IMDB_Movies!$G4399</f>
        <v>24078937</v>
      </c>
    </row>
    <row r="4400" spans="1:9" ht="23">
      <c r="A4400" s="2" t="s">
        <v>6570</v>
      </c>
      <c r="B4400" s="9" t="s">
        <v>6571</v>
      </c>
      <c r="C4400" s="9" t="s">
        <v>138</v>
      </c>
      <c r="D4400" s="9" t="s">
        <v>11</v>
      </c>
      <c r="E4400" s="9">
        <v>89</v>
      </c>
      <c r="F4400" s="9">
        <v>5.0999999999999996</v>
      </c>
      <c r="G4400" s="9">
        <v>500000</v>
      </c>
      <c r="H4400" s="9">
        <v>25078937</v>
      </c>
      <c r="I4400" s="5">
        <f>IMDB_Movies!$H4400-IMDB_Movies!$G4400</f>
        <v>24578937</v>
      </c>
    </row>
    <row r="4401" spans="1:9" ht="23">
      <c r="A4401" s="3" t="s">
        <v>6572</v>
      </c>
      <c r="B4401" s="10" t="s">
        <v>6573</v>
      </c>
      <c r="C4401" s="10" t="s">
        <v>810</v>
      </c>
      <c r="D4401" s="10" t="s">
        <v>11</v>
      </c>
      <c r="E4401" s="10">
        <v>83</v>
      </c>
      <c r="F4401" s="10">
        <v>2.2000000000000002</v>
      </c>
      <c r="G4401" s="10">
        <v>1000000</v>
      </c>
      <c r="H4401" s="10">
        <v>25078937</v>
      </c>
      <c r="I4401" s="5">
        <f>IMDB_Movies!$H4401-IMDB_Movies!$G4401</f>
        <v>24078937</v>
      </c>
    </row>
    <row r="4402" spans="1:9" ht="23">
      <c r="A4402" s="2" t="s">
        <v>6574</v>
      </c>
      <c r="B4402" s="9" t="s">
        <v>6575</v>
      </c>
      <c r="C4402" s="9" t="s">
        <v>56</v>
      </c>
      <c r="D4402" s="9" t="s">
        <v>741</v>
      </c>
      <c r="E4402" s="9">
        <v>96</v>
      </c>
      <c r="F4402" s="9">
        <v>7.2</v>
      </c>
      <c r="G4402" s="9">
        <v>20000000</v>
      </c>
      <c r="H4402" s="9">
        <v>25078937</v>
      </c>
      <c r="I4402" s="5">
        <f>IMDB_Movies!$H4402-IMDB_Movies!$G4402</f>
        <v>5078937</v>
      </c>
    </row>
    <row r="4403" spans="1:9" ht="23">
      <c r="A4403" s="3" t="s">
        <v>6576</v>
      </c>
      <c r="B4403" s="10" t="s">
        <v>6577</v>
      </c>
      <c r="C4403" s="10" t="s">
        <v>138</v>
      </c>
      <c r="D4403" s="10" t="s">
        <v>11</v>
      </c>
      <c r="E4403" s="10">
        <v>90</v>
      </c>
      <c r="F4403" s="10">
        <v>5.7</v>
      </c>
      <c r="G4403" s="10">
        <v>1000000</v>
      </c>
      <c r="H4403" s="10">
        <v>25078937</v>
      </c>
      <c r="I4403" s="5">
        <f>IMDB_Movies!$H4403-IMDB_Movies!$G4403</f>
        <v>24078937</v>
      </c>
    </row>
    <row r="4404" spans="1:9" ht="23">
      <c r="A4404" s="2" t="s">
        <v>6578</v>
      </c>
      <c r="B4404" s="9" t="s">
        <v>6579</v>
      </c>
      <c r="C4404" s="9" t="s">
        <v>138</v>
      </c>
      <c r="D4404" s="9" t="s">
        <v>11</v>
      </c>
      <c r="E4404" s="9">
        <v>138</v>
      </c>
      <c r="F4404" s="9">
        <v>3.4</v>
      </c>
      <c r="G4404" s="9">
        <v>1000000</v>
      </c>
      <c r="H4404" s="9">
        <v>25078937</v>
      </c>
      <c r="I4404" s="5">
        <f>IMDB_Movies!$H4404-IMDB_Movies!$G4404</f>
        <v>24078937</v>
      </c>
    </row>
    <row r="4405" spans="1:9" ht="23">
      <c r="A4405" s="3" t="s">
        <v>6580</v>
      </c>
      <c r="B4405" s="10" t="s">
        <v>6573</v>
      </c>
      <c r="C4405" s="10" t="s">
        <v>4398</v>
      </c>
      <c r="D4405" s="10" t="s">
        <v>11</v>
      </c>
      <c r="E4405" s="10">
        <v>84</v>
      </c>
      <c r="F4405" s="10">
        <v>3.8</v>
      </c>
      <c r="G4405" s="10">
        <v>1000000</v>
      </c>
      <c r="H4405" s="10">
        <v>25078937</v>
      </c>
      <c r="I4405" s="5">
        <f>IMDB_Movies!$H4405-IMDB_Movies!$G4405</f>
        <v>24078937</v>
      </c>
    </row>
    <row r="4406" spans="1:9" ht="23">
      <c r="A4406" s="2" t="s">
        <v>6581</v>
      </c>
      <c r="B4406" s="9" t="s">
        <v>6582</v>
      </c>
      <c r="C4406" s="9" t="s">
        <v>810</v>
      </c>
      <c r="D4406" s="9" t="s">
        <v>11</v>
      </c>
      <c r="E4406" s="9">
        <v>83</v>
      </c>
      <c r="F4406" s="9">
        <v>4.7</v>
      </c>
      <c r="G4406" s="9">
        <v>20000000</v>
      </c>
      <c r="H4406" s="9">
        <v>25078937</v>
      </c>
      <c r="I4406" s="5">
        <f>IMDB_Movies!$H4406-IMDB_Movies!$G4406</f>
        <v>5078937</v>
      </c>
    </row>
    <row r="4407" spans="1:9" ht="23">
      <c r="A4407" s="3" t="s">
        <v>6583</v>
      </c>
      <c r="B4407" s="10" t="s">
        <v>6584</v>
      </c>
      <c r="C4407" s="10" t="s">
        <v>810</v>
      </c>
      <c r="D4407" s="10" t="s">
        <v>11</v>
      </c>
      <c r="E4407" s="10">
        <v>96</v>
      </c>
      <c r="F4407" s="10">
        <v>5.6</v>
      </c>
      <c r="G4407" s="10">
        <v>1000000</v>
      </c>
      <c r="H4407" s="10">
        <v>25078937</v>
      </c>
      <c r="I4407" s="5">
        <f>IMDB_Movies!$H4407-IMDB_Movies!$G4407</f>
        <v>24078937</v>
      </c>
    </row>
    <row r="4408" spans="1:9" ht="23">
      <c r="A4408" s="2" t="s">
        <v>6585</v>
      </c>
      <c r="B4408" s="9" t="s">
        <v>6586</v>
      </c>
      <c r="C4408" s="9" t="s">
        <v>56</v>
      </c>
      <c r="D4408" s="9" t="s">
        <v>11</v>
      </c>
      <c r="E4408" s="9">
        <v>94</v>
      </c>
      <c r="F4408" s="9">
        <v>3.9</v>
      </c>
      <c r="G4408" s="9">
        <v>1000000</v>
      </c>
      <c r="H4408" s="9">
        <v>25078937</v>
      </c>
      <c r="I4408" s="5">
        <f>IMDB_Movies!$H4408-IMDB_Movies!$G4408</f>
        <v>24078937</v>
      </c>
    </row>
    <row r="4409" spans="1:9" ht="23">
      <c r="A4409" s="3" t="s">
        <v>6587</v>
      </c>
      <c r="B4409" s="10" t="s">
        <v>6588</v>
      </c>
      <c r="C4409" s="10" t="s">
        <v>56</v>
      </c>
      <c r="D4409" s="10" t="s">
        <v>11</v>
      </c>
      <c r="E4409" s="10">
        <v>90</v>
      </c>
      <c r="F4409" s="10">
        <v>5.4</v>
      </c>
      <c r="G4409" s="10">
        <v>1000000</v>
      </c>
      <c r="H4409" s="10">
        <v>25078937</v>
      </c>
      <c r="I4409" s="5">
        <f>IMDB_Movies!$H4409-IMDB_Movies!$G4409</f>
        <v>24078937</v>
      </c>
    </row>
    <row r="4410" spans="1:9" ht="23">
      <c r="A4410" s="2" t="s">
        <v>6589</v>
      </c>
      <c r="B4410" s="9" t="s">
        <v>6590</v>
      </c>
      <c r="C4410" s="9" t="s">
        <v>810</v>
      </c>
      <c r="D4410" s="9" t="s">
        <v>11</v>
      </c>
      <c r="E4410" s="9">
        <v>95</v>
      </c>
      <c r="F4410" s="9">
        <v>5.2</v>
      </c>
      <c r="G4410" s="9">
        <v>1000000</v>
      </c>
      <c r="H4410" s="9">
        <v>25078937</v>
      </c>
      <c r="I4410" s="5">
        <f>IMDB_Movies!$H4410-IMDB_Movies!$G4410</f>
        <v>24078937</v>
      </c>
    </row>
    <row r="4411" spans="1:9" ht="23">
      <c r="A4411" s="3" t="s">
        <v>6591</v>
      </c>
      <c r="B4411" s="10" t="s">
        <v>6592</v>
      </c>
      <c r="C4411" s="10" t="s">
        <v>10</v>
      </c>
      <c r="D4411" s="10" t="s">
        <v>11</v>
      </c>
      <c r="E4411" s="10">
        <v>93</v>
      </c>
      <c r="F4411" s="10">
        <v>3.5</v>
      </c>
      <c r="G4411" s="10">
        <v>1000000</v>
      </c>
      <c r="H4411" s="10">
        <v>25078937</v>
      </c>
      <c r="I4411" s="5">
        <f>IMDB_Movies!$H4411-IMDB_Movies!$G4411</f>
        <v>24078937</v>
      </c>
    </row>
    <row r="4412" spans="1:9" ht="23">
      <c r="A4412" s="2" t="s">
        <v>6593</v>
      </c>
      <c r="B4412" s="9" t="s">
        <v>6594</v>
      </c>
      <c r="C4412" s="9" t="s">
        <v>56</v>
      </c>
      <c r="D4412" s="9" t="s">
        <v>11</v>
      </c>
      <c r="E4412" s="9">
        <v>103</v>
      </c>
      <c r="F4412" s="9">
        <v>7.1</v>
      </c>
      <c r="G4412" s="9">
        <v>20000000</v>
      </c>
      <c r="H4412" s="9">
        <v>25078937</v>
      </c>
      <c r="I4412" s="5">
        <f>IMDB_Movies!$H4412-IMDB_Movies!$G4412</f>
        <v>5078937</v>
      </c>
    </row>
    <row r="4413" spans="1:9" ht="23">
      <c r="A4413" s="3" t="s">
        <v>6595</v>
      </c>
      <c r="B4413" s="10" t="s">
        <v>6596</v>
      </c>
      <c r="C4413" s="10" t="s">
        <v>810</v>
      </c>
      <c r="D4413" s="10" t="s">
        <v>11</v>
      </c>
      <c r="E4413" s="10">
        <v>87</v>
      </c>
      <c r="F4413" s="10">
        <v>5.5</v>
      </c>
      <c r="G4413" s="10">
        <v>950000</v>
      </c>
      <c r="H4413" s="10">
        <v>25078937</v>
      </c>
      <c r="I4413" s="5">
        <f>IMDB_Movies!$H4413-IMDB_Movies!$G4413</f>
        <v>24128937</v>
      </c>
    </row>
    <row r="4414" spans="1:9" ht="23">
      <c r="A4414" s="2" t="s">
        <v>6597</v>
      </c>
      <c r="B4414" s="9" t="s">
        <v>6598</v>
      </c>
      <c r="C4414" s="9" t="s">
        <v>56</v>
      </c>
      <c r="D4414" s="9" t="s">
        <v>11</v>
      </c>
      <c r="E4414" s="9">
        <v>100</v>
      </c>
      <c r="F4414" s="9">
        <v>6</v>
      </c>
      <c r="G4414" s="9">
        <v>950000</v>
      </c>
      <c r="H4414" s="9">
        <v>25078937</v>
      </c>
      <c r="I4414" s="5">
        <f>IMDB_Movies!$H4414-IMDB_Movies!$G4414</f>
        <v>24128937</v>
      </c>
    </row>
    <row r="4415" spans="1:9" ht="23">
      <c r="A4415" s="3" t="s">
        <v>6599</v>
      </c>
      <c r="B4415" s="10" t="s">
        <v>6600</v>
      </c>
      <c r="C4415" s="10" t="s">
        <v>138</v>
      </c>
      <c r="D4415" s="10" t="s">
        <v>11</v>
      </c>
      <c r="E4415" s="10">
        <v>90</v>
      </c>
      <c r="F4415" s="10">
        <v>4.8</v>
      </c>
      <c r="G4415" s="10">
        <v>989000</v>
      </c>
      <c r="H4415" s="10">
        <v>25078937</v>
      </c>
      <c r="I4415" s="5">
        <f>IMDB_Movies!$H4415-IMDB_Movies!$G4415</f>
        <v>24089937</v>
      </c>
    </row>
    <row r="4416" spans="1:9" ht="23">
      <c r="A4416" s="2" t="s">
        <v>6601</v>
      </c>
      <c r="B4416" s="9" t="s">
        <v>6602</v>
      </c>
      <c r="C4416" s="9" t="s">
        <v>772</v>
      </c>
      <c r="D4416" s="9" t="s">
        <v>11</v>
      </c>
      <c r="E4416" s="9">
        <v>83</v>
      </c>
      <c r="F4416" s="9">
        <v>7.1</v>
      </c>
      <c r="G4416" s="9">
        <v>913000</v>
      </c>
      <c r="H4416" s="9">
        <v>25078937</v>
      </c>
      <c r="I4416" s="5">
        <f>IMDB_Movies!$H4416-IMDB_Movies!$G4416</f>
        <v>24165937</v>
      </c>
    </row>
    <row r="4417" spans="1:9" ht="23">
      <c r="A4417" s="3" t="s">
        <v>6603</v>
      </c>
      <c r="B4417" s="10" t="s">
        <v>6031</v>
      </c>
      <c r="C4417" s="10" t="s">
        <v>414</v>
      </c>
      <c r="D4417" s="10" t="s">
        <v>11</v>
      </c>
      <c r="E4417" s="10">
        <v>108</v>
      </c>
      <c r="F4417" s="10">
        <v>8.1999999999999993</v>
      </c>
      <c r="G4417" s="10">
        <v>910000</v>
      </c>
      <c r="H4417" s="10">
        <v>9600000</v>
      </c>
      <c r="I4417" s="5">
        <f>IMDB_Movies!$H4417-IMDB_Movies!$G4417</f>
        <v>8690000</v>
      </c>
    </row>
    <row r="4418" spans="1:9" ht="23">
      <c r="A4418" s="2" t="s">
        <v>6604</v>
      </c>
      <c r="B4418" s="9" t="s">
        <v>6605</v>
      </c>
      <c r="C4418" s="9" t="s">
        <v>138</v>
      </c>
      <c r="D4418" s="9" t="s">
        <v>11</v>
      </c>
      <c r="E4418" s="9">
        <v>100</v>
      </c>
      <c r="F4418" s="9">
        <v>5.7</v>
      </c>
      <c r="G4418" s="9">
        <v>930000</v>
      </c>
      <c r="H4418" s="9">
        <v>20186</v>
      </c>
      <c r="I4418" s="5">
        <f>IMDB_Movies!$H4418-IMDB_Movies!$G4418</f>
        <v>-909814</v>
      </c>
    </row>
    <row r="4419" spans="1:9" ht="23">
      <c r="A4419" s="3" t="s">
        <v>6606</v>
      </c>
      <c r="B4419" s="10" t="s">
        <v>6607</v>
      </c>
      <c r="C4419" s="10" t="s">
        <v>56</v>
      </c>
      <c r="D4419" s="10" t="s">
        <v>6608</v>
      </c>
      <c r="E4419" s="10">
        <v>113</v>
      </c>
      <c r="F4419" s="10">
        <v>7.9</v>
      </c>
      <c r="G4419" s="10">
        <v>590000</v>
      </c>
      <c r="H4419" s="10">
        <v>1185783</v>
      </c>
      <c r="I4419" s="5">
        <f>IMDB_Movies!$H4419-IMDB_Movies!$G4419</f>
        <v>595783</v>
      </c>
    </row>
    <row r="4420" spans="1:9" ht="23">
      <c r="A4420" s="2" t="s">
        <v>6609</v>
      </c>
      <c r="B4420" s="9" t="s">
        <v>6610</v>
      </c>
      <c r="C4420" s="9" t="s">
        <v>810</v>
      </c>
      <c r="D4420" s="9" t="s">
        <v>11</v>
      </c>
      <c r="E4420" s="9">
        <v>97</v>
      </c>
      <c r="F4420" s="9">
        <v>7.3</v>
      </c>
      <c r="G4420" s="9">
        <v>3000000</v>
      </c>
      <c r="H4420" s="9">
        <v>25078937</v>
      </c>
      <c r="I4420" s="5">
        <f>IMDB_Movies!$H4420-IMDB_Movies!$G4420</f>
        <v>22078937</v>
      </c>
    </row>
    <row r="4421" spans="1:9" ht="23">
      <c r="A4421" s="3" t="s">
        <v>6611</v>
      </c>
      <c r="B4421" s="10" t="s">
        <v>947</v>
      </c>
      <c r="C4421" s="10" t="s">
        <v>414</v>
      </c>
      <c r="D4421" s="10" t="s">
        <v>11</v>
      </c>
      <c r="E4421" s="10">
        <v>104</v>
      </c>
      <c r="F4421" s="10">
        <v>7.1</v>
      </c>
      <c r="G4421" s="10">
        <v>950000</v>
      </c>
      <c r="H4421" s="10">
        <v>1007962</v>
      </c>
      <c r="I4421" s="5">
        <f>IMDB_Movies!$H4421-IMDB_Movies!$G4421</f>
        <v>57962</v>
      </c>
    </row>
    <row r="4422" spans="1:9" ht="23">
      <c r="A4422" s="2" t="s">
        <v>6612</v>
      </c>
      <c r="B4422" s="9" t="s">
        <v>6371</v>
      </c>
      <c r="C4422" s="9" t="s">
        <v>56</v>
      </c>
      <c r="D4422" s="9" t="s">
        <v>11</v>
      </c>
      <c r="E4422" s="9">
        <v>91</v>
      </c>
      <c r="F4422" s="9">
        <v>6.4</v>
      </c>
      <c r="G4422" s="9">
        <v>900000</v>
      </c>
      <c r="H4422" s="9">
        <v>381186</v>
      </c>
      <c r="I4422" s="5">
        <f>IMDB_Movies!$H4422-IMDB_Movies!$G4422</f>
        <v>-518814</v>
      </c>
    </row>
    <row r="4423" spans="1:9" ht="23">
      <c r="A4423" s="3" t="s">
        <v>6613</v>
      </c>
      <c r="B4423" s="10" t="s">
        <v>6614</v>
      </c>
      <c r="C4423" s="10" t="s">
        <v>56</v>
      </c>
      <c r="D4423" s="10" t="s">
        <v>6615</v>
      </c>
      <c r="E4423" s="10">
        <v>107</v>
      </c>
      <c r="F4423" s="10">
        <v>5.9</v>
      </c>
      <c r="G4423" s="10">
        <v>20000000</v>
      </c>
      <c r="H4423" s="10">
        <v>439958</v>
      </c>
      <c r="I4423" s="5">
        <f>IMDB_Movies!$H4423-IMDB_Movies!$G4423</f>
        <v>-19560042</v>
      </c>
    </row>
    <row r="4424" spans="1:9" ht="23">
      <c r="A4424" s="2" t="s">
        <v>6616</v>
      </c>
      <c r="B4424" s="9" t="s">
        <v>1962</v>
      </c>
      <c r="C4424" s="9" t="s">
        <v>418</v>
      </c>
      <c r="D4424" s="9" t="s">
        <v>11</v>
      </c>
      <c r="E4424" s="9">
        <v>85</v>
      </c>
      <c r="F4424" s="9">
        <v>7.5</v>
      </c>
      <c r="G4424" s="9">
        <v>900000</v>
      </c>
      <c r="H4424" s="9">
        <v>16097842</v>
      </c>
      <c r="I4424" s="5">
        <f>IMDB_Movies!$H4424-IMDB_Movies!$G4424</f>
        <v>15197842</v>
      </c>
    </row>
    <row r="4425" spans="1:9" ht="23">
      <c r="A4425" s="3" t="s">
        <v>6617</v>
      </c>
      <c r="B4425" s="10" t="s">
        <v>6618</v>
      </c>
      <c r="C4425" s="10" t="s">
        <v>138</v>
      </c>
      <c r="D4425" s="10" t="s">
        <v>11</v>
      </c>
      <c r="E4425" s="10">
        <v>101</v>
      </c>
      <c r="F4425" s="10">
        <v>6.4</v>
      </c>
      <c r="G4425" s="10">
        <v>900000</v>
      </c>
      <c r="H4425" s="10">
        <v>6643</v>
      </c>
      <c r="I4425" s="5">
        <f>IMDB_Movies!$H4425-IMDB_Movies!$G4425</f>
        <v>-893357</v>
      </c>
    </row>
    <row r="4426" spans="1:9" ht="23">
      <c r="A4426" s="2" t="s">
        <v>6619</v>
      </c>
      <c r="B4426" s="9" t="s">
        <v>736</v>
      </c>
      <c r="C4426" s="9" t="s">
        <v>116</v>
      </c>
      <c r="D4426" s="9" t="s">
        <v>11</v>
      </c>
      <c r="E4426" s="9">
        <v>70</v>
      </c>
      <c r="F4426" s="9">
        <v>7.4</v>
      </c>
      <c r="G4426" s="9">
        <v>20000000</v>
      </c>
      <c r="H4426" s="9">
        <v>102797150</v>
      </c>
      <c r="I4426" s="5">
        <f>IMDB_Movies!$H4426-IMDB_Movies!$G4426</f>
        <v>82797150</v>
      </c>
    </row>
    <row r="4427" spans="1:9" ht="23">
      <c r="A4427" s="3" t="s">
        <v>6620</v>
      </c>
      <c r="B4427" s="10" t="s">
        <v>2657</v>
      </c>
      <c r="C4427" s="10" t="s">
        <v>138</v>
      </c>
      <c r="D4427" s="10" t="s">
        <v>11</v>
      </c>
      <c r="E4427" s="10">
        <v>88</v>
      </c>
      <c r="F4427" s="10">
        <v>7.3</v>
      </c>
      <c r="G4427" s="10">
        <v>850000</v>
      </c>
      <c r="H4427" s="10">
        <v>442638</v>
      </c>
      <c r="I4427" s="5">
        <f>IMDB_Movies!$H4427-IMDB_Movies!$G4427</f>
        <v>-407362</v>
      </c>
    </row>
    <row r="4428" spans="1:9" ht="23">
      <c r="A4428" s="2" t="s">
        <v>6621</v>
      </c>
      <c r="B4428" s="9" t="s">
        <v>6622</v>
      </c>
      <c r="C4428" s="9" t="s">
        <v>138</v>
      </c>
      <c r="D4428" s="9" t="s">
        <v>11</v>
      </c>
      <c r="E4428" s="9">
        <v>107</v>
      </c>
      <c r="F4428" s="9">
        <v>7.2</v>
      </c>
      <c r="G4428" s="9">
        <v>850000</v>
      </c>
      <c r="H4428" s="9">
        <v>819939</v>
      </c>
      <c r="I4428" s="5">
        <f>IMDB_Movies!$H4428-IMDB_Movies!$G4428</f>
        <v>-30061</v>
      </c>
    </row>
    <row r="4429" spans="1:9" ht="23">
      <c r="A4429" s="3" t="s">
        <v>6623</v>
      </c>
      <c r="B4429" s="10" t="s">
        <v>6624</v>
      </c>
      <c r="C4429" s="10" t="s">
        <v>56</v>
      </c>
      <c r="D4429" s="10" t="s">
        <v>394</v>
      </c>
      <c r="E4429" s="10">
        <v>78</v>
      </c>
      <c r="F4429" s="10">
        <v>6.7</v>
      </c>
      <c r="G4429" s="10">
        <v>900000</v>
      </c>
      <c r="H4429" s="10">
        <v>25078937</v>
      </c>
      <c r="I4429" s="5">
        <f>IMDB_Movies!$H4429-IMDB_Movies!$G4429</f>
        <v>24178937</v>
      </c>
    </row>
    <row r="4430" spans="1:9" ht="23">
      <c r="A4430" s="2" t="s">
        <v>6625</v>
      </c>
      <c r="B4430" s="9" t="s">
        <v>6626</v>
      </c>
      <c r="C4430" s="9" t="s">
        <v>56</v>
      </c>
      <c r="D4430" s="9" t="s">
        <v>11</v>
      </c>
      <c r="E4430" s="9">
        <v>90</v>
      </c>
      <c r="F4430" s="9">
        <v>7.1</v>
      </c>
      <c r="G4430" s="9">
        <v>1000000</v>
      </c>
      <c r="H4430" s="9">
        <v>25078937</v>
      </c>
      <c r="I4430" s="5">
        <f>IMDB_Movies!$H4430-IMDB_Movies!$G4430</f>
        <v>24078937</v>
      </c>
    </row>
    <row r="4431" spans="1:9" ht="23">
      <c r="A4431" s="3" t="s">
        <v>6627</v>
      </c>
      <c r="B4431" s="10" t="s">
        <v>6628</v>
      </c>
      <c r="C4431" s="10" t="s">
        <v>138</v>
      </c>
      <c r="D4431" s="10" t="s">
        <v>11</v>
      </c>
      <c r="E4431" s="10">
        <v>88</v>
      </c>
      <c r="F4431" s="10">
        <v>6</v>
      </c>
      <c r="G4431" s="10">
        <v>850000</v>
      </c>
      <c r="H4431" s="10">
        <v>1243961</v>
      </c>
      <c r="I4431" s="5">
        <f>IMDB_Movies!$H4431-IMDB_Movies!$G4431</f>
        <v>393961</v>
      </c>
    </row>
    <row r="4432" spans="1:9" ht="23">
      <c r="A4432" s="2" t="s">
        <v>6629</v>
      </c>
      <c r="B4432" s="9" t="s">
        <v>2330</v>
      </c>
      <c r="C4432" s="9" t="s">
        <v>138</v>
      </c>
      <c r="D4432" s="9" t="s">
        <v>11</v>
      </c>
      <c r="E4432" s="9">
        <v>92</v>
      </c>
      <c r="F4432" s="9">
        <v>6.7</v>
      </c>
      <c r="G4432" s="9">
        <v>20000000</v>
      </c>
      <c r="H4432" s="9">
        <v>3094687</v>
      </c>
      <c r="I4432" s="5">
        <f>IMDB_Movies!$H4432-IMDB_Movies!$G4432</f>
        <v>-16905313</v>
      </c>
    </row>
    <row r="4433" spans="1:9" ht="23">
      <c r="A4433" s="3" t="s">
        <v>6630</v>
      </c>
      <c r="B4433" s="10" t="s">
        <v>6631</v>
      </c>
      <c r="C4433" s="10" t="s">
        <v>56</v>
      </c>
      <c r="D4433" s="10" t="s">
        <v>11</v>
      </c>
      <c r="E4433" s="10">
        <v>95</v>
      </c>
      <c r="F4433" s="10">
        <v>5.6</v>
      </c>
      <c r="G4433" s="10">
        <v>825000</v>
      </c>
      <c r="H4433" s="10">
        <v>15278</v>
      </c>
      <c r="I4433" s="5">
        <f>IMDB_Movies!$H4433-IMDB_Movies!$G4433</f>
        <v>-809722</v>
      </c>
    </row>
    <row r="4434" spans="1:9" ht="23">
      <c r="A4434" s="2" t="s">
        <v>6632</v>
      </c>
      <c r="B4434" s="9" t="s">
        <v>5360</v>
      </c>
      <c r="C4434" s="9" t="s">
        <v>414</v>
      </c>
      <c r="D4434" s="9" t="s">
        <v>11</v>
      </c>
      <c r="E4434" s="9">
        <v>85</v>
      </c>
      <c r="F4434" s="9">
        <v>7</v>
      </c>
      <c r="G4434" s="9">
        <v>500000</v>
      </c>
      <c r="H4434" s="9">
        <v>25078937</v>
      </c>
      <c r="I4434" s="5">
        <f>IMDB_Movies!$H4434-IMDB_Movies!$G4434</f>
        <v>24578937</v>
      </c>
    </row>
    <row r="4435" spans="1:9" ht="23">
      <c r="A4435" s="3" t="s">
        <v>6633</v>
      </c>
      <c r="B4435" s="10" t="s">
        <v>5461</v>
      </c>
      <c r="C4435" s="10" t="s">
        <v>10</v>
      </c>
      <c r="D4435" s="10" t="s">
        <v>11</v>
      </c>
      <c r="E4435" s="10">
        <v>86</v>
      </c>
      <c r="F4435" s="10">
        <v>4.9000000000000004</v>
      </c>
      <c r="G4435" s="10">
        <v>990000</v>
      </c>
      <c r="H4435" s="10">
        <v>25078937</v>
      </c>
      <c r="I4435" s="5">
        <f>IMDB_Movies!$H4435-IMDB_Movies!$G4435</f>
        <v>24088937</v>
      </c>
    </row>
    <row r="4436" spans="1:9" ht="23">
      <c r="A4436" s="2" t="s">
        <v>6634</v>
      </c>
      <c r="B4436" s="9" t="s">
        <v>6635</v>
      </c>
      <c r="C4436" s="9" t="s">
        <v>228</v>
      </c>
      <c r="D4436" s="9" t="s">
        <v>11</v>
      </c>
      <c r="E4436" s="9">
        <v>90</v>
      </c>
      <c r="F4436" s="9">
        <v>3.2</v>
      </c>
      <c r="G4436" s="9">
        <v>100000</v>
      </c>
      <c r="H4436" s="9">
        <v>25078937</v>
      </c>
      <c r="I4436" s="5">
        <f>IMDB_Movies!$H4436-IMDB_Movies!$G4436</f>
        <v>24978937</v>
      </c>
    </row>
    <row r="4437" spans="1:9" ht="23">
      <c r="A4437" s="3" t="s">
        <v>6636</v>
      </c>
      <c r="B4437" s="10" t="s">
        <v>6637</v>
      </c>
      <c r="C4437" s="10" t="s">
        <v>56</v>
      </c>
      <c r="D4437" s="10" t="s">
        <v>6615</v>
      </c>
      <c r="E4437" s="10">
        <v>123</v>
      </c>
      <c r="F4437" s="10">
        <v>8.4</v>
      </c>
      <c r="G4437" s="10">
        <v>500000</v>
      </c>
      <c r="H4437" s="10">
        <v>7098492</v>
      </c>
      <c r="I4437" s="5">
        <f>IMDB_Movies!$H4437-IMDB_Movies!$G4437</f>
        <v>6598492</v>
      </c>
    </row>
    <row r="4438" spans="1:9" ht="23">
      <c r="A4438" s="2" t="s">
        <v>6638</v>
      </c>
      <c r="B4438" s="9" t="s">
        <v>6639</v>
      </c>
      <c r="C4438" s="9" t="s">
        <v>2945</v>
      </c>
      <c r="D4438" s="9" t="s">
        <v>11</v>
      </c>
      <c r="E4438" s="9">
        <v>93</v>
      </c>
      <c r="F4438" s="9">
        <v>6.9</v>
      </c>
      <c r="G4438" s="9">
        <v>20000000</v>
      </c>
      <c r="H4438" s="9">
        <v>25078937</v>
      </c>
      <c r="I4438" s="5">
        <f>IMDB_Movies!$H4438-IMDB_Movies!$G4438</f>
        <v>5078937</v>
      </c>
    </row>
    <row r="4439" spans="1:9" ht="23">
      <c r="A4439" s="3" t="s">
        <v>6640</v>
      </c>
      <c r="B4439" s="10" t="s">
        <v>5438</v>
      </c>
      <c r="C4439" s="10" t="s">
        <v>138</v>
      </c>
      <c r="D4439" s="10" t="s">
        <v>11</v>
      </c>
      <c r="E4439" s="10">
        <v>88</v>
      </c>
      <c r="F4439" s="10">
        <v>7.5</v>
      </c>
      <c r="G4439" s="10">
        <v>800000</v>
      </c>
      <c r="H4439" s="10">
        <v>4771000</v>
      </c>
      <c r="I4439" s="5">
        <f>IMDB_Movies!$H4439-IMDB_Movies!$G4439</f>
        <v>3971000</v>
      </c>
    </row>
    <row r="4440" spans="1:9" ht="23">
      <c r="A4440" s="2" t="s">
        <v>6641</v>
      </c>
      <c r="B4440" s="9" t="s">
        <v>5864</v>
      </c>
      <c r="C4440" s="9" t="s">
        <v>56</v>
      </c>
      <c r="D4440" s="9" t="s">
        <v>11</v>
      </c>
      <c r="E4440" s="9">
        <v>114</v>
      </c>
      <c r="F4440" s="9">
        <v>7.2</v>
      </c>
      <c r="G4440" s="9">
        <v>800000</v>
      </c>
      <c r="H4440" s="9">
        <v>1001437</v>
      </c>
      <c r="I4440" s="5">
        <f>IMDB_Movies!$H4440-IMDB_Movies!$G4440</f>
        <v>201437</v>
      </c>
    </row>
    <row r="4441" spans="1:9" ht="23">
      <c r="A4441" s="3" t="s">
        <v>6642</v>
      </c>
      <c r="B4441" s="10" t="s">
        <v>4358</v>
      </c>
      <c r="C4441" s="10" t="s">
        <v>56</v>
      </c>
      <c r="D4441" s="10" t="s">
        <v>11</v>
      </c>
      <c r="E4441" s="10">
        <v>88</v>
      </c>
      <c r="F4441" s="10">
        <v>7.2</v>
      </c>
      <c r="G4441" s="10">
        <v>800000</v>
      </c>
      <c r="H4441" s="10">
        <v>2073984</v>
      </c>
      <c r="I4441" s="5">
        <f>IMDB_Movies!$H4441-IMDB_Movies!$G4441</f>
        <v>1273984</v>
      </c>
    </row>
    <row r="4442" spans="1:9" ht="23">
      <c r="A4442" s="2" t="s">
        <v>6643</v>
      </c>
      <c r="B4442" s="9" t="s">
        <v>6644</v>
      </c>
      <c r="C4442" s="9" t="s">
        <v>414</v>
      </c>
      <c r="D4442" s="9" t="s">
        <v>2452</v>
      </c>
      <c r="E4442" s="9">
        <v>110</v>
      </c>
      <c r="F4442" s="9">
        <v>8</v>
      </c>
      <c r="G4442" s="9">
        <v>20000000</v>
      </c>
      <c r="H4442" s="9">
        <v>9950</v>
      </c>
      <c r="I4442" s="5">
        <f>IMDB_Movies!$H4442-IMDB_Movies!$G4442</f>
        <v>-19990050</v>
      </c>
    </row>
    <row r="4443" spans="1:9" ht="23">
      <c r="A4443" s="3" t="s">
        <v>6645</v>
      </c>
      <c r="B4443" s="10" t="s">
        <v>6646</v>
      </c>
      <c r="C4443" s="10" t="s">
        <v>56</v>
      </c>
      <c r="D4443" s="10" t="s">
        <v>11</v>
      </c>
      <c r="E4443" s="10">
        <v>95</v>
      </c>
      <c r="F4443" s="10">
        <v>7.4</v>
      </c>
      <c r="G4443" s="10">
        <v>850000</v>
      </c>
      <c r="H4443" s="10">
        <v>25078937</v>
      </c>
      <c r="I4443" s="5">
        <f>IMDB_Movies!$H4443-IMDB_Movies!$G4443</f>
        <v>24228937</v>
      </c>
    </row>
    <row r="4444" spans="1:9" ht="23">
      <c r="A4444" s="2" t="s">
        <v>6647</v>
      </c>
      <c r="B4444" s="9" t="s">
        <v>6648</v>
      </c>
      <c r="C4444" s="9" t="s">
        <v>56</v>
      </c>
      <c r="D4444" s="9" t="s">
        <v>741</v>
      </c>
      <c r="E4444" s="9">
        <v>83</v>
      </c>
      <c r="F4444" s="9">
        <v>7.2</v>
      </c>
      <c r="G4444" s="9">
        <v>800000</v>
      </c>
      <c r="H4444" s="9">
        <v>25078937</v>
      </c>
      <c r="I4444" s="5">
        <f>IMDB_Movies!$H4444-IMDB_Movies!$G4444</f>
        <v>24278937</v>
      </c>
    </row>
    <row r="4445" spans="1:9" ht="23">
      <c r="A4445" s="3" t="s">
        <v>6649</v>
      </c>
      <c r="B4445" s="10" t="s">
        <v>1178</v>
      </c>
      <c r="C4445" s="10" t="s">
        <v>56</v>
      </c>
      <c r="D4445" s="10" t="s">
        <v>11</v>
      </c>
      <c r="E4445" s="10">
        <v>104</v>
      </c>
      <c r="F4445" s="10">
        <v>6.5</v>
      </c>
      <c r="G4445" s="10">
        <v>800000</v>
      </c>
      <c r="H4445" s="10">
        <v>144583</v>
      </c>
      <c r="I4445" s="5">
        <f>IMDB_Movies!$H4445-IMDB_Movies!$G4445</f>
        <v>-655417</v>
      </c>
    </row>
    <row r="4446" spans="1:9" ht="23">
      <c r="A4446" s="2" t="s">
        <v>6650</v>
      </c>
      <c r="B4446" s="9" t="s">
        <v>6651</v>
      </c>
      <c r="C4446" s="9" t="s">
        <v>414</v>
      </c>
      <c r="D4446" s="9" t="s">
        <v>11</v>
      </c>
      <c r="E4446" s="9">
        <v>94</v>
      </c>
      <c r="F4446" s="9">
        <v>7.2</v>
      </c>
      <c r="G4446" s="9">
        <v>800000</v>
      </c>
      <c r="H4446" s="9">
        <v>25078937</v>
      </c>
      <c r="I4446" s="5">
        <f>IMDB_Movies!$H4446-IMDB_Movies!$G4446</f>
        <v>24278937</v>
      </c>
    </row>
    <row r="4447" spans="1:9" ht="23">
      <c r="A4447" s="3" t="s">
        <v>6652</v>
      </c>
      <c r="B4447" s="10" t="s">
        <v>6653</v>
      </c>
      <c r="C4447" s="10" t="s">
        <v>56</v>
      </c>
      <c r="D4447" s="10" t="s">
        <v>11</v>
      </c>
      <c r="E4447" s="10">
        <v>87</v>
      </c>
      <c r="F4447" s="10">
        <v>4.2</v>
      </c>
      <c r="G4447" s="10">
        <v>20000000</v>
      </c>
      <c r="H4447" s="10">
        <v>58163</v>
      </c>
      <c r="I4447" s="5">
        <f>IMDB_Movies!$H4447-IMDB_Movies!$G4447</f>
        <v>-19941837</v>
      </c>
    </row>
    <row r="4448" spans="1:9" ht="23">
      <c r="A4448" s="2" t="s">
        <v>6654</v>
      </c>
      <c r="B4448" s="9" t="s">
        <v>6655</v>
      </c>
      <c r="C4448" s="9" t="s">
        <v>138</v>
      </c>
      <c r="D4448" s="9" t="s">
        <v>11</v>
      </c>
      <c r="E4448" s="9">
        <v>93</v>
      </c>
      <c r="F4448" s="9">
        <v>5.0999999999999996</v>
      </c>
      <c r="G4448" s="9">
        <v>600000</v>
      </c>
      <c r="H4448" s="9">
        <v>35688</v>
      </c>
      <c r="I4448" s="5">
        <f>IMDB_Movies!$H4448-IMDB_Movies!$G4448</f>
        <v>-564312</v>
      </c>
    </row>
    <row r="4449" spans="1:9" ht="23">
      <c r="A4449" s="3" t="s">
        <v>6656</v>
      </c>
      <c r="B4449" s="10" t="s">
        <v>1412</v>
      </c>
      <c r="C4449" s="10" t="s">
        <v>138</v>
      </c>
      <c r="D4449" s="10" t="s">
        <v>5188</v>
      </c>
      <c r="E4449" s="10">
        <v>91</v>
      </c>
      <c r="F4449" s="10">
        <v>6.4</v>
      </c>
      <c r="G4449" s="10">
        <v>800000</v>
      </c>
      <c r="H4449" s="10">
        <v>41709</v>
      </c>
      <c r="I4449" s="5">
        <f>IMDB_Movies!$H4449-IMDB_Movies!$G4449</f>
        <v>-758291</v>
      </c>
    </row>
    <row r="4450" spans="1:9" ht="23">
      <c r="A4450" s="2" t="s">
        <v>6657</v>
      </c>
      <c r="B4450" s="9" t="s">
        <v>6658</v>
      </c>
      <c r="C4450" s="9" t="s">
        <v>10</v>
      </c>
      <c r="D4450" s="9" t="s">
        <v>11</v>
      </c>
      <c r="E4450" s="9">
        <v>90</v>
      </c>
      <c r="F4450" s="9">
        <v>6.8</v>
      </c>
      <c r="G4450" s="9">
        <v>780000</v>
      </c>
      <c r="H4450" s="9">
        <v>1310270</v>
      </c>
      <c r="I4450" s="5">
        <f>IMDB_Movies!$H4450-IMDB_Movies!$G4450</f>
        <v>530270</v>
      </c>
    </row>
    <row r="4451" spans="1:9" ht="23">
      <c r="A4451" s="3" t="s">
        <v>6659</v>
      </c>
      <c r="B4451" s="10" t="s">
        <v>6660</v>
      </c>
      <c r="C4451" s="10" t="s">
        <v>810</v>
      </c>
      <c r="D4451" s="10" t="s">
        <v>11</v>
      </c>
      <c r="E4451" s="10">
        <v>14</v>
      </c>
      <c r="F4451" s="10">
        <v>6.2</v>
      </c>
      <c r="G4451" s="10">
        <v>20000000</v>
      </c>
      <c r="H4451" s="10">
        <v>25078937</v>
      </c>
      <c r="I4451" s="5">
        <f>IMDB_Movies!$H4451-IMDB_Movies!$G4451</f>
        <v>5078937</v>
      </c>
    </row>
    <row r="4452" spans="1:9" ht="23">
      <c r="A4452" s="2" t="s">
        <v>6661</v>
      </c>
      <c r="B4452" s="9" t="s">
        <v>385</v>
      </c>
      <c r="C4452" s="9" t="s">
        <v>138</v>
      </c>
      <c r="D4452" s="9" t="s">
        <v>11</v>
      </c>
      <c r="E4452" s="9">
        <v>112</v>
      </c>
      <c r="F4452" s="9">
        <v>7.5</v>
      </c>
      <c r="G4452" s="9">
        <v>777000</v>
      </c>
      <c r="H4452" s="9">
        <v>115000000</v>
      </c>
      <c r="I4452" s="5">
        <f>IMDB_Movies!$H4452-IMDB_Movies!$G4452</f>
        <v>114223000</v>
      </c>
    </row>
    <row r="4453" spans="1:9" ht="23">
      <c r="A4453" s="3" t="s">
        <v>6662</v>
      </c>
      <c r="B4453" s="10" t="s">
        <v>6290</v>
      </c>
      <c r="C4453" s="10" t="s">
        <v>772</v>
      </c>
      <c r="D4453" s="10" t="s">
        <v>11</v>
      </c>
      <c r="E4453" s="10">
        <v>75</v>
      </c>
      <c r="F4453" s="10">
        <v>7.7</v>
      </c>
      <c r="G4453" s="10">
        <v>750000</v>
      </c>
      <c r="H4453" s="10">
        <v>25078937</v>
      </c>
      <c r="I4453" s="5">
        <f>IMDB_Movies!$H4453-IMDB_Movies!$G4453</f>
        <v>24328937</v>
      </c>
    </row>
    <row r="4454" spans="1:9" ht="23">
      <c r="A4454" s="2" t="s">
        <v>6663</v>
      </c>
      <c r="B4454" s="9" t="s">
        <v>6664</v>
      </c>
      <c r="C4454" s="9" t="s">
        <v>10</v>
      </c>
      <c r="D4454" s="9" t="s">
        <v>11</v>
      </c>
      <c r="E4454" s="9">
        <v>86</v>
      </c>
      <c r="F4454" s="9">
        <v>6.9</v>
      </c>
      <c r="G4454" s="9">
        <v>750000</v>
      </c>
      <c r="H4454" s="9">
        <v>5518918</v>
      </c>
      <c r="I4454" s="5">
        <f>IMDB_Movies!$H4454-IMDB_Movies!$G4454</f>
        <v>4768918</v>
      </c>
    </row>
    <row r="4455" spans="1:9" ht="23">
      <c r="A4455" s="3" t="s">
        <v>6665</v>
      </c>
      <c r="B4455" s="10" t="s">
        <v>62</v>
      </c>
      <c r="C4455" s="10" t="s">
        <v>138</v>
      </c>
      <c r="D4455" s="10" t="s">
        <v>11</v>
      </c>
      <c r="E4455" s="10">
        <v>86</v>
      </c>
      <c r="F4455" s="10">
        <v>7</v>
      </c>
      <c r="G4455" s="10">
        <v>750000</v>
      </c>
      <c r="H4455" s="10">
        <v>4007792</v>
      </c>
      <c r="I4455" s="5">
        <f>IMDB_Movies!$H4455-IMDB_Movies!$G4455</f>
        <v>3257792</v>
      </c>
    </row>
    <row r="4456" spans="1:9" ht="23">
      <c r="A4456" s="2" t="s">
        <v>6666</v>
      </c>
      <c r="B4456" s="9" t="s">
        <v>5905</v>
      </c>
      <c r="C4456" s="9" t="s">
        <v>138</v>
      </c>
      <c r="D4456" s="9" t="s">
        <v>11</v>
      </c>
      <c r="E4456" s="9">
        <v>89</v>
      </c>
      <c r="F4456" s="9">
        <v>7.5</v>
      </c>
      <c r="G4456" s="9">
        <v>20000000</v>
      </c>
      <c r="H4456" s="9">
        <v>7705974</v>
      </c>
      <c r="I4456" s="5">
        <f>IMDB_Movies!$H4456-IMDB_Movies!$G4456</f>
        <v>-12294026</v>
      </c>
    </row>
    <row r="4457" spans="1:9" ht="23">
      <c r="A4457" s="3" t="s">
        <v>6667</v>
      </c>
      <c r="B4457" s="10" t="s">
        <v>6668</v>
      </c>
      <c r="C4457" s="10" t="s">
        <v>414</v>
      </c>
      <c r="D4457" s="10" t="s">
        <v>11</v>
      </c>
      <c r="E4457" s="10">
        <v>95</v>
      </c>
      <c r="F4457" s="10">
        <v>6.3</v>
      </c>
      <c r="G4457" s="10">
        <v>500000</v>
      </c>
      <c r="H4457" s="10">
        <v>26297</v>
      </c>
      <c r="I4457" s="5">
        <f>IMDB_Movies!$H4457-IMDB_Movies!$G4457</f>
        <v>-473703</v>
      </c>
    </row>
    <row r="4458" spans="1:9" ht="23">
      <c r="A4458" s="2" t="s">
        <v>6669</v>
      </c>
      <c r="B4458" s="9" t="s">
        <v>6530</v>
      </c>
      <c r="C4458" s="9" t="s">
        <v>810</v>
      </c>
      <c r="D4458" s="9" t="s">
        <v>11</v>
      </c>
      <c r="E4458" s="9">
        <v>101</v>
      </c>
      <c r="F4458" s="9">
        <v>5.5</v>
      </c>
      <c r="G4458" s="9">
        <v>750000</v>
      </c>
      <c r="H4458" s="9">
        <v>77501</v>
      </c>
      <c r="I4458" s="5">
        <f>IMDB_Movies!$H4458-IMDB_Movies!$G4458</f>
        <v>-672499</v>
      </c>
    </row>
    <row r="4459" spans="1:9" ht="23">
      <c r="A4459" s="3" t="s">
        <v>6670</v>
      </c>
      <c r="B4459" s="10" t="s">
        <v>2681</v>
      </c>
      <c r="C4459" s="10" t="s">
        <v>56</v>
      </c>
      <c r="D4459" s="10" t="s">
        <v>2756</v>
      </c>
      <c r="E4459" s="10">
        <v>106</v>
      </c>
      <c r="F4459" s="10">
        <v>8.1</v>
      </c>
      <c r="G4459" s="10">
        <v>750000</v>
      </c>
      <c r="H4459" s="10">
        <v>25078937</v>
      </c>
      <c r="I4459" s="5">
        <f>IMDB_Movies!$H4459-IMDB_Movies!$G4459</f>
        <v>24328937</v>
      </c>
    </row>
    <row r="4460" spans="1:9" ht="23">
      <c r="A4460" s="2" t="s">
        <v>6671</v>
      </c>
      <c r="B4460" s="9" t="s">
        <v>640</v>
      </c>
      <c r="C4460" s="9" t="s">
        <v>56</v>
      </c>
      <c r="D4460" s="9" t="s">
        <v>11</v>
      </c>
      <c r="E4460" s="9">
        <v>88</v>
      </c>
      <c r="F4460" s="9">
        <v>6.6</v>
      </c>
      <c r="G4460" s="9">
        <v>750000</v>
      </c>
      <c r="H4460" s="9">
        <v>47329</v>
      </c>
      <c r="I4460" s="5">
        <f>IMDB_Movies!$H4460-IMDB_Movies!$G4460</f>
        <v>-702671</v>
      </c>
    </row>
    <row r="4461" spans="1:9" ht="23">
      <c r="A4461" s="3" t="s">
        <v>6672</v>
      </c>
      <c r="B4461" s="10" t="s">
        <v>6673</v>
      </c>
      <c r="C4461" s="10" t="s">
        <v>414</v>
      </c>
      <c r="D4461" s="10" t="s">
        <v>11</v>
      </c>
      <c r="E4461" s="10">
        <v>99</v>
      </c>
      <c r="F4461" s="10">
        <v>5.2</v>
      </c>
      <c r="G4461" s="10">
        <v>900000</v>
      </c>
      <c r="H4461" s="10">
        <v>18378</v>
      </c>
      <c r="I4461" s="5">
        <f>IMDB_Movies!$H4461-IMDB_Movies!$G4461</f>
        <v>-881622</v>
      </c>
    </row>
    <row r="4462" spans="1:9" ht="23">
      <c r="A4462" s="2" t="s">
        <v>6674</v>
      </c>
      <c r="B4462" s="9" t="s">
        <v>2287</v>
      </c>
      <c r="C4462" s="9" t="s">
        <v>810</v>
      </c>
      <c r="D4462" s="9" t="s">
        <v>11</v>
      </c>
      <c r="E4462" s="9">
        <v>90</v>
      </c>
      <c r="F4462" s="9">
        <v>5.6</v>
      </c>
      <c r="G4462" s="9">
        <v>750000</v>
      </c>
      <c r="H4462" s="9">
        <v>25078937</v>
      </c>
      <c r="I4462" s="5">
        <f>IMDB_Movies!$H4462-IMDB_Movies!$G4462</f>
        <v>24328937</v>
      </c>
    </row>
    <row r="4463" spans="1:9" ht="23">
      <c r="A4463" s="3" t="s">
        <v>6675</v>
      </c>
      <c r="B4463" s="10" t="s">
        <v>6676</v>
      </c>
      <c r="C4463" s="10" t="s">
        <v>810</v>
      </c>
      <c r="D4463" s="10" t="s">
        <v>11</v>
      </c>
      <c r="E4463" s="10">
        <v>95</v>
      </c>
      <c r="F4463" s="10">
        <v>3.1</v>
      </c>
      <c r="G4463" s="10">
        <v>750000</v>
      </c>
      <c r="H4463" s="10">
        <v>25078937</v>
      </c>
      <c r="I4463" s="5">
        <f>IMDB_Movies!$H4463-IMDB_Movies!$G4463</f>
        <v>24328937</v>
      </c>
    </row>
    <row r="4464" spans="1:9" ht="23">
      <c r="A4464" s="2" t="s">
        <v>6677</v>
      </c>
      <c r="B4464" s="9" t="s">
        <v>5115</v>
      </c>
      <c r="C4464" s="9" t="s">
        <v>2945</v>
      </c>
      <c r="D4464" s="9" t="s">
        <v>11</v>
      </c>
      <c r="E4464" s="9">
        <v>85</v>
      </c>
      <c r="F4464" s="9">
        <v>8.1</v>
      </c>
      <c r="G4464" s="9">
        <v>750000</v>
      </c>
      <c r="H4464" s="9">
        <v>25078937</v>
      </c>
      <c r="I4464" s="5">
        <f>IMDB_Movies!$H4464-IMDB_Movies!$G4464</f>
        <v>24328937</v>
      </c>
    </row>
    <row r="4465" spans="1:9" ht="23">
      <c r="A4465" s="3" t="s">
        <v>6678</v>
      </c>
      <c r="B4465" s="10" t="s">
        <v>4785</v>
      </c>
      <c r="C4465" s="10" t="s">
        <v>772</v>
      </c>
      <c r="D4465" s="10" t="s">
        <v>11</v>
      </c>
      <c r="E4465" s="10">
        <v>170</v>
      </c>
      <c r="F4465" s="10">
        <v>8.3000000000000007</v>
      </c>
      <c r="G4465" s="10">
        <v>700000</v>
      </c>
      <c r="H4465" s="10">
        <v>7830611</v>
      </c>
      <c r="I4465" s="5">
        <f>IMDB_Movies!$H4465-IMDB_Movies!$G4465</f>
        <v>7130611</v>
      </c>
    </row>
    <row r="4466" spans="1:9" ht="23">
      <c r="A4466" s="2" t="s">
        <v>6679</v>
      </c>
      <c r="B4466" s="9" t="s">
        <v>6680</v>
      </c>
      <c r="C4466" s="9" t="s">
        <v>772</v>
      </c>
      <c r="D4466" s="9" t="s">
        <v>11</v>
      </c>
      <c r="E4466" s="9">
        <v>86</v>
      </c>
      <c r="F4466" s="9">
        <v>7.1</v>
      </c>
      <c r="G4466" s="9">
        <v>20000000</v>
      </c>
      <c r="H4466" s="9">
        <v>3278611</v>
      </c>
      <c r="I4466" s="5">
        <f>IMDB_Movies!$H4466-IMDB_Movies!$G4466</f>
        <v>-16721389</v>
      </c>
    </row>
    <row r="4467" spans="1:9" ht="23">
      <c r="A4467" s="3" t="s">
        <v>6681</v>
      </c>
      <c r="B4467" s="10" t="s">
        <v>5324</v>
      </c>
      <c r="C4467" s="10" t="s">
        <v>414</v>
      </c>
      <c r="D4467" s="10" t="s">
        <v>11</v>
      </c>
      <c r="E4467" s="10">
        <v>97</v>
      </c>
      <c r="F4467" s="10">
        <v>7.2</v>
      </c>
      <c r="G4467" s="10">
        <v>700000</v>
      </c>
      <c r="H4467" s="10">
        <v>1141829</v>
      </c>
      <c r="I4467" s="5">
        <f>IMDB_Movies!$H4467-IMDB_Movies!$G4467</f>
        <v>441829</v>
      </c>
    </row>
    <row r="4468" spans="1:9" ht="23">
      <c r="A4468" s="2" t="s">
        <v>6682</v>
      </c>
      <c r="B4468" s="9" t="s">
        <v>6683</v>
      </c>
      <c r="C4468" s="9" t="s">
        <v>56</v>
      </c>
      <c r="D4468" s="9" t="s">
        <v>11</v>
      </c>
      <c r="E4468" s="9">
        <v>104</v>
      </c>
      <c r="F4468" s="9">
        <v>6.3</v>
      </c>
      <c r="G4468" s="9">
        <v>1000000</v>
      </c>
      <c r="H4468" s="9">
        <v>25078937</v>
      </c>
      <c r="I4468" s="5">
        <f>IMDB_Movies!$H4468-IMDB_Movies!$G4468</f>
        <v>24078937</v>
      </c>
    </row>
    <row r="4469" spans="1:9" ht="23">
      <c r="A4469" s="3" t="s">
        <v>6684</v>
      </c>
      <c r="B4469" s="10" t="s">
        <v>6685</v>
      </c>
      <c r="C4469" s="10" t="s">
        <v>56</v>
      </c>
      <c r="D4469" s="10" t="s">
        <v>11</v>
      </c>
      <c r="E4469" s="10">
        <v>88</v>
      </c>
      <c r="F4469" s="10">
        <v>4</v>
      </c>
      <c r="G4469" s="10">
        <v>20000000</v>
      </c>
      <c r="H4469" s="10">
        <v>25078937</v>
      </c>
      <c r="I4469" s="5">
        <f>IMDB_Movies!$H4469-IMDB_Movies!$G4469</f>
        <v>5078937</v>
      </c>
    </row>
    <row r="4470" spans="1:9" ht="23">
      <c r="A4470" s="2" t="s">
        <v>6686</v>
      </c>
      <c r="B4470" s="9" t="s">
        <v>6687</v>
      </c>
      <c r="C4470" s="9" t="s">
        <v>56</v>
      </c>
      <c r="D4470" s="9" t="s">
        <v>11</v>
      </c>
      <c r="E4470" s="9">
        <v>106</v>
      </c>
      <c r="F4470" s="9">
        <v>7.2</v>
      </c>
      <c r="G4470" s="9">
        <v>700000</v>
      </c>
      <c r="H4470" s="9">
        <v>2694973</v>
      </c>
      <c r="I4470" s="5">
        <f>IMDB_Movies!$H4470-IMDB_Movies!$G4470</f>
        <v>1994973</v>
      </c>
    </row>
    <row r="4471" spans="1:9" ht="23">
      <c r="A4471" s="3" t="s">
        <v>6688</v>
      </c>
      <c r="B4471" s="10" t="s">
        <v>6689</v>
      </c>
      <c r="C4471" s="10" t="s">
        <v>56</v>
      </c>
      <c r="D4471" s="10" t="s">
        <v>11</v>
      </c>
      <c r="E4471" s="10">
        <v>107</v>
      </c>
      <c r="F4471" s="10">
        <v>6.5</v>
      </c>
      <c r="G4471" s="10">
        <v>700000</v>
      </c>
      <c r="H4471" s="10">
        <v>10508</v>
      </c>
      <c r="I4471" s="5">
        <f>IMDB_Movies!$H4471-IMDB_Movies!$G4471</f>
        <v>-689492</v>
      </c>
    </row>
    <row r="4472" spans="1:9" ht="23">
      <c r="A4472" s="2" t="s">
        <v>6690</v>
      </c>
      <c r="B4472" s="9" t="s">
        <v>6691</v>
      </c>
      <c r="C4472" s="9" t="s">
        <v>138</v>
      </c>
      <c r="D4472" s="9" t="s">
        <v>11</v>
      </c>
      <c r="E4472" s="9">
        <v>84</v>
      </c>
      <c r="F4472" s="9">
        <v>6.5</v>
      </c>
      <c r="G4472" s="9">
        <v>650000</v>
      </c>
      <c r="H4472" s="9">
        <v>2301777</v>
      </c>
      <c r="I4472" s="5">
        <f>IMDB_Movies!$H4472-IMDB_Movies!$G4472</f>
        <v>1651777</v>
      </c>
    </row>
    <row r="4473" spans="1:9" ht="23">
      <c r="A4473" s="3" t="s">
        <v>6692</v>
      </c>
      <c r="B4473" s="10" t="s">
        <v>6693</v>
      </c>
      <c r="C4473" s="10" t="s">
        <v>414</v>
      </c>
      <c r="D4473" s="10" t="s">
        <v>11</v>
      </c>
      <c r="E4473" s="10">
        <v>91</v>
      </c>
      <c r="F4473" s="10">
        <v>4.9000000000000004</v>
      </c>
      <c r="G4473" s="10">
        <v>750000</v>
      </c>
      <c r="H4473" s="10">
        <v>25078937</v>
      </c>
      <c r="I4473" s="5">
        <f>IMDB_Movies!$H4473-IMDB_Movies!$G4473</f>
        <v>24328937</v>
      </c>
    </row>
    <row r="4474" spans="1:9" ht="23">
      <c r="A4474" s="2" t="s">
        <v>6694</v>
      </c>
      <c r="B4474" s="9" t="s">
        <v>6695</v>
      </c>
      <c r="C4474" s="9" t="s">
        <v>713</v>
      </c>
      <c r="D4474" s="9" t="s">
        <v>11</v>
      </c>
      <c r="E4474" s="9">
        <v>90</v>
      </c>
      <c r="F4474" s="9">
        <v>5.2</v>
      </c>
      <c r="G4474" s="9">
        <v>20000000</v>
      </c>
      <c r="H4474" s="9">
        <v>169719</v>
      </c>
      <c r="I4474" s="5">
        <f>IMDB_Movies!$H4474-IMDB_Movies!$G4474</f>
        <v>-19830281</v>
      </c>
    </row>
    <row r="4475" spans="1:9" ht="23">
      <c r="A4475" s="3" t="s">
        <v>6696</v>
      </c>
      <c r="B4475" s="10" t="s">
        <v>6697</v>
      </c>
      <c r="C4475" s="10" t="s">
        <v>772</v>
      </c>
      <c r="D4475" s="10" t="s">
        <v>11</v>
      </c>
      <c r="E4475" s="10">
        <v>103</v>
      </c>
      <c r="F4475" s="10">
        <v>7.4</v>
      </c>
      <c r="G4475" s="10">
        <v>400000</v>
      </c>
      <c r="H4475" s="10">
        <v>25078937</v>
      </c>
      <c r="I4475" s="5">
        <f>IMDB_Movies!$H4475-IMDB_Movies!$G4475</f>
        <v>24678937</v>
      </c>
    </row>
    <row r="4476" spans="1:9" ht="23">
      <c r="A4476" s="2" t="s">
        <v>6698</v>
      </c>
      <c r="B4476" s="9" t="s">
        <v>6699</v>
      </c>
      <c r="C4476" s="9" t="s">
        <v>772</v>
      </c>
      <c r="D4476" s="9" t="s">
        <v>11</v>
      </c>
      <c r="E4476" s="9">
        <v>71</v>
      </c>
      <c r="F4476" s="9">
        <v>7.4</v>
      </c>
      <c r="G4476" s="9">
        <v>650000</v>
      </c>
      <c r="H4476" s="9">
        <v>25078937</v>
      </c>
      <c r="I4476" s="5">
        <f>IMDB_Movies!$H4476-IMDB_Movies!$G4476</f>
        <v>24428937</v>
      </c>
    </row>
    <row r="4477" spans="1:9" ht="23">
      <c r="A4477" s="3" t="s">
        <v>6700</v>
      </c>
      <c r="B4477" s="10" t="s">
        <v>6701</v>
      </c>
      <c r="C4477" s="10" t="s">
        <v>713</v>
      </c>
      <c r="D4477" s="10" t="s">
        <v>11</v>
      </c>
      <c r="E4477" s="10">
        <v>90</v>
      </c>
      <c r="F4477" s="10">
        <v>5.4</v>
      </c>
      <c r="G4477" s="10">
        <v>650000</v>
      </c>
      <c r="H4477" s="10">
        <v>25078937</v>
      </c>
      <c r="I4477" s="5">
        <f>IMDB_Movies!$H4477-IMDB_Movies!$G4477</f>
        <v>24428937</v>
      </c>
    </row>
    <row r="4478" spans="1:9" ht="23">
      <c r="A4478" s="2" t="s">
        <v>6702</v>
      </c>
      <c r="B4478" s="9" t="s">
        <v>6703</v>
      </c>
      <c r="C4478" s="9" t="s">
        <v>56</v>
      </c>
      <c r="D4478" s="9" t="s">
        <v>11</v>
      </c>
      <c r="E4478" s="9">
        <v>67</v>
      </c>
      <c r="F4478" s="9">
        <v>3.9</v>
      </c>
      <c r="G4478" s="9">
        <v>625000</v>
      </c>
      <c r="H4478" s="9">
        <v>25078937</v>
      </c>
      <c r="I4478" s="5">
        <f>IMDB_Movies!$H4478-IMDB_Movies!$G4478</f>
        <v>24453937</v>
      </c>
    </row>
    <row r="4479" spans="1:9" ht="23">
      <c r="A4479" s="3" t="s">
        <v>6704</v>
      </c>
      <c r="B4479" s="10" t="s">
        <v>6705</v>
      </c>
      <c r="C4479" s="10" t="s">
        <v>138</v>
      </c>
      <c r="D4479" s="10" t="s">
        <v>11</v>
      </c>
      <c r="E4479" s="10">
        <v>94</v>
      </c>
      <c r="F4479" s="10">
        <v>5.3</v>
      </c>
      <c r="G4479" s="10">
        <v>700000</v>
      </c>
      <c r="H4479" s="10">
        <v>25078937</v>
      </c>
      <c r="I4479" s="5">
        <f>IMDB_Movies!$H4479-IMDB_Movies!$G4479</f>
        <v>24378937</v>
      </c>
    </row>
    <row r="4480" spans="1:9" ht="23">
      <c r="A4480" s="2" t="s">
        <v>6706</v>
      </c>
      <c r="B4480" s="9" t="s">
        <v>6707</v>
      </c>
      <c r="C4480" s="9" t="s">
        <v>138</v>
      </c>
      <c r="D4480" s="9" t="s">
        <v>11</v>
      </c>
      <c r="E4480" s="9">
        <v>81</v>
      </c>
      <c r="F4480" s="9">
        <v>7.8</v>
      </c>
      <c r="G4480" s="9">
        <v>609000</v>
      </c>
      <c r="H4480" s="9">
        <v>3000000</v>
      </c>
      <c r="I4480" s="5">
        <f>IMDB_Movies!$H4480-IMDB_Movies!$G4480</f>
        <v>2391000</v>
      </c>
    </row>
    <row r="4481" spans="1:9" ht="23">
      <c r="A4481" s="3" t="s">
        <v>6708</v>
      </c>
      <c r="B4481" s="10" t="s">
        <v>6709</v>
      </c>
      <c r="C4481" s="10" t="s">
        <v>810</v>
      </c>
      <c r="D4481" s="10" t="s">
        <v>11</v>
      </c>
      <c r="E4481" s="10">
        <v>81</v>
      </c>
      <c r="F4481" s="10">
        <v>6.4</v>
      </c>
      <c r="G4481" s="10">
        <v>60000</v>
      </c>
      <c r="H4481" s="10">
        <v>140530114</v>
      </c>
      <c r="I4481" s="5">
        <f>IMDB_Movies!$H4481-IMDB_Movies!$G4481</f>
        <v>140470114</v>
      </c>
    </row>
    <row r="4482" spans="1:9" ht="23">
      <c r="A4482" s="2" t="s">
        <v>6710</v>
      </c>
      <c r="B4482" s="9" t="s">
        <v>6711</v>
      </c>
      <c r="C4482" s="9" t="s">
        <v>772</v>
      </c>
      <c r="D4482" s="9" t="s">
        <v>11</v>
      </c>
      <c r="E4482" s="9">
        <v>215</v>
      </c>
      <c r="F4482" s="9">
        <v>8.1</v>
      </c>
      <c r="G4482" s="9">
        <v>600000</v>
      </c>
      <c r="H4482" s="9">
        <v>13300000</v>
      </c>
      <c r="I4482" s="5">
        <f>IMDB_Movies!$H4482-IMDB_Movies!$G4482</f>
        <v>12700000</v>
      </c>
    </row>
    <row r="4483" spans="1:9" ht="23">
      <c r="A4483" s="3" t="s">
        <v>6712</v>
      </c>
      <c r="B4483" s="10" t="s">
        <v>1436</v>
      </c>
      <c r="C4483" s="10" t="s">
        <v>138</v>
      </c>
      <c r="D4483" s="10" t="s">
        <v>11</v>
      </c>
      <c r="E4483" s="10">
        <v>83</v>
      </c>
      <c r="F4483" s="10">
        <v>6.5</v>
      </c>
      <c r="G4483" s="10">
        <v>650000</v>
      </c>
      <c r="H4483" s="10">
        <v>25078937</v>
      </c>
      <c r="I4483" s="5">
        <f>IMDB_Movies!$H4483-IMDB_Movies!$G4483</f>
        <v>24428937</v>
      </c>
    </row>
    <row r="4484" spans="1:9" ht="23">
      <c r="A4484" s="2" t="s">
        <v>6713</v>
      </c>
      <c r="B4484" s="9" t="s">
        <v>5972</v>
      </c>
      <c r="C4484" s="9" t="s">
        <v>10</v>
      </c>
      <c r="D4484" s="9" t="s">
        <v>11</v>
      </c>
      <c r="E4484" s="9">
        <v>106</v>
      </c>
      <c r="F4484" s="9">
        <v>5.6</v>
      </c>
      <c r="G4484" s="9">
        <v>600000</v>
      </c>
      <c r="H4484" s="9">
        <v>171988</v>
      </c>
      <c r="I4484" s="5">
        <f>IMDB_Movies!$H4484-IMDB_Movies!$G4484</f>
        <v>-428012</v>
      </c>
    </row>
    <row r="4485" spans="1:9" ht="23">
      <c r="A4485" s="3" t="s">
        <v>6714</v>
      </c>
      <c r="B4485" s="10" t="s">
        <v>6715</v>
      </c>
      <c r="C4485" s="10" t="s">
        <v>228</v>
      </c>
      <c r="D4485" s="10" t="s">
        <v>11</v>
      </c>
      <c r="E4485" s="10">
        <v>103</v>
      </c>
      <c r="F4485" s="10">
        <v>5.6</v>
      </c>
      <c r="G4485" s="10">
        <v>600000</v>
      </c>
      <c r="H4485" s="10">
        <v>23616</v>
      </c>
      <c r="I4485" s="5">
        <f>IMDB_Movies!$H4485-IMDB_Movies!$G4485</f>
        <v>-576384</v>
      </c>
    </row>
    <row r="4486" spans="1:9" ht="23">
      <c r="A4486" s="2" t="s">
        <v>6716</v>
      </c>
      <c r="B4486" s="9" t="s">
        <v>6717</v>
      </c>
      <c r="C4486" s="9" t="s">
        <v>56</v>
      </c>
      <c r="D4486" s="9" t="s">
        <v>11</v>
      </c>
      <c r="E4486" s="9">
        <v>90</v>
      </c>
      <c r="F4486" s="9">
        <v>6.6</v>
      </c>
      <c r="G4486" s="9">
        <v>600000</v>
      </c>
      <c r="H4486" s="9">
        <v>13493</v>
      </c>
      <c r="I4486" s="5">
        <f>IMDB_Movies!$H4486-IMDB_Movies!$G4486</f>
        <v>-586507</v>
      </c>
    </row>
    <row r="4487" spans="1:9" ht="23">
      <c r="A4487" s="3" t="s">
        <v>6718</v>
      </c>
      <c r="B4487" s="10" t="s">
        <v>6719</v>
      </c>
      <c r="C4487" s="10" t="s">
        <v>414</v>
      </c>
      <c r="D4487" s="10" t="s">
        <v>11</v>
      </c>
      <c r="E4487" s="10">
        <v>88</v>
      </c>
      <c r="F4487" s="10">
        <v>6.3</v>
      </c>
      <c r="G4487" s="10">
        <v>20000000</v>
      </c>
      <c r="H4487" s="10">
        <v>79043</v>
      </c>
      <c r="I4487" s="5">
        <f>IMDB_Movies!$H4487-IMDB_Movies!$G4487</f>
        <v>-19920957</v>
      </c>
    </row>
    <row r="4488" spans="1:9" ht="23">
      <c r="A4488" s="2" t="s">
        <v>6720</v>
      </c>
      <c r="B4488" s="9" t="s">
        <v>6721</v>
      </c>
      <c r="C4488" s="9" t="s">
        <v>772</v>
      </c>
      <c r="D4488" s="9" t="s">
        <v>394</v>
      </c>
      <c r="E4488" s="9">
        <v>105</v>
      </c>
      <c r="F4488" s="9">
        <v>7.7</v>
      </c>
      <c r="G4488" s="9">
        <v>400000</v>
      </c>
      <c r="H4488" s="9">
        <v>25078937</v>
      </c>
      <c r="I4488" s="5">
        <f>IMDB_Movies!$H4488-IMDB_Movies!$G4488</f>
        <v>24678937</v>
      </c>
    </row>
    <row r="4489" spans="1:9" ht="23">
      <c r="A4489" s="3" t="s">
        <v>6722</v>
      </c>
      <c r="B4489" s="10" t="s">
        <v>6723</v>
      </c>
      <c r="C4489" s="10" t="s">
        <v>772</v>
      </c>
      <c r="D4489" s="10" t="s">
        <v>11</v>
      </c>
      <c r="E4489" s="10">
        <v>115</v>
      </c>
      <c r="F4489" s="10">
        <v>7</v>
      </c>
      <c r="G4489" s="10">
        <v>750000</v>
      </c>
      <c r="H4489" s="10">
        <v>25078937</v>
      </c>
      <c r="I4489" s="5">
        <f>IMDB_Movies!$H4489-IMDB_Movies!$G4489</f>
        <v>24328937</v>
      </c>
    </row>
    <row r="4490" spans="1:9" ht="23">
      <c r="A4490" s="2" t="s">
        <v>6724</v>
      </c>
      <c r="B4490" s="9" t="s">
        <v>6725</v>
      </c>
      <c r="C4490" s="9" t="s">
        <v>10</v>
      </c>
      <c r="D4490" s="9" t="s">
        <v>11</v>
      </c>
      <c r="E4490" s="9">
        <v>90</v>
      </c>
      <c r="F4490" s="9">
        <v>8</v>
      </c>
      <c r="G4490" s="9">
        <v>600000</v>
      </c>
      <c r="H4490" s="9">
        <v>25078937</v>
      </c>
      <c r="I4490" s="5">
        <f>IMDB_Movies!$H4490-IMDB_Movies!$G4490</f>
        <v>24478937</v>
      </c>
    </row>
    <row r="4491" spans="1:9" ht="23">
      <c r="A4491" s="3" t="s">
        <v>6726</v>
      </c>
      <c r="B4491" s="10" t="s">
        <v>6727</v>
      </c>
      <c r="C4491" s="10" t="s">
        <v>138</v>
      </c>
      <c r="D4491" s="10" t="s">
        <v>394</v>
      </c>
      <c r="E4491" s="10">
        <v>102</v>
      </c>
      <c r="F4491" s="10">
        <v>7.2</v>
      </c>
      <c r="G4491" s="10">
        <v>20000000</v>
      </c>
      <c r="H4491" s="10">
        <v>25078937</v>
      </c>
      <c r="I4491" s="5">
        <f>IMDB_Movies!$H4491-IMDB_Movies!$G4491</f>
        <v>5078937</v>
      </c>
    </row>
    <row r="4492" spans="1:9" ht="23">
      <c r="A4492" s="2" t="s">
        <v>6728</v>
      </c>
      <c r="B4492" s="9" t="s">
        <v>6729</v>
      </c>
      <c r="C4492" s="9" t="s">
        <v>2945</v>
      </c>
      <c r="D4492" s="9" t="s">
        <v>11</v>
      </c>
      <c r="E4492" s="9">
        <v>98</v>
      </c>
      <c r="F4492" s="9">
        <v>4.5</v>
      </c>
      <c r="G4492" s="9">
        <v>600000</v>
      </c>
      <c r="H4492" s="9">
        <v>25078937</v>
      </c>
      <c r="I4492" s="5">
        <f>IMDB_Movies!$H4492-IMDB_Movies!$G4492</f>
        <v>24478937</v>
      </c>
    </row>
    <row r="4493" spans="1:9" ht="23">
      <c r="A4493" s="3" t="s">
        <v>6730</v>
      </c>
      <c r="B4493" s="10" t="s">
        <v>1315</v>
      </c>
      <c r="C4493" s="10" t="s">
        <v>138</v>
      </c>
      <c r="D4493" s="10" t="s">
        <v>11</v>
      </c>
      <c r="E4493" s="10">
        <v>87</v>
      </c>
      <c r="F4493" s="10">
        <v>7.7</v>
      </c>
      <c r="G4493" s="10">
        <v>560000</v>
      </c>
      <c r="H4493" s="10">
        <v>515005</v>
      </c>
      <c r="I4493" s="5">
        <f>IMDB_Movies!$H4493-IMDB_Movies!$G4493</f>
        <v>-44995</v>
      </c>
    </row>
    <row r="4494" spans="1:9" ht="23">
      <c r="A4494" s="2" t="s">
        <v>6731</v>
      </c>
      <c r="B4494" s="9" t="s">
        <v>6732</v>
      </c>
      <c r="C4494" s="9" t="s">
        <v>772</v>
      </c>
      <c r="D4494" s="9" t="s">
        <v>11</v>
      </c>
      <c r="E4494" s="9">
        <v>80</v>
      </c>
      <c r="F4494" s="9">
        <v>7.2</v>
      </c>
      <c r="G4494" s="9">
        <v>560000</v>
      </c>
      <c r="H4494" s="9">
        <v>2245</v>
      </c>
      <c r="I4494" s="5">
        <f>IMDB_Movies!$H4494-IMDB_Movies!$G4494</f>
        <v>-557755</v>
      </c>
    </row>
    <row r="4495" spans="1:9" ht="23">
      <c r="A4495" s="3" t="s">
        <v>6733</v>
      </c>
      <c r="B4495" s="10" t="s">
        <v>6734</v>
      </c>
      <c r="C4495" s="10" t="s">
        <v>56</v>
      </c>
      <c r="D4495" s="10" t="s">
        <v>11</v>
      </c>
      <c r="E4495" s="10">
        <v>88</v>
      </c>
      <c r="F4495" s="10">
        <v>6.1</v>
      </c>
      <c r="G4495" s="10">
        <v>550000</v>
      </c>
      <c r="H4495" s="10">
        <v>25078937</v>
      </c>
      <c r="I4495" s="5">
        <f>IMDB_Movies!$H4495-IMDB_Movies!$G4495</f>
        <v>24528937</v>
      </c>
    </row>
    <row r="4496" spans="1:9" ht="23">
      <c r="A4496" s="2" t="s">
        <v>6735</v>
      </c>
      <c r="B4496" s="9" t="s">
        <v>6736</v>
      </c>
      <c r="C4496" s="9" t="s">
        <v>138</v>
      </c>
      <c r="D4496" s="9" t="s">
        <v>6737</v>
      </c>
      <c r="E4496" s="9">
        <v>83</v>
      </c>
      <c r="F4496" s="9">
        <v>6.4</v>
      </c>
      <c r="G4496" s="9">
        <v>500000</v>
      </c>
      <c r="H4496" s="9">
        <v>25078937</v>
      </c>
      <c r="I4496" s="5">
        <f>IMDB_Movies!$H4496-IMDB_Movies!$G4496</f>
        <v>24578937</v>
      </c>
    </row>
    <row r="4497" spans="1:9" ht="23">
      <c r="A4497" s="3" t="s">
        <v>6738</v>
      </c>
      <c r="B4497" s="10" t="s">
        <v>6017</v>
      </c>
      <c r="C4497" s="10" t="s">
        <v>56</v>
      </c>
      <c r="D4497" s="10" t="s">
        <v>11</v>
      </c>
      <c r="E4497" s="10">
        <v>122</v>
      </c>
      <c r="F4497" s="10">
        <v>6.5</v>
      </c>
      <c r="G4497" s="10">
        <v>500000</v>
      </c>
      <c r="H4497" s="10">
        <v>33451479</v>
      </c>
      <c r="I4497" s="5">
        <f>IMDB_Movies!$H4497-IMDB_Movies!$G4497</f>
        <v>32951479</v>
      </c>
    </row>
    <row r="4498" spans="1:9" ht="23">
      <c r="A4498" s="2" t="s">
        <v>6739</v>
      </c>
      <c r="B4498" s="9" t="s">
        <v>6740</v>
      </c>
      <c r="C4498" s="9" t="s">
        <v>418</v>
      </c>
      <c r="D4498" s="9" t="s">
        <v>1534</v>
      </c>
      <c r="E4498" s="9">
        <v>115</v>
      </c>
      <c r="F4498" s="9">
        <v>7</v>
      </c>
      <c r="G4498" s="9">
        <v>550000</v>
      </c>
      <c r="H4498" s="9">
        <v>25078937</v>
      </c>
      <c r="I4498" s="5">
        <f>IMDB_Movies!$H4498-IMDB_Movies!$G4498</f>
        <v>24528937</v>
      </c>
    </row>
    <row r="4499" spans="1:9" ht="23">
      <c r="A4499" s="3" t="s">
        <v>6741</v>
      </c>
      <c r="B4499" s="10" t="s">
        <v>6742</v>
      </c>
      <c r="C4499" s="10" t="s">
        <v>24</v>
      </c>
      <c r="D4499" s="10" t="s">
        <v>11</v>
      </c>
      <c r="E4499" s="10">
        <v>86</v>
      </c>
      <c r="F4499" s="10">
        <v>6.1</v>
      </c>
      <c r="G4499" s="10">
        <v>500000</v>
      </c>
      <c r="H4499" s="10">
        <v>39552600</v>
      </c>
      <c r="I4499" s="5">
        <f>IMDB_Movies!$H4499-IMDB_Movies!$G4499</f>
        <v>39052600</v>
      </c>
    </row>
    <row r="4500" spans="1:9" ht="23">
      <c r="A4500" s="2" t="s">
        <v>6743</v>
      </c>
      <c r="B4500" s="9" t="s">
        <v>6014</v>
      </c>
      <c r="C4500" s="9" t="s">
        <v>24</v>
      </c>
      <c r="D4500" s="9" t="s">
        <v>11</v>
      </c>
      <c r="E4500" s="9">
        <v>79</v>
      </c>
      <c r="F4500" s="9">
        <v>5.7</v>
      </c>
      <c r="G4500" s="9">
        <v>500000</v>
      </c>
      <c r="H4500" s="9">
        <v>30500882</v>
      </c>
      <c r="I4500" s="5">
        <f>IMDB_Movies!$H4500-IMDB_Movies!$G4500</f>
        <v>30000882</v>
      </c>
    </row>
    <row r="4501" spans="1:9" ht="23">
      <c r="A4501" s="3" t="s">
        <v>6744</v>
      </c>
      <c r="B4501" s="10" t="s">
        <v>6745</v>
      </c>
      <c r="C4501" s="10" t="s">
        <v>138</v>
      </c>
      <c r="D4501" s="10" t="s">
        <v>11</v>
      </c>
      <c r="E4501" s="10">
        <v>87</v>
      </c>
      <c r="F4501" s="10">
        <v>5.4</v>
      </c>
      <c r="G4501" s="10">
        <v>20000000</v>
      </c>
      <c r="H4501" s="10">
        <v>25078937</v>
      </c>
      <c r="I4501" s="5">
        <f>IMDB_Movies!$H4501-IMDB_Movies!$G4501</f>
        <v>5078937</v>
      </c>
    </row>
    <row r="4502" spans="1:9" ht="23">
      <c r="A4502" s="2" t="s">
        <v>6746</v>
      </c>
      <c r="B4502" s="9" t="s">
        <v>6747</v>
      </c>
      <c r="C4502" s="9" t="s">
        <v>810</v>
      </c>
      <c r="D4502" s="9" t="s">
        <v>11</v>
      </c>
      <c r="E4502" s="9">
        <v>97</v>
      </c>
      <c r="F4502" s="9">
        <v>5.9</v>
      </c>
      <c r="G4502" s="9">
        <v>500000</v>
      </c>
      <c r="H4502" s="9">
        <v>17000000</v>
      </c>
      <c r="I4502" s="5">
        <f>IMDB_Movies!$H4502-IMDB_Movies!$G4502</f>
        <v>16500000</v>
      </c>
    </row>
    <row r="4503" spans="1:9" ht="23">
      <c r="A4503" s="3" t="s">
        <v>6748</v>
      </c>
      <c r="B4503" s="10" t="s">
        <v>6749</v>
      </c>
      <c r="C4503" s="10" t="s">
        <v>772</v>
      </c>
      <c r="D4503" s="10" t="s">
        <v>11</v>
      </c>
      <c r="E4503" s="10">
        <v>105</v>
      </c>
      <c r="F4503" s="10">
        <v>7.5</v>
      </c>
      <c r="G4503" s="10">
        <v>20000000</v>
      </c>
      <c r="H4503" s="10">
        <v>8044906</v>
      </c>
      <c r="I4503" s="5">
        <f>IMDB_Movies!$H4503-IMDB_Movies!$G4503</f>
        <v>-11955094</v>
      </c>
    </row>
    <row r="4504" spans="1:9" ht="23">
      <c r="A4504" s="2" t="s">
        <v>6750</v>
      </c>
      <c r="B4504" s="9" t="s">
        <v>3067</v>
      </c>
      <c r="C4504" s="9" t="s">
        <v>138</v>
      </c>
      <c r="D4504" s="9" t="s">
        <v>11</v>
      </c>
      <c r="E4504" s="9">
        <v>89</v>
      </c>
      <c r="F4504" s="9">
        <v>7.7</v>
      </c>
      <c r="G4504" s="9">
        <v>500000</v>
      </c>
      <c r="H4504" s="9">
        <v>5739376</v>
      </c>
      <c r="I4504" s="5">
        <f>IMDB_Movies!$H4504-IMDB_Movies!$G4504</f>
        <v>5239376</v>
      </c>
    </row>
    <row r="4505" spans="1:9" ht="23">
      <c r="A4505" s="3" t="s">
        <v>6751</v>
      </c>
      <c r="B4505" s="10" t="s">
        <v>6752</v>
      </c>
      <c r="C4505" s="10" t="s">
        <v>56</v>
      </c>
      <c r="D4505" s="10" t="s">
        <v>11</v>
      </c>
      <c r="E4505" s="10">
        <v>120</v>
      </c>
      <c r="F4505" s="10">
        <v>7.1</v>
      </c>
      <c r="G4505" s="10">
        <v>1000000</v>
      </c>
      <c r="H4505" s="10">
        <v>3773863</v>
      </c>
      <c r="I4505" s="5">
        <f>IMDB_Movies!$H4505-IMDB_Movies!$G4505</f>
        <v>2773863</v>
      </c>
    </row>
    <row r="4506" spans="1:9" ht="23">
      <c r="A4506" s="2" t="s">
        <v>6753</v>
      </c>
      <c r="B4506" s="9" t="s">
        <v>6754</v>
      </c>
      <c r="C4506" s="9" t="s">
        <v>772</v>
      </c>
      <c r="D4506" s="9" t="s">
        <v>11</v>
      </c>
      <c r="E4506" s="9">
        <v>94</v>
      </c>
      <c r="F4506" s="9">
        <v>7.4</v>
      </c>
      <c r="G4506" s="9">
        <v>20000000</v>
      </c>
      <c r="H4506" s="9">
        <v>3117666</v>
      </c>
      <c r="I4506" s="5">
        <f>IMDB_Movies!$H4506-IMDB_Movies!$G4506</f>
        <v>-16882334</v>
      </c>
    </row>
    <row r="4507" spans="1:9" ht="23">
      <c r="A4507" s="3" t="s">
        <v>6755</v>
      </c>
      <c r="B4507" s="10" t="s">
        <v>6756</v>
      </c>
      <c r="C4507" s="10" t="s">
        <v>418</v>
      </c>
      <c r="D4507" s="10" t="s">
        <v>11</v>
      </c>
      <c r="E4507" s="10">
        <v>108</v>
      </c>
      <c r="F4507" s="10">
        <v>7.6</v>
      </c>
      <c r="G4507" s="10">
        <v>500000</v>
      </c>
      <c r="H4507" s="10">
        <v>2047570</v>
      </c>
      <c r="I4507" s="5">
        <f>IMDB_Movies!$H4507-IMDB_Movies!$G4507</f>
        <v>1547570</v>
      </c>
    </row>
    <row r="4508" spans="1:9" ht="23">
      <c r="A4508" s="2" t="s">
        <v>6757</v>
      </c>
      <c r="B4508" s="9" t="s">
        <v>6758</v>
      </c>
      <c r="C4508" s="9" t="s">
        <v>138</v>
      </c>
      <c r="D4508" s="9" t="s">
        <v>11</v>
      </c>
      <c r="E4508" s="9">
        <v>102</v>
      </c>
      <c r="F4508" s="9">
        <v>6.4</v>
      </c>
      <c r="G4508" s="9">
        <v>500000</v>
      </c>
      <c r="H4508" s="9">
        <v>1250798</v>
      </c>
      <c r="I4508" s="5">
        <f>IMDB_Movies!$H4508-IMDB_Movies!$G4508</f>
        <v>750798</v>
      </c>
    </row>
    <row r="4509" spans="1:9" ht="23">
      <c r="A4509" s="3" t="s">
        <v>6759</v>
      </c>
      <c r="B4509" s="10" t="s">
        <v>6760</v>
      </c>
      <c r="C4509" s="10" t="s">
        <v>56</v>
      </c>
      <c r="D4509" s="10" t="s">
        <v>3159</v>
      </c>
      <c r="E4509" s="10">
        <v>83</v>
      </c>
      <c r="F4509" s="10">
        <v>7.4</v>
      </c>
      <c r="G4509" s="10">
        <v>46000</v>
      </c>
      <c r="H4509" s="10">
        <v>1127331</v>
      </c>
      <c r="I4509" s="5">
        <f>IMDB_Movies!$H4509-IMDB_Movies!$G4509</f>
        <v>1081331</v>
      </c>
    </row>
    <row r="4510" spans="1:9" ht="23">
      <c r="A4510" s="2" t="s">
        <v>6761</v>
      </c>
      <c r="B4510" s="9" t="s">
        <v>6762</v>
      </c>
      <c r="C4510" s="9" t="s">
        <v>772</v>
      </c>
      <c r="D4510" s="9" t="s">
        <v>11</v>
      </c>
      <c r="E4510" s="9">
        <v>93</v>
      </c>
      <c r="F4510" s="9">
        <v>6.8</v>
      </c>
      <c r="G4510" s="9">
        <v>500000</v>
      </c>
      <c r="H4510" s="9">
        <v>906666</v>
      </c>
      <c r="I4510" s="5">
        <f>IMDB_Movies!$H4510-IMDB_Movies!$G4510</f>
        <v>406666</v>
      </c>
    </row>
    <row r="4511" spans="1:9" ht="23">
      <c r="A4511" s="3" t="s">
        <v>6763</v>
      </c>
      <c r="B4511" s="10" t="s">
        <v>6764</v>
      </c>
      <c r="C4511" s="10" t="s">
        <v>56</v>
      </c>
      <c r="D4511" s="10" t="s">
        <v>11</v>
      </c>
      <c r="E4511" s="10">
        <v>86</v>
      </c>
      <c r="F4511" s="10">
        <v>6.5</v>
      </c>
      <c r="G4511" s="10">
        <v>500000</v>
      </c>
      <c r="H4511" s="10">
        <v>1114943</v>
      </c>
      <c r="I4511" s="5">
        <f>IMDB_Movies!$H4511-IMDB_Movies!$G4511</f>
        <v>614943</v>
      </c>
    </row>
    <row r="4512" spans="1:9" ht="23">
      <c r="A4512" s="2" t="s">
        <v>6765</v>
      </c>
      <c r="B4512" s="9" t="s">
        <v>6758</v>
      </c>
      <c r="C4512" s="9" t="s">
        <v>138</v>
      </c>
      <c r="D4512" s="9" t="s">
        <v>11</v>
      </c>
      <c r="E4512" s="9">
        <v>101</v>
      </c>
      <c r="F4512" s="9">
        <v>6</v>
      </c>
      <c r="G4512" s="9">
        <v>500000</v>
      </c>
      <c r="H4512" s="9">
        <v>1111615</v>
      </c>
      <c r="I4512" s="5">
        <f>IMDB_Movies!$H4512-IMDB_Movies!$G4512</f>
        <v>611615</v>
      </c>
    </row>
    <row r="4513" spans="1:9" ht="23">
      <c r="A4513" s="3" t="s">
        <v>6766</v>
      </c>
      <c r="B4513" s="10" t="s">
        <v>4001</v>
      </c>
      <c r="C4513" s="10" t="s">
        <v>56</v>
      </c>
      <c r="D4513" s="10" t="s">
        <v>11</v>
      </c>
      <c r="E4513" s="10">
        <v>111</v>
      </c>
      <c r="F4513" s="10">
        <v>7.3</v>
      </c>
      <c r="G4513" s="10">
        <v>500000</v>
      </c>
      <c r="H4513" s="10">
        <v>985341</v>
      </c>
      <c r="I4513" s="5">
        <f>IMDB_Movies!$H4513-IMDB_Movies!$G4513</f>
        <v>485341</v>
      </c>
    </row>
    <row r="4514" spans="1:9" ht="23">
      <c r="A4514" s="2" t="s">
        <v>6767</v>
      </c>
      <c r="B4514" s="9" t="s">
        <v>6768</v>
      </c>
      <c r="C4514" s="9" t="s">
        <v>414</v>
      </c>
      <c r="D4514" s="9" t="s">
        <v>11</v>
      </c>
      <c r="E4514" s="9">
        <v>90</v>
      </c>
      <c r="F4514" s="9">
        <v>7.3</v>
      </c>
      <c r="G4514" s="9">
        <v>500000</v>
      </c>
      <c r="H4514" s="9">
        <v>603943</v>
      </c>
      <c r="I4514" s="5">
        <f>IMDB_Movies!$H4514-IMDB_Movies!$G4514</f>
        <v>103943</v>
      </c>
    </row>
    <row r="4515" spans="1:9" ht="23">
      <c r="A4515" s="3" t="s">
        <v>6769</v>
      </c>
      <c r="B4515" s="10" t="s">
        <v>5349</v>
      </c>
      <c r="C4515" s="10" t="s">
        <v>414</v>
      </c>
      <c r="D4515" s="10" t="s">
        <v>11</v>
      </c>
      <c r="E4515" s="10">
        <v>86</v>
      </c>
      <c r="F4515" s="10">
        <v>6.5</v>
      </c>
      <c r="G4515" s="10">
        <v>500000</v>
      </c>
      <c r="H4515" s="10">
        <v>334041</v>
      </c>
      <c r="I4515" s="5">
        <f>IMDB_Movies!$H4515-IMDB_Movies!$G4515</f>
        <v>-165959</v>
      </c>
    </row>
    <row r="4516" spans="1:9" ht="23">
      <c r="A4516" s="2" t="s">
        <v>6770</v>
      </c>
      <c r="B4516" s="9" t="s">
        <v>6771</v>
      </c>
      <c r="C4516" s="9" t="s">
        <v>138</v>
      </c>
      <c r="D4516" s="9" t="s">
        <v>11</v>
      </c>
      <c r="E4516" s="9">
        <v>98</v>
      </c>
      <c r="F4516" s="9">
        <v>6</v>
      </c>
      <c r="G4516" s="9">
        <v>500000</v>
      </c>
      <c r="H4516" s="9">
        <v>295468</v>
      </c>
      <c r="I4516" s="5">
        <f>IMDB_Movies!$H4516-IMDB_Movies!$G4516</f>
        <v>-204532</v>
      </c>
    </row>
    <row r="4517" spans="1:9" ht="23">
      <c r="A4517" s="3" t="s">
        <v>6772</v>
      </c>
      <c r="B4517" s="10" t="s">
        <v>6773</v>
      </c>
      <c r="C4517" s="10" t="s">
        <v>414</v>
      </c>
      <c r="D4517" s="10" t="s">
        <v>11</v>
      </c>
      <c r="E4517" s="10">
        <v>91</v>
      </c>
      <c r="F4517" s="10">
        <v>5.3</v>
      </c>
      <c r="G4517" s="10">
        <v>500000</v>
      </c>
      <c r="H4517" s="10">
        <v>243347</v>
      </c>
      <c r="I4517" s="5">
        <f>IMDB_Movies!$H4517-IMDB_Movies!$G4517</f>
        <v>-256653</v>
      </c>
    </row>
    <row r="4518" spans="1:9" ht="23">
      <c r="A4518" s="2" t="s">
        <v>6774</v>
      </c>
      <c r="B4518" s="9" t="s">
        <v>6329</v>
      </c>
      <c r="C4518" s="9" t="s">
        <v>138</v>
      </c>
      <c r="D4518" s="9" t="s">
        <v>11</v>
      </c>
      <c r="E4518" s="9">
        <v>91</v>
      </c>
      <c r="F4518" s="9">
        <v>6.6</v>
      </c>
      <c r="G4518" s="9">
        <v>500000</v>
      </c>
      <c r="H4518" s="9">
        <v>154077</v>
      </c>
      <c r="I4518" s="5">
        <f>IMDB_Movies!$H4518-IMDB_Movies!$G4518</f>
        <v>-345923</v>
      </c>
    </row>
    <row r="4519" spans="1:9" ht="23">
      <c r="A4519" s="3" t="s">
        <v>6775</v>
      </c>
      <c r="B4519" s="10" t="s">
        <v>6776</v>
      </c>
      <c r="C4519" s="10" t="s">
        <v>138</v>
      </c>
      <c r="D4519" s="10" t="s">
        <v>11</v>
      </c>
      <c r="E4519" s="10">
        <v>90</v>
      </c>
      <c r="F4519" s="10">
        <v>6.1</v>
      </c>
      <c r="G4519" s="10">
        <v>20000000</v>
      </c>
      <c r="H4519" s="10">
        <v>342936</v>
      </c>
      <c r="I4519" s="5">
        <f>IMDB_Movies!$H4519-IMDB_Movies!$G4519</f>
        <v>-19657064</v>
      </c>
    </row>
    <row r="4520" spans="1:9" ht="23">
      <c r="A4520" s="2" t="s">
        <v>6777</v>
      </c>
      <c r="B4520" s="9" t="s">
        <v>6778</v>
      </c>
      <c r="C4520" s="9" t="s">
        <v>772</v>
      </c>
      <c r="D4520" s="9" t="s">
        <v>11</v>
      </c>
      <c r="E4520" s="9">
        <v>88</v>
      </c>
      <c r="F4520" s="9">
        <v>7.1</v>
      </c>
      <c r="G4520" s="9">
        <v>500000</v>
      </c>
      <c r="H4520" s="9">
        <v>151389</v>
      </c>
      <c r="I4520" s="5">
        <f>IMDB_Movies!$H4520-IMDB_Movies!$G4520</f>
        <v>-348611</v>
      </c>
    </row>
    <row r="4521" spans="1:9" ht="23">
      <c r="A4521" s="3" t="s">
        <v>6779</v>
      </c>
      <c r="B4521" s="10" t="s">
        <v>4222</v>
      </c>
      <c r="C4521" s="10" t="s">
        <v>10</v>
      </c>
      <c r="D4521" s="10" t="s">
        <v>179</v>
      </c>
      <c r="E4521" s="10">
        <v>202</v>
      </c>
      <c r="F4521" s="10">
        <v>8.6999999999999993</v>
      </c>
      <c r="G4521" s="10">
        <v>2000000</v>
      </c>
      <c r="H4521" s="10">
        <v>269061</v>
      </c>
      <c r="I4521" s="5">
        <f>IMDB_Movies!$H4521-IMDB_Movies!$G4521</f>
        <v>-1730939</v>
      </c>
    </row>
    <row r="4522" spans="1:9" ht="23">
      <c r="A4522" s="2" t="s">
        <v>6780</v>
      </c>
      <c r="B4522" s="9" t="s">
        <v>6781</v>
      </c>
      <c r="C4522" s="9" t="s">
        <v>772</v>
      </c>
      <c r="D4522" s="9" t="s">
        <v>11</v>
      </c>
      <c r="E4522" s="9">
        <v>89</v>
      </c>
      <c r="F4522" s="9">
        <v>8.4</v>
      </c>
      <c r="G4522" s="9">
        <v>500000</v>
      </c>
      <c r="H4522" s="9">
        <v>133778</v>
      </c>
      <c r="I4522" s="5">
        <f>IMDB_Movies!$H4522-IMDB_Movies!$G4522</f>
        <v>-366222</v>
      </c>
    </row>
    <row r="4523" spans="1:9" ht="23">
      <c r="A4523" s="3" t="s">
        <v>6782</v>
      </c>
      <c r="B4523" s="10" t="s">
        <v>6783</v>
      </c>
      <c r="C4523" s="10" t="s">
        <v>138</v>
      </c>
      <c r="D4523" s="10" t="s">
        <v>11</v>
      </c>
      <c r="E4523" s="10">
        <v>97</v>
      </c>
      <c r="F4523" s="10">
        <v>5.8</v>
      </c>
      <c r="G4523" s="10">
        <v>500000</v>
      </c>
      <c r="H4523" s="10">
        <v>25078937</v>
      </c>
      <c r="I4523" s="5">
        <f>IMDB_Movies!$H4523-IMDB_Movies!$G4523</f>
        <v>24578937</v>
      </c>
    </row>
    <row r="4524" spans="1:9" ht="23">
      <c r="A4524" s="2" t="s">
        <v>6784</v>
      </c>
      <c r="B4524" s="9" t="s">
        <v>109</v>
      </c>
      <c r="C4524" s="9" t="s">
        <v>138</v>
      </c>
      <c r="D4524" s="9" t="s">
        <v>11</v>
      </c>
      <c r="E4524" s="9">
        <v>84</v>
      </c>
      <c r="F4524" s="9">
        <v>6.2</v>
      </c>
      <c r="G4524" s="9">
        <v>500000</v>
      </c>
      <c r="H4524" s="9">
        <v>52850</v>
      </c>
      <c r="I4524" s="5">
        <f>IMDB_Movies!$H4524-IMDB_Movies!$G4524</f>
        <v>-447150</v>
      </c>
    </row>
    <row r="4525" spans="1:9" ht="23">
      <c r="A4525" s="3" t="s">
        <v>6785</v>
      </c>
      <c r="B4525" s="10" t="s">
        <v>6786</v>
      </c>
      <c r="C4525" s="10" t="s">
        <v>138</v>
      </c>
      <c r="D4525" s="10" t="s">
        <v>11</v>
      </c>
      <c r="E4525" s="10">
        <v>82</v>
      </c>
      <c r="F4525" s="10">
        <v>5.8</v>
      </c>
      <c r="G4525" s="10">
        <v>500000</v>
      </c>
      <c r="H4525" s="10">
        <v>98017</v>
      </c>
      <c r="I4525" s="5">
        <f>IMDB_Movies!$H4525-IMDB_Movies!$G4525</f>
        <v>-401983</v>
      </c>
    </row>
    <row r="4526" spans="1:9" ht="23">
      <c r="A4526" s="2" t="s">
        <v>6787</v>
      </c>
      <c r="B4526" s="9" t="s">
        <v>6622</v>
      </c>
      <c r="C4526" s="9" t="s">
        <v>138</v>
      </c>
      <c r="D4526" s="9" t="s">
        <v>11</v>
      </c>
      <c r="E4526" s="9">
        <v>100</v>
      </c>
      <c r="F4526" s="9">
        <v>5.7</v>
      </c>
      <c r="G4526" s="9">
        <v>500000</v>
      </c>
      <c r="H4526" s="9">
        <v>31937</v>
      </c>
      <c r="I4526" s="5">
        <f>IMDB_Movies!$H4526-IMDB_Movies!$G4526</f>
        <v>-468063</v>
      </c>
    </row>
    <row r="4527" spans="1:9" ht="23">
      <c r="A4527" s="3" t="s">
        <v>6788</v>
      </c>
      <c r="B4527" s="10" t="s">
        <v>6789</v>
      </c>
      <c r="C4527" s="10" t="s">
        <v>56</v>
      </c>
      <c r="D4527" s="10" t="s">
        <v>11</v>
      </c>
      <c r="E4527" s="10">
        <v>112</v>
      </c>
      <c r="F4527" s="10">
        <v>6.1</v>
      </c>
      <c r="G4527" s="10">
        <v>500000</v>
      </c>
      <c r="H4527" s="10">
        <v>13134</v>
      </c>
      <c r="I4527" s="5">
        <f>IMDB_Movies!$H4527-IMDB_Movies!$G4527</f>
        <v>-486866</v>
      </c>
    </row>
    <row r="4528" spans="1:9" ht="23">
      <c r="A4528" s="2" t="s">
        <v>6790</v>
      </c>
      <c r="B4528" s="9" t="s">
        <v>6791</v>
      </c>
      <c r="C4528" s="9" t="s">
        <v>56</v>
      </c>
      <c r="D4528" s="9" t="s">
        <v>11</v>
      </c>
      <c r="E4528" s="9">
        <v>94</v>
      </c>
      <c r="F4528" s="9">
        <v>6.4</v>
      </c>
      <c r="G4528" s="9">
        <v>500000</v>
      </c>
      <c r="H4528" s="9">
        <v>237301</v>
      </c>
      <c r="I4528" s="5">
        <f>IMDB_Movies!$H4528-IMDB_Movies!$G4528</f>
        <v>-262699</v>
      </c>
    </row>
    <row r="4529" spans="1:9" ht="23">
      <c r="A4529" s="3" t="s">
        <v>6792</v>
      </c>
      <c r="B4529" s="10" t="s">
        <v>6793</v>
      </c>
      <c r="C4529" s="10" t="s">
        <v>56</v>
      </c>
      <c r="D4529" s="10" t="s">
        <v>11</v>
      </c>
      <c r="E4529" s="10">
        <v>87</v>
      </c>
      <c r="F4529" s="10">
        <v>5</v>
      </c>
      <c r="G4529" s="10">
        <v>20000000</v>
      </c>
      <c r="H4529" s="10">
        <v>25078937</v>
      </c>
      <c r="I4529" s="5">
        <f>IMDB_Movies!$H4529-IMDB_Movies!$G4529</f>
        <v>5078937</v>
      </c>
    </row>
    <row r="4530" spans="1:9" ht="23">
      <c r="A4530" s="2" t="s">
        <v>6794</v>
      </c>
      <c r="B4530" s="9" t="s">
        <v>6795</v>
      </c>
      <c r="C4530" s="9" t="s">
        <v>138</v>
      </c>
      <c r="D4530" s="9" t="s">
        <v>11</v>
      </c>
      <c r="E4530" s="9">
        <v>91</v>
      </c>
      <c r="F4530" s="9">
        <v>6.5</v>
      </c>
      <c r="G4530" s="9">
        <v>500000</v>
      </c>
      <c r="H4530" s="9">
        <v>12055</v>
      </c>
      <c r="I4530" s="5">
        <f>IMDB_Movies!$H4530-IMDB_Movies!$G4530</f>
        <v>-487945</v>
      </c>
    </row>
    <row r="4531" spans="1:9" ht="23">
      <c r="A4531" s="3" t="s">
        <v>6796</v>
      </c>
      <c r="B4531" s="10" t="s">
        <v>6797</v>
      </c>
      <c r="C4531" s="10" t="s">
        <v>138</v>
      </c>
      <c r="D4531" s="10" t="s">
        <v>11</v>
      </c>
      <c r="E4531" s="10">
        <v>87</v>
      </c>
      <c r="F4531" s="10">
        <v>4.5999999999999996</v>
      </c>
      <c r="G4531" s="10">
        <v>500000</v>
      </c>
      <c r="H4531" s="10">
        <v>1332</v>
      </c>
      <c r="I4531" s="5">
        <f>IMDB_Movies!$H4531-IMDB_Movies!$G4531</f>
        <v>-498668</v>
      </c>
    </row>
    <row r="4532" spans="1:9" ht="23">
      <c r="A4532" s="2" t="s">
        <v>6798</v>
      </c>
      <c r="B4532" s="9" t="s">
        <v>5888</v>
      </c>
      <c r="C4532" s="9" t="s">
        <v>138</v>
      </c>
      <c r="D4532" s="9" t="s">
        <v>521</v>
      </c>
      <c r="E4532" s="9">
        <v>98</v>
      </c>
      <c r="F4532" s="9">
        <v>7.7</v>
      </c>
      <c r="G4532" s="9">
        <v>3000000</v>
      </c>
      <c r="H4532" s="9">
        <v>25078937</v>
      </c>
      <c r="I4532" s="5">
        <f>IMDB_Movies!$H4532-IMDB_Movies!$G4532</f>
        <v>22078937</v>
      </c>
    </row>
    <row r="4533" spans="1:9" ht="23">
      <c r="A4533" s="3" t="s">
        <v>6799</v>
      </c>
      <c r="B4533" s="10" t="s">
        <v>6800</v>
      </c>
      <c r="C4533" s="10" t="s">
        <v>418</v>
      </c>
      <c r="D4533" s="10" t="s">
        <v>11</v>
      </c>
      <c r="E4533" s="10">
        <v>95</v>
      </c>
      <c r="F4533" s="10">
        <v>7.3</v>
      </c>
      <c r="G4533" s="10">
        <v>500000</v>
      </c>
      <c r="H4533" s="10">
        <v>25078937</v>
      </c>
      <c r="I4533" s="5">
        <f>IMDB_Movies!$H4533-IMDB_Movies!$G4533</f>
        <v>24578937</v>
      </c>
    </row>
    <row r="4534" spans="1:9" ht="23">
      <c r="A4534" s="2" t="s">
        <v>6801</v>
      </c>
      <c r="B4534" s="9" t="s">
        <v>34</v>
      </c>
      <c r="C4534" s="9" t="s">
        <v>56</v>
      </c>
      <c r="D4534" s="9" t="s">
        <v>11</v>
      </c>
      <c r="E4534" s="9">
        <v>87</v>
      </c>
      <c r="F4534" s="9">
        <v>6.6</v>
      </c>
      <c r="G4534" s="9">
        <v>100000</v>
      </c>
      <c r="H4534" s="9">
        <v>25078937</v>
      </c>
      <c r="I4534" s="5">
        <f>IMDB_Movies!$H4534-IMDB_Movies!$G4534</f>
        <v>24978937</v>
      </c>
    </row>
    <row r="4535" spans="1:9" ht="23">
      <c r="A4535" s="3" t="s">
        <v>6802</v>
      </c>
      <c r="B4535" s="10" t="s">
        <v>1465</v>
      </c>
      <c r="C4535" s="10" t="s">
        <v>56</v>
      </c>
      <c r="D4535" s="10" t="s">
        <v>11</v>
      </c>
      <c r="E4535" s="10">
        <v>102</v>
      </c>
      <c r="F4535" s="10">
        <v>6.4</v>
      </c>
      <c r="G4535" s="10">
        <v>20000000</v>
      </c>
      <c r="H4535" s="10">
        <v>316842</v>
      </c>
      <c r="I4535" s="5">
        <f>IMDB_Movies!$H4535-IMDB_Movies!$G4535</f>
        <v>-19683158</v>
      </c>
    </row>
    <row r="4536" spans="1:9" ht="23">
      <c r="A4536" s="2" t="s">
        <v>6803</v>
      </c>
      <c r="B4536" s="9" t="s">
        <v>6804</v>
      </c>
      <c r="C4536" s="9" t="s">
        <v>2945</v>
      </c>
      <c r="D4536" s="9" t="s">
        <v>11</v>
      </c>
      <c r="E4536" s="9">
        <v>127</v>
      </c>
      <c r="F4536" s="9">
        <v>5.8</v>
      </c>
      <c r="G4536" s="9">
        <v>500000</v>
      </c>
      <c r="H4536" s="9">
        <v>25078937</v>
      </c>
      <c r="I4536" s="5">
        <f>IMDB_Movies!$H4536-IMDB_Movies!$G4536</f>
        <v>24578937</v>
      </c>
    </row>
    <row r="4537" spans="1:9" ht="23">
      <c r="A4537" s="3" t="s">
        <v>6805</v>
      </c>
      <c r="B4537" s="10" t="s">
        <v>6723</v>
      </c>
      <c r="C4537" s="10" t="s">
        <v>772</v>
      </c>
      <c r="D4537" s="10" t="s">
        <v>11</v>
      </c>
      <c r="E4537" s="10">
        <v>96</v>
      </c>
      <c r="F4537" s="10">
        <v>7.2</v>
      </c>
      <c r="G4537" s="10">
        <v>500000</v>
      </c>
      <c r="H4537" s="10">
        <v>25078937</v>
      </c>
      <c r="I4537" s="5">
        <f>IMDB_Movies!$H4537-IMDB_Movies!$G4537</f>
        <v>24578937</v>
      </c>
    </row>
    <row r="4538" spans="1:9" ht="23">
      <c r="A4538" s="2" t="s">
        <v>6806</v>
      </c>
      <c r="B4538" s="9" t="s">
        <v>4822</v>
      </c>
      <c r="C4538" s="9" t="s">
        <v>56</v>
      </c>
      <c r="D4538" s="9" t="s">
        <v>11</v>
      </c>
      <c r="E4538" s="9">
        <v>103</v>
      </c>
      <c r="F4538" s="9">
        <v>7.2</v>
      </c>
      <c r="G4538" s="9">
        <v>20000000</v>
      </c>
      <c r="H4538" s="9">
        <v>25078937</v>
      </c>
      <c r="I4538" s="5">
        <f>IMDB_Movies!$H4538-IMDB_Movies!$G4538</f>
        <v>5078937</v>
      </c>
    </row>
    <row r="4539" spans="1:9" ht="23">
      <c r="A4539" s="3" t="s">
        <v>6807</v>
      </c>
      <c r="B4539" s="10" t="s">
        <v>6808</v>
      </c>
      <c r="C4539" s="10" t="s">
        <v>138</v>
      </c>
      <c r="D4539" s="10" t="s">
        <v>11</v>
      </c>
      <c r="E4539" s="10">
        <v>104</v>
      </c>
      <c r="F4539" s="10">
        <v>3.5</v>
      </c>
      <c r="G4539" s="10">
        <v>500000</v>
      </c>
      <c r="H4539" s="10">
        <v>25078937</v>
      </c>
      <c r="I4539" s="5">
        <f>IMDB_Movies!$H4539-IMDB_Movies!$G4539</f>
        <v>24578937</v>
      </c>
    </row>
    <row r="4540" spans="1:9" ht="23">
      <c r="A4540" s="2" t="s">
        <v>6809</v>
      </c>
      <c r="B4540" s="9" t="s">
        <v>6810</v>
      </c>
      <c r="C4540" s="9" t="s">
        <v>6811</v>
      </c>
      <c r="D4540" s="9" t="s">
        <v>11</v>
      </c>
      <c r="E4540" s="9">
        <v>90</v>
      </c>
      <c r="F4540" s="9">
        <v>7.5</v>
      </c>
      <c r="G4540" s="9">
        <v>20000000</v>
      </c>
      <c r="H4540" s="9">
        <v>25078937</v>
      </c>
      <c r="I4540" s="5">
        <f>IMDB_Movies!$H4540-IMDB_Movies!$G4540</f>
        <v>5078937</v>
      </c>
    </row>
    <row r="4541" spans="1:9" ht="23">
      <c r="A4541" s="3" t="s">
        <v>6812</v>
      </c>
      <c r="B4541" s="10" t="s">
        <v>6813</v>
      </c>
      <c r="C4541" s="10" t="s">
        <v>10</v>
      </c>
      <c r="D4541" s="10" t="s">
        <v>11</v>
      </c>
      <c r="E4541" s="10">
        <v>122</v>
      </c>
      <c r="F4541" s="10">
        <v>2.2000000000000002</v>
      </c>
      <c r="G4541" s="10">
        <v>20000000</v>
      </c>
      <c r="H4541" s="10">
        <v>25078937</v>
      </c>
      <c r="I4541" s="5">
        <f>IMDB_Movies!$H4541-IMDB_Movies!$G4541</f>
        <v>5078937</v>
      </c>
    </row>
    <row r="4542" spans="1:9" ht="23">
      <c r="A4542" s="2" t="s">
        <v>6814</v>
      </c>
      <c r="B4542" s="9" t="s">
        <v>6815</v>
      </c>
      <c r="C4542" s="9" t="s">
        <v>228</v>
      </c>
      <c r="D4542" s="9" t="s">
        <v>11</v>
      </c>
      <c r="E4542" s="9">
        <v>90</v>
      </c>
      <c r="F4542" s="9">
        <v>6.6</v>
      </c>
      <c r="G4542" s="9">
        <v>500000</v>
      </c>
      <c r="H4542" s="9">
        <v>25078937</v>
      </c>
      <c r="I4542" s="5">
        <f>IMDB_Movies!$H4542-IMDB_Movies!$G4542</f>
        <v>24578937</v>
      </c>
    </row>
    <row r="4543" spans="1:9" ht="23">
      <c r="A4543" s="3" t="s">
        <v>6816</v>
      </c>
      <c r="B4543" s="10" t="s">
        <v>6817</v>
      </c>
      <c r="C4543" s="10" t="s">
        <v>414</v>
      </c>
      <c r="D4543" s="10" t="s">
        <v>741</v>
      </c>
      <c r="E4543" s="10">
        <v>101</v>
      </c>
      <c r="F4543" s="10">
        <v>6.9</v>
      </c>
      <c r="G4543" s="10">
        <v>500000</v>
      </c>
      <c r="H4543" s="10">
        <v>25078937</v>
      </c>
      <c r="I4543" s="5">
        <f>IMDB_Movies!$H4543-IMDB_Movies!$G4543</f>
        <v>24578937</v>
      </c>
    </row>
    <row r="4544" spans="1:9" ht="23">
      <c r="A4544" s="2" t="s">
        <v>6818</v>
      </c>
      <c r="B4544" s="9" t="s">
        <v>6819</v>
      </c>
      <c r="C4544" s="9" t="s">
        <v>10</v>
      </c>
      <c r="D4544" s="9" t="s">
        <v>11</v>
      </c>
      <c r="E4544" s="9">
        <v>94</v>
      </c>
      <c r="F4544" s="9">
        <v>4</v>
      </c>
      <c r="G4544" s="9">
        <v>150000</v>
      </c>
      <c r="H4544" s="9">
        <v>25078937</v>
      </c>
      <c r="I4544" s="5">
        <f>IMDB_Movies!$H4544-IMDB_Movies!$G4544</f>
        <v>24928937</v>
      </c>
    </row>
    <row r="4545" spans="1:9" ht="23">
      <c r="A4545" s="3" t="s">
        <v>6820</v>
      </c>
      <c r="B4545" s="10" t="s">
        <v>4324</v>
      </c>
      <c r="C4545" s="10" t="s">
        <v>810</v>
      </c>
      <c r="D4545" s="10" t="s">
        <v>11</v>
      </c>
      <c r="E4545" s="10">
        <v>97</v>
      </c>
      <c r="F4545" s="10">
        <v>7.4</v>
      </c>
      <c r="G4545" s="10">
        <v>500000</v>
      </c>
      <c r="H4545" s="10">
        <v>25078937</v>
      </c>
      <c r="I4545" s="5">
        <f>IMDB_Movies!$H4545-IMDB_Movies!$G4545</f>
        <v>24578937</v>
      </c>
    </row>
    <row r="4546" spans="1:9" ht="23">
      <c r="A4546" s="2" t="s">
        <v>6821</v>
      </c>
      <c r="B4546" s="9" t="s">
        <v>6822</v>
      </c>
      <c r="C4546" s="9" t="s">
        <v>138</v>
      </c>
      <c r="D4546" s="9" t="s">
        <v>11</v>
      </c>
      <c r="E4546" s="9">
        <v>90</v>
      </c>
      <c r="F4546" s="9">
        <v>8.3000000000000007</v>
      </c>
      <c r="G4546" s="9">
        <v>20000000</v>
      </c>
      <c r="H4546" s="9">
        <v>25078937</v>
      </c>
      <c r="I4546" s="5">
        <f>IMDB_Movies!$H4546-IMDB_Movies!$G4546</f>
        <v>5078937</v>
      </c>
    </row>
    <row r="4547" spans="1:9" ht="23">
      <c r="A4547" s="3" t="s">
        <v>6823</v>
      </c>
      <c r="B4547" s="10" t="s">
        <v>6824</v>
      </c>
      <c r="C4547" s="10" t="s">
        <v>3326</v>
      </c>
      <c r="D4547" s="10" t="s">
        <v>11</v>
      </c>
      <c r="E4547" s="10">
        <v>108</v>
      </c>
      <c r="F4547" s="10">
        <v>5.7</v>
      </c>
      <c r="G4547" s="10">
        <v>500000</v>
      </c>
      <c r="H4547" s="10">
        <v>25078937</v>
      </c>
      <c r="I4547" s="5">
        <f>IMDB_Movies!$H4547-IMDB_Movies!$G4547</f>
        <v>24578937</v>
      </c>
    </row>
    <row r="4548" spans="1:9" ht="23">
      <c r="A4548" s="2" t="s">
        <v>6825</v>
      </c>
      <c r="B4548" s="9" t="s">
        <v>6826</v>
      </c>
      <c r="C4548" s="9" t="s">
        <v>10</v>
      </c>
      <c r="D4548" s="9" t="s">
        <v>11</v>
      </c>
      <c r="E4548" s="9">
        <v>82</v>
      </c>
      <c r="F4548" s="9">
        <v>6.8</v>
      </c>
      <c r="G4548" s="9">
        <v>500000</v>
      </c>
      <c r="H4548" s="9">
        <v>21199</v>
      </c>
      <c r="I4548" s="5">
        <f>IMDB_Movies!$H4548-IMDB_Movies!$G4548</f>
        <v>-478801</v>
      </c>
    </row>
    <row r="4549" spans="1:9" ht="23">
      <c r="A4549" s="3" t="s">
        <v>6827</v>
      </c>
      <c r="B4549" s="10" t="s">
        <v>6828</v>
      </c>
      <c r="C4549" s="10" t="s">
        <v>3326</v>
      </c>
      <c r="D4549" s="10" t="s">
        <v>11</v>
      </c>
      <c r="E4549" s="10">
        <v>84</v>
      </c>
      <c r="F4549" s="10">
        <v>5.2</v>
      </c>
      <c r="G4549" s="10">
        <v>500000</v>
      </c>
      <c r="H4549" s="10">
        <v>25078937</v>
      </c>
      <c r="I4549" s="5">
        <f>IMDB_Movies!$H4549-IMDB_Movies!$G4549</f>
        <v>24578937</v>
      </c>
    </row>
    <row r="4550" spans="1:9" ht="23">
      <c r="A4550" s="2" t="s">
        <v>6829</v>
      </c>
      <c r="B4550" s="9" t="s">
        <v>6002</v>
      </c>
      <c r="C4550" s="9" t="s">
        <v>10</v>
      </c>
      <c r="D4550" s="9" t="s">
        <v>11</v>
      </c>
      <c r="E4550" s="9">
        <v>91</v>
      </c>
      <c r="F4550" s="9">
        <v>6.2</v>
      </c>
      <c r="G4550" s="9">
        <v>475000</v>
      </c>
      <c r="H4550" s="9">
        <v>25078937</v>
      </c>
      <c r="I4550" s="5">
        <f>IMDB_Movies!$H4550-IMDB_Movies!$G4550</f>
        <v>24603937</v>
      </c>
    </row>
    <row r="4551" spans="1:9" ht="23">
      <c r="A4551" s="3" t="s">
        <v>6830</v>
      </c>
      <c r="B4551" s="10" t="s">
        <v>4765</v>
      </c>
      <c r="C4551" s="10" t="s">
        <v>414</v>
      </c>
      <c r="D4551" s="10" t="s">
        <v>11</v>
      </c>
      <c r="E4551" s="10">
        <v>91</v>
      </c>
      <c r="F4551" s="10">
        <v>5.9</v>
      </c>
      <c r="G4551" s="10">
        <v>450000</v>
      </c>
      <c r="H4551" s="10">
        <v>2712293</v>
      </c>
      <c r="I4551" s="5">
        <f>IMDB_Movies!$H4551-IMDB_Movies!$G4551</f>
        <v>2262293</v>
      </c>
    </row>
    <row r="4552" spans="1:9" ht="23">
      <c r="A4552" s="2" t="s">
        <v>6831</v>
      </c>
      <c r="B4552" s="9" t="s">
        <v>311</v>
      </c>
      <c r="C4552" s="9" t="s">
        <v>56</v>
      </c>
      <c r="D4552" s="9" t="s">
        <v>11</v>
      </c>
      <c r="E4552" s="9">
        <v>107</v>
      </c>
      <c r="F4552" s="9">
        <v>7.7</v>
      </c>
      <c r="G4552" s="9">
        <v>2000000</v>
      </c>
      <c r="H4552" s="9">
        <v>768045</v>
      </c>
      <c r="I4552" s="5">
        <f>IMDB_Movies!$H4552-IMDB_Movies!$G4552</f>
        <v>-1231955</v>
      </c>
    </row>
    <row r="4553" spans="1:9" ht="23">
      <c r="A4553" s="3" t="s">
        <v>6832</v>
      </c>
      <c r="B4553" s="10" t="s">
        <v>6833</v>
      </c>
      <c r="C4553" s="10" t="s">
        <v>10</v>
      </c>
      <c r="D4553" s="10" t="s">
        <v>11</v>
      </c>
      <c r="E4553" s="10">
        <v>82</v>
      </c>
      <c r="F4553" s="10">
        <v>4.3</v>
      </c>
      <c r="G4553" s="10">
        <v>500000</v>
      </c>
      <c r="H4553" s="10">
        <v>25078937</v>
      </c>
      <c r="I4553" s="5">
        <f>IMDB_Movies!$H4553-IMDB_Movies!$G4553</f>
        <v>24578937</v>
      </c>
    </row>
    <row r="4554" spans="1:9" ht="23">
      <c r="A4554" s="2" t="s">
        <v>6834</v>
      </c>
      <c r="B4554" s="9" t="s">
        <v>6835</v>
      </c>
      <c r="C4554" s="9" t="s">
        <v>138</v>
      </c>
      <c r="D4554" s="9" t="s">
        <v>11</v>
      </c>
      <c r="E4554" s="9">
        <v>84</v>
      </c>
      <c r="F4554" s="9">
        <v>7.1</v>
      </c>
      <c r="G4554" s="9">
        <v>450000</v>
      </c>
      <c r="H4554" s="9">
        <v>379122</v>
      </c>
      <c r="I4554" s="5">
        <f>IMDB_Movies!$H4554-IMDB_Movies!$G4554</f>
        <v>-70878</v>
      </c>
    </row>
    <row r="4555" spans="1:9" ht="23">
      <c r="A4555" s="3" t="s">
        <v>6836</v>
      </c>
      <c r="B4555" s="10" t="s">
        <v>6837</v>
      </c>
      <c r="C4555" s="10" t="s">
        <v>138</v>
      </c>
      <c r="D4555" s="10" t="s">
        <v>11</v>
      </c>
      <c r="E4555" s="10">
        <v>103</v>
      </c>
      <c r="F4555" s="10">
        <v>6.2</v>
      </c>
      <c r="G4555" s="10">
        <v>500000</v>
      </c>
      <c r="H4555" s="10">
        <v>23000</v>
      </c>
      <c r="I4555" s="5">
        <f>IMDB_Movies!$H4555-IMDB_Movies!$G4555</f>
        <v>-477000</v>
      </c>
    </row>
    <row r="4556" spans="1:9" ht="23">
      <c r="A4556" s="2" t="s">
        <v>6838</v>
      </c>
      <c r="B4556" s="9" t="s">
        <v>6839</v>
      </c>
      <c r="C4556" s="9" t="s">
        <v>138</v>
      </c>
      <c r="D4556" s="9" t="s">
        <v>11</v>
      </c>
      <c r="E4556" s="9">
        <v>86</v>
      </c>
      <c r="F4556" s="9">
        <v>6.8</v>
      </c>
      <c r="G4556" s="9">
        <v>450000</v>
      </c>
      <c r="H4556" s="9">
        <v>25078937</v>
      </c>
      <c r="I4556" s="5">
        <f>IMDB_Movies!$H4556-IMDB_Movies!$G4556</f>
        <v>24628937</v>
      </c>
    </row>
    <row r="4557" spans="1:9" ht="23">
      <c r="A4557" s="3" t="s">
        <v>6840</v>
      </c>
      <c r="B4557" s="10" t="s">
        <v>6841</v>
      </c>
      <c r="C4557" s="10" t="s">
        <v>138</v>
      </c>
      <c r="D4557" s="10" t="s">
        <v>11</v>
      </c>
      <c r="E4557" s="10">
        <v>89</v>
      </c>
      <c r="F4557" s="10">
        <v>7.7</v>
      </c>
      <c r="G4557" s="10">
        <v>439000</v>
      </c>
      <c r="H4557" s="10">
        <v>2300000</v>
      </c>
      <c r="I4557" s="5">
        <f>IMDB_Movies!$H4557-IMDB_Movies!$G4557</f>
        <v>1861000</v>
      </c>
    </row>
    <row r="4558" spans="1:9" ht="23">
      <c r="A4558" s="2" t="s">
        <v>6842</v>
      </c>
      <c r="B4558" s="9" t="s">
        <v>6843</v>
      </c>
      <c r="C4558" s="9" t="s">
        <v>772</v>
      </c>
      <c r="D4558" s="9" t="s">
        <v>11</v>
      </c>
      <c r="E4558" s="9">
        <v>52</v>
      </c>
      <c r="F4558" s="9">
        <v>8.1999999999999993</v>
      </c>
      <c r="G4558" s="9">
        <v>450000</v>
      </c>
      <c r="H4558" s="9">
        <v>25078937</v>
      </c>
      <c r="I4558" s="5">
        <f>IMDB_Movies!$H4558-IMDB_Movies!$G4558</f>
        <v>24628937</v>
      </c>
    </row>
    <row r="4559" spans="1:9" ht="23">
      <c r="A4559" s="3" t="s">
        <v>6844</v>
      </c>
      <c r="B4559" s="10" t="s">
        <v>5793</v>
      </c>
      <c r="C4559" s="10" t="s">
        <v>138</v>
      </c>
      <c r="D4559" s="10" t="s">
        <v>11</v>
      </c>
      <c r="E4559" s="10">
        <v>98</v>
      </c>
      <c r="F4559" s="10">
        <v>7.5</v>
      </c>
      <c r="G4559" s="10">
        <v>225000</v>
      </c>
      <c r="H4559" s="10">
        <v>2938208</v>
      </c>
      <c r="I4559" s="5">
        <f>IMDB_Movies!$H4559-IMDB_Movies!$G4559</f>
        <v>2713208</v>
      </c>
    </row>
    <row r="4560" spans="1:9" ht="23">
      <c r="A4560" s="2" t="s">
        <v>6845</v>
      </c>
      <c r="B4560" s="9" t="s">
        <v>6846</v>
      </c>
      <c r="C4560" s="9" t="s">
        <v>138</v>
      </c>
      <c r="D4560" s="9" t="s">
        <v>3574</v>
      </c>
      <c r="E4560" s="9">
        <v>133</v>
      </c>
      <c r="F4560" s="9">
        <v>7.6</v>
      </c>
      <c r="G4560" s="9">
        <v>25000000</v>
      </c>
      <c r="H4560" s="9">
        <v>9910</v>
      </c>
      <c r="I4560" s="5">
        <f>IMDB_Movies!$H4560-IMDB_Movies!$G4560</f>
        <v>-24990090</v>
      </c>
    </row>
    <row r="4561" spans="1:9" ht="23">
      <c r="A4561" s="3" t="s">
        <v>6847</v>
      </c>
      <c r="B4561" s="10" t="s">
        <v>6848</v>
      </c>
      <c r="C4561" s="10" t="s">
        <v>56</v>
      </c>
      <c r="D4561" s="10" t="s">
        <v>11</v>
      </c>
      <c r="E4561" s="10">
        <v>81</v>
      </c>
      <c r="F4561" s="10">
        <v>4.0999999999999996</v>
      </c>
      <c r="G4561" s="10">
        <v>20000000</v>
      </c>
      <c r="H4561" s="10">
        <v>25078937</v>
      </c>
      <c r="I4561" s="5">
        <f>IMDB_Movies!$H4561-IMDB_Movies!$G4561</f>
        <v>5078937</v>
      </c>
    </row>
    <row r="4562" spans="1:9" ht="23">
      <c r="A4562" s="2" t="s">
        <v>6849</v>
      </c>
      <c r="B4562" s="9" t="s">
        <v>2197</v>
      </c>
      <c r="C4562" s="9" t="s">
        <v>138</v>
      </c>
      <c r="D4562" s="9" t="s">
        <v>11</v>
      </c>
      <c r="E4562" s="9">
        <v>92</v>
      </c>
      <c r="F4562" s="9">
        <v>6.9</v>
      </c>
      <c r="G4562" s="9">
        <v>400000</v>
      </c>
      <c r="H4562" s="9">
        <v>44540956</v>
      </c>
      <c r="I4562" s="5">
        <f>IMDB_Movies!$H4562-IMDB_Movies!$G4562</f>
        <v>44140956</v>
      </c>
    </row>
    <row r="4563" spans="1:9" ht="23">
      <c r="A4563" s="3" t="s">
        <v>6850</v>
      </c>
      <c r="B4563" s="10" t="s">
        <v>5329</v>
      </c>
      <c r="C4563" s="10" t="s">
        <v>414</v>
      </c>
      <c r="D4563" s="10" t="s">
        <v>11</v>
      </c>
      <c r="E4563" s="10">
        <v>90</v>
      </c>
      <c r="F4563" s="10">
        <v>7.1</v>
      </c>
      <c r="G4563" s="10">
        <v>1066167</v>
      </c>
      <c r="H4563" s="10">
        <v>258113</v>
      </c>
      <c r="I4563" s="5">
        <f>IMDB_Movies!$H4563-IMDB_Movies!$G4563</f>
        <v>-808054</v>
      </c>
    </row>
    <row r="4564" spans="1:9" ht="23">
      <c r="A4564" s="2" t="s">
        <v>6851</v>
      </c>
      <c r="B4564" s="9" t="s">
        <v>5357</v>
      </c>
      <c r="C4564" s="9" t="s">
        <v>810</v>
      </c>
      <c r="D4564" s="9" t="s">
        <v>11</v>
      </c>
      <c r="E4564" s="9">
        <v>84</v>
      </c>
      <c r="F4564" s="9">
        <v>6.3</v>
      </c>
      <c r="G4564" s="9">
        <v>15000</v>
      </c>
      <c r="H4564" s="9">
        <v>107917283</v>
      </c>
      <c r="I4564" s="5">
        <f>IMDB_Movies!$H4564-IMDB_Movies!$G4564</f>
        <v>107902283</v>
      </c>
    </row>
    <row r="4565" spans="1:9" ht="23">
      <c r="A4565" s="3" t="s">
        <v>6852</v>
      </c>
      <c r="B4565" s="10" t="s">
        <v>5884</v>
      </c>
      <c r="C4565" s="10" t="s">
        <v>772</v>
      </c>
      <c r="D4565" s="10" t="s">
        <v>11</v>
      </c>
      <c r="E4565" s="10">
        <v>91</v>
      </c>
      <c r="F4565" s="10">
        <v>7.7</v>
      </c>
      <c r="G4565" s="10">
        <v>20000000</v>
      </c>
      <c r="H4565" s="10">
        <v>1293295</v>
      </c>
      <c r="I4565" s="5">
        <f>IMDB_Movies!$H4565-IMDB_Movies!$G4565</f>
        <v>-18706705</v>
      </c>
    </row>
    <row r="4566" spans="1:9" ht="23">
      <c r="A4566" s="2" t="s">
        <v>6853</v>
      </c>
      <c r="B4566" s="9" t="s">
        <v>747</v>
      </c>
      <c r="C4566" s="9" t="s">
        <v>24</v>
      </c>
      <c r="D4566" s="9" t="s">
        <v>11</v>
      </c>
      <c r="E4566" s="9">
        <v>91</v>
      </c>
      <c r="F4566" s="9">
        <v>8.3000000000000007</v>
      </c>
      <c r="G4566" s="9">
        <v>229575</v>
      </c>
      <c r="H4566" s="9">
        <v>1229197</v>
      </c>
      <c r="I4566" s="5">
        <f>IMDB_Movies!$H4566-IMDB_Movies!$G4566</f>
        <v>999622</v>
      </c>
    </row>
    <row r="4567" spans="1:9" ht="23">
      <c r="A4567" s="3" t="s">
        <v>6854</v>
      </c>
      <c r="B4567" s="10" t="s">
        <v>5250</v>
      </c>
      <c r="C4567" s="10" t="s">
        <v>56</v>
      </c>
      <c r="D4567" s="10" t="s">
        <v>741</v>
      </c>
      <c r="E4567" s="10">
        <v>90</v>
      </c>
      <c r="F4567" s="10">
        <v>7.1</v>
      </c>
      <c r="G4567" s="10">
        <v>400000</v>
      </c>
      <c r="H4567" s="10">
        <v>1689999</v>
      </c>
      <c r="I4567" s="5">
        <f>IMDB_Movies!$H4567-IMDB_Movies!$G4567</f>
        <v>1289999</v>
      </c>
    </row>
    <row r="4568" spans="1:9" ht="23">
      <c r="A4568" s="2" t="s">
        <v>6855</v>
      </c>
      <c r="B4568" s="9" t="s">
        <v>6856</v>
      </c>
      <c r="C4568" s="9" t="s">
        <v>138</v>
      </c>
      <c r="D4568" s="9" t="s">
        <v>11</v>
      </c>
      <c r="E4568" s="9">
        <v>96</v>
      </c>
      <c r="F4568" s="9">
        <v>4.7</v>
      </c>
      <c r="G4568" s="9">
        <v>100000</v>
      </c>
      <c r="H4568" s="9">
        <v>11798</v>
      </c>
      <c r="I4568" s="5">
        <f>IMDB_Movies!$H4568-IMDB_Movies!$G4568</f>
        <v>-88202</v>
      </c>
    </row>
    <row r="4569" spans="1:9" ht="23">
      <c r="A4569" s="3" t="s">
        <v>6857</v>
      </c>
      <c r="B4569" s="10" t="s">
        <v>6858</v>
      </c>
      <c r="C4569" s="10" t="s">
        <v>418</v>
      </c>
      <c r="D4569" s="10" t="s">
        <v>11</v>
      </c>
      <c r="E4569" s="10">
        <v>88</v>
      </c>
      <c r="F4569" s="10">
        <v>7.2</v>
      </c>
      <c r="G4569" s="10">
        <v>218</v>
      </c>
      <c r="H4569" s="10">
        <v>592014</v>
      </c>
      <c r="I4569" s="5">
        <f>IMDB_Movies!$H4569-IMDB_Movies!$G4569</f>
        <v>591796</v>
      </c>
    </row>
    <row r="4570" spans="1:9" ht="23">
      <c r="A4570" s="2" t="s">
        <v>6859</v>
      </c>
      <c r="B4570" s="9" t="s">
        <v>6860</v>
      </c>
      <c r="C4570" s="9" t="s">
        <v>772</v>
      </c>
      <c r="D4570" s="9" t="s">
        <v>11</v>
      </c>
      <c r="E4570" s="9">
        <v>92</v>
      </c>
      <c r="F4570" s="9">
        <v>5.0999999999999996</v>
      </c>
      <c r="G4570" s="9">
        <v>400000</v>
      </c>
      <c r="H4570" s="9">
        <v>425899</v>
      </c>
      <c r="I4570" s="5">
        <f>IMDB_Movies!$H4570-IMDB_Movies!$G4570</f>
        <v>25899</v>
      </c>
    </row>
    <row r="4571" spans="1:9" ht="23">
      <c r="A4571" s="3" t="s">
        <v>6861</v>
      </c>
      <c r="B4571" s="10" t="s">
        <v>6862</v>
      </c>
      <c r="C4571" s="10" t="s">
        <v>138</v>
      </c>
      <c r="D4571" s="10" t="s">
        <v>11</v>
      </c>
      <c r="E4571" s="10">
        <v>97</v>
      </c>
      <c r="F4571" s="10">
        <v>5.4</v>
      </c>
      <c r="G4571" s="10">
        <v>500000</v>
      </c>
      <c r="H4571" s="10">
        <v>25078937</v>
      </c>
      <c r="I4571" s="5">
        <f>IMDB_Movies!$H4571-IMDB_Movies!$G4571</f>
        <v>24578937</v>
      </c>
    </row>
    <row r="4572" spans="1:9" ht="23">
      <c r="A4572" s="2" t="s">
        <v>6863</v>
      </c>
      <c r="B4572" s="9" t="s">
        <v>6864</v>
      </c>
      <c r="C4572" s="9" t="s">
        <v>810</v>
      </c>
      <c r="D4572" s="9" t="s">
        <v>2756</v>
      </c>
      <c r="E4572" s="9">
        <v>82</v>
      </c>
      <c r="F4572" s="9">
        <v>6.9</v>
      </c>
      <c r="G4572" s="9">
        <v>400000</v>
      </c>
      <c r="H4572" s="9">
        <v>126387</v>
      </c>
      <c r="I4572" s="5">
        <f>IMDB_Movies!$H4572-IMDB_Movies!$G4572</f>
        <v>-273613</v>
      </c>
    </row>
    <row r="4573" spans="1:9" ht="23">
      <c r="A4573" s="3" t="s">
        <v>6865</v>
      </c>
      <c r="B4573" s="10" t="s">
        <v>2259</v>
      </c>
      <c r="C4573" s="10" t="s">
        <v>138</v>
      </c>
      <c r="D4573" s="10" t="s">
        <v>11</v>
      </c>
      <c r="E4573" s="10">
        <v>101</v>
      </c>
      <c r="F4573" s="10">
        <v>6.1</v>
      </c>
      <c r="G4573" s="10">
        <v>35000000</v>
      </c>
      <c r="H4573" s="10">
        <v>80276912</v>
      </c>
      <c r="I4573" s="5">
        <f>IMDB_Movies!$H4573-IMDB_Movies!$G4573</f>
        <v>45276912</v>
      </c>
    </row>
    <row r="4574" spans="1:9" ht="23">
      <c r="A4574" s="2" t="s">
        <v>6866</v>
      </c>
      <c r="B4574" s="9" t="s">
        <v>6867</v>
      </c>
      <c r="C4574" s="9" t="s">
        <v>810</v>
      </c>
      <c r="D4574" s="9" t="s">
        <v>11</v>
      </c>
      <c r="E4574" s="9">
        <v>80</v>
      </c>
      <c r="F4574" s="9">
        <v>6.1</v>
      </c>
      <c r="G4574" s="9">
        <v>500000</v>
      </c>
      <c r="H4574" s="9">
        <v>25078937</v>
      </c>
      <c r="I4574" s="5">
        <f>IMDB_Movies!$H4574-IMDB_Movies!$G4574</f>
        <v>24578937</v>
      </c>
    </row>
    <row r="4575" spans="1:9" ht="23">
      <c r="A4575" s="3" t="s">
        <v>6868</v>
      </c>
      <c r="B4575" s="10" t="s">
        <v>1548</v>
      </c>
      <c r="C4575" s="10" t="s">
        <v>138</v>
      </c>
      <c r="D4575" s="10" t="s">
        <v>11</v>
      </c>
      <c r="E4575" s="10">
        <v>97</v>
      </c>
      <c r="F4575" s="10">
        <v>6.9</v>
      </c>
      <c r="G4575" s="10">
        <v>650000</v>
      </c>
      <c r="H4575" s="10">
        <v>25078937</v>
      </c>
      <c r="I4575" s="5">
        <f>IMDB_Movies!$H4575-IMDB_Movies!$G4575</f>
        <v>24428937</v>
      </c>
    </row>
    <row r="4576" spans="1:9" ht="23">
      <c r="A4576" s="2" t="s">
        <v>6869</v>
      </c>
      <c r="B4576" s="9" t="s">
        <v>6870</v>
      </c>
      <c r="C4576" s="9" t="s">
        <v>56</v>
      </c>
      <c r="D4576" s="9" t="s">
        <v>11</v>
      </c>
      <c r="E4576" s="9">
        <v>84</v>
      </c>
      <c r="F4576" s="9">
        <v>5.8</v>
      </c>
      <c r="G4576" s="9">
        <v>20000000</v>
      </c>
      <c r="H4576" s="9">
        <v>25918</v>
      </c>
      <c r="I4576" s="5">
        <f>IMDB_Movies!$H4576-IMDB_Movies!$G4576</f>
        <v>-19974082</v>
      </c>
    </row>
    <row r="4577" spans="1:9" ht="23">
      <c r="A4577" s="3" t="s">
        <v>6871</v>
      </c>
      <c r="B4577" s="10" t="s">
        <v>6872</v>
      </c>
      <c r="C4577" s="10" t="s">
        <v>56</v>
      </c>
      <c r="D4577" s="10" t="s">
        <v>394</v>
      </c>
      <c r="E4577" s="10">
        <v>97</v>
      </c>
      <c r="F4577" s="10">
        <v>6</v>
      </c>
      <c r="G4577" s="10">
        <v>900000</v>
      </c>
      <c r="H4577" s="10">
        <v>25078937</v>
      </c>
      <c r="I4577" s="5">
        <f>IMDB_Movies!$H4577-IMDB_Movies!$G4577</f>
        <v>24178937</v>
      </c>
    </row>
    <row r="4578" spans="1:9" ht="23">
      <c r="A4578" s="2" t="s">
        <v>6873</v>
      </c>
      <c r="B4578" s="9" t="s">
        <v>6874</v>
      </c>
      <c r="C4578" s="9" t="s">
        <v>56</v>
      </c>
      <c r="D4578" s="9" t="s">
        <v>3574</v>
      </c>
      <c r="E4578" s="9">
        <v>91</v>
      </c>
      <c r="F4578" s="9">
        <v>8.1999999999999993</v>
      </c>
      <c r="G4578" s="9">
        <v>400000</v>
      </c>
      <c r="H4578" s="9">
        <v>25078937</v>
      </c>
      <c r="I4578" s="5">
        <f>IMDB_Movies!$H4578-IMDB_Movies!$G4578</f>
        <v>24678937</v>
      </c>
    </row>
    <row r="4579" spans="1:9" ht="23">
      <c r="A4579" s="3" t="s">
        <v>6875</v>
      </c>
      <c r="B4579" s="10" t="s">
        <v>6876</v>
      </c>
      <c r="C4579" s="10" t="s">
        <v>772</v>
      </c>
      <c r="D4579" s="10" t="s">
        <v>11</v>
      </c>
      <c r="E4579" s="10">
        <v>86</v>
      </c>
      <c r="F4579" s="10">
        <v>7</v>
      </c>
      <c r="G4579" s="10">
        <v>375000</v>
      </c>
      <c r="H4579" s="10">
        <v>617172</v>
      </c>
      <c r="I4579" s="5">
        <f>IMDB_Movies!$H4579-IMDB_Movies!$G4579</f>
        <v>242172</v>
      </c>
    </row>
    <row r="4580" spans="1:9" ht="23">
      <c r="A4580" s="2" t="s">
        <v>6877</v>
      </c>
      <c r="B4580" s="9" t="s">
        <v>6878</v>
      </c>
      <c r="C4580" s="9" t="s">
        <v>5029</v>
      </c>
      <c r="D4580" s="9" t="s">
        <v>11</v>
      </c>
      <c r="E4580" s="9">
        <v>100</v>
      </c>
      <c r="F4580" s="9">
        <v>6.3</v>
      </c>
      <c r="G4580" s="9">
        <v>379000</v>
      </c>
      <c r="H4580" s="9">
        <v>2808000</v>
      </c>
      <c r="I4580" s="5">
        <f>IMDB_Movies!$H4580-IMDB_Movies!$G4580</f>
        <v>2429000</v>
      </c>
    </row>
    <row r="4581" spans="1:9" ht="23">
      <c r="A4581" s="3" t="s">
        <v>6879</v>
      </c>
      <c r="B4581" s="10" t="s">
        <v>21</v>
      </c>
      <c r="C4581" s="10" t="s">
        <v>713</v>
      </c>
      <c r="D4581" s="10" t="s">
        <v>11</v>
      </c>
      <c r="E4581" s="10">
        <v>96</v>
      </c>
      <c r="F4581" s="10">
        <v>7.6</v>
      </c>
      <c r="G4581" s="10">
        <v>375000</v>
      </c>
      <c r="H4581" s="10">
        <v>25078937</v>
      </c>
      <c r="I4581" s="5">
        <f>IMDB_Movies!$H4581-IMDB_Movies!$G4581</f>
        <v>24703937</v>
      </c>
    </row>
    <row r="4582" spans="1:9" ht="23">
      <c r="A4582" s="2" t="s">
        <v>6880</v>
      </c>
      <c r="B4582" s="9" t="s">
        <v>6881</v>
      </c>
      <c r="C4582" s="9" t="s">
        <v>810</v>
      </c>
      <c r="D4582" s="9" t="s">
        <v>11</v>
      </c>
      <c r="E4582" s="9">
        <v>89</v>
      </c>
      <c r="F4582" s="9">
        <v>6.1</v>
      </c>
      <c r="G4582" s="9">
        <v>6000000</v>
      </c>
      <c r="H4582" s="9">
        <v>12843</v>
      </c>
      <c r="I4582" s="5">
        <f>IMDB_Movies!$H4582-IMDB_Movies!$G4582</f>
        <v>-5987157</v>
      </c>
    </row>
    <row r="4583" spans="1:9" ht="23">
      <c r="A4583" s="3" t="s">
        <v>6882</v>
      </c>
      <c r="B4583" s="10" t="s">
        <v>6883</v>
      </c>
      <c r="C4583" s="10" t="s">
        <v>772</v>
      </c>
      <c r="D4583" s="10" t="s">
        <v>3331</v>
      </c>
      <c r="E4583" s="10">
        <v>84</v>
      </c>
      <c r="F4583" s="10">
        <v>7.2</v>
      </c>
      <c r="G4583" s="10">
        <v>450000</v>
      </c>
      <c r="H4583" s="10">
        <v>34151</v>
      </c>
      <c r="I4583" s="5">
        <f>IMDB_Movies!$H4583-IMDB_Movies!$G4583</f>
        <v>-415849</v>
      </c>
    </row>
    <row r="4584" spans="1:9" ht="23">
      <c r="A4584" s="2" t="s">
        <v>6884</v>
      </c>
      <c r="B4584" s="9" t="s">
        <v>6885</v>
      </c>
      <c r="C4584" s="9" t="s">
        <v>772</v>
      </c>
      <c r="D4584" s="9" t="s">
        <v>11</v>
      </c>
      <c r="E4584" s="9">
        <v>88</v>
      </c>
      <c r="F4584" s="9">
        <v>7.8</v>
      </c>
      <c r="G4584" s="9">
        <v>1750211</v>
      </c>
      <c r="H4584" s="9">
        <v>1523883</v>
      </c>
      <c r="I4584" s="5">
        <f>IMDB_Movies!$H4584-IMDB_Movies!$G4584</f>
        <v>-226328</v>
      </c>
    </row>
    <row r="4585" spans="1:9" ht="23">
      <c r="A4585" s="3" t="s">
        <v>6886</v>
      </c>
      <c r="B4585" s="10" t="s">
        <v>6887</v>
      </c>
      <c r="C4585" s="10" t="s">
        <v>10</v>
      </c>
      <c r="D4585" s="10" t="s">
        <v>11</v>
      </c>
      <c r="E4585" s="10">
        <v>90</v>
      </c>
      <c r="F4585" s="10">
        <v>4.7</v>
      </c>
      <c r="G4585" s="10">
        <v>350000</v>
      </c>
      <c r="H4585" s="10">
        <v>4000000</v>
      </c>
      <c r="I4585" s="5">
        <f>IMDB_Movies!$H4585-IMDB_Movies!$G4585</f>
        <v>3650000</v>
      </c>
    </row>
    <row r="4586" spans="1:9" ht="23">
      <c r="A4586" s="2" t="s">
        <v>6888</v>
      </c>
      <c r="B4586" s="9" t="s">
        <v>6889</v>
      </c>
      <c r="C4586" s="9" t="s">
        <v>772</v>
      </c>
      <c r="D4586" s="9" t="s">
        <v>11</v>
      </c>
      <c r="E4586" s="9">
        <v>90</v>
      </c>
      <c r="F4586" s="9">
        <v>7.5</v>
      </c>
      <c r="G4586" s="9">
        <v>20000000</v>
      </c>
      <c r="H4586" s="9">
        <v>84689</v>
      </c>
      <c r="I4586" s="5">
        <f>IMDB_Movies!$H4586-IMDB_Movies!$G4586</f>
        <v>-19915311</v>
      </c>
    </row>
    <row r="4587" spans="1:9" ht="23">
      <c r="A4587" s="3" t="s">
        <v>6890</v>
      </c>
      <c r="B4587" s="10" t="s">
        <v>6891</v>
      </c>
      <c r="C4587" s="10" t="s">
        <v>3326</v>
      </c>
      <c r="D4587" s="10" t="s">
        <v>11</v>
      </c>
      <c r="E4587" s="10">
        <v>98</v>
      </c>
      <c r="F4587" s="10">
        <v>3.4</v>
      </c>
      <c r="G4587" s="10">
        <v>350000</v>
      </c>
      <c r="H4587" s="10">
        <v>25078937</v>
      </c>
      <c r="I4587" s="5">
        <f>IMDB_Movies!$H4587-IMDB_Movies!$G4587</f>
        <v>24728937</v>
      </c>
    </row>
    <row r="4588" spans="1:9" ht="23">
      <c r="A4588" s="2" t="s">
        <v>6892</v>
      </c>
      <c r="B4588" s="9" t="s">
        <v>2868</v>
      </c>
      <c r="C4588" s="9" t="s">
        <v>414</v>
      </c>
      <c r="D4588" s="9" t="s">
        <v>11</v>
      </c>
      <c r="E4588" s="9">
        <v>96</v>
      </c>
      <c r="F4588" s="9">
        <v>8.9</v>
      </c>
      <c r="G4588" s="9">
        <v>350000</v>
      </c>
      <c r="H4588" s="9">
        <v>25078937</v>
      </c>
      <c r="I4588" s="5">
        <f>IMDB_Movies!$H4588-IMDB_Movies!$G4588</f>
        <v>24728937</v>
      </c>
    </row>
    <row r="4589" spans="1:9" ht="23">
      <c r="A4589" s="3" t="s">
        <v>6893</v>
      </c>
      <c r="B4589" s="10" t="s">
        <v>6894</v>
      </c>
      <c r="C4589" s="10" t="s">
        <v>116</v>
      </c>
      <c r="D4589" s="10" t="s">
        <v>11</v>
      </c>
      <c r="E4589" s="10">
        <v>83</v>
      </c>
      <c r="F4589" s="10">
        <v>6.9</v>
      </c>
      <c r="G4589" s="10">
        <v>20000000</v>
      </c>
      <c r="H4589" s="10">
        <v>246574</v>
      </c>
      <c r="I4589" s="5">
        <f>IMDB_Movies!$H4589-IMDB_Movies!$G4589</f>
        <v>-19753426</v>
      </c>
    </row>
    <row r="4590" spans="1:9" ht="23">
      <c r="A4590" s="2" t="s">
        <v>6895</v>
      </c>
      <c r="B4590" s="9" t="s">
        <v>5708</v>
      </c>
      <c r="C4590" s="9" t="s">
        <v>138</v>
      </c>
      <c r="D4590" s="9" t="s">
        <v>11</v>
      </c>
      <c r="E4590" s="9">
        <v>65</v>
      </c>
      <c r="F4590" s="9">
        <v>8.1999999999999993</v>
      </c>
      <c r="G4590" s="9">
        <v>325000</v>
      </c>
      <c r="H4590" s="9">
        <v>25078937</v>
      </c>
      <c r="I4590" s="5">
        <f>IMDB_Movies!$H4590-IMDB_Movies!$G4590</f>
        <v>24753937</v>
      </c>
    </row>
    <row r="4591" spans="1:9" ht="23">
      <c r="A4591" s="3" t="s">
        <v>6896</v>
      </c>
      <c r="B4591" s="10" t="s">
        <v>6897</v>
      </c>
      <c r="C4591" s="10" t="s">
        <v>56</v>
      </c>
      <c r="D4591" s="10" t="s">
        <v>6898</v>
      </c>
      <c r="E4591" s="10">
        <v>94</v>
      </c>
      <c r="F4591" s="10">
        <v>7.3</v>
      </c>
      <c r="G4591" s="10">
        <v>20000000</v>
      </c>
      <c r="H4591" s="10">
        <v>110197</v>
      </c>
      <c r="I4591" s="5">
        <f>IMDB_Movies!$H4591-IMDB_Movies!$G4591</f>
        <v>-19889803</v>
      </c>
    </row>
    <row r="4592" spans="1:9" ht="23">
      <c r="A4592" s="2" t="s">
        <v>6899</v>
      </c>
      <c r="B4592" s="9" t="s">
        <v>6900</v>
      </c>
      <c r="C4592" s="9" t="s">
        <v>418</v>
      </c>
      <c r="D4592" s="9" t="s">
        <v>11</v>
      </c>
      <c r="E4592" s="9">
        <v>112</v>
      </c>
      <c r="F4592" s="9">
        <v>8</v>
      </c>
      <c r="G4592" s="9">
        <v>20000000</v>
      </c>
      <c r="H4592" s="9">
        <v>7707563</v>
      </c>
      <c r="I4592" s="5">
        <f>IMDB_Movies!$H4592-IMDB_Movies!$G4592</f>
        <v>-12292437</v>
      </c>
    </row>
    <row r="4593" spans="1:9" ht="23">
      <c r="A4593" s="3" t="s">
        <v>6901</v>
      </c>
      <c r="B4593" s="10" t="s">
        <v>2402</v>
      </c>
      <c r="C4593" s="10" t="s">
        <v>138</v>
      </c>
      <c r="D4593" s="10" t="s">
        <v>11</v>
      </c>
      <c r="E4593" s="10">
        <v>102</v>
      </c>
      <c r="F4593" s="10">
        <v>6.7</v>
      </c>
      <c r="G4593" s="10">
        <v>312000</v>
      </c>
      <c r="H4593" s="10">
        <v>1281176</v>
      </c>
      <c r="I4593" s="5">
        <f>IMDB_Movies!$H4593-IMDB_Movies!$G4593</f>
        <v>969176</v>
      </c>
    </row>
    <row r="4594" spans="1:9" ht="23">
      <c r="A4594" s="2" t="s">
        <v>6902</v>
      </c>
      <c r="B4594" s="9" t="s">
        <v>6903</v>
      </c>
      <c r="C4594" s="9" t="s">
        <v>10</v>
      </c>
      <c r="D4594" s="9" t="s">
        <v>11</v>
      </c>
      <c r="E4594" s="9">
        <v>98</v>
      </c>
      <c r="F4594" s="9">
        <v>6.6</v>
      </c>
      <c r="G4594" s="9">
        <v>8000000</v>
      </c>
      <c r="H4594" s="9">
        <v>16115878</v>
      </c>
      <c r="I4594" s="5">
        <f>IMDB_Movies!$H4594-IMDB_Movies!$G4594</f>
        <v>8115878</v>
      </c>
    </row>
    <row r="4595" spans="1:9" ht="23">
      <c r="A4595" s="3" t="s">
        <v>6904</v>
      </c>
      <c r="B4595" s="10" t="s">
        <v>5131</v>
      </c>
      <c r="C4595" s="10" t="s">
        <v>138</v>
      </c>
      <c r="D4595" s="10" t="s">
        <v>394</v>
      </c>
      <c r="E4595" s="10">
        <v>91</v>
      </c>
      <c r="F4595" s="10">
        <v>6.9</v>
      </c>
      <c r="G4595" s="10">
        <v>300000</v>
      </c>
      <c r="H4595" s="10">
        <v>1652472</v>
      </c>
      <c r="I4595" s="5">
        <f>IMDB_Movies!$H4595-IMDB_Movies!$G4595</f>
        <v>1352472</v>
      </c>
    </row>
    <row r="4596" spans="1:9" ht="23">
      <c r="A4596" s="2" t="s">
        <v>6905</v>
      </c>
      <c r="B4596" s="9" t="s">
        <v>1790</v>
      </c>
      <c r="C4596" s="9" t="s">
        <v>138</v>
      </c>
      <c r="D4596" s="9" t="s">
        <v>11</v>
      </c>
      <c r="E4596" s="9">
        <v>80</v>
      </c>
      <c r="F4596" s="9">
        <v>7.1</v>
      </c>
      <c r="G4596" s="9">
        <v>300000</v>
      </c>
      <c r="H4596" s="9">
        <v>2360184</v>
      </c>
      <c r="I4596" s="5">
        <f>IMDB_Movies!$H4596-IMDB_Movies!$G4596</f>
        <v>2060184</v>
      </c>
    </row>
    <row r="4597" spans="1:9" ht="23">
      <c r="A4597" s="3" t="s">
        <v>6906</v>
      </c>
      <c r="B4597" s="10" t="s">
        <v>6907</v>
      </c>
      <c r="C4597" s="10" t="s">
        <v>56</v>
      </c>
      <c r="D4597" s="10" t="s">
        <v>11</v>
      </c>
      <c r="E4597" s="10">
        <v>114</v>
      </c>
      <c r="F4597" s="10">
        <v>5.6</v>
      </c>
      <c r="G4597" s="10">
        <v>20000000</v>
      </c>
      <c r="H4597" s="10">
        <v>25078937</v>
      </c>
      <c r="I4597" s="5">
        <f>IMDB_Movies!$H4597-IMDB_Movies!$G4597</f>
        <v>5078937</v>
      </c>
    </row>
    <row r="4598" spans="1:9" ht="23">
      <c r="A4598" s="2" t="s">
        <v>6908</v>
      </c>
      <c r="B4598" s="9" t="s">
        <v>6060</v>
      </c>
      <c r="C4598" s="9" t="s">
        <v>56</v>
      </c>
      <c r="D4598" s="9" t="s">
        <v>11</v>
      </c>
      <c r="E4598" s="9">
        <v>76</v>
      </c>
      <c r="F4598" s="9">
        <v>6.7</v>
      </c>
      <c r="G4598" s="9">
        <v>300000</v>
      </c>
      <c r="H4598" s="9">
        <v>255352</v>
      </c>
      <c r="I4598" s="5">
        <f>IMDB_Movies!$H4598-IMDB_Movies!$G4598</f>
        <v>-44648</v>
      </c>
    </row>
    <row r="4599" spans="1:9" ht="23">
      <c r="A4599" s="3" t="s">
        <v>6909</v>
      </c>
      <c r="B4599" s="10" t="s">
        <v>6060</v>
      </c>
      <c r="C4599" s="10" t="s">
        <v>56</v>
      </c>
      <c r="D4599" s="10" t="s">
        <v>11</v>
      </c>
      <c r="E4599" s="10">
        <v>80</v>
      </c>
      <c r="F4599" s="10">
        <v>7.1</v>
      </c>
      <c r="G4599" s="10">
        <v>200000</v>
      </c>
      <c r="H4599" s="10">
        <v>856942</v>
      </c>
      <c r="I4599" s="5">
        <f>IMDB_Movies!$H4599-IMDB_Movies!$G4599</f>
        <v>656942</v>
      </c>
    </row>
    <row r="4600" spans="1:9" ht="23">
      <c r="A4600" s="2" t="s">
        <v>6910</v>
      </c>
      <c r="B4600" s="9" t="s">
        <v>6911</v>
      </c>
      <c r="C4600" s="9" t="s">
        <v>56</v>
      </c>
      <c r="D4600" s="9" t="s">
        <v>11</v>
      </c>
      <c r="E4600" s="9">
        <v>88</v>
      </c>
      <c r="F4600" s="9">
        <v>5.2</v>
      </c>
      <c r="G4600" s="9">
        <v>300000</v>
      </c>
      <c r="H4600" s="9">
        <v>25078937</v>
      </c>
      <c r="I4600" s="5">
        <f>IMDB_Movies!$H4600-IMDB_Movies!$G4600</f>
        <v>24778937</v>
      </c>
    </row>
    <row r="4601" spans="1:9" ht="23">
      <c r="A4601" s="3" t="s">
        <v>6912</v>
      </c>
      <c r="B4601" s="10" t="s">
        <v>6913</v>
      </c>
      <c r="C4601" s="10" t="s">
        <v>414</v>
      </c>
      <c r="D4601" s="10" t="s">
        <v>394</v>
      </c>
      <c r="E4601" s="10">
        <v>110</v>
      </c>
      <c r="F4601" s="10">
        <v>7.7</v>
      </c>
      <c r="G4601" s="10">
        <v>300000</v>
      </c>
      <c r="H4601" s="10">
        <v>25078937</v>
      </c>
      <c r="I4601" s="5">
        <f>IMDB_Movies!$H4601-IMDB_Movies!$G4601</f>
        <v>24778937</v>
      </c>
    </row>
    <row r="4602" spans="1:9" ht="23">
      <c r="A4602" s="2" t="s">
        <v>6914</v>
      </c>
      <c r="B4602" s="9" t="s">
        <v>6915</v>
      </c>
      <c r="C4602" s="9" t="s">
        <v>772</v>
      </c>
      <c r="D4602" s="9" t="s">
        <v>11</v>
      </c>
      <c r="E4602" s="9">
        <v>104</v>
      </c>
      <c r="F4602" s="9">
        <v>7.5</v>
      </c>
      <c r="G4602" s="9">
        <v>20000000</v>
      </c>
      <c r="H4602" s="9">
        <v>32631</v>
      </c>
      <c r="I4602" s="5">
        <f>IMDB_Movies!$H4602-IMDB_Movies!$G4602</f>
        <v>-19967369</v>
      </c>
    </row>
    <row r="4603" spans="1:9" ht="23">
      <c r="A4603" s="3" t="s">
        <v>6916</v>
      </c>
      <c r="B4603" s="10" t="s">
        <v>6740</v>
      </c>
      <c r="C4603" s="10" t="s">
        <v>772</v>
      </c>
      <c r="D4603" s="10" t="s">
        <v>11</v>
      </c>
      <c r="E4603" s="10">
        <v>102</v>
      </c>
      <c r="F4603" s="10">
        <v>7.6</v>
      </c>
      <c r="G4603" s="10">
        <v>300000</v>
      </c>
      <c r="H4603" s="10">
        <v>16892</v>
      </c>
      <c r="I4603" s="5">
        <f>IMDB_Movies!$H4603-IMDB_Movies!$G4603</f>
        <v>-283108</v>
      </c>
    </row>
    <row r="4604" spans="1:9" ht="23">
      <c r="A4604" s="2" t="s">
        <v>6917</v>
      </c>
      <c r="B4604" s="9" t="s">
        <v>6918</v>
      </c>
      <c r="C4604" s="9" t="s">
        <v>56</v>
      </c>
      <c r="D4604" s="9" t="s">
        <v>11</v>
      </c>
      <c r="E4604" s="9">
        <v>95</v>
      </c>
      <c r="F4604" s="9">
        <v>8.1</v>
      </c>
      <c r="G4604" s="9">
        <v>160000</v>
      </c>
      <c r="H4604" s="9">
        <v>12438</v>
      </c>
      <c r="I4604" s="5">
        <f>IMDB_Movies!$H4604-IMDB_Movies!$G4604</f>
        <v>-147562</v>
      </c>
    </row>
    <row r="4605" spans="1:9" ht="23">
      <c r="A4605" s="3" t="s">
        <v>6919</v>
      </c>
      <c r="B4605" s="10" t="s">
        <v>5242</v>
      </c>
      <c r="C4605" s="10" t="s">
        <v>56</v>
      </c>
      <c r="D4605" s="10" t="s">
        <v>11</v>
      </c>
      <c r="E4605" s="10">
        <v>94</v>
      </c>
      <c r="F4605" s="10">
        <v>5.5</v>
      </c>
      <c r="G4605" s="10">
        <v>300000</v>
      </c>
      <c r="H4605" s="10">
        <v>40542</v>
      </c>
      <c r="I4605" s="5">
        <f>IMDB_Movies!$H4605-IMDB_Movies!$G4605</f>
        <v>-259458</v>
      </c>
    </row>
    <row r="4606" spans="1:9" ht="23">
      <c r="A4606" s="2" t="s">
        <v>6920</v>
      </c>
      <c r="B4606" s="9" t="s">
        <v>6921</v>
      </c>
      <c r="C4606" s="9" t="s">
        <v>56</v>
      </c>
      <c r="D4606" s="9" t="s">
        <v>11</v>
      </c>
      <c r="E4606" s="9">
        <v>109</v>
      </c>
      <c r="F4606" s="9">
        <v>6.6</v>
      </c>
      <c r="G4606" s="9">
        <v>200000</v>
      </c>
      <c r="H4606" s="9">
        <v>5199</v>
      </c>
      <c r="I4606" s="5">
        <f>IMDB_Movies!$H4606-IMDB_Movies!$G4606</f>
        <v>-194801</v>
      </c>
    </row>
    <row r="4607" spans="1:9" ht="23">
      <c r="A4607" s="3" t="s">
        <v>6922</v>
      </c>
      <c r="B4607" s="10" t="s">
        <v>6923</v>
      </c>
      <c r="C4607" s="10" t="s">
        <v>10</v>
      </c>
      <c r="D4607" s="10" t="s">
        <v>11</v>
      </c>
      <c r="E4607" s="10">
        <v>90</v>
      </c>
      <c r="F4607" s="10">
        <v>3.2</v>
      </c>
      <c r="G4607" s="10">
        <v>350000</v>
      </c>
      <c r="H4607" s="10">
        <v>25078937</v>
      </c>
      <c r="I4607" s="5">
        <f>IMDB_Movies!$H4607-IMDB_Movies!$G4607</f>
        <v>24728937</v>
      </c>
    </row>
    <row r="4608" spans="1:9" ht="23">
      <c r="A4608" s="2" t="s">
        <v>6924</v>
      </c>
      <c r="B4608" s="9" t="s">
        <v>6925</v>
      </c>
      <c r="C4608" s="9" t="s">
        <v>56</v>
      </c>
      <c r="D4608" s="9" t="s">
        <v>11</v>
      </c>
      <c r="E4608" s="9">
        <v>110</v>
      </c>
      <c r="F4608" s="9">
        <v>6.6</v>
      </c>
      <c r="G4608" s="9">
        <v>20000000</v>
      </c>
      <c r="H4608" s="9">
        <v>1711</v>
      </c>
      <c r="I4608" s="5">
        <f>IMDB_Movies!$H4608-IMDB_Movies!$G4608</f>
        <v>-19998289</v>
      </c>
    </row>
    <row r="4609" spans="1:9" ht="23">
      <c r="A4609" s="3" t="s">
        <v>6926</v>
      </c>
      <c r="B4609" s="10" t="s">
        <v>6927</v>
      </c>
      <c r="C4609" s="10" t="s">
        <v>10</v>
      </c>
      <c r="D4609" s="10" t="s">
        <v>11</v>
      </c>
      <c r="E4609" s="10">
        <v>80</v>
      </c>
      <c r="F4609" s="10">
        <v>6.2</v>
      </c>
      <c r="G4609" s="10">
        <v>300000</v>
      </c>
      <c r="H4609" s="10">
        <v>25078937</v>
      </c>
      <c r="I4609" s="5">
        <f>IMDB_Movies!$H4609-IMDB_Movies!$G4609</f>
        <v>24778937</v>
      </c>
    </row>
    <row r="4610" spans="1:9" ht="23">
      <c r="A4610" s="2" t="s">
        <v>6928</v>
      </c>
      <c r="B4610" s="9" t="s">
        <v>6929</v>
      </c>
      <c r="C4610" s="9" t="s">
        <v>2945</v>
      </c>
      <c r="D4610" s="9" t="s">
        <v>11</v>
      </c>
      <c r="E4610" s="9">
        <v>95</v>
      </c>
      <c r="F4610" s="9">
        <v>4.8</v>
      </c>
      <c r="G4610" s="9">
        <v>300000</v>
      </c>
      <c r="H4610" s="9">
        <v>2468</v>
      </c>
      <c r="I4610" s="5">
        <f>IMDB_Movies!$H4610-IMDB_Movies!$G4610</f>
        <v>-297532</v>
      </c>
    </row>
    <row r="4611" spans="1:9" ht="23">
      <c r="A4611" s="3" t="s">
        <v>6930</v>
      </c>
      <c r="B4611" s="10" t="s">
        <v>6931</v>
      </c>
      <c r="C4611" s="10" t="s">
        <v>810</v>
      </c>
      <c r="D4611" s="10" t="s">
        <v>11</v>
      </c>
      <c r="E4611" s="10">
        <v>94</v>
      </c>
      <c r="F4611" s="10">
        <v>4.5</v>
      </c>
      <c r="G4611" s="10">
        <v>20000000</v>
      </c>
      <c r="H4611" s="10">
        <v>25078937</v>
      </c>
      <c r="I4611" s="5">
        <f>IMDB_Movies!$H4611-IMDB_Movies!$G4611</f>
        <v>5078937</v>
      </c>
    </row>
    <row r="4612" spans="1:9" ht="23">
      <c r="A4612" s="2" t="s">
        <v>6932</v>
      </c>
      <c r="B4612" s="9" t="s">
        <v>6933</v>
      </c>
      <c r="C4612" s="9" t="s">
        <v>138</v>
      </c>
      <c r="D4612" s="9" t="s">
        <v>11</v>
      </c>
      <c r="E4612" s="9">
        <v>98</v>
      </c>
      <c r="F4612" s="9">
        <v>7.2</v>
      </c>
      <c r="G4612" s="9">
        <v>300000</v>
      </c>
      <c r="H4612" s="9">
        <v>25078937</v>
      </c>
      <c r="I4612" s="5">
        <f>IMDB_Movies!$H4612-IMDB_Movies!$G4612</f>
        <v>24778937</v>
      </c>
    </row>
    <row r="4613" spans="1:9" ht="23">
      <c r="A4613" s="3" t="s">
        <v>6934</v>
      </c>
      <c r="B4613" s="10" t="s">
        <v>6935</v>
      </c>
      <c r="C4613" s="10" t="s">
        <v>56</v>
      </c>
      <c r="D4613" s="10" t="s">
        <v>11</v>
      </c>
      <c r="E4613" s="10">
        <v>98</v>
      </c>
      <c r="F4613" s="10">
        <v>4.3</v>
      </c>
      <c r="G4613" s="10">
        <v>500000</v>
      </c>
      <c r="H4613" s="10">
        <v>25078937</v>
      </c>
      <c r="I4613" s="5">
        <f>IMDB_Movies!$H4613-IMDB_Movies!$G4613</f>
        <v>24578937</v>
      </c>
    </row>
    <row r="4614" spans="1:9" ht="23">
      <c r="A4614" s="2" t="s">
        <v>6936</v>
      </c>
      <c r="B4614" s="9" t="s">
        <v>6937</v>
      </c>
      <c r="C4614" s="9" t="s">
        <v>810</v>
      </c>
      <c r="D4614" s="9" t="s">
        <v>11</v>
      </c>
      <c r="E4614" s="9">
        <v>96</v>
      </c>
      <c r="F4614" s="9">
        <v>4.5</v>
      </c>
      <c r="G4614" s="9">
        <v>250000</v>
      </c>
      <c r="H4614" s="9">
        <v>25078937</v>
      </c>
      <c r="I4614" s="5">
        <f>IMDB_Movies!$H4614-IMDB_Movies!$G4614</f>
        <v>24828937</v>
      </c>
    </row>
    <row r="4615" spans="1:9" ht="23">
      <c r="A4615" s="3" t="s">
        <v>6938</v>
      </c>
      <c r="B4615" s="10" t="s">
        <v>6939</v>
      </c>
      <c r="C4615" s="10" t="s">
        <v>138</v>
      </c>
      <c r="D4615" s="10" t="s">
        <v>11</v>
      </c>
      <c r="E4615" s="10">
        <v>97</v>
      </c>
      <c r="F4615" s="10">
        <v>6.4</v>
      </c>
      <c r="G4615" s="10">
        <v>300000</v>
      </c>
      <c r="H4615" s="10">
        <v>25078937</v>
      </c>
      <c r="I4615" s="5">
        <f>IMDB_Movies!$H4615-IMDB_Movies!$G4615</f>
        <v>24778937</v>
      </c>
    </row>
    <row r="4616" spans="1:9" ht="23">
      <c r="A4616" s="2" t="s">
        <v>6940</v>
      </c>
      <c r="B4616" s="9" t="s">
        <v>6941</v>
      </c>
      <c r="C4616" s="9" t="s">
        <v>418</v>
      </c>
      <c r="D4616" s="9" t="s">
        <v>11</v>
      </c>
      <c r="E4616" s="9">
        <v>90</v>
      </c>
      <c r="F4616" s="9">
        <v>6.4</v>
      </c>
      <c r="G4616" s="9">
        <v>270000</v>
      </c>
      <c r="H4616" s="9">
        <v>318622</v>
      </c>
      <c r="I4616" s="5">
        <f>IMDB_Movies!$H4616-IMDB_Movies!$G4616</f>
        <v>48622</v>
      </c>
    </row>
    <row r="4617" spans="1:9" ht="23">
      <c r="A4617" s="3" t="s">
        <v>6942</v>
      </c>
      <c r="B4617" s="10" t="s">
        <v>1973</v>
      </c>
      <c r="C4617" s="10" t="s">
        <v>138</v>
      </c>
      <c r="D4617" s="10" t="s">
        <v>11</v>
      </c>
      <c r="E4617" s="10">
        <v>113</v>
      </c>
      <c r="F4617" s="10">
        <v>7.3</v>
      </c>
      <c r="G4617" s="10">
        <v>250000</v>
      </c>
      <c r="H4617" s="10">
        <v>12006514</v>
      </c>
      <c r="I4617" s="5">
        <f>IMDB_Movies!$H4617-IMDB_Movies!$G4617</f>
        <v>11756514</v>
      </c>
    </row>
    <row r="4618" spans="1:9" ht="23">
      <c r="A4618" s="2" t="s">
        <v>6943</v>
      </c>
      <c r="B4618" s="9" t="s">
        <v>4762</v>
      </c>
      <c r="C4618" s="9" t="s">
        <v>138</v>
      </c>
      <c r="D4618" s="9" t="s">
        <v>11</v>
      </c>
      <c r="E4618" s="9">
        <v>91</v>
      </c>
      <c r="F4618" s="9">
        <v>6.9</v>
      </c>
      <c r="G4618" s="9">
        <v>250000</v>
      </c>
      <c r="H4618" s="9">
        <v>4186931</v>
      </c>
      <c r="I4618" s="5">
        <f>IMDB_Movies!$H4618-IMDB_Movies!$G4618</f>
        <v>3936931</v>
      </c>
    </row>
    <row r="4619" spans="1:9" ht="23">
      <c r="A4619" s="3" t="s">
        <v>6944</v>
      </c>
      <c r="B4619" s="10" t="s">
        <v>6945</v>
      </c>
      <c r="C4619" s="10" t="s">
        <v>10</v>
      </c>
      <c r="D4619" s="10" t="s">
        <v>11</v>
      </c>
      <c r="E4619" s="10">
        <v>90</v>
      </c>
      <c r="F4619" s="10">
        <v>4.3</v>
      </c>
      <c r="G4619" s="10">
        <v>290000</v>
      </c>
      <c r="H4619" s="10">
        <v>25078937</v>
      </c>
      <c r="I4619" s="5">
        <f>IMDB_Movies!$H4619-IMDB_Movies!$G4619</f>
        <v>24788937</v>
      </c>
    </row>
    <row r="4620" spans="1:9" ht="23">
      <c r="A4620" s="2" t="s">
        <v>6946</v>
      </c>
      <c r="B4620" s="9" t="s">
        <v>109</v>
      </c>
      <c r="C4620" s="9" t="s">
        <v>414</v>
      </c>
      <c r="D4620" s="9" t="s">
        <v>11</v>
      </c>
      <c r="E4620" s="9">
        <v>98</v>
      </c>
      <c r="F4620" s="9">
        <v>7.2</v>
      </c>
      <c r="G4620" s="9">
        <v>250000</v>
      </c>
      <c r="H4620" s="9">
        <v>3799339</v>
      </c>
      <c r="I4620" s="5">
        <f>IMDB_Movies!$H4620-IMDB_Movies!$G4620</f>
        <v>3549339</v>
      </c>
    </row>
    <row r="4621" spans="1:9" ht="23">
      <c r="A4621" s="3" t="s">
        <v>6947</v>
      </c>
      <c r="B4621" s="10" t="s">
        <v>6948</v>
      </c>
      <c r="C4621" s="10" t="s">
        <v>138</v>
      </c>
      <c r="D4621" s="10" t="s">
        <v>11</v>
      </c>
      <c r="E4621" s="10">
        <v>94</v>
      </c>
      <c r="F4621" s="10">
        <v>6.5</v>
      </c>
      <c r="G4621" s="10">
        <v>250000</v>
      </c>
      <c r="H4621" s="10">
        <v>1977544</v>
      </c>
      <c r="I4621" s="5">
        <f>IMDB_Movies!$H4621-IMDB_Movies!$G4621</f>
        <v>1727544</v>
      </c>
    </row>
    <row r="4622" spans="1:9" ht="23">
      <c r="A4622" s="2" t="s">
        <v>6949</v>
      </c>
      <c r="B4622" s="9" t="s">
        <v>2513</v>
      </c>
      <c r="C4622" s="9" t="s">
        <v>138</v>
      </c>
      <c r="D4622" s="9" t="s">
        <v>11</v>
      </c>
      <c r="E4622" s="9">
        <v>96</v>
      </c>
      <c r="F4622" s="9">
        <v>6.6</v>
      </c>
      <c r="G4622" s="9">
        <v>250000</v>
      </c>
      <c r="H4622" s="9">
        <v>1050600</v>
      </c>
      <c r="I4622" s="5">
        <f>IMDB_Movies!$H4622-IMDB_Movies!$G4622</f>
        <v>800600</v>
      </c>
    </row>
    <row r="4623" spans="1:9" ht="23">
      <c r="A4623" s="3" t="s">
        <v>6950</v>
      </c>
      <c r="B4623" s="10" t="s">
        <v>6951</v>
      </c>
      <c r="C4623" s="10" t="s">
        <v>138</v>
      </c>
      <c r="D4623" s="10" t="s">
        <v>11</v>
      </c>
      <c r="E4623" s="10">
        <v>100</v>
      </c>
      <c r="F4623" s="10">
        <v>6.7</v>
      </c>
      <c r="G4623" s="10">
        <v>250000</v>
      </c>
      <c r="H4623" s="10">
        <v>902835</v>
      </c>
      <c r="I4623" s="5">
        <f>IMDB_Movies!$H4623-IMDB_Movies!$G4623</f>
        <v>652835</v>
      </c>
    </row>
    <row r="4624" spans="1:9" ht="23">
      <c r="A4624" s="2" t="s">
        <v>6952</v>
      </c>
      <c r="B4624" s="9" t="s">
        <v>6953</v>
      </c>
      <c r="C4624" s="9" t="s">
        <v>10</v>
      </c>
      <c r="D4624" s="9" t="s">
        <v>11</v>
      </c>
      <c r="E4624" s="9">
        <v>90</v>
      </c>
      <c r="F4624" s="9">
        <v>4.3</v>
      </c>
      <c r="G4624" s="9">
        <v>300000</v>
      </c>
      <c r="H4624" s="9">
        <v>25078937</v>
      </c>
      <c r="I4624" s="5">
        <f>IMDB_Movies!$H4624-IMDB_Movies!$G4624</f>
        <v>24778937</v>
      </c>
    </row>
    <row r="4625" spans="1:9" ht="23">
      <c r="A4625" s="3" t="s">
        <v>6954</v>
      </c>
      <c r="B4625" s="10" t="s">
        <v>2398</v>
      </c>
      <c r="C4625" s="10" t="s">
        <v>228</v>
      </c>
      <c r="D4625" s="10" t="s">
        <v>11</v>
      </c>
      <c r="E4625" s="10">
        <v>90</v>
      </c>
      <c r="F4625" s="10">
        <v>7.3</v>
      </c>
      <c r="G4625" s="10">
        <v>365000</v>
      </c>
      <c r="H4625" s="10">
        <v>489220</v>
      </c>
      <c r="I4625" s="5">
        <f>IMDB_Movies!$H4625-IMDB_Movies!$G4625</f>
        <v>124220</v>
      </c>
    </row>
    <row r="4626" spans="1:9" ht="23">
      <c r="A4626" s="2" t="s">
        <v>6955</v>
      </c>
      <c r="B4626" s="9" t="s">
        <v>6956</v>
      </c>
      <c r="C4626" s="9" t="s">
        <v>138</v>
      </c>
      <c r="D4626" s="9" t="s">
        <v>11</v>
      </c>
      <c r="E4626" s="9">
        <v>76</v>
      </c>
      <c r="F4626" s="9">
        <v>6.4</v>
      </c>
      <c r="G4626" s="9">
        <v>250000</v>
      </c>
      <c r="H4626" s="9">
        <v>212285</v>
      </c>
      <c r="I4626" s="5">
        <f>IMDB_Movies!$H4626-IMDB_Movies!$G4626</f>
        <v>-37715</v>
      </c>
    </row>
    <row r="4627" spans="1:9" ht="23">
      <c r="A4627" s="3" t="s">
        <v>6957</v>
      </c>
      <c r="B4627" s="10" t="s">
        <v>6958</v>
      </c>
      <c r="C4627" s="10" t="s">
        <v>116</v>
      </c>
      <c r="D4627" s="10" t="s">
        <v>11</v>
      </c>
      <c r="E4627" s="10">
        <v>75</v>
      </c>
      <c r="F4627" s="10">
        <v>7</v>
      </c>
      <c r="G4627" s="10">
        <v>250000</v>
      </c>
      <c r="H4627" s="10">
        <v>203134</v>
      </c>
      <c r="I4627" s="5">
        <f>IMDB_Movies!$H4627-IMDB_Movies!$G4627</f>
        <v>-46866</v>
      </c>
    </row>
    <row r="4628" spans="1:9" ht="23">
      <c r="A4628" s="2" t="s">
        <v>6959</v>
      </c>
      <c r="B4628" s="9" t="s">
        <v>6764</v>
      </c>
      <c r="C4628" s="9" t="s">
        <v>56</v>
      </c>
      <c r="D4628" s="9" t="s">
        <v>11</v>
      </c>
      <c r="E4628" s="9">
        <v>78</v>
      </c>
      <c r="F4628" s="9">
        <v>5.5</v>
      </c>
      <c r="G4628" s="9">
        <v>150000</v>
      </c>
      <c r="H4628" s="9">
        <v>191309</v>
      </c>
      <c r="I4628" s="5">
        <f>IMDB_Movies!$H4628-IMDB_Movies!$G4628</f>
        <v>41309</v>
      </c>
    </row>
    <row r="4629" spans="1:9" ht="23">
      <c r="A4629" s="3" t="s">
        <v>6960</v>
      </c>
      <c r="B4629" s="10" t="s">
        <v>6961</v>
      </c>
      <c r="C4629" s="10" t="s">
        <v>56</v>
      </c>
      <c r="D4629" s="10" t="s">
        <v>11</v>
      </c>
      <c r="E4629" s="10">
        <v>90</v>
      </c>
      <c r="F4629" s="10">
        <v>6.7</v>
      </c>
      <c r="G4629" s="10">
        <v>250000</v>
      </c>
      <c r="H4629" s="10">
        <v>3388210</v>
      </c>
      <c r="I4629" s="5">
        <f>IMDB_Movies!$H4629-IMDB_Movies!$G4629</f>
        <v>3138210</v>
      </c>
    </row>
    <row r="4630" spans="1:9" ht="23">
      <c r="A4630" s="2" t="s">
        <v>6962</v>
      </c>
      <c r="B4630" s="9" t="s">
        <v>6963</v>
      </c>
      <c r="C4630" s="9" t="s">
        <v>810</v>
      </c>
      <c r="D4630" s="9" t="s">
        <v>11</v>
      </c>
      <c r="E4630" s="9">
        <v>96</v>
      </c>
      <c r="F4630" s="9">
        <v>4.3</v>
      </c>
      <c r="G4630" s="9">
        <v>300000</v>
      </c>
      <c r="H4630" s="9">
        <v>25078937</v>
      </c>
      <c r="I4630" s="5">
        <f>IMDB_Movies!$H4630-IMDB_Movies!$G4630</f>
        <v>24778937</v>
      </c>
    </row>
    <row r="4631" spans="1:9" ht="23">
      <c r="A4631" s="3" t="s">
        <v>6964</v>
      </c>
      <c r="B4631" s="10" t="s">
        <v>5517</v>
      </c>
      <c r="C4631" s="10" t="s">
        <v>138</v>
      </c>
      <c r="D4631" s="10" t="s">
        <v>11</v>
      </c>
      <c r="E4631" s="10">
        <v>92</v>
      </c>
      <c r="F4631" s="10">
        <v>6.1</v>
      </c>
      <c r="G4631" s="10">
        <v>250000</v>
      </c>
      <c r="H4631" s="10">
        <v>177840</v>
      </c>
      <c r="I4631" s="5">
        <f>IMDB_Movies!$H4631-IMDB_Movies!$G4631</f>
        <v>-72160</v>
      </c>
    </row>
    <row r="4632" spans="1:9" ht="23">
      <c r="A4632" s="2" t="s">
        <v>6965</v>
      </c>
      <c r="B4632" s="9" t="s">
        <v>6966</v>
      </c>
      <c r="C4632" s="9" t="s">
        <v>138</v>
      </c>
      <c r="D4632" s="9" t="s">
        <v>2005</v>
      </c>
      <c r="E4632" s="9">
        <v>75</v>
      </c>
      <c r="F4632" s="9">
        <v>6.8</v>
      </c>
      <c r="G4632" s="9">
        <v>20000000</v>
      </c>
      <c r="H4632" s="9">
        <v>47111</v>
      </c>
      <c r="I4632" s="5">
        <f>IMDB_Movies!$H4632-IMDB_Movies!$G4632</f>
        <v>-19952889</v>
      </c>
    </row>
    <row r="4633" spans="1:9" ht="23">
      <c r="A4633" s="3" t="s">
        <v>6967</v>
      </c>
      <c r="B4633" s="10" t="s">
        <v>4056</v>
      </c>
      <c r="C4633" s="10" t="s">
        <v>56</v>
      </c>
      <c r="D4633" s="10" t="s">
        <v>11</v>
      </c>
      <c r="E4633" s="10">
        <v>99</v>
      </c>
      <c r="F4633" s="10">
        <v>3.9</v>
      </c>
      <c r="G4633" s="10">
        <v>250000</v>
      </c>
      <c r="H4633" s="10">
        <v>49494</v>
      </c>
      <c r="I4633" s="5">
        <f>IMDB_Movies!$H4633-IMDB_Movies!$G4633</f>
        <v>-200506</v>
      </c>
    </row>
    <row r="4634" spans="1:9" ht="23">
      <c r="A4634" s="2" t="s">
        <v>6968</v>
      </c>
      <c r="B4634" s="9" t="s">
        <v>6969</v>
      </c>
      <c r="C4634" s="9" t="s">
        <v>56</v>
      </c>
      <c r="D4634" s="9" t="s">
        <v>11</v>
      </c>
      <c r="E4634" s="9">
        <v>86</v>
      </c>
      <c r="F4634" s="9">
        <v>6.9</v>
      </c>
      <c r="G4634" s="9">
        <v>20000000</v>
      </c>
      <c r="H4634" s="9">
        <v>25078937</v>
      </c>
      <c r="I4634" s="5">
        <f>IMDB_Movies!$H4634-IMDB_Movies!$G4634</f>
        <v>5078937</v>
      </c>
    </row>
    <row r="4635" spans="1:9" ht="23">
      <c r="A4635" s="3" t="s">
        <v>6970</v>
      </c>
      <c r="B4635" s="10" t="s">
        <v>3423</v>
      </c>
      <c r="C4635" s="10" t="s">
        <v>56</v>
      </c>
      <c r="D4635" s="10" t="s">
        <v>11</v>
      </c>
      <c r="E4635" s="10">
        <v>92</v>
      </c>
      <c r="F4635" s="10">
        <v>7.3</v>
      </c>
      <c r="G4635" s="10">
        <v>20000000</v>
      </c>
      <c r="H4635" s="10">
        <v>45661</v>
      </c>
      <c r="I4635" s="5">
        <f>IMDB_Movies!$H4635-IMDB_Movies!$G4635</f>
        <v>-19954339</v>
      </c>
    </row>
    <row r="4636" spans="1:9" ht="23">
      <c r="A4636" s="2" t="s">
        <v>6971</v>
      </c>
      <c r="B4636" s="9" t="s">
        <v>6972</v>
      </c>
      <c r="C4636" s="9" t="s">
        <v>228</v>
      </c>
      <c r="D4636" s="9" t="s">
        <v>11</v>
      </c>
      <c r="E4636" s="9">
        <v>101</v>
      </c>
      <c r="F4636" s="9">
        <v>6.9</v>
      </c>
      <c r="G4636" s="9">
        <v>20000000</v>
      </c>
      <c r="H4636" s="9">
        <v>25078937</v>
      </c>
      <c r="I4636" s="5">
        <f>IMDB_Movies!$H4636-IMDB_Movies!$G4636</f>
        <v>5078937</v>
      </c>
    </row>
    <row r="4637" spans="1:9" ht="23">
      <c r="A4637" s="3" t="s">
        <v>6973</v>
      </c>
      <c r="B4637" s="10" t="s">
        <v>6974</v>
      </c>
      <c r="C4637" s="10" t="s">
        <v>790</v>
      </c>
      <c r="D4637" s="10" t="s">
        <v>11</v>
      </c>
      <c r="E4637" s="10">
        <v>81</v>
      </c>
      <c r="F4637" s="10">
        <v>6.3</v>
      </c>
      <c r="G4637" s="10">
        <v>250000</v>
      </c>
      <c r="H4637" s="10">
        <v>18195</v>
      </c>
      <c r="I4637" s="5">
        <f>IMDB_Movies!$H4637-IMDB_Movies!$G4637</f>
        <v>-231805</v>
      </c>
    </row>
    <row r="4638" spans="1:9" ht="23">
      <c r="A4638" s="2" t="s">
        <v>6975</v>
      </c>
      <c r="B4638" s="9" t="s">
        <v>6976</v>
      </c>
      <c r="C4638" s="9" t="s">
        <v>56</v>
      </c>
      <c r="D4638" s="9" t="s">
        <v>11</v>
      </c>
      <c r="E4638" s="9">
        <v>93</v>
      </c>
      <c r="F4638" s="9">
        <v>2.5</v>
      </c>
      <c r="G4638" s="9">
        <v>20000000</v>
      </c>
      <c r="H4638" s="9">
        <v>25078937</v>
      </c>
      <c r="I4638" s="5">
        <f>IMDB_Movies!$H4638-IMDB_Movies!$G4638</f>
        <v>5078937</v>
      </c>
    </row>
    <row r="4639" spans="1:9" ht="23">
      <c r="A4639" s="3" t="s">
        <v>6977</v>
      </c>
      <c r="B4639" s="10" t="s">
        <v>6978</v>
      </c>
      <c r="C4639" s="10" t="s">
        <v>56</v>
      </c>
      <c r="D4639" s="10" t="s">
        <v>11</v>
      </c>
      <c r="E4639" s="10">
        <v>95</v>
      </c>
      <c r="F4639" s="10">
        <v>5.7</v>
      </c>
      <c r="G4639" s="10">
        <v>250000</v>
      </c>
      <c r="H4639" s="10">
        <v>25078937</v>
      </c>
      <c r="I4639" s="5">
        <f>IMDB_Movies!$H4639-IMDB_Movies!$G4639</f>
        <v>24828937</v>
      </c>
    </row>
    <row r="4640" spans="1:9" ht="23">
      <c r="A4640" s="2" t="s">
        <v>6979</v>
      </c>
      <c r="B4640" s="9" t="s">
        <v>6980</v>
      </c>
      <c r="C4640" s="9" t="s">
        <v>10</v>
      </c>
      <c r="D4640" s="9" t="s">
        <v>11</v>
      </c>
      <c r="E4640" s="9">
        <v>107</v>
      </c>
      <c r="F4640" s="9">
        <v>7</v>
      </c>
      <c r="G4640" s="9">
        <v>20000000</v>
      </c>
      <c r="H4640" s="9">
        <v>25078937</v>
      </c>
      <c r="I4640" s="5">
        <f>IMDB_Movies!$H4640-IMDB_Movies!$G4640</f>
        <v>5078937</v>
      </c>
    </row>
    <row r="4641" spans="1:9" ht="23">
      <c r="A4641" s="3" t="s">
        <v>6981</v>
      </c>
      <c r="B4641" s="10" t="s">
        <v>6982</v>
      </c>
      <c r="C4641" s="10" t="s">
        <v>56</v>
      </c>
      <c r="D4641" s="10" t="s">
        <v>11</v>
      </c>
      <c r="E4641" s="10">
        <v>98</v>
      </c>
      <c r="F4641" s="10">
        <v>6.2</v>
      </c>
      <c r="G4641" s="10">
        <v>250000</v>
      </c>
      <c r="H4641" s="10">
        <v>25078937</v>
      </c>
      <c r="I4641" s="5">
        <f>IMDB_Movies!$H4641-IMDB_Movies!$G4641</f>
        <v>24828937</v>
      </c>
    </row>
    <row r="4642" spans="1:9" ht="23">
      <c r="A4642" s="2" t="s">
        <v>6983</v>
      </c>
      <c r="B4642" s="9" t="s">
        <v>6984</v>
      </c>
      <c r="C4642" s="9" t="s">
        <v>138</v>
      </c>
      <c r="D4642" s="9" t="s">
        <v>11</v>
      </c>
      <c r="E4642" s="9">
        <v>35</v>
      </c>
      <c r="F4642" s="9">
        <v>6.9</v>
      </c>
      <c r="G4642" s="9">
        <v>20000000</v>
      </c>
      <c r="H4642" s="9">
        <v>25078937</v>
      </c>
      <c r="I4642" s="5">
        <f>IMDB_Movies!$H4642-IMDB_Movies!$G4642</f>
        <v>5078937</v>
      </c>
    </row>
    <row r="4643" spans="1:9" ht="23">
      <c r="A4643" s="3" t="s">
        <v>6985</v>
      </c>
      <c r="B4643" s="10" t="s">
        <v>6986</v>
      </c>
      <c r="C4643" s="10" t="s">
        <v>414</v>
      </c>
      <c r="D4643" s="10" t="s">
        <v>11</v>
      </c>
      <c r="E4643" s="10">
        <v>108</v>
      </c>
      <c r="F4643" s="10">
        <v>4.5</v>
      </c>
      <c r="G4643" s="10">
        <v>20000000</v>
      </c>
      <c r="H4643" s="10">
        <v>25078937</v>
      </c>
      <c r="I4643" s="5">
        <f>IMDB_Movies!$H4643-IMDB_Movies!$G4643</f>
        <v>5078937</v>
      </c>
    </row>
    <row r="4644" spans="1:9" ht="23">
      <c r="A4644" s="2" t="s">
        <v>6987</v>
      </c>
      <c r="B4644" s="9" t="s">
        <v>6988</v>
      </c>
      <c r="C4644" s="9" t="s">
        <v>772</v>
      </c>
      <c r="D4644" s="9" t="s">
        <v>11</v>
      </c>
      <c r="E4644" s="9">
        <v>66</v>
      </c>
      <c r="F4644" s="9">
        <v>7.8</v>
      </c>
      <c r="G4644" s="9">
        <v>250000</v>
      </c>
      <c r="H4644" s="9">
        <v>25078937</v>
      </c>
      <c r="I4644" s="5">
        <f>IMDB_Movies!$H4644-IMDB_Movies!$G4644</f>
        <v>24828937</v>
      </c>
    </row>
    <row r="4645" spans="1:9" ht="23">
      <c r="A4645" s="3" t="s">
        <v>6989</v>
      </c>
      <c r="B4645" s="10" t="s">
        <v>6990</v>
      </c>
      <c r="C4645" s="10" t="s">
        <v>810</v>
      </c>
      <c r="D4645" s="10" t="s">
        <v>11</v>
      </c>
      <c r="E4645" s="10">
        <v>95</v>
      </c>
      <c r="F4645" s="10">
        <v>4.4000000000000004</v>
      </c>
      <c r="G4645" s="10">
        <v>250000</v>
      </c>
      <c r="H4645" s="10">
        <v>25078937</v>
      </c>
      <c r="I4645" s="5">
        <f>IMDB_Movies!$H4645-IMDB_Movies!$G4645</f>
        <v>24828937</v>
      </c>
    </row>
    <row r="4646" spans="1:9" ht="23">
      <c r="A4646" s="2" t="s">
        <v>6991</v>
      </c>
      <c r="B4646" s="9" t="s">
        <v>6824</v>
      </c>
      <c r="C4646" s="9" t="s">
        <v>3326</v>
      </c>
      <c r="D4646" s="9" t="s">
        <v>11</v>
      </c>
      <c r="E4646" s="9">
        <v>108</v>
      </c>
      <c r="F4646" s="9">
        <v>6.6</v>
      </c>
      <c r="G4646" s="9">
        <v>250000</v>
      </c>
      <c r="H4646" s="9">
        <v>25078937</v>
      </c>
      <c r="I4646" s="5">
        <f>IMDB_Movies!$H4646-IMDB_Movies!$G4646</f>
        <v>24828937</v>
      </c>
    </row>
    <row r="4647" spans="1:9" ht="23">
      <c r="A4647" s="3" t="s">
        <v>6992</v>
      </c>
      <c r="B4647" s="10" t="s">
        <v>6993</v>
      </c>
      <c r="C4647" s="10" t="s">
        <v>772</v>
      </c>
      <c r="D4647" s="10" t="s">
        <v>11</v>
      </c>
      <c r="E4647" s="10">
        <v>90</v>
      </c>
      <c r="F4647" s="10">
        <v>8</v>
      </c>
      <c r="G4647" s="10">
        <v>250000</v>
      </c>
      <c r="H4647" s="10">
        <v>25078937</v>
      </c>
      <c r="I4647" s="5">
        <f>IMDB_Movies!$H4647-IMDB_Movies!$G4647</f>
        <v>24828937</v>
      </c>
    </row>
    <row r="4648" spans="1:9" ht="23">
      <c r="A4648" s="2" t="s">
        <v>6994</v>
      </c>
      <c r="B4648" s="9" t="s">
        <v>6995</v>
      </c>
      <c r="C4648" s="9" t="s">
        <v>138</v>
      </c>
      <c r="D4648" s="9" t="s">
        <v>11</v>
      </c>
      <c r="E4648" s="9">
        <v>83</v>
      </c>
      <c r="F4648" s="9">
        <v>6.5</v>
      </c>
      <c r="G4648" s="9">
        <v>240000</v>
      </c>
      <c r="H4648" s="9">
        <v>25078937</v>
      </c>
      <c r="I4648" s="5">
        <f>IMDB_Movies!$H4648-IMDB_Movies!$G4648</f>
        <v>24838937</v>
      </c>
    </row>
    <row r="4649" spans="1:9" ht="23">
      <c r="A4649" s="3" t="s">
        <v>6996</v>
      </c>
      <c r="B4649" s="10" t="s">
        <v>6997</v>
      </c>
      <c r="C4649" s="10" t="s">
        <v>138</v>
      </c>
      <c r="D4649" s="10" t="s">
        <v>11</v>
      </c>
      <c r="E4649" s="10">
        <v>108</v>
      </c>
      <c r="F4649" s="10">
        <v>7.1</v>
      </c>
      <c r="G4649" s="10">
        <v>250000</v>
      </c>
      <c r="H4649" s="10">
        <v>25078937</v>
      </c>
      <c r="I4649" s="5">
        <f>IMDB_Movies!$H4649-IMDB_Movies!$G4649</f>
        <v>24828937</v>
      </c>
    </row>
    <row r="4650" spans="1:9" ht="23">
      <c r="A4650" s="2" t="s">
        <v>6998</v>
      </c>
      <c r="B4650" s="9" t="s">
        <v>3699</v>
      </c>
      <c r="C4650" s="9" t="s">
        <v>10</v>
      </c>
      <c r="D4650" s="9" t="s">
        <v>11</v>
      </c>
      <c r="E4650" s="9">
        <v>92</v>
      </c>
      <c r="F4650" s="9">
        <v>7.1</v>
      </c>
      <c r="G4650" s="9">
        <v>20000000</v>
      </c>
      <c r="H4650" s="9">
        <v>104792</v>
      </c>
      <c r="I4650" s="5">
        <f>IMDB_Movies!$H4650-IMDB_Movies!$G4650</f>
        <v>-19895208</v>
      </c>
    </row>
    <row r="4651" spans="1:9" ht="23">
      <c r="A4651" s="3" t="s">
        <v>6999</v>
      </c>
      <c r="B4651" s="10" t="s">
        <v>7000</v>
      </c>
      <c r="C4651" s="10" t="s">
        <v>24</v>
      </c>
      <c r="D4651" s="10" t="s">
        <v>11</v>
      </c>
      <c r="E4651" s="10">
        <v>105</v>
      </c>
      <c r="F4651" s="10">
        <v>4</v>
      </c>
      <c r="G4651" s="10">
        <v>250000</v>
      </c>
      <c r="H4651" s="10">
        <v>25078937</v>
      </c>
      <c r="I4651" s="5">
        <f>IMDB_Movies!$H4651-IMDB_Movies!$G4651</f>
        <v>24828937</v>
      </c>
    </row>
    <row r="4652" spans="1:9" ht="23">
      <c r="A4652" s="2" t="s">
        <v>7001</v>
      </c>
      <c r="B4652" s="9" t="s">
        <v>7002</v>
      </c>
      <c r="C4652" s="9" t="s">
        <v>772</v>
      </c>
      <c r="D4652" s="9" t="s">
        <v>11</v>
      </c>
      <c r="E4652" s="9">
        <v>86</v>
      </c>
      <c r="F4652" s="9">
        <v>7.5</v>
      </c>
      <c r="G4652" s="9">
        <v>225000</v>
      </c>
      <c r="H4652" s="9">
        <v>111300</v>
      </c>
      <c r="I4652" s="5">
        <f>IMDB_Movies!$H4652-IMDB_Movies!$G4652</f>
        <v>-113700</v>
      </c>
    </row>
    <row r="4653" spans="1:9" ht="23">
      <c r="A4653" s="3" t="s">
        <v>7003</v>
      </c>
      <c r="B4653" s="10" t="s">
        <v>7004</v>
      </c>
      <c r="C4653" s="10" t="s">
        <v>56</v>
      </c>
      <c r="D4653" s="10" t="s">
        <v>11</v>
      </c>
      <c r="E4653" s="10">
        <v>106</v>
      </c>
      <c r="F4653" s="10">
        <v>7</v>
      </c>
      <c r="G4653" s="10">
        <v>225000</v>
      </c>
      <c r="H4653" s="10">
        <v>1027119</v>
      </c>
      <c r="I4653" s="5">
        <f>IMDB_Movies!$H4653-IMDB_Movies!$G4653</f>
        <v>802119</v>
      </c>
    </row>
    <row r="4654" spans="1:9" ht="23">
      <c r="A4654" s="2" t="s">
        <v>7005</v>
      </c>
      <c r="B4654" s="9" t="s">
        <v>7006</v>
      </c>
      <c r="C4654" s="9" t="s">
        <v>138</v>
      </c>
      <c r="D4654" s="9" t="s">
        <v>11</v>
      </c>
      <c r="E4654" s="9">
        <v>93</v>
      </c>
      <c r="F4654" s="9">
        <v>4</v>
      </c>
      <c r="G4654" s="9">
        <v>100000</v>
      </c>
      <c r="H4654" s="9">
        <v>25078937</v>
      </c>
      <c r="I4654" s="5">
        <f>IMDB_Movies!$H4654-IMDB_Movies!$G4654</f>
        <v>24978937</v>
      </c>
    </row>
    <row r="4655" spans="1:9" ht="23">
      <c r="A4655" s="3" t="s">
        <v>7007</v>
      </c>
      <c r="B4655" s="10" t="s">
        <v>7008</v>
      </c>
      <c r="C4655" s="10" t="s">
        <v>24</v>
      </c>
      <c r="D4655" s="10" t="s">
        <v>11</v>
      </c>
      <c r="E4655" s="10">
        <v>80</v>
      </c>
      <c r="F4655" s="10">
        <v>6.7</v>
      </c>
      <c r="G4655" s="10">
        <v>210000</v>
      </c>
      <c r="H4655" s="10">
        <v>5000000</v>
      </c>
      <c r="I4655" s="5">
        <f>IMDB_Movies!$H4655-IMDB_Movies!$G4655</f>
        <v>4790000</v>
      </c>
    </row>
    <row r="4656" spans="1:9" ht="23">
      <c r="A4656" s="2" t="s">
        <v>7009</v>
      </c>
      <c r="B4656" s="9" t="s">
        <v>225</v>
      </c>
      <c r="C4656" s="9" t="s">
        <v>10</v>
      </c>
      <c r="D4656" s="9" t="s">
        <v>11</v>
      </c>
      <c r="E4656" s="9">
        <v>93</v>
      </c>
      <c r="F4656" s="9">
        <v>7</v>
      </c>
      <c r="G4656" s="9">
        <v>200000</v>
      </c>
      <c r="H4656" s="9">
        <v>25078937</v>
      </c>
      <c r="I4656" s="5">
        <f>IMDB_Movies!$H4656-IMDB_Movies!$G4656</f>
        <v>24878937</v>
      </c>
    </row>
    <row r="4657" spans="1:9" ht="23">
      <c r="A4657" s="3" t="s">
        <v>7010</v>
      </c>
      <c r="B4657" s="10" t="s">
        <v>140</v>
      </c>
      <c r="C4657" s="10" t="s">
        <v>138</v>
      </c>
      <c r="D4657" s="10" t="s">
        <v>11</v>
      </c>
      <c r="E4657" s="10">
        <v>96</v>
      </c>
      <c r="F4657" s="10">
        <v>7.4</v>
      </c>
      <c r="G4657" s="10">
        <v>200000</v>
      </c>
      <c r="H4657" s="10">
        <v>4505922</v>
      </c>
      <c r="I4657" s="5">
        <f>IMDB_Movies!$H4657-IMDB_Movies!$G4657</f>
        <v>4305922</v>
      </c>
    </row>
    <row r="4658" spans="1:9" ht="23">
      <c r="A4658" s="2" t="s">
        <v>7011</v>
      </c>
      <c r="B4658" s="9" t="s">
        <v>2429</v>
      </c>
      <c r="C4658" s="9" t="s">
        <v>10</v>
      </c>
      <c r="D4658" s="9" t="s">
        <v>2756</v>
      </c>
      <c r="E4658" s="9">
        <v>99</v>
      </c>
      <c r="F4658" s="9">
        <v>8</v>
      </c>
      <c r="G4658" s="9">
        <v>200000</v>
      </c>
      <c r="H4658" s="9">
        <v>3500000</v>
      </c>
      <c r="I4658" s="5">
        <f>IMDB_Movies!$H4658-IMDB_Movies!$G4658</f>
        <v>3300000</v>
      </c>
    </row>
    <row r="4659" spans="1:9" ht="23">
      <c r="A4659" s="3" t="s">
        <v>7012</v>
      </c>
      <c r="B4659" s="10" t="s">
        <v>7013</v>
      </c>
      <c r="C4659" s="10" t="s">
        <v>138</v>
      </c>
      <c r="D4659" s="10" t="s">
        <v>11</v>
      </c>
      <c r="E4659" s="10">
        <v>66</v>
      </c>
      <c r="F4659" s="10">
        <v>6.5</v>
      </c>
      <c r="G4659" s="10">
        <v>200000</v>
      </c>
      <c r="H4659" s="10">
        <v>25078937</v>
      </c>
      <c r="I4659" s="5">
        <f>IMDB_Movies!$H4659-IMDB_Movies!$G4659</f>
        <v>24878937</v>
      </c>
    </row>
    <row r="4660" spans="1:9" ht="23">
      <c r="A4660" s="2" t="s">
        <v>7014</v>
      </c>
      <c r="B4660" s="9" t="s">
        <v>7015</v>
      </c>
      <c r="C4660" s="9" t="s">
        <v>772</v>
      </c>
      <c r="D4660" s="9" t="s">
        <v>11</v>
      </c>
      <c r="E4660" s="9">
        <v>85</v>
      </c>
      <c r="F4660" s="9">
        <v>7.2</v>
      </c>
      <c r="G4660" s="9">
        <v>200000</v>
      </c>
      <c r="H4660" s="9">
        <v>381225</v>
      </c>
      <c r="I4660" s="5">
        <f>IMDB_Movies!$H4660-IMDB_Movies!$G4660</f>
        <v>181225</v>
      </c>
    </row>
    <row r="4661" spans="1:9" ht="23">
      <c r="A4661" s="3" t="s">
        <v>7016</v>
      </c>
      <c r="B4661" s="10" t="s">
        <v>7017</v>
      </c>
      <c r="C4661" s="10" t="s">
        <v>56</v>
      </c>
      <c r="D4661" s="10" t="s">
        <v>11</v>
      </c>
      <c r="E4661" s="10">
        <v>101</v>
      </c>
      <c r="F4661" s="10">
        <v>6.4</v>
      </c>
      <c r="G4661" s="10">
        <v>200000</v>
      </c>
      <c r="H4661" s="10">
        <v>2428241</v>
      </c>
      <c r="I4661" s="5">
        <f>IMDB_Movies!$H4661-IMDB_Movies!$G4661</f>
        <v>2228241</v>
      </c>
    </row>
    <row r="4662" spans="1:9" ht="23">
      <c r="A4662" s="2" t="s">
        <v>7018</v>
      </c>
      <c r="B4662" s="9" t="s">
        <v>3055</v>
      </c>
      <c r="C4662" s="9" t="s">
        <v>56</v>
      </c>
      <c r="D4662" s="9" t="s">
        <v>11</v>
      </c>
      <c r="E4662" s="9">
        <v>97</v>
      </c>
      <c r="F4662" s="9">
        <v>6.5</v>
      </c>
      <c r="G4662" s="9">
        <v>200000</v>
      </c>
      <c r="H4662" s="9">
        <v>78030</v>
      </c>
      <c r="I4662" s="5">
        <f>IMDB_Movies!$H4662-IMDB_Movies!$G4662</f>
        <v>-121970</v>
      </c>
    </row>
    <row r="4663" spans="1:9" ht="23">
      <c r="A4663" s="3" t="s">
        <v>7019</v>
      </c>
      <c r="B4663" s="10" t="s">
        <v>495</v>
      </c>
      <c r="C4663" s="10" t="s">
        <v>138</v>
      </c>
      <c r="D4663" s="10" t="s">
        <v>2452</v>
      </c>
      <c r="E4663" s="10">
        <v>119</v>
      </c>
      <c r="F4663" s="10">
        <v>6.8</v>
      </c>
      <c r="G4663" s="10">
        <v>20000000</v>
      </c>
      <c r="H4663" s="10">
        <v>59774</v>
      </c>
      <c r="I4663" s="5">
        <f>IMDB_Movies!$H4663-IMDB_Movies!$G4663</f>
        <v>-19940226</v>
      </c>
    </row>
    <row r="4664" spans="1:9" ht="23">
      <c r="A4664" s="2" t="s">
        <v>7020</v>
      </c>
      <c r="B4664" s="9" t="s">
        <v>7021</v>
      </c>
      <c r="C4664" s="9" t="s">
        <v>56</v>
      </c>
      <c r="D4664" s="9" t="s">
        <v>11</v>
      </c>
      <c r="E4664" s="9">
        <v>103</v>
      </c>
      <c r="F4664" s="9">
        <v>6.9</v>
      </c>
      <c r="G4664" s="9">
        <v>200000</v>
      </c>
      <c r="H4664" s="9">
        <v>174682</v>
      </c>
      <c r="I4664" s="5">
        <f>IMDB_Movies!$H4664-IMDB_Movies!$G4664</f>
        <v>-25318</v>
      </c>
    </row>
    <row r="4665" spans="1:9" ht="23">
      <c r="A4665" s="3" t="s">
        <v>7022</v>
      </c>
      <c r="B4665" s="10" t="s">
        <v>7023</v>
      </c>
      <c r="C4665" s="10" t="s">
        <v>772</v>
      </c>
      <c r="D4665" s="10" t="s">
        <v>11</v>
      </c>
      <c r="E4665" s="10">
        <v>86</v>
      </c>
      <c r="F4665" s="10">
        <v>7.5</v>
      </c>
      <c r="G4665" s="10">
        <v>200000</v>
      </c>
      <c r="H4665" s="10">
        <v>215185</v>
      </c>
      <c r="I4665" s="5">
        <f>IMDB_Movies!$H4665-IMDB_Movies!$G4665</f>
        <v>15185</v>
      </c>
    </row>
    <row r="4666" spans="1:9" ht="23">
      <c r="A4666" s="2" t="s">
        <v>7024</v>
      </c>
      <c r="B4666" s="9" t="s">
        <v>7025</v>
      </c>
      <c r="C4666" s="9" t="s">
        <v>414</v>
      </c>
      <c r="D4666" s="9" t="s">
        <v>11</v>
      </c>
      <c r="E4666" s="9">
        <v>90</v>
      </c>
      <c r="F4666" s="9">
        <v>5.0999999999999996</v>
      </c>
      <c r="G4666" s="9">
        <v>200000</v>
      </c>
      <c r="H4666" s="9">
        <v>25078937</v>
      </c>
      <c r="I4666" s="5">
        <f>IMDB_Movies!$H4666-IMDB_Movies!$G4666</f>
        <v>24878937</v>
      </c>
    </row>
    <row r="4667" spans="1:9" ht="23">
      <c r="A4667" s="3" t="s">
        <v>7026</v>
      </c>
      <c r="B4667" s="10" t="s">
        <v>3599</v>
      </c>
      <c r="C4667" s="10" t="s">
        <v>138</v>
      </c>
      <c r="D4667" s="10" t="s">
        <v>11</v>
      </c>
      <c r="E4667" s="10">
        <v>95</v>
      </c>
      <c r="F4667" s="10">
        <v>6.2</v>
      </c>
      <c r="G4667" s="10">
        <v>250000</v>
      </c>
      <c r="H4667" s="10">
        <v>25078937</v>
      </c>
      <c r="I4667" s="5">
        <f>IMDB_Movies!$H4667-IMDB_Movies!$G4667</f>
        <v>24828937</v>
      </c>
    </row>
    <row r="4668" spans="1:9" ht="23">
      <c r="A4668" s="2" t="s">
        <v>7027</v>
      </c>
      <c r="B4668" s="9" t="s">
        <v>3104</v>
      </c>
      <c r="C4668" s="9" t="s">
        <v>810</v>
      </c>
      <c r="D4668" s="9" t="s">
        <v>11</v>
      </c>
      <c r="E4668" s="9">
        <v>94</v>
      </c>
      <c r="F4668" s="9">
        <v>3.9</v>
      </c>
      <c r="G4668" s="9">
        <v>13000000</v>
      </c>
      <c r="H4668" s="9">
        <v>25078937</v>
      </c>
      <c r="I4668" s="5">
        <f>IMDB_Movies!$H4668-IMDB_Movies!$G4668</f>
        <v>12078937</v>
      </c>
    </row>
    <row r="4669" spans="1:9" ht="23">
      <c r="A4669" s="3" t="s">
        <v>7028</v>
      </c>
      <c r="B4669" s="10" t="s">
        <v>4458</v>
      </c>
      <c r="C4669" s="10" t="s">
        <v>138</v>
      </c>
      <c r="D4669" s="10" t="s">
        <v>11</v>
      </c>
      <c r="E4669" s="10">
        <v>84</v>
      </c>
      <c r="F4669" s="10">
        <v>6</v>
      </c>
      <c r="G4669" s="10">
        <v>20000000</v>
      </c>
      <c r="H4669" s="10">
        <v>140016</v>
      </c>
      <c r="I4669" s="5">
        <f>IMDB_Movies!$H4669-IMDB_Movies!$G4669</f>
        <v>-19859984</v>
      </c>
    </row>
    <row r="4670" spans="1:9" ht="23">
      <c r="A4670" s="2" t="s">
        <v>7029</v>
      </c>
      <c r="B4670" s="9" t="s">
        <v>7030</v>
      </c>
      <c r="C4670" s="9" t="s">
        <v>138</v>
      </c>
      <c r="D4670" s="9" t="s">
        <v>11</v>
      </c>
      <c r="E4670" s="9">
        <v>89</v>
      </c>
      <c r="F4670" s="9">
        <v>6.8</v>
      </c>
      <c r="G4670" s="9">
        <v>20000000</v>
      </c>
      <c r="H4670" s="9">
        <v>25078937</v>
      </c>
      <c r="I4670" s="5">
        <f>IMDB_Movies!$H4670-IMDB_Movies!$G4670</f>
        <v>5078937</v>
      </c>
    </row>
    <row r="4671" spans="1:9" ht="23">
      <c r="A4671" s="3" t="s">
        <v>7031</v>
      </c>
      <c r="B4671" s="10" t="s">
        <v>7032</v>
      </c>
      <c r="C4671" s="10" t="s">
        <v>772</v>
      </c>
      <c r="D4671" s="10" t="s">
        <v>394</v>
      </c>
      <c r="E4671" s="10">
        <v>59</v>
      </c>
      <c r="F4671" s="10">
        <v>7.4</v>
      </c>
      <c r="G4671" s="10">
        <v>150000</v>
      </c>
      <c r="H4671" s="10">
        <v>25078937</v>
      </c>
      <c r="I4671" s="5">
        <f>IMDB_Movies!$H4671-IMDB_Movies!$G4671</f>
        <v>24928937</v>
      </c>
    </row>
    <row r="4672" spans="1:9" ht="23">
      <c r="A4672" s="2" t="s">
        <v>7033</v>
      </c>
      <c r="B4672" s="9" t="s">
        <v>7034</v>
      </c>
      <c r="C4672" s="9" t="s">
        <v>56</v>
      </c>
      <c r="D4672" s="9" t="s">
        <v>4656</v>
      </c>
      <c r="E4672" s="9">
        <v>126</v>
      </c>
      <c r="F4672" s="9">
        <v>8.1</v>
      </c>
      <c r="G4672" s="9">
        <v>20000000</v>
      </c>
      <c r="H4672" s="9">
        <v>25078937</v>
      </c>
      <c r="I4672" s="5">
        <f>IMDB_Movies!$H4672-IMDB_Movies!$G4672</f>
        <v>5078937</v>
      </c>
    </row>
    <row r="4673" spans="1:9" ht="23">
      <c r="A4673" s="3" t="s">
        <v>7035</v>
      </c>
      <c r="B4673" s="10" t="s">
        <v>7036</v>
      </c>
      <c r="C4673" s="10" t="s">
        <v>138</v>
      </c>
      <c r="D4673" s="10" t="s">
        <v>11</v>
      </c>
      <c r="E4673" s="10">
        <v>86</v>
      </c>
      <c r="F4673" s="10">
        <v>6.5</v>
      </c>
      <c r="G4673" s="10">
        <v>20000000</v>
      </c>
      <c r="H4673" s="10">
        <v>15542</v>
      </c>
      <c r="I4673" s="5">
        <f>IMDB_Movies!$H4673-IMDB_Movies!$G4673</f>
        <v>-19984458</v>
      </c>
    </row>
    <row r="4674" spans="1:9" ht="23">
      <c r="A4674" s="2" t="s">
        <v>7037</v>
      </c>
      <c r="B4674" s="9" t="s">
        <v>6600</v>
      </c>
      <c r="C4674" s="9" t="s">
        <v>56</v>
      </c>
      <c r="D4674" s="9" t="s">
        <v>11</v>
      </c>
      <c r="E4674" s="9">
        <v>87</v>
      </c>
      <c r="F4674" s="9">
        <v>8</v>
      </c>
      <c r="G4674" s="9">
        <v>200000</v>
      </c>
      <c r="H4674" s="9">
        <v>25078937</v>
      </c>
      <c r="I4674" s="5">
        <f>IMDB_Movies!$H4674-IMDB_Movies!$G4674</f>
        <v>24878937</v>
      </c>
    </row>
    <row r="4675" spans="1:9" ht="23">
      <c r="A4675" s="3" t="s">
        <v>7038</v>
      </c>
      <c r="B4675" s="10" t="s">
        <v>7039</v>
      </c>
      <c r="C4675" s="10" t="s">
        <v>414</v>
      </c>
      <c r="D4675" s="10" t="s">
        <v>11</v>
      </c>
      <c r="E4675" s="10">
        <v>106</v>
      </c>
      <c r="F4675" s="10">
        <v>7.7</v>
      </c>
      <c r="G4675" s="10">
        <v>200000</v>
      </c>
      <c r="H4675" s="10">
        <v>1111</v>
      </c>
      <c r="I4675" s="5">
        <f>IMDB_Movies!$H4675-IMDB_Movies!$G4675</f>
        <v>-198889</v>
      </c>
    </row>
    <row r="4676" spans="1:9" ht="23">
      <c r="A4676" s="2" t="s">
        <v>7040</v>
      </c>
      <c r="B4676" s="9" t="s">
        <v>7041</v>
      </c>
      <c r="C4676" s="9" t="s">
        <v>56</v>
      </c>
      <c r="D4676" s="9" t="s">
        <v>11</v>
      </c>
      <c r="E4676" s="9">
        <v>86</v>
      </c>
      <c r="F4676" s="9">
        <v>7.2</v>
      </c>
      <c r="G4676" s="9">
        <v>200000</v>
      </c>
      <c r="H4676" s="9">
        <v>25078937</v>
      </c>
      <c r="I4676" s="5">
        <f>IMDB_Movies!$H4676-IMDB_Movies!$G4676</f>
        <v>24878937</v>
      </c>
    </row>
    <row r="4677" spans="1:9" ht="23">
      <c r="A4677" s="3" t="s">
        <v>7042</v>
      </c>
      <c r="B4677" s="10" t="s">
        <v>7043</v>
      </c>
      <c r="C4677" s="10" t="s">
        <v>56</v>
      </c>
      <c r="D4677" s="10" t="s">
        <v>11</v>
      </c>
      <c r="E4677" s="10">
        <v>89</v>
      </c>
      <c r="F4677" s="10">
        <v>5.4</v>
      </c>
      <c r="G4677" s="10">
        <v>2500000</v>
      </c>
      <c r="H4677" s="10">
        <v>25078937</v>
      </c>
      <c r="I4677" s="5">
        <f>IMDB_Movies!$H4677-IMDB_Movies!$G4677</f>
        <v>22578937</v>
      </c>
    </row>
    <row r="4678" spans="1:9" ht="23">
      <c r="A4678" s="2" t="s">
        <v>7044</v>
      </c>
      <c r="B4678" s="9" t="s">
        <v>7045</v>
      </c>
      <c r="C4678" s="9" t="s">
        <v>138</v>
      </c>
      <c r="D4678" s="9" t="s">
        <v>11</v>
      </c>
      <c r="E4678" s="9">
        <v>105</v>
      </c>
      <c r="F4678" s="9">
        <v>6.7</v>
      </c>
      <c r="G4678" s="9">
        <v>200000</v>
      </c>
      <c r="H4678" s="9">
        <v>25078937</v>
      </c>
      <c r="I4678" s="5">
        <f>IMDB_Movies!$H4678-IMDB_Movies!$G4678</f>
        <v>24878937</v>
      </c>
    </row>
    <row r="4679" spans="1:9" ht="23">
      <c r="A4679" s="3" t="s">
        <v>7046</v>
      </c>
      <c r="B4679" s="10" t="s">
        <v>7047</v>
      </c>
      <c r="C4679" s="10" t="s">
        <v>56</v>
      </c>
      <c r="D4679" s="10" t="s">
        <v>11</v>
      </c>
      <c r="E4679" s="10">
        <v>93</v>
      </c>
      <c r="F4679" s="10">
        <v>6.3</v>
      </c>
      <c r="G4679" s="10">
        <v>20000000</v>
      </c>
      <c r="H4679" s="10">
        <v>25078937</v>
      </c>
      <c r="I4679" s="5">
        <f>IMDB_Movies!$H4679-IMDB_Movies!$G4679</f>
        <v>5078937</v>
      </c>
    </row>
    <row r="4680" spans="1:9" ht="23">
      <c r="A4680" s="2" t="s">
        <v>7048</v>
      </c>
      <c r="B4680" s="9" t="s">
        <v>7049</v>
      </c>
      <c r="C4680" s="9" t="s">
        <v>56</v>
      </c>
      <c r="D4680" s="9" t="s">
        <v>11</v>
      </c>
      <c r="E4680" s="9">
        <v>94</v>
      </c>
      <c r="F4680" s="9">
        <v>8.1</v>
      </c>
      <c r="G4680" s="9">
        <v>200000</v>
      </c>
      <c r="H4680" s="9">
        <v>25078937</v>
      </c>
      <c r="I4680" s="5">
        <f>IMDB_Movies!$H4680-IMDB_Movies!$G4680</f>
        <v>24878937</v>
      </c>
    </row>
    <row r="4681" spans="1:9" ht="23">
      <c r="A4681" s="3" t="s">
        <v>7050</v>
      </c>
      <c r="B4681" s="10" t="s">
        <v>7051</v>
      </c>
      <c r="C4681" s="10" t="s">
        <v>56</v>
      </c>
      <c r="D4681" s="10" t="s">
        <v>6615</v>
      </c>
      <c r="E4681" s="10">
        <v>89</v>
      </c>
      <c r="F4681" s="10">
        <v>8.5</v>
      </c>
      <c r="G4681" s="10">
        <v>180000</v>
      </c>
      <c r="H4681" s="10">
        <v>925402</v>
      </c>
      <c r="I4681" s="5">
        <f>IMDB_Movies!$H4681-IMDB_Movies!$G4681</f>
        <v>745402</v>
      </c>
    </row>
    <row r="4682" spans="1:9" ht="23">
      <c r="A4682" s="2" t="s">
        <v>7052</v>
      </c>
      <c r="B4682" s="9" t="s">
        <v>7053</v>
      </c>
      <c r="C4682" s="9" t="s">
        <v>56</v>
      </c>
      <c r="D4682" s="9" t="s">
        <v>11</v>
      </c>
      <c r="E4682" s="9">
        <v>97</v>
      </c>
      <c r="F4682" s="9">
        <v>7.7</v>
      </c>
      <c r="G4682" s="9">
        <v>120000</v>
      </c>
      <c r="H4682" s="9">
        <v>469947</v>
      </c>
      <c r="I4682" s="5">
        <f>IMDB_Movies!$H4682-IMDB_Movies!$G4682</f>
        <v>349947</v>
      </c>
    </row>
    <row r="4683" spans="1:9" ht="23">
      <c r="A4683" s="3" t="s">
        <v>7054</v>
      </c>
      <c r="B4683" s="10" t="s">
        <v>1380</v>
      </c>
      <c r="C4683" s="10" t="s">
        <v>138</v>
      </c>
      <c r="D4683" s="10" t="s">
        <v>11</v>
      </c>
      <c r="E4683" s="10">
        <v>88</v>
      </c>
      <c r="F4683" s="10">
        <v>6.5</v>
      </c>
      <c r="G4683" s="10">
        <v>175000</v>
      </c>
      <c r="H4683" s="10">
        <v>7137502</v>
      </c>
      <c r="I4683" s="5">
        <f>IMDB_Movies!$H4683-IMDB_Movies!$G4683</f>
        <v>6962502</v>
      </c>
    </row>
    <row r="4684" spans="1:9" ht="23">
      <c r="A4684" s="2" t="s">
        <v>7055</v>
      </c>
      <c r="B4684" s="9" t="s">
        <v>7056</v>
      </c>
      <c r="C4684" s="9" t="s">
        <v>772</v>
      </c>
      <c r="D4684" s="9" t="s">
        <v>11</v>
      </c>
      <c r="E4684" s="9">
        <v>78</v>
      </c>
      <c r="F4684" s="9">
        <v>8.6999999999999993</v>
      </c>
      <c r="G4684" s="9">
        <v>180000</v>
      </c>
      <c r="H4684" s="9">
        <v>25078937</v>
      </c>
      <c r="I4684" s="5">
        <f>IMDB_Movies!$H4684-IMDB_Movies!$G4684</f>
        <v>24898937</v>
      </c>
    </row>
    <row r="4685" spans="1:9" ht="23">
      <c r="A4685" s="3" t="s">
        <v>7057</v>
      </c>
      <c r="B4685" s="10" t="s">
        <v>7058</v>
      </c>
      <c r="C4685" s="10" t="s">
        <v>56</v>
      </c>
      <c r="D4685" s="10" t="s">
        <v>6608</v>
      </c>
      <c r="E4685" s="10">
        <v>104</v>
      </c>
      <c r="F4685" s="10">
        <v>6.5</v>
      </c>
      <c r="G4685" s="10">
        <v>168000</v>
      </c>
      <c r="H4685" s="10">
        <v>25078937</v>
      </c>
      <c r="I4685" s="5">
        <f>IMDB_Movies!$H4685-IMDB_Movies!$G4685</f>
        <v>24910937</v>
      </c>
    </row>
    <row r="4686" spans="1:9" ht="23">
      <c r="A4686" s="2" t="s">
        <v>7059</v>
      </c>
      <c r="B4686" s="9" t="s">
        <v>6509</v>
      </c>
      <c r="C4686" s="9" t="s">
        <v>56</v>
      </c>
      <c r="D4686" s="9" t="s">
        <v>11</v>
      </c>
      <c r="E4686" s="9">
        <v>92</v>
      </c>
      <c r="F4686" s="9">
        <v>7</v>
      </c>
      <c r="G4686" s="9">
        <v>100000</v>
      </c>
      <c r="H4686" s="9">
        <v>1316074</v>
      </c>
      <c r="I4686" s="5">
        <f>IMDB_Movies!$H4686-IMDB_Movies!$G4686</f>
        <v>1216074</v>
      </c>
    </row>
    <row r="4687" spans="1:9" ht="23">
      <c r="A4687" s="3" t="s">
        <v>7060</v>
      </c>
      <c r="B4687" s="10" t="s">
        <v>7061</v>
      </c>
      <c r="C4687" s="10" t="s">
        <v>414</v>
      </c>
      <c r="D4687" s="10" t="s">
        <v>11</v>
      </c>
      <c r="E4687" s="10">
        <v>97</v>
      </c>
      <c r="F4687" s="10">
        <v>5.5</v>
      </c>
      <c r="G4687" s="10">
        <v>500000</v>
      </c>
      <c r="H4687" s="10">
        <v>15180000</v>
      </c>
      <c r="I4687" s="5">
        <f>IMDB_Movies!$H4687-IMDB_Movies!$G4687</f>
        <v>14680000</v>
      </c>
    </row>
    <row r="4688" spans="1:9" ht="23">
      <c r="A4688" s="2" t="s">
        <v>7062</v>
      </c>
      <c r="B4688" s="9" t="s">
        <v>7063</v>
      </c>
      <c r="C4688" s="9" t="s">
        <v>56</v>
      </c>
      <c r="D4688" s="9" t="s">
        <v>11</v>
      </c>
      <c r="E4688" s="9">
        <v>109</v>
      </c>
      <c r="F4688" s="9">
        <v>7</v>
      </c>
      <c r="G4688" s="9">
        <v>200000</v>
      </c>
      <c r="H4688" s="9">
        <v>25078937</v>
      </c>
      <c r="I4688" s="5">
        <f>IMDB_Movies!$H4688-IMDB_Movies!$G4688</f>
        <v>24878937</v>
      </c>
    </row>
    <row r="4689" spans="1:9" ht="23">
      <c r="A4689" s="3" t="s">
        <v>7064</v>
      </c>
      <c r="B4689" s="10" t="s">
        <v>685</v>
      </c>
      <c r="C4689" s="10" t="s">
        <v>138</v>
      </c>
      <c r="D4689" s="10" t="s">
        <v>11</v>
      </c>
      <c r="E4689" s="10">
        <v>78</v>
      </c>
      <c r="F4689" s="10">
        <v>6.3</v>
      </c>
      <c r="G4689" s="10">
        <v>150000</v>
      </c>
      <c r="H4689" s="10">
        <v>2882062</v>
      </c>
      <c r="I4689" s="5">
        <f>IMDB_Movies!$H4689-IMDB_Movies!$G4689</f>
        <v>2732062</v>
      </c>
    </row>
    <row r="4690" spans="1:9" ht="23">
      <c r="A4690" s="2" t="s">
        <v>7065</v>
      </c>
      <c r="B4690" s="9" t="s">
        <v>4791</v>
      </c>
      <c r="C4690" s="9" t="s">
        <v>56</v>
      </c>
      <c r="D4690" s="9" t="s">
        <v>11</v>
      </c>
      <c r="E4690" s="9">
        <v>85</v>
      </c>
      <c r="F4690" s="9">
        <v>7.9</v>
      </c>
      <c r="G4690" s="9">
        <v>180000</v>
      </c>
      <c r="H4690" s="9">
        <v>9437933</v>
      </c>
      <c r="I4690" s="5">
        <f>IMDB_Movies!$H4690-IMDB_Movies!$G4690</f>
        <v>9257933</v>
      </c>
    </row>
    <row r="4691" spans="1:9" ht="23">
      <c r="A4691" s="3" t="s">
        <v>7066</v>
      </c>
      <c r="B4691" s="10" t="s">
        <v>7067</v>
      </c>
      <c r="C4691" s="10" t="s">
        <v>138</v>
      </c>
      <c r="D4691" s="10" t="s">
        <v>11</v>
      </c>
      <c r="E4691" s="10">
        <v>88</v>
      </c>
      <c r="F4691" s="10">
        <v>7.3</v>
      </c>
      <c r="G4691" s="10">
        <v>1200000</v>
      </c>
      <c r="H4691" s="10">
        <v>110720</v>
      </c>
      <c r="I4691" s="5">
        <f>IMDB_Movies!$H4691-IMDB_Movies!$G4691</f>
        <v>-1089280</v>
      </c>
    </row>
    <row r="4692" spans="1:9" ht="23">
      <c r="A4692" s="2" t="s">
        <v>7068</v>
      </c>
      <c r="B4692" s="9" t="s">
        <v>7069</v>
      </c>
      <c r="C4692" s="9" t="s">
        <v>772</v>
      </c>
      <c r="D4692" s="9" t="s">
        <v>11</v>
      </c>
      <c r="E4692" s="9">
        <v>93</v>
      </c>
      <c r="F4692" s="9">
        <v>7.4</v>
      </c>
      <c r="G4692" s="9">
        <v>160000</v>
      </c>
      <c r="H4692" s="9">
        <v>155984</v>
      </c>
      <c r="I4692" s="5">
        <f>IMDB_Movies!$H4692-IMDB_Movies!$G4692</f>
        <v>-4016</v>
      </c>
    </row>
    <row r="4693" spans="1:9" ht="23">
      <c r="A4693" s="3" t="s">
        <v>7070</v>
      </c>
      <c r="B4693" s="10" t="s">
        <v>7071</v>
      </c>
      <c r="C4693" s="10" t="s">
        <v>810</v>
      </c>
      <c r="D4693" s="10" t="s">
        <v>11</v>
      </c>
      <c r="E4693" s="10">
        <v>86</v>
      </c>
      <c r="F4693" s="10">
        <v>5.4</v>
      </c>
      <c r="G4693" s="10">
        <v>20000000</v>
      </c>
      <c r="H4693" s="10">
        <v>25078937</v>
      </c>
      <c r="I4693" s="5">
        <f>IMDB_Movies!$H4693-IMDB_Movies!$G4693</f>
        <v>5078937</v>
      </c>
    </row>
    <row r="4694" spans="1:9" ht="23">
      <c r="A4694" s="2" t="s">
        <v>7072</v>
      </c>
      <c r="B4694" s="9" t="s">
        <v>7073</v>
      </c>
      <c r="C4694" s="9" t="s">
        <v>10</v>
      </c>
      <c r="D4694" s="9" t="s">
        <v>11</v>
      </c>
      <c r="E4694" s="9">
        <v>98</v>
      </c>
      <c r="F4694" s="9">
        <v>7.1</v>
      </c>
      <c r="G4694" s="9">
        <v>20000000</v>
      </c>
      <c r="H4694" s="9">
        <v>25078937</v>
      </c>
      <c r="I4694" s="5">
        <f>IMDB_Movies!$H4694-IMDB_Movies!$G4694</f>
        <v>5078937</v>
      </c>
    </row>
    <row r="4695" spans="1:9" ht="23">
      <c r="A4695" s="3" t="s">
        <v>7074</v>
      </c>
      <c r="B4695" s="10" t="s">
        <v>7075</v>
      </c>
      <c r="C4695" s="10" t="s">
        <v>116</v>
      </c>
      <c r="D4695" s="10" t="s">
        <v>11</v>
      </c>
      <c r="E4695" s="10">
        <v>25</v>
      </c>
      <c r="F4695" s="10">
        <v>8.4</v>
      </c>
      <c r="G4695" s="10">
        <v>150000</v>
      </c>
      <c r="H4695" s="10">
        <v>25078937</v>
      </c>
      <c r="I4695" s="5">
        <f>IMDB_Movies!$H4695-IMDB_Movies!$G4695</f>
        <v>24928937</v>
      </c>
    </row>
    <row r="4696" spans="1:9" ht="23">
      <c r="A4696" s="2" t="s">
        <v>7076</v>
      </c>
      <c r="B4696" s="9" t="s">
        <v>7077</v>
      </c>
      <c r="C4696" s="9" t="s">
        <v>24</v>
      </c>
      <c r="D4696" s="9" t="s">
        <v>11</v>
      </c>
      <c r="E4696" s="9">
        <v>72</v>
      </c>
      <c r="F4696" s="9">
        <v>7</v>
      </c>
      <c r="G4696" s="9">
        <v>150000</v>
      </c>
      <c r="H4696" s="9">
        <v>4914</v>
      </c>
      <c r="I4696" s="5">
        <f>IMDB_Movies!$H4696-IMDB_Movies!$G4696</f>
        <v>-145086</v>
      </c>
    </row>
    <row r="4697" spans="1:9" ht="23">
      <c r="A4697" s="3" t="s">
        <v>7078</v>
      </c>
      <c r="B4697" s="10" t="s">
        <v>7079</v>
      </c>
      <c r="C4697" s="10" t="s">
        <v>772</v>
      </c>
      <c r="D4697" s="10" t="s">
        <v>11</v>
      </c>
      <c r="E4697" s="10">
        <v>66</v>
      </c>
      <c r="F4697" s="10">
        <v>5.3</v>
      </c>
      <c r="G4697" s="10">
        <v>150000</v>
      </c>
      <c r="H4697" s="10">
        <v>25078937</v>
      </c>
      <c r="I4697" s="5">
        <f>IMDB_Movies!$H4697-IMDB_Movies!$G4697</f>
        <v>24928937</v>
      </c>
    </row>
    <row r="4698" spans="1:9" ht="23">
      <c r="A4698" s="2" t="s">
        <v>7080</v>
      </c>
      <c r="B4698" s="9" t="s">
        <v>7081</v>
      </c>
      <c r="C4698" s="9" t="s">
        <v>772</v>
      </c>
      <c r="D4698" s="9" t="s">
        <v>11</v>
      </c>
      <c r="E4698" s="9">
        <v>80</v>
      </c>
      <c r="F4698" s="9">
        <v>7.1</v>
      </c>
      <c r="G4698" s="9">
        <v>150000</v>
      </c>
      <c r="H4698" s="9">
        <v>5858</v>
      </c>
      <c r="I4698" s="5">
        <f>IMDB_Movies!$H4698-IMDB_Movies!$G4698</f>
        <v>-144142</v>
      </c>
    </row>
    <row r="4699" spans="1:9" ht="23">
      <c r="A4699" s="3" t="s">
        <v>7082</v>
      </c>
      <c r="B4699" s="10" t="s">
        <v>3168</v>
      </c>
      <c r="C4699" s="10" t="s">
        <v>772</v>
      </c>
      <c r="D4699" s="10" t="s">
        <v>11</v>
      </c>
      <c r="E4699" s="10">
        <v>91</v>
      </c>
      <c r="F4699" s="10">
        <v>7.5</v>
      </c>
      <c r="G4699" s="10">
        <v>160000</v>
      </c>
      <c r="H4699" s="10">
        <v>6706368</v>
      </c>
      <c r="I4699" s="5">
        <f>IMDB_Movies!$H4699-IMDB_Movies!$G4699</f>
        <v>6546368</v>
      </c>
    </row>
    <row r="4700" spans="1:9" ht="23">
      <c r="A4700" s="2" t="s">
        <v>7083</v>
      </c>
      <c r="B4700" s="9" t="s">
        <v>7084</v>
      </c>
      <c r="C4700" s="9" t="s">
        <v>56</v>
      </c>
      <c r="D4700" s="9" t="s">
        <v>11</v>
      </c>
      <c r="E4700" s="9">
        <v>89</v>
      </c>
      <c r="F4700" s="9">
        <v>7.2</v>
      </c>
      <c r="G4700" s="9">
        <v>125000</v>
      </c>
      <c r="H4700" s="9">
        <v>25078937</v>
      </c>
      <c r="I4700" s="5">
        <f>IMDB_Movies!$H4700-IMDB_Movies!$G4700</f>
        <v>24953937</v>
      </c>
    </row>
    <row r="4701" spans="1:9" ht="23">
      <c r="A4701" s="3" t="s">
        <v>7085</v>
      </c>
      <c r="B4701" s="10" t="s">
        <v>5012</v>
      </c>
      <c r="C4701" s="10" t="s">
        <v>56</v>
      </c>
      <c r="D4701" s="10" t="s">
        <v>11</v>
      </c>
      <c r="E4701" s="10">
        <v>85</v>
      </c>
      <c r="F4701" s="10">
        <v>6.7</v>
      </c>
      <c r="G4701" s="10">
        <v>20000000</v>
      </c>
      <c r="H4701" s="10">
        <v>405614</v>
      </c>
      <c r="I4701" s="5">
        <f>IMDB_Movies!$H4701-IMDB_Movies!$G4701</f>
        <v>-19594386</v>
      </c>
    </row>
    <row r="4702" spans="1:9" ht="23">
      <c r="A4702" s="2" t="s">
        <v>7086</v>
      </c>
      <c r="B4702" s="9" t="s">
        <v>7087</v>
      </c>
      <c r="C4702" s="9" t="s">
        <v>772</v>
      </c>
      <c r="D4702" s="9" t="s">
        <v>4714</v>
      </c>
      <c r="E4702" s="9">
        <v>62</v>
      </c>
      <c r="F4702" s="9">
        <v>8.1999999999999993</v>
      </c>
      <c r="G4702" s="9">
        <v>125000</v>
      </c>
      <c r="H4702" s="9">
        <v>25078937</v>
      </c>
      <c r="I4702" s="5">
        <f>IMDB_Movies!$H4702-IMDB_Movies!$G4702</f>
        <v>24953937</v>
      </c>
    </row>
    <row r="4703" spans="1:9" ht="23">
      <c r="A4703" s="3" t="s">
        <v>7088</v>
      </c>
      <c r="B4703" s="10" t="s">
        <v>7089</v>
      </c>
      <c r="C4703" s="10" t="s">
        <v>772</v>
      </c>
      <c r="D4703" s="10" t="s">
        <v>11</v>
      </c>
      <c r="E4703" s="10">
        <v>90</v>
      </c>
      <c r="F4703" s="10">
        <v>6.6</v>
      </c>
      <c r="G4703" s="10">
        <v>120000</v>
      </c>
      <c r="H4703" s="10">
        <v>25078937</v>
      </c>
      <c r="I4703" s="5">
        <f>IMDB_Movies!$H4703-IMDB_Movies!$G4703</f>
        <v>24958937</v>
      </c>
    </row>
    <row r="4704" spans="1:9" ht="23">
      <c r="A4704" s="2" t="s">
        <v>7090</v>
      </c>
      <c r="B4704" s="9" t="s">
        <v>7091</v>
      </c>
      <c r="C4704" s="9" t="s">
        <v>138</v>
      </c>
      <c r="D4704" s="9" t="s">
        <v>11</v>
      </c>
      <c r="E4704" s="9">
        <v>90</v>
      </c>
      <c r="F4704" s="9">
        <v>6.7</v>
      </c>
      <c r="G4704" s="9">
        <v>125000</v>
      </c>
      <c r="H4704" s="9">
        <v>1573712</v>
      </c>
      <c r="I4704" s="5">
        <f>IMDB_Movies!$H4704-IMDB_Movies!$G4704</f>
        <v>1448712</v>
      </c>
    </row>
    <row r="4705" spans="1:9" ht="23">
      <c r="A4705" s="3" t="s">
        <v>7092</v>
      </c>
      <c r="B4705" s="10" t="s">
        <v>7093</v>
      </c>
      <c r="C4705" s="10" t="s">
        <v>138</v>
      </c>
      <c r="D4705" s="10" t="s">
        <v>11</v>
      </c>
      <c r="E4705" s="10">
        <v>88</v>
      </c>
      <c r="F4705" s="10">
        <v>7</v>
      </c>
      <c r="G4705" s="10">
        <v>120000</v>
      </c>
      <c r="H4705" s="10">
        <v>25078937</v>
      </c>
      <c r="I4705" s="5">
        <f>IMDB_Movies!$H4705-IMDB_Movies!$G4705</f>
        <v>24958937</v>
      </c>
    </row>
    <row r="4706" spans="1:9" ht="23">
      <c r="A4706" s="2" t="s">
        <v>7094</v>
      </c>
      <c r="B4706" s="9" t="s">
        <v>6913</v>
      </c>
      <c r="C4706" s="9" t="s">
        <v>56</v>
      </c>
      <c r="D4706" s="9" t="s">
        <v>394</v>
      </c>
      <c r="E4706" s="9">
        <v>94</v>
      </c>
      <c r="F4706" s="9">
        <v>7.4</v>
      </c>
      <c r="G4706" s="9">
        <v>120000</v>
      </c>
      <c r="H4706" s="9">
        <v>25078937</v>
      </c>
      <c r="I4706" s="5">
        <f>IMDB_Movies!$H4706-IMDB_Movies!$G4706</f>
        <v>24958937</v>
      </c>
    </row>
    <row r="4707" spans="1:9" ht="23">
      <c r="A4707" s="3" t="s">
        <v>7095</v>
      </c>
      <c r="B4707" s="10" t="s">
        <v>7096</v>
      </c>
      <c r="C4707" s="10" t="s">
        <v>418</v>
      </c>
      <c r="D4707" s="10" t="s">
        <v>11</v>
      </c>
      <c r="E4707" s="10">
        <v>120</v>
      </c>
      <c r="F4707" s="10">
        <v>5.4</v>
      </c>
      <c r="G4707" s="10">
        <v>10000000</v>
      </c>
      <c r="H4707" s="10">
        <v>25078937</v>
      </c>
      <c r="I4707" s="5">
        <f>IMDB_Movies!$H4707-IMDB_Movies!$G4707</f>
        <v>15078937</v>
      </c>
    </row>
    <row r="4708" spans="1:9" ht="23">
      <c r="A4708" s="2" t="s">
        <v>7097</v>
      </c>
      <c r="B4708" s="9" t="s">
        <v>7098</v>
      </c>
      <c r="C4708" s="9" t="s">
        <v>138</v>
      </c>
      <c r="D4708" s="9" t="s">
        <v>11</v>
      </c>
      <c r="E4708" s="9">
        <v>77</v>
      </c>
      <c r="F4708" s="9">
        <v>5.7</v>
      </c>
      <c r="G4708" s="9">
        <v>103000</v>
      </c>
      <c r="H4708" s="9">
        <v>25078937</v>
      </c>
      <c r="I4708" s="5">
        <f>IMDB_Movies!$H4708-IMDB_Movies!$G4708</f>
        <v>24975937</v>
      </c>
    </row>
    <row r="4709" spans="1:9" ht="23">
      <c r="A4709" s="3" t="s">
        <v>7099</v>
      </c>
      <c r="B4709" s="10" t="s">
        <v>6017</v>
      </c>
      <c r="C4709" s="10" t="s">
        <v>56</v>
      </c>
      <c r="D4709" s="10" t="s">
        <v>11</v>
      </c>
      <c r="E4709" s="10">
        <v>111</v>
      </c>
      <c r="F4709" s="10">
        <v>6.7</v>
      </c>
      <c r="G4709" s="10">
        <v>100000</v>
      </c>
      <c r="H4709" s="10">
        <v>10174663</v>
      </c>
      <c r="I4709" s="5">
        <f>IMDB_Movies!$H4709-IMDB_Movies!$G4709</f>
        <v>10074663</v>
      </c>
    </row>
    <row r="4710" spans="1:9" ht="23">
      <c r="A4710" s="2" t="s">
        <v>7100</v>
      </c>
      <c r="B4710" s="9" t="s">
        <v>7101</v>
      </c>
      <c r="C4710" s="9" t="s">
        <v>810</v>
      </c>
      <c r="D4710" s="9" t="s">
        <v>11</v>
      </c>
      <c r="E4710" s="9">
        <v>81</v>
      </c>
      <c r="F4710" s="9">
        <v>4.2</v>
      </c>
      <c r="G4710" s="9">
        <v>100000</v>
      </c>
      <c r="H4710" s="9">
        <v>22757819</v>
      </c>
      <c r="I4710" s="5">
        <f>IMDB_Movies!$H4710-IMDB_Movies!$G4710</f>
        <v>22657819</v>
      </c>
    </row>
    <row r="4711" spans="1:9" ht="23">
      <c r="A4711" s="3" t="s">
        <v>7102</v>
      </c>
      <c r="B4711" s="10" t="s">
        <v>1613</v>
      </c>
      <c r="C4711" s="10" t="s">
        <v>713</v>
      </c>
      <c r="D4711" s="10" t="s">
        <v>11</v>
      </c>
      <c r="E4711" s="10">
        <v>89</v>
      </c>
      <c r="F4711" s="10">
        <v>7.4</v>
      </c>
      <c r="G4711" s="10">
        <v>20000</v>
      </c>
      <c r="H4711" s="10">
        <v>25078937</v>
      </c>
      <c r="I4711" s="5">
        <f>IMDB_Movies!$H4711-IMDB_Movies!$G4711</f>
        <v>25058937</v>
      </c>
    </row>
    <row r="4712" spans="1:9" ht="23">
      <c r="A4712" s="2" t="s">
        <v>7103</v>
      </c>
      <c r="B4712" s="9" t="s">
        <v>7104</v>
      </c>
      <c r="C4712" s="9" t="s">
        <v>138</v>
      </c>
      <c r="D4712" s="9" t="s">
        <v>11</v>
      </c>
      <c r="E4712" s="9">
        <v>81</v>
      </c>
      <c r="F4712" s="9">
        <v>7</v>
      </c>
      <c r="G4712" s="9">
        <v>100000</v>
      </c>
      <c r="H4712" s="9">
        <v>5228617</v>
      </c>
      <c r="I4712" s="5">
        <f>IMDB_Movies!$H4712-IMDB_Movies!$G4712</f>
        <v>5128617</v>
      </c>
    </row>
    <row r="4713" spans="1:9" ht="23">
      <c r="A4713" s="3" t="s">
        <v>7105</v>
      </c>
      <c r="B4713" s="10" t="s">
        <v>451</v>
      </c>
      <c r="C4713" s="10" t="s">
        <v>138</v>
      </c>
      <c r="D4713" s="10" t="s">
        <v>11</v>
      </c>
      <c r="E4713" s="10">
        <v>100</v>
      </c>
      <c r="F4713" s="10">
        <v>7.3</v>
      </c>
      <c r="G4713" s="10">
        <v>20000000</v>
      </c>
      <c r="H4713" s="10">
        <v>2643689</v>
      </c>
      <c r="I4713" s="5">
        <f>IMDB_Movies!$H4713-IMDB_Movies!$G4713</f>
        <v>-17356311</v>
      </c>
    </row>
    <row r="4714" spans="1:9" ht="23">
      <c r="A4714" s="2" t="s">
        <v>7106</v>
      </c>
      <c r="B4714" s="9" t="s">
        <v>7107</v>
      </c>
      <c r="C4714" s="9" t="s">
        <v>414</v>
      </c>
      <c r="D4714" s="9" t="s">
        <v>11</v>
      </c>
      <c r="E4714" s="9">
        <v>99</v>
      </c>
      <c r="F4714" s="9">
        <v>5.8</v>
      </c>
      <c r="G4714" s="9">
        <v>100000</v>
      </c>
      <c r="H4714" s="9">
        <v>25078937</v>
      </c>
      <c r="I4714" s="5">
        <f>IMDB_Movies!$H4714-IMDB_Movies!$G4714</f>
        <v>24978937</v>
      </c>
    </row>
    <row r="4715" spans="1:9" ht="23">
      <c r="A4715" s="3" t="s">
        <v>7108</v>
      </c>
      <c r="B4715" s="10" t="s">
        <v>7109</v>
      </c>
      <c r="C4715" s="10" t="s">
        <v>138</v>
      </c>
      <c r="D4715" s="10" t="s">
        <v>11</v>
      </c>
      <c r="E4715" s="10">
        <v>90</v>
      </c>
      <c r="F4715" s="10">
        <v>7</v>
      </c>
      <c r="G4715" s="10">
        <v>40000</v>
      </c>
      <c r="H4715" s="10">
        <v>110536</v>
      </c>
      <c r="I4715" s="5">
        <f>IMDB_Movies!$H4715-IMDB_Movies!$G4715</f>
        <v>70536</v>
      </c>
    </row>
    <row r="4716" spans="1:9" ht="23">
      <c r="A4716" s="2" t="s">
        <v>7110</v>
      </c>
      <c r="B4716" s="9" t="s">
        <v>7111</v>
      </c>
      <c r="C4716" s="9" t="s">
        <v>3326</v>
      </c>
      <c r="D4716" s="9" t="s">
        <v>11</v>
      </c>
      <c r="E4716" s="9">
        <v>82</v>
      </c>
      <c r="F4716" s="9">
        <v>3.2</v>
      </c>
      <c r="G4716" s="9">
        <v>20000</v>
      </c>
      <c r="H4716" s="9">
        <v>25078937</v>
      </c>
      <c r="I4716" s="5">
        <f>IMDB_Movies!$H4716-IMDB_Movies!$G4716</f>
        <v>25058937</v>
      </c>
    </row>
    <row r="4717" spans="1:9" ht="23">
      <c r="A4717" s="3" t="s">
        <v>7112</v>
      </c>
      <c r="B4717" s="10" t="s">
        <v>7113</v>
      </c>
      <c r="C4717" s="10" t="s">
        <v>138</v>
      </c>
      <c r="D4717" s="10" t="s">
        <v>11</v>
      </c>
      <c r="E4717" s="10">
        <v>88</v>
      </c>
      <c r="F4717" s="10">
        <v>6.8</v>
      </c>
      <c r="G4717" s="10">
        <v>200000</v>
      </c>
      <c r="H4717" s="10">
        <v>59379</v>
      </c>
      <c r="I4717" s="5">
        <f>IMDB_Movies!$H4717-IMDB_Movies!$G4717</f>
        <v>-140621</v>
      </c>
    </row>
    <row r="4718" spans="1:9" ht="23">
      <c r="A4718" s="2" t="s">
        <v>7114</v>
      </c>
      <c r="B4718" s="9" t="s">
        <v>7115</v>
      </c>
      <c r="C4718" s="9" t="s">
        <v>772</v>
      </c>
      <c r="D4718" s="9" t="s">
        <v>11</v>
      </c>
      <c r="E4718" s="9">
        <v>103</v>
      </c>
      <c r="F4718" s="9">
        <v>7.7</v>
      </c>
      <c r="G4718" s="9">
        <v>100000</v>
      </c>
      <c r="H4718" s="9">
        <v>25078937</v>
      </c>
      <c r="I4718" s="5">
        <f>IMDB_Movies!$H4718-IMDB_Movies!$G4718</f>
        <v>24978937</v>
      </c>
    </row>
    <row r="4719" spans="1:9" ht="23">
      <c r="A4719" s="3" t="s">
        <v>7116</v>
      </c>
      <c r="B4719" s="10" t="s">
        <v>7117</v>
      </c>
      <c r="C4719" s="10" t="s">
        <v>2945</v>
      </c>
      <c r="D4719" s="10" t="s">
        <v>11</v>
      </c>
      <c r="E4719" s="10">
        <v>80</v>
      </c>
      <c r="F4719" s="10">
        <v>5.6</v>
      </c>
      <c r="G4719" s="10">
        <v>1800000</v>
      </c>
      <c r="H4719" s="10">
        <v>25078937</v>
      </c>
      <c r="I4719" s="5">
        <f>IMDB_Movies!$H4719-IMDB_Movies!$G4719</f>
        <v>23278937</v>
      </c>
    </row>
    <row r="4720" spans="1:9" ht="23">
      <c r="A4720" s="2" t="s">
        <v>7118</v>
      </c>
      <c r="B4720" s="9" t="s">
        <v>7119</v>
      </c>
      <c r="C4720" s="9" t="s">
        <v>414</v>
      </c>
      <c r="D4720" s="9" t="s">
        <v>11</v>
      </c>
      <c r="E4720" s="9">
        <v>68</v>
      </c>
      <c r="F4720" s="9">
        <v>7.1</v>
      </c>
      <c r="G4720" s="9">
        <v>20000000</v>
      </c>
      <c r="H4720" s="9">
        <v>25078937</v>
      </c>
      <c r="I4720" s="5">
        <f>IMDB_Movies!$H4720-IMDB_Movies!$G4720</f>
        <v>5078937</v>
      </c>
    </row>
    <row r="4721" spans="1:9" ht="23">
      <c r="A4721" s="3" t="s">
        <v>7120</v>
      </c>
      <c r="B4721" s="10" t="s">
        <v>7121</v>
      </c>
      <c r="C4721" s="10" t="s">
        <v>10</v>
      </c>
      <c r="D4721" s="10" t="s">
        <v>11</v>
      </c>
      <c r="E4721" s="10">
        <v>81</v>
      </c>
      <c r="F4721" s="10">
        <v>3.6</v>
      </c>
      <c r="G4721" s="10">
        <v>100000</v>
      </c>
      <c r="H4721" s="10">
        <v>25078937</v>
      </c>
      <c r="I4721" s="5">
        <f>IMDB_Movies!$H4721-IMDB_Movies!$G4721</f>
        <v>24978937</v>
      </c>
    </row>
    <row r="4722" spans="1:9" ht="23">
      <c r="A4722" s="2" t="s">
        <v>7122</v>
      </c>
      <c r="B4722" s="9" t="s">
        <v>7123</v>
      </c>
      <c r="C4722" s="9" t="s">
        <v>414</v>
      </c>
      <c r="D4722" s="9" t="s">
        <v>11</v>
      </c>
      <c r="E4722" s="9">
        <v>106</v>
      </c>
      <c r="F4722" s="9">
        <v>6.8</v>
      </c>
      <c r="G4722" s="9">
        <v>20000000</v>
      </c>
      <c r="H4722" s="9">
        <v>25078937</v>
      </c>
      <c r="I4722" s="5">
        <f>IMDB_Movies!$H4722-IMDB_Movies!$G4722</f>
        <v>5078937</v>
      </c>
    </row>
    <row r="4723" spans="1:9" ht="23">
      <c r="A4723" s="3" t="s">
        <v>7124</v>
      </c>
      <c r="B4723" s="10" t="s">
        <v>7125</v>
      </c>
      <c r="C4723" s="10" t="s">
        <v>418</v>
      </c>
      <c r="D4723" s="10" t="s">
        <v>11</v>
      </c>
      <c r="E4723" s="10">
        <v>77</v>
      </c>
      <c r="F4723" s="10">
        <v>7.6</v>
      </c>
      <c r="G4723" s="10">
        <v>100000</v>
      </c>
      <c r="H4723" s="10">
        <v>25078937</v>
      </c>
      <c r="I4723" s="5">
        <f>IMDB_Movies!$H4723-IMDB_Movies!$G4723</f>
        <v>24978937</v>
      </c>
    </row>
    <row r="4724" spans="1:9" ht="23">
      <c r="A4724" s="2" t="s">
        <v>7126</v>
      </c>
      <c r="B4724" s="9" t="s">
        <v>7127</v>
      </c>
      <c r="C4724" s="9" t="s">
        <v>772</v>
      </c>
      <c r="D4724" s="9" t="s">
        <v>11</v>
      </c>
      <c r="E4724" s="9">
        <v>80</v>
      </c>
      <c r="F4724" s="9">
        <v>8.3000000000000007</v>
      </c>
      <c r="G4724" s="9">
        <v>70000</v>
      </c>
      <c r="H4724" s="9">
        <v>25078937</v>
      </c>
      <c r="I4724" s="5">
        <f>IMDB_Movies!$H4724-IMDB_Movies!$G4724</f>
        <v>25008937</v>
      </c>
    </row>
    <row r="4725" spans="1:9" ht="23">
      <c r="A4725" s="3" t="s">
        <v>7128</v>
      </c>
      <c r="B4725" s="10" t="s">
        <v>325</v>
      </c>
      <c r="C4725" s="10" t="s">
        <v>56</v>
      </c>
      <c r="D4725" s="10" t="s">
        <v>11</v>
      </c>
      <c r="E4725" s="10">
        <v>84</v>
      </c>
      <c r="F4725" s="10">
        <v>7.5</v>
      </c>
      <c r="G4725" s="10">
        <v>60000</v>
      </c>
      <c r="H4725" s="10">
        <v>3216970</v>
      </c>
      <c r="I4725" s="5">
        <f>IMDB_Movies!$H4725-IMDB_Movies!$G4725</f>
        <v>3156970</v>
      </c>
    </row>
    <row r="4726" spans="1:9" ht="23">
      <c r="A4726" s="2" t="s">
        <v>7129</v>
      </c>
      <c r="B4726" s="9" t="s">
        <v>7130</v>
      </c>
      <c r="C4726" s="9" t="s">
        <v>138</v>
      </c>
      <c r="D4726" s="9" t="s">
        <v>11</v>
      </c>
      <c r="E4726" s="9">
        <v>86</v>
      </c>
      <c r="F4726" s="9">
        <v>5.4</v>
      </c>
      <c r="G4726" s="9">
        <v>20000000</v>
      </c>
      <c r="H4726" s="9">
        <v>33598</v>
      </c>
      <c r="I4726" s="5">
        <f>IMDB_Movies!$H4726-IMDB_Movies!$G4726</f>
        <v>-19966402</v>
      </c>
    </row>
    <row r="4727" spans="1:9" ht="23">
      <c r="A4727" s="3" t="s">
        <v>7131</v>
      </c>
      <c r="B4727" s="10" t="s">
        <v>7132</v>
      </c>
      <c r="C4727" s="10" t="s">
        <v>418</v>
      </c>
      <c r="D4727" s="10" t="s">
        <v>11</v>
      </c>
      <c r="E4727" s="10">
        <v>87</v>
      </c>
      <c r="F4727" s="10">
        <v>5.3</v>
      </c>
      <c r="G4727" s="10">
        <v>60000</v>
      </c>
      <c r="H4727" s="10">
        <v>536767</v>
      </c>
      <c r="I4727" s="5">
        <f>IMDB_Movies!$H4727-IMDB_Movies!$G4727</f>
        <v>476767</v>
      </c>
    </row>
    <row r="4728" spans="1:9" ht="23">
      <c r="A4728" s="2" t="s">
        <v>7133</v>
      </c>
      <c r="B4728" s="9" t="s">
        <v>7134</v>
      </c>
      <c r="C4728" s="9" t="s">
        <v>10</v>
      </c>
      <c r="D4728" s="9" t="s">
        <v>11</v>
      </c>
      <c r="E4728" s="9">
        <v>80</v>
      </c>
      <c r="F4728" s="9">
        <v>4.5</v>
      </c>
      <c r="G4728" s="9">
        <v>75000</v>
      </c>
      <c r="H4728" s="9">
        <v>25078937</v>
      </c>
      <c r="I4728" s="5">
        <f>IMDB_Movies!$H4728-IMDB_Movies!$G4728</f>
        <v>25003937</v>
      </c>
    </row>
    <row r="4729" spans="1:9" ht="23">
      <c r="A4729" s="3" t="s">
        <v>7135</v>
      </c>
      <c r="B4729" s="10" t="s">
        <v>4404</v>
      </c>
      <c r="C4729" s="10" t="s">
        <v>138</v>
      </c>
      <c r="D4729" s="10" t="s">
        <v>11</v>
      </c>
      <c r="E4729" s="10">
        <v>100</v>
      </c>
      <c r="F4729" s="10">
        <v>7.3</v>
      </c>
      <c r="G4729" s="10">
        <v>65000</v>
      </c>
      <c r="H4729" s="10">
        <v>11529368</v>
      </c>
      <c r="I4729" s="5">
        <f>IMDB_Movies!$H4729-IMDB_Movies!$G4729</f>
        <v>11464368</v>
      </c>
    </row>
    <row r="4730" spans="1:9" ht="23">
      <c r="A4730" s="2" t="s">
        <v>7136</v>
      </c>
      <c r="B4730" s="9" t="s">
        <v>7137</v>
      </c>
      <c r="C4730" s="9" t="s">
        <v>138</v>
      </c>
      <c r="D4730" s="9" t="s">
        <v>11</v>
      </c>
      <c r="E4730" s="9">
        <v>82</v>
      </c>
      <c r="F4730" s="9">
        <v>5.6</v>
      </c>
      <c r="G4730" s="9">
        <v>60000</v>
      </c>
      <c r="H4730" s="9">
        <v>40557</v>
      </c>
      <c r="I4730" s="5">
        <f>IMDB_Movies!$H4730-IMDB_Movies!$G4730</f>
        <v>-19443</v>
      </c>
    </row>
    <row r="4731" spans="1:9" ht="23">
      <c r="A4731" s="3" t="s">
        <v>7138</v>
      </c>
      <c r="B4731" s="10" t="s">
        <v>6776</v>
      </c>
      <c r="C4731" s="10" t="s">
        <v>138</v>
      </c>
      <c r="D4731" s="10" t="s">
        <v>11</v>
      </c>
      <c r="E4731" s="10">
        <v>82</v>
      </c>
      <c r="F4731" s="10">
        <v>5.6</v>
      </c>
      <c r="G4731" s="10">
        <v>70000</v>
      </c>
      <c r="H4731" s="10">
        <v>30084</v>
      </c>
      <c r="I4731" s="5">
        <f>IMDB_Movies!$H4731-IMDB_Movies!$G4731</f>
        <v>-39916</v>
      </c>
    </row>
    <row r="4732" spans="1:9" ht="23">
      <c r="A4732" s="2" t="s">
        <v>7139</v>
      </c>
      <c r="B4732" s="9" t="s">
        <v>7140</v>
      </c>
      <c r="C4732" s="9" t="s">
        <v>810</v>
      </c>
      <c r="D4732" s="9" t="s">
        <v>11</v>
      </c>
      <c r="E4732" s="9">
        <v>70</v>
      </c>
      <c r="F4732" s="9">
        <v>4.0999999999999996</v>
      </c>
      <c r="G4732" s="9">
        <v>62000</v>
      </c>
      <c r="H4732" s="9">
        <v>25078937</v>
      </c>
      <c r="I4732" s="5">
        <f>IMDB_Movies!$H4732-IMDB_Movies!$G4732</f>
        <v>25016937</v>
      </c>
    </row>
    <row r="4733" spans="1:9" ht="23">
      <c r="A4733" s="3" t="s">
        <v>7141</v>
      </c>
      <c r="B4733" s="10" t="s">
        <v>7142</v>
      </c>
      <c r="C4733" s="10" t="s">
        <v>56</v>
      </c>
      <c r="D4733" s="10" t="s">
        <v>11</v>
      </c>
      <c r="E4733" s="10">
        <v>75</v>
      </c>
      <c r="F4733" s="10">
        <v>6.8</v>
      </c>
      <c r="G4733" s="10">
        <v>100000</v>
      </c>
      <c r="H4733" s="10">
        <v>25078937</v>
      </c>
      <c r="I4733" s="5">
        <f>IMDB_Movies!$H4733-IMDB_Movies!$G4733</f>
        <v>24978937</v>
      </c>
    </row>
    <row r="4734" spans="1:9" ht="23">
      <c r="A4734" s="2" t="s">
        <v>7143</v>
      </c>
      <c r="B4734" s="9" t="s">
        <v>7144</v>
      </c>
      <c r="C4734" s="9" t="s">
        <v>138</v>
      </c>
      <c r="D4734" s="9" t="s">
        <v>11</v>
      </c>
      <c r="E4734" s="9">
        <v>87</v>
      </c>
      <c r="F4734" s="9">
        <v>6.3</v>
      </c>
      <c r="G4734" s="9">
        <v>20000000</v>
      </c>
      <c r="H4734" s="9">
        <v>25078937</v>
      </c>
      <c r="I4734" s="5">
        <f>IMDB_Movies!$H4734-IMDB_Movies!$G4734</f>
        <v>5078937</v>
      </c>
    </row>
    <row r="4735" spans="1:9" ht="23">
      <c r="A4735" s="3" t="s">
        <v>7145</v>
      </c>
      <c r="B4735" s="10" t="s">
        <v>5227</v>
      </c>
      <c r="C4735" s="10" t="s">
        <v>56</v>
      </c>
      <c r="D4735" s="10" t="s">
        <v>11</v>
      </c>
      <c r="E4735" s="10">
        <v>87</v>
      </c>
      <c r="F4735" s="10">
        <v>5.8</v>
      </c>
      <c r="G4735" s="10">
        <v>70000</v>
      </c>
      <c r="H4735" s="10">
        <v>25078937</v>
      </c>
      <c r="I4735" s="5">
        <f>IMDB_Movies!$H4735-IMDB_Movies!$G4735</f>
        <v>25008937</v>
      </c>
    </row>
    <row r="4736" spans="1:9" ht="23">
      <c r="A4736" s="2" t="s">
        <v>7146</v>
      </c>
      <c r="B4736" s="9" t="s">
        <v>5577</v>
      </c>
      <c r="C4736" s="9" t="s">
        <v>138</v>
      </c>
      <c r="D4736" s="9" t="s">
        <v>11</v>
      </c>
      <c r="E4736" s="9">
        <v>98</v>
      </c>
      <c r="F4736" s="9">
        <v>6.6</v>
      </c>
      <c r="G4736" s="9">
        <v>25000</v>
      </c>
      <c r="H4736" s="9">
        <v>10246600</v>
      </c>
      <c r="I4736" s="5">
        <f>IMDB_Movies!$H4736-IMDB_Movies!$G4736</f>
        <v>10221600</v>
      </c>
    </row>
    <row r="4737" spans="1:9" ht="23">
      <c r="A4737" s="3" t="s">
        <v>7147</v>
      </c>
      <c r="B4737" s="10" t="s">
        <v>7148</v>
      </c>
      <c r="C4737" s="10" t="s">
        <v>414</v>
      </c>
      <c r="D4737" s="10" t="s">
        <v>11</v>
      </c>
      <c r="E4737" s="10">
        <v>83</v>
      </c>
      <c r="F4737" s="10">
        <v>6.7</v>
      </c>
      <c r="G4737" s="10">
        <v>20000000</v>
      </c>
      <c r="H4737" s="10">
        <v>25078937</v>
      </c>
      <c r="I4737" s="5">
        <f>IMDB_Movies!$H4737-IMDB_Movies!$G4737</f>
        <v>5078937</v>
      </c>
    </row>
    <row r="4738" spans="1:9" ht="23">
      <c r="A4738" s="2" t="s">
        <v>7149</v>
      </c>
      <c r="B4738" s="9" t="s">
        <v>7150</v>
      </c>
      <c r="C4738" s="9" t="s">
        <v>138</v>
      </c>
      <c r="D4738" s="9" t="s">
        <v>4233</v>
      </c>
      <c r="E4738" s="9">
        <v>99</v>
      </c>
      <c r="F4738" s="9">
        <v>6.4</v>
      </c>
      <c r="G4738" s="9">
        <v>20000000</v>
      </c>
      <c r="H4738" s="9">
        <v>25078937</v>
      </c>
      <c r="I4738" s="5">
        <f>IMDB_Movies!$H4738-IMDB_Movies!$G4738</f>
        <v>5078937</v>
      </c>
    </row>
    <row r="4739" spans="1:9" ht="23">
      <c r="A4739" s="3" t="s">
        <v>7151</v>
      </c>
      <c r="B4739" s="10" t="s">
        <v>7152</v>
      </c>
      <c r="C4739" s="10" t="s">
        <v>138</v>
      </c>
      <c r="D4739" s="10" t="s">
        <v>11</v>
      </c>
      <c r="E4739" s="10">
        <v>98</v>
      </c>
      <c r="F4739" s="10">
        <v>6.3</v>
      </c>
      <c r="G4739" s="10">
        <v>65000</v>
      </c>
      <c r="H4739" s="10">
        <v>389804</v>
      </c>
      <c r="I4739" s="5">
        <f>IMDB_Movies!$H4739-IMDB_Movies!$G4739</f>
        <v>324804</v>
      </c>
    </row>
    <row r="4740" spans="1:9" ht="23">
      <c r="A4740" s="2" t="s">
        <v>7153</v>
      </c>
      <c r="B4740" s="9" t="s">
        <v>7154</v>
      </c>
      <c r="C4740" s="9" t="s">
        <v>414</v>
      </c>
      <c r="D4740" s="9" t="s">
        <v>11</v>
      </c>
      <c r="E4740" s="9">
        <v>93</v>
      </c>
      <c r="F4740" s="9">
        <v>3.4</v>
      </c>
      <c r="G4740" s="9">
        <v>60000</v>
      </c>
      <c r="H4740" s="9">
        <v>25078937</v>
      </c>
      <c r="I4740" s="5">
        <f>IMDB_Movies!$H4740-IMDB_Movies!$G4740</f>
        <v>25018937</v>
      </c>
    </row>
    <row r="4741" spans="1:9" ht="23">
      <c r="A4741" s="3" t="s">
        <v>7155</v>
      </c>
      <c r="B4741" s="10" t="s">
        <v>7156</v>
      </c>
      <c r="C4741" s="10" t="s">
        <v>772</v>
      </c>
      <c r="D4741" s="10" t="s">
        <v>11</v>
      </c>
      <c r="E4741" s="10">
        <v>111</v>
      </c>
      <c r="F4741" s="10">
        <v>6</v>
      </c>
      <c r="G4741" s="10">
        <v>50000</v>
      </c>
      <c r="H4741" s="10">
        <v>25078937</v>
      </c>
      <c r="I4741" s="5">
        <f>IMDB_Movies!$H4741-IMDB_Movies!$G4741</f>
        <v>25028937</v>
      </c>
    </row>
    <row r="4742" spans="1:9" ht="23">
      <c r="A4742" s="2" t="s">
        <v>7157</v>
      </c>
      <c r="B4742" s="9" t="s">
        <v>7158</v>
      </c>
      <c r="C4742" s="9" t="s">
        <v>713</v>
      </c>
      <c r="D4742" s="9" t="s">
        <v>11</v>
      </c>
      <c r="E4742" s="9">
        <v>47</v>
      </c>
      <c r="F4742" s="9">
        <v>7.3</v>
      </c>
      <c r="G4742" s="9">
        <v>50000</v>
      </c>
      <c r="H4742" s="9">
        <v>25078937</v>
      </c>
      <c r="I4742" s="5">
        <f>IMDB_Movies!$H4742-IMDB_Movies!$G4742</f>
        <v>25028937</v>
      </c>
    </row>
    <row r="4743" spans="1:9" ht="23">
      <c r="A4743" s="3" t="s">
        <v>7159</v>
      </c>
      <c r="B4743" s="10" t="s">
        <v>7160</v>
      </c>
      <c r="C4743" s="10" t="s">
        <v>772</v>
      </c>
      <c r="D4743" s="10" t="s">
        <v>11</v>
      </c>
      <c r="E4743" s="10">
        <v>92</v>
      </c>
      <c r="F4743" s="10">
        <v>7.9</v>
      </c>
      <c r="G4743" s="10">
        <v>50000</v>
      </c>
      <c r="H4743" s="10">
        <v>25078937</v>
      </c>
      <c r="I4743" s="5">
        <f>IMDB_Movies!$H4743-IMDB_Movies!$G4743</f>
        <v>25028937</v>
      </c>
    </row>
    <row r="4744" spans="1:9" ht="23">
      <c r="A4744" s="2" t="s">
        <v>7161</v>
      </c>
      <c r="B4744" s="9" t="s">
        <v>7162</v>
      </c>
      <c r="C4744" s="9" t="s">
        <v>790</v>
      </c>
      <c r="D4744" s="9" t="s">
        <v>11</v>
      </c>
      <c r="E4744" s="9">
        <v>97</v>
      </c>
      <c r="F4744" s="9">
        <v>6.1</v>
      </c>
      <c r="G4744" s="9">
        <v>4000000</v>
      </c>
      <c r="H4744" s="9">
        <v>25078937</v>
      </c>
      <c r="I4744" s="5">
        <f>IMDB_Movies!$H4744-IMDB_Movies!$G4744</f>
        <v>21078937</v>
      </c>
    </row>
    <row r="4745" spans="1:9" ht="23">
      <c r="A4745" s="3" t="s">
        <v>7163</v>
      </c>
      <c r="B4745" s="10" t="s">
        <v>7164</v>
      </c>
      <c r="C4745" s="10" t="s">
        <v>418</v>
      </c>
      <c r="D4745" s="10" t="s">
        <v>11</v>
      </c>
      <c r="E4745" s="10">
        <v>81</v>
      </c>
      <c r="F4745" s="10">
        <v>7.4</v>
      </c>
      <c r="G4745" s="10">
        <v>50000</v>
      </c>
      <c r="H4745" s="10">
        <v>25078937</v>
      </c>
      <c r="I4745" s="5">
        <f>IMDB_Movies!$H4745-IMDB_Movies!$G4745</f>
        <v>25028937</v>
      </c>
    </row>
    <row r="4746" spans="1:9" ht="23">
      <c r="A4746" s="2" t="s">
        <v>7165</v>
      </c>
      <c r="B4746" s="9" t="s">
        <v>7166</v>
      </c>
      <c r="C4746" s="9" t="s">
        <v>56</v>
      </c>
      <c r="D4746" s="9" t="s">
        <v>11</v>
      </c>
      <c r="E4746" s="9">
        <v>83</v>
      </c>
      <c r="F4746" s="9">
        <v>6.6</v>
      </c>
      <c r="G4746" s="9">
        <v>42000</v>
      </c>
      <c r="H4746" s="9">
        <v>25078937</v>
      </c>
      <c r="I4746" s="5">
        <f>IMDB_Movies!$H4746-IMDB_Movies!$G4746</f>
        <v>25036937</v>
      </c>
    </row>
    <row r="4747" spans="1:9" ht="23">
      <c r="A4747" s="3" t="s">
        <v>7167</v>
      </c>
      <c r="B4747" s="10" t="s">
        <v>7168</v>
      </c>
      <c r="C4747" s="10" t="s">
        <v>138</v>
      </c>
      <c r="D4747" s="10" t="s">
        <v>11</v>
      </c>
      <c r="E4747" s="10">
        <v>96</v>
      </c>
      <c r="F4747" s="10">
        <v>5.5</v>
      </c>
      <c r="G4747" s="10">
        <v>45000</v>
      </c>
      <c r="H4747" s="10">
        <v>25078937</v>
      </c>
      <c r="I4747" s="5">
        <f>IMDB_Movies!$H4747-IMDB_Movies!$G4747</f>
        <v>25033937</v>
      </c>
    </row>
    <row r="4748" spans="1:9" ht="23">
      <c r="A4748" s="2" t="s">
        <v>7169</v>
      </c>
      <c r="B4748" s="9" t="s">
        <v>1484</v>
      </c>
      <c r="C4748" s="9" t="s">
        <v>56</v>
      </c>
      <c r="D4748" s="9" t="s">
        <v>11</v>
      </c>
      <c r="E4748" s="9">
        <v>90</v>
      </c>
      <c r="F4748" s="9">
        <v>7.5</v>
      </c>
      <c r="G4748" s="9">
        <v>42000</v>
      </c>
      <c r="H4748" s="9">
        <v>241816</v>
      </c>
      <c r="I4748" s="5">
        <f>IMDB_Movies!$H4748-IMDB_Movies!$G4748</f>
        <v>199816</v>
      </c>
    </row>
    <row r="4749" spans="1:9" ht="23">
      <c r="A4749" s="3" t="s">
        <v>7170</v>
      </c>
      <c r="B4749" s="10" t="s">
        <v>7171</v>
      </c>
      <c r="C4749" s="10" t="s">
        <v>138</v>
      </c>
      <c r="D4749" s="10" t="s">
        <v>11</v>
      </c>
      <c r="E4749" s="10">
        <v>90</v>
      </c>
      <c r="F4749" s="10">
        <v>7.6</v>
      </c>
      <c r="G4749" s="10">
        <v>40000</v>
      </c>
      <c r="H4749" s="10">
        <v>277233</v>
      </c>
      <c r="I4749" s="5">
        <f>IMDB_Movies!$H4749-IMDB_Movies!$G4749</f>
        <v>237233</v>
      </c>
    </row>
    <row r="4750" spans="1:9" ht="23">
      <c r="A4750" s="2" t="s">
        <v>7172</v>
      </c>
      <c r="B4750" s="9" t="s">
        <v>7173</v>
      </c>
      <c r="C4750" s="9" t="s">
        <v>56</v>
      </c>
      <c r="D4750" s="9" t="s">
        <v>11</v>
      </c>
      <c r="E4750" s="9">
        <v>95</v>
      </c>
      <c r="F4750" s="9">
        <v>5</v>
      </c>
      <c r="G4750" s="9">
        <v>75000</v>
      </c>
      <c r="H4750" s="9">
        <v>25078937</v>
      </c>
      <c r="I4750" s="5">
        <f>IMDB_Movies!$H4750-IMDB_Movies!$G4750</f>
        <v>25003937</v>
      </c>
    </row>
    <row r="4751" spans="1:9" ht="23">
      <c r="A4751" s="3" t="s">
        <v>7174</v>
      </c>
      <c r="B4751" s="10" t="s">
        <v>7175</v>
      </c>
      <c r="C4751" s="10" t="s">
        <v>810</v>
      </c>
      <c r="D4751" s="10" t="s">
        <v>11</v>
      </c>
      <c r="E4751" s="10">
        <v>83</v>
      </c>
      <c r="F4751" s="10">
        <v>3.2</v>
      </c>
      <c r="G4751" s="10">
        <v>40000</v>
      </c>
      <c r="H4751" s="10">
        <v>25078937</v>
      </c>
      <c r="I4751" s="5">
        <f>IMDB_Movies!$H4751-IMDB_Movies!$G4751</f>
        <v>25038937</v>
      </c>
    </row>
    <row r="4752" spans="1:9" ht="23">
      <c r="A4752" s="2" t="s">
        <v>7176</v>
      </c>
      <c r="B4752" s="9" t="s">
        <v>130</v>
      </c>
      <c r="C4752" s="9" t="s">
        <v>772</v>
      </c>
      <c r="D4752" s="9" t="s">
        <v>11</v>
      </c>
      <c r="E4752" s="9">
        <v>117</v>
      </c>
      <c r="F4752" s="9">
        <v>8.1999999999999993</v>
      </c>
      <c r="G4752" s="9">
        <v>20000000</v>
      </c>
      <c r="H4752" s="9">
        <v>321952</v>
      </c>
      <c r="I4752" s="5">
        <f>IMDB_Movies!$H4752-IMDB_Movies!$G4752</f>
        <v>-19678048</v>
      </c>
    </row>
    <row r="4753" spans="1:9" ht="23">
      <c r="A4753" s="3" t="s">
        <v>7177</v>
      </c>
      <c r="B4753" s="10" t="s">
        <v>7178</v>
      </c>
      <c r="C4753" s="10" t="s">
        <v>810</v>
      </c>
      <c r="D4753" s="10" t="s">
        <v>11</v>
      </c>
      <c r="E4753" s="10">
        <v>75</v>
      </c>
      <c r="F4753" s="10">
        <v>3.7</v>
      </c>
      <c r="G4753" s="10">
        <v>50000</v>
      </c>
      <c r="H4753" s="10">
        <v>25078937</v>
      </c>
      <c r="I4753" s="5">
        <f>IMDB_Movies!$H4753-IMDB_Movies!$G4753</f>
        <v>25028937</v>
      </c>
    </row>
    <row r="4754" spans="1:9" ht="23">
      <c r="A4754" s="2" t="s">
        <v>7179</v>
      </c>
      <c r="B4754" s="9" t="s">
        <v>7180</v>
      </c>
      <c r="C4754" s="9" t="s">
        <v>56</v>
      </c>
      <c r="D4754" s="9" t="s">
        <v>11</v>
      </c>
      <c r="E4754" s="9">
        <v>79</v>
      </c>
      <c r="F4754" s="9">
        <v>6.3</v>
      </c>
      <c r="G4754" s="9">
        <v>20000000</v>
      </c>
      <c r="H4754" s="9">
        <v>24705</v>
      </c>
      <c r="I4754" s="5">
        <f>IMDB_Movies!$H4754-IMDB_Movies!$G4754</f>
        <v>-19975295</v>
      </c>
    </row>
    <row r="4755" spans="1:9" ht="23">
      <c r="A4755" s="3" t="s">
        <v>7181</v>
      </c>
      <c r="B4755" s="10" t="s">
        <v>7182</v>
      </c>
      <c r="C4755" s="10" t="s">
        <v>4398</v>
      </c>
      <c r="D4755" s="10" t="s">
        <v>11</v>
      </c>
      <c r="E4755" s="10">
        <v>78</v>
      </c>
      <c r="F4755" s="10">
        <v>4.0999999999999996</v>
      </c>
      <c r="G4755" s="10">
        <v>30000</v>
      </c>
      <c r="H4755" s="10">
        <v>243768</v>
      </c>
      <c r="I4755" s="5">
        <f>IMDB_Movies!$H4755-IMDB_Movies!$G4755</f>
        <v>213768</v>
      </c>
    </row>
    <row r="4756" spans="1:9" ht="23">
      <c r="A4756" s="2" t="s">
        <v>7183</v>
      </c>
      <c r="B4756" s="9" t="s">
        <v>7184</v>
      </c>
      <c r="C4756" s="9" t="s">
        <v>138</v>
      </c>
      <c r="D4756" s="9" t="s">
        <v>11</v>
      </c>
      <c r="E4756" s="9">
        <v>109</v>
      </c>
      <c r="F4756" s="9">
        <v>6.9</v>
      </c>
      <c r="G4756" s="9">
        <v>20000000</v>
      </c>
      <c r="H4756" s="9">
        <v>25078937</v>
      </c>
      <c r="I4756" s="5">
        <f>IMDB_Movies!$H4756-IMDB_Movies!$G4756</f>
        <v>5078937</v>
      </c>
    </row>
    <row r="4757" spans="1:9" ht="23">
      <c r="A4757" s="3" t="s">
        <v>7185</v>
      </c>
      <c r="B4757" s="10" t="s">
        <v>7186</v>
      </c>
      <c r="C4757" s="10" t="s">
        <v>810</v>
      </c>
      <c r="D4757" s="10" t="s">
        <v>11</v>
      </c>
      <c r="E4757" s="10">
        <v>89</v>
      </c>
      <c r="F4757" s="10">
        <v>5.4</v>
      </c>
      <c r="G4757" s="10">
        <v>60000</v>
      </c>
      <c r="H4757" s="10">
        <v>25078937</v>
      </c>
      <c r="I4757" s="5">
        <f>IMDB_Movies!$H4757-IMDB_Movies!$G4757</f>
        <v>25018937</v>
      </c>
    </row>
    <row r="4758" spans="1:9" ht="23">
      <c r="A4758" s="2" t="s">
        <v>7187</v>
      </c>
      <c r="B4758" s="9" t="s">
        <v>6668</v>
      </c>
      <c r="C4758" s="9" t="s">
        <v>138</v>
      </c>
      <c r="D4758" s="9" t="s">
        <v>11</v>
      </c>
      <c r="E4758" s="9">
        <v>93</v>
      </c>
      <c r="F4758" s="9">
        <v>6.5</v>
      </c>
      <c r="G4758" s="9">
        <v>20000000</v>
      </c>
      <c r="H4758" s="9">
        <v>9609</v>
      </c>
      <c r="I4758" s="5">
        <f>IMDB_Movies!$H4758-IMDB_Movies!$G4758</f>
        <v>-19990391</v>
      </c>
    </row>
    <row r="4759" spans="1:9" ht="23">
      <c r="A4759" s="3" t="s">
        <v>7188</v>
      </c>
      <c r="B4759" s="10" t="s">
        <v>1973</v>
      </c>
      <c r="C4759" s="10" t="s">
        <v>138</v>
      </c>
      <c r="D4759" s="10" t="s">
        <v>11</v>
      </c>
      <c r="E4759" s="10">
        <v>102</v>
      </c>
      <c r="F4759" s="10">
        <v>7.8</v>
      </c>
      <c r="G4759" s="10">
        <v>230000</v>
      </c>
      <c r="H4759" s="10">
        <v>3151130</v>
      </c>
      <c r="I4759" s="5">
        <f>IMDB_Movies!$H4759-IMDB_Movies!$G4759</f>
        <v>2921130</v>
      </c>
    </row>
    <row r="4760" spans="1:9" ht="23">
      <c r="A4760" s="2" t="s">
        <v>7189</v>
      </c>
      <c r="B4760" s="9" t="s">
        <v>7190</v>
      </c>
      <c r="C4760" s="9" t="s">
        <v>56</v>
      </c>
      <c r="D4760" s="9" t="s">
        <v>11</v>
      </c>
      <c r="E4760" s="9">
        <v>65</v>
      </c>
      <c r="F4760" s="9">
        <v>6.7</v>
      </c>
      <c r="G4760" s="9">
        <v>27000</v>
      </c>
      <c r="H4760" s="9">
        <v>8231</v>
      </c>
      <c r="I4760" s="5">
        <f>IMDB_Movies!$H4760-IMDB_Movies!$G4760</f>
        <v>-18769</v>
      </c>
    </row>
    <row r="4761" spans="1:9" ht="23">
      <c r="A4761" s="3" t="s">
        <v>7191</v>
      </c>
      <c r="B4761" s="10" t="s">
        <v>7184</v>
      </c>
      <c r="C4761" s="10" t="s">
        <v>138</v>
      </c>
      <c r="D4761" s="10" t="s">
        <v>11</v>
      </c>
      <c r="E4761" s="10">
        <v>85</v>
      </c>
      <c r="F4761" s="10">
        <v>6.4</v>
      </c>
      <c r="G4761" s="10">
        <v>20000000</v>
      </c>
      <c r="H4761" s="10">
        <v>25078937</v>
      </c>
      <c r="I4761" s="5">
        <f>IMDB_Movies!$H4761-IMDB_Movies!$G4761</f>
        <v>5078937</v>
      </c>
    </row>
    <row r="4762" spans="1:9" ht="23">
      <c r="A4762" s="2" t="s">
        <v>7192</v>
      </c>
      <c r="B4762" s="9" t="s">
        <v>2859</v>
      </c>
      <c r="C4762" s="9" t="s">
        <v>138</v>
      </c>
      <c r="D4762" s="9" t="s">
        <v>11</v>
      </c>
      <c r="E4762" s="9">
        <v>97</v>
      </c>
      <c r="F4762" s="9">
        <v>7.3</v>
      </c>
      <c r="G4762" s="9">
        <v>25000</v>
      </c>
      <c r="H4762" s="9">
        <v>2856622</v>
      </c>
      <c r="I4762" s="5">
        <f>IMDB_Movies!$H4762-IMDB_Movies!$G4762</f>
        <v>2831622</v>
      </c>
    </row>
    <row r="4763" spans="1:9" ht="23">
      <c r="A4763" s="3" t="s">
        <v>7193</v>
      </c>
      <c r="B4763" s="10" t="s">
        <v>7194</v>
      </c>
      <c r="C4763" s="10" t="s">
        <v>56</v>
      </c>
      <c r="D4763" s="10" t="s">
        <v>11</v>
      </c>
      <c r="E4763" s="10">
        <v>79</v>
      </c>
      <c r="F4763" s="10">
        <v>7</v>
      </c>
      <c r="G4763" s="10">
        <v>24000</v>
      </c>
      <c r="H4763" s="10">
        <v>25078937</v>
      </c>
      <c r="I4763" s="5">
        <f>IMDB_Movies!$H4763-IMDB_Movies!$G4763</f>
        <v>25054937</v>
      </c>
    </row>
    <row r="4764" spans="1:9" ht="23">
      <c r="A4764" s="2" t="s">
        <v>7195</v>
      </c>
      <c r="B4764" s="9" t="s">
        <v>1195</v>
      </c>
      <c r="C4764" s="9" t="s">
        <v>10</v>
      </c>
      <c r="D4764" s="9" t="s">
        <v>11</v>
      </c>
      <c r="E4764" s="9">
        <v>80</v>
      </c>
      <c r="F4764" s="9">
        <v>6.3</v>
      </c>
      <c r="G4764" s="9">
        <v>20000000</v>
      </c>
      <c r="H4764" s="9">
        <v>25078937</v>
      </c>
      <c r="I4764" s="5">
        <f>IMDB_Movies!$H4764-IMDB_Movies!$G4764</f>
        <v>5078937</v>
      </c>
    </row>
    <row r="4765" spans="1:9" ht="23">
      <c r="A4765" s="3" t="s">
        <v>7196</v>
      </c>
      <c r="B4765" s="10" t="s">
        <v>2571</v>
      </c>
      <c r="C4765" s="10" t="s">
        <v>138</v>
      </c>
      <c r="D4765" s="10" t="s">
        <v>11</v>
      </c>
      <c r="E4765" s="10">
        <v>100</v>
      </c>
      <c r="F4765" s="10">
        <v>7.1</v>
      </c>
      <c r="G4765" s="10">
        <v>23000</v>
      </c>
      <c r="H4765" s="10">
        <v>1227508</v>
      </c>
      <c r="I4765" s="5">
        <f>IMDB_Movies!$H4765-IMDB_Movies!$G4765</f>
        <v>1204508</v>
      </c>
    </row>
    <row r="4766" spans="1:9" ht="23">
      <c r="A4766" s="2" t="s">
        <v>7197</v>
      </c>
      <c r="B4766" s="9" t="s">
        <v>7198</v>
      </c>
      <c r="C4766" s="9" t="s">
        <v>414</v>
      </c>
      <c r="D4766" s="9" t="s">
        <v>11</v>
      </c>
      <c r="E4766" s="9">
        <v>90</v>
      </c>
      <c r="F4766" s="9">
        <v>4.8</v>
      </c>
      <c r="G4766" s="9">
        <v>25000</v>
      </c>
      <c r="H4766" s="9">
        <v>25078937</v>
      </c>
      <c r="I4766" s="5">
        <f>IMDB_Movies!$H4766-IMDB_Movies!$G4766</f>
        <v>25053937</v>
      </c>
    </row>
    <row r="4767" spans="1:9" ht="23">
      <c r="A4767" s="3" t="s">
        <v>7199</v>
      </c>
      <c r="B4767" s="10" t="s">
        <v>7175</v>
      </c>
      <c r="C4767" s="10" t="s">
        <v>138</v>
      </c>
      <c r="D4767" s="10" t="s">
        <v>11</v>
      </c>
      <c r="E4767" s="10">
        <v>90</v>
      </c>
      <c r="F4767" s="10">
        <v>3.3</v>
      </c>
      <c r="G4767" s="10">
        <v>22000</v>
      </c>
      <c r="H4767" s="10">
        <v>25078937</v>
      </c>
      <c r="I4767" s="5">
        <f>IMDB_Movies!$H4767-IMDB_Movies!$G4767</f>
        <v>25056937</v>
      </c>
    </row>
    <row r="4768" spans="1:9" ht="23">
      <c r="A4768" s="2" t="s">
        <v>7200</v>
      </c>
      <c r="B4768" s="9" t="s">
        <v>6017</v>
      </c>
      <c r="C4768" s="9" t="s">
        <v>56</v>
      </c>
      <c r="D4768" s="9" t="s">
        <v>11</v>
      </c>
      <c r="E4768" s="9">
        <v>120</v>
      </c>
      <c r="F4768" s="9">
        <v>6.9</v>
      </c>
      <c r="G4768" s="9">
        <v>20000</v>
      </c>
      <c r="H4768" s="9">
        <v>25078937</v>
      </c>
      <c r="I4768" s="5">
        <f>IMDB_Movies!$H4768-IMDB_Movies!$G4768</f>
        <v>25058937</v>
      </c>
    </row>
    <row r="4769" spans="1:9" ht="23">
      <c r="A4769" s="3" t="s">
        <v>7201</v>
      </c>
      <c r="B4769" s="10" t="s">
        <v>7202</v>
      </c>
      <c r="C4769" s="10" t="s">
        <v>810</v>
      </c>
      <c r="D4769" s="10" t="s">
        <v>11</v>
      </c>
      <c r="E4769" s="10">
        <v>91</v>
      </c>
      <c r="F4769" s="10">
        <v>4.5999999999999996</v>
      </c>
      <c r="G4769" s="10">
        <v>20000000</v>
      </c>
      <c r="H4769" s="10">
        <v>25078937</v>
      </c>
      <c r="I4769" s="5">
        <f>IMDB_Movies!$H4769-IMDB_Movies!$G4769</f>
        <v>5078937</v>
      </c>
    </row>
    <row r="4770" spans="1:9" ht="23">
      <c r="A4770" s="2" t="s">
        <v>7203</v>
      </c>
      <c r="B4770" s="9" t="s">
        <v>7204</v>
      </c>
      <c r="C4770" s="9" t="s">
        <v>56</v>
      </c>
      <c r="D4770" s="9" t="s">
        <v>11</v>
      </c>
      <c r="E4770" s="9">
        <v>143</v>
      </c>
      <c r="F4770" s="9">
        <v>3</v>
      </c>
      <c r="G4770" s="9">
        <v>17350</v>
      </c>
      <c r="H4770" s="9">
        <v>25078937</v>
      </c>
      <c r="I4770" s="5">
        <f>IMDB_Movies!$H4770-IMDB_Movies!$G4770</f>
        <v>25061587</v>
      </c>
    </row>
    <row r="4771" spans="1:9" ht="23">
      <c r="A4771" s="3" t="s">
        <v>7205</v>
      </c>
      <c r="B4771" s="10" t="s">
        <v>4458</v>
      </c>
      <c r="C4771" s="10" t="s">
        <v>138</v>
      </c>
      <c r="D4771" s="10" t="s">
        <v>11</v>
      </c>
      <c r="E4771" s="10">
        <v>85</v>
      </c>
      <c r="F4771" s="10">
        <v>6.6</v>
      </c>
      <c r="G4771" s="10">
        <v>15000</v>
      </c>
      <c r="H4771" s="10">
        <v>192467</v>
      </c>
      <c r="I4771" s="5">
        <f>IMDB_Movies!$H4771-IMDB_Movies!$G4771</f>
        <v>177467</v>
      </c>
    </row>
    <row r="4772" spans="1:9" ht="23">
      <c r="A4772" s="2" t="s">
        <v>7206</v>
      </c>
      <c r="B4772" s="9" t="s">
        <v>7207</v>
      </c>
      <c r="C4772" s="9" t="s">
        <v>56</v>
      </c>
      <c r="D4772" s="9" t="s">
        <v>7208</v>
      </c>
      <c r="E4772" s="9">
        <v>60</v>
      </c>
      <c r="F4772" s="9">
        <v>7.4</v>
      </c>
      <c r="G4772" s="9">
        <v>15000</v>
      </c>
      <c r="H4772" s="9">
        <v>25078937</v>
      </c>
      <c r="I4772" s="5">
        <f>IMDB_Movies!$H4772-IMDB_Movies!$G4772</f>
        <v>25063937</v>
      </c>
    </row>
    <row r="4773" spans="1:9" ht="23">
      <c r="A4773" s="3" t="s">
        <v>7209</v>
      </c>
      <c r="B4773" s="10" t="s">
        <v>7210</v>
      </c>
      <c r="C4773" s="10" t="s">
        <v>1359</v>
      </c>
      <c r="D4773" s="10" t="s">
        <v>11</v>
      </c>
      <c r="E4773" s="10">
        <v>88</v>
      </c>
      <c r="F4773" s="10">
        <v>6.2</v>
      </c>
      <c r="G4773" s="10">
        <v>15000</v>
      </c>
      <c r="H4773" s="10">
        <v>76382</v>
      </c>
      <c r="I4773" s="5">
        <f>IMDB_Movies!$H4773-IMDB_Movies!$G4773</f>
        <v>61382</v>
      </c>
    </row>
    <row r="4774" spans="1:9" ht="23">
      <c r="A4774" s="2" t="s">
        <v>7211</v>
      </c>
      <c r="B4774" s="9" t="s">
        <v>7212</v>
      </c>
      <c r="C4774" s="9" t="s">
        <v>790</v>
      </c>
      <c r="D4774" s="9" t="s">
        <v>11</v>
      </c>
      <c r="E4774" s="9">
        <v>78</v>
      </c>
      <c r="F4774" s="9">
        <v>4</v>
      </c>
      <c r="G4774" s="9">
        <v>20000</v>
      </c>
      <c r="H4774" s="9">
        <v>25078937</v>
      </c>
      <c r="I4774" s="5">
        <f>IMDB_Movies!$H4774-IMDB_Movies!$G4774</f>
        <v>25058937</v>
      </c>
    </row>
    <row r="4775" spans="1:9" ht="23">
      <c r="A4775" s="3" t="s">
        <v>7213</v>
      </c>
      <c r="B4775" s="10" t="s">
        <v>4009</v>
      </c>
      <c r="C4775" s="10" t="s">
        <v>138</v>
      </c>
      <c r="D4775" s="10" t="s">
        <v>11</v>
      </c>
      <c r="E4775" s="10">
        <v>108</v>
      </c>
      <c r="F4775" s="10">
        <v>6.1</v>
      </c>
      <c r="G4775" s="10">
        <v>10000</v>
      </c>
      <c r="H4775" s="10">
        <v>180483</v>
      </c>
      <c r="I4775" s="5">
        <f>IMDB_Movies!$H4775-IMDB_Movies!$G4775</f>
        <v>170483</v>
      </c>
    </row>
    <row r="4776" spans="1:9" ht="23">
      <c r="A4776" s="2" t="s">
        <v>7214</v>
      </c>
      <c r="B4776" s="9" t="s">
        <v>4022</v>
      </c>
      <c r="C4776" s="9" t="s">
        <v>56</v>
      </c>
      <c r="D4776" s="9" t="s">
        <v>394</v>
      </c>
      <c r="E4776" s="9">
        <v>110</v>
      </c>
      <c r="F4776" s="9">
        <v>6.9</v>
      </c>
      <c r="G4776" s="9">
        <v>4500</v>
      </c>
      <c r="H4776" s="9">
        <v>136007</v>
      </c>
      <c r="I4776" s="5">
        <f>IMDB_Movies!$H4776-IMDB_Movies!$G4776</f>
        <v>131507</v>
      </c>
    </row>
    <row r="4777" spans="1:9" ht="23">
      <c r="A4777" s="3" t="s">
        <v>7215</v>
      </c>
      <c r="B4777" s="10" t="s">
        <v>7216</v>
      </c>
      <c r="C4777" s="10" t="s">
        <v>56</v>
      </c>
      <c r="D4777" s="10" t="s">
        <v>6615</v>
      </c>
      <c r="E4777" s="10">
        <v>90</v>
      </c>
      <c r="F4777" s="10">
        <v>7.5</v>
      </c>
      <c r="G4777" s="10">
        <v>10000</v>
      </c>
      <c r="H4777" s="10">
        <v>673780</v>
      </c>
      <c r="I4777" s="5">
        <f>IMDB_Movies!$H4777-IMDB_Movies!$G4777</f>
        <v>663780</v>
      </c>
    </row>
    <row r="4778" spans="1:9" ht="23">
      <c r="A4778" s="2" t="s">
        <v>7217</v>
      </c>
      <c r="B4778" s="9" t="s">
        <v>7218</v>
      </c>
      <c r="C4778" s="9" t="s">
        <v>810</v>
      </c>
      <c r="D4778" s="9" t="s">
        <v>11</v>
      </c>
      <c r="E4778" s="9">
        <v>83</v>
      </c>
      <c r="F4778" s="9">
        <v>6.7</v>
      </c>
      <c r="G4778" s="9">
        <v>10000</v>
      </c>
      <c r="H4778" s="9">
        <v>25078937</v>
      </c>
      <c r="I4778" s="5">
        <f>IMDB_Movies!$H4778-IMDB_Movies!$G4778</f>
        <v>25068937</v>
      </c>
    </row>
    <row r="4779" spans="1:9" ht="23">
      <c r="A4779" s="3" t="s">
        <v>7219</v>
      </c>
      <c r="B4779" s="10" t="s">
        <v>7220</v>
      </c>
      <c r="C4779" s="10" t="s">
        <v>414</v>
      </c>
      <c r="D4779" s="10" t="s">
        <v>179</v>
      </c>
      <c r="E4779" s="10">
        <v>111</v>
      </c>
      <c r="F4779" s="10">
        <v>7.4</v>
      </c>
      <c r="G4779" s="10">
        <v>1000000</v>
      </c>
      <c r="H4779" s="10">
        <v>94596</v>
      </c>
      <c r="I4779" s="5">
        <f>IMDB_Movies!$H4779-IMDB_Movies!$G4779</f>
        <v>-905404</v>
      </c>
    </row>
    <row r="4780" spans="1:9" ht="23">
      <c r="A4780" s="2" t="s">
        <v>7221</v>
      </c>
      <c r="B4780" s="9" t="s">
        <v>7222</v>
      </c>
      <c r="C4780" s="9" t="s">
        <v>56</v>
      </c>
      <c r="D4780" s="9" t="s">
        <v>11</v>
      </c>
      <c r="E4780" s="9">
        <v>84</v>
      </c>
      <c r="F4780" s="9">
        <v>6.1</v>
      </c>
      <c r="G4780" s="9">
        <v>20000000</v>
      </c>
      <c r="H4780" s="9">
        <v>25078937</v>
      </c>
      <c r="I4780" s="5">
        <f>IMDB_Movies!$H4780-IMDB_Movies!$G4780</f>
        <v>5078937</v>
      </c>
    </row>
    <row r="4781" spans="1:9" ht="23">
      <c r="A4781" s="3" t="s">
        <v>7223</v>
      </c>
      <c r="B4781" s="10" t="s">
        <v>7224</v>
      </c>
      <c r="C4781" s="10" t="s">
        <v>138</v>
      </c>
      <c r="D4781" s="10" t="s">
        <v>11</v>
      </c>
      <c r="E4781" s="10">
        <v>82</v>
      </c>
      <c r="F4781" s="10">
        <v>5.4</v>
      </c>
      <c r="G4781" s="10">
        <v>200000</v>
      </c>
      <c r="H4781" s="10">
        <v>25078937</v>
      </c>
      <c r="I4781" s="5">
        <f>IMDB_Movies!$H4781-IMDB_Movies!$G4781</f>
        <v>24878937</v>
      </c>
    </row>
    <row r="4782" spans="1:9" ht="23">
      <c r="A4782" s="2" t="s">
        <v>7225</v>
      </c>
      <c r="B4782" s="9" t="s">
        <v>7226</v>
      </c>
      <c r="C4782" s="9" t="s">
        <v>414</v>
      </c>
      <c r="D4782" s="9" t="s">
        <v>11</v>
      </c>
      <c r="E4782" s="9">
        <v>98</v>
      </c>
      <c r="F4782" s="9">
        <v>6.4</v>
      </c>
      <c r="G4782" s="9">
        <v>20000000</v>
      </c>
      <c r="H4782" s="9">
        <v>25078937</v>
      </c>
      <c r="I4782" s="5">
        <f>IMDB_Movies!$H4782-IMDB_Movies!$G4782</f>
        <v>5078937</v>
      </c>
    </row>
    <row r="4783" spans="1:9" ht="23">
      <c r="A4783" s="3" t="s">
        <v>7227</v>
      </c>
      <c r="B4783" s="10" t="s">
        <v>7228</v>
      </c>
      <c r="C4783" s="10" t="s">
        <v>56</v>
      </c>
      <c r="D4783" s="10" t="s">
        <v>11</v>
      </c>
      <c r="E4783" s="10">
        <v>77</v>
      </c>
      <c r="F4783" s="10">
        <v>7</v>
      </c>
      <c r="G4783" s="10">
        <v>7000</v>
      </c>
      <c r="H4783" s="10">
        <v>424760</v>
      </c>
      <c r="I4783" s="5">
        <f>IMDB_Movies!$H4783-IMDB_Movies!$G4783</f>
        <v>417760</v>
      </c>
    </row>
    <row r="4784" spans="1:9" ht="23">
      <c r="A4784" s="2" t="s">
        <v>7229</v>
      </c>
      <c r="B4784" s="9" t="s">
        <v>7230</v>
      </c>
      <c r="C4784" s="9" t="s">
        <v>2945</v>
      </c>
      <c r="D4784" s="9" t="s">
        <v>11</v>
      </c>
      <c r="E4784" s="9">
        <v>80</v>
      </c>
      <c r="F4784" s="9">
        <v>6.3</v>
      </c>
      <c r="G4784" s="9">
        <v>7000</v>
      </c>
      <c r="H4784" s="9">
        <v>70071</v>
      </c>
      <c r="I4784" s="5">
        <f>IMDB_Movies!$H4784-IMDB_Movies!$G4784</f>
        <v>63071</v>
      </c>
    </row>
    <row r="4785" spans="1:9" ht="23">
      <c r="A4785" s="3" t="s">
        <v>7231</v>
      </c>
      <c r="B4785" s="10" t="s">
        <v>1327</v>
      </c>
      <c r="C4785" s="10" t="s">
        <v>10</v>
      </c>
      <c r="D4785" s="10" t="s">
        <v>741</v>
      </c>
      <c r="E4785" s="10">
        <v>81</v>
      </c>
      <c r="F4785" s="10">
        <v>6.9</v>
      </c>
      <c r="G4785" s="10">
        <v>7000</v>
      </c>
      <c r="H4785" s="10">
        <v>2040920</v>
      </c>
      <c r="I4785" s="5">
        <f>IMDB_Movies!$H4785-IMDB_Movies!$G4785</f>
        <v>2033920</v>
      </c>
    </row>
    <row r="4786" spans="1:9" ht="23">
      <c r="A4786" s="2" t="s">
        <v>7232</v>
      </c>
      <c r="B4786" s="9" t="s">
        <v>7233</v>
      </c>
      <c r="C4786" s="9" t="s">
        <v>414</v>
      </c>
      <c r="D4786" s="9" t="s">
        <v>11</v>
      </c>
      <c r="E4786" s="9">
        <v>84</v>
      </c>
      <c r="F4786" s="9">
        <v>7.8</v>
      </c>
      <c r="G4786" s="9">
        <v>3250</v>
      </c>
      <c r="H4786" s="9">
        <v>25078937</v>
      </c>
      <c r="I4786" s="5">
        <f>IMDB_Movies!$H4786-IMDB_Movies!$G4786</f>
        <v>25075687</v>
      </c>
    </row>
    <row r="4787" spans="1:9" ht="23">
      <c r="A4787" s="3" t="s">
        <v>7234</v>
      </c>
      <c r="B4787" s="10" t="s">
        <v>5577</v>
      </c>
      <c r="C4787" s="10" t="s">
        <v>138</v>
      </c>
      <c r="D4787" s="10" t="s">
        <v>11</v>
      </c>
      <c r="E4787" s="10">
        <v>95</v>
      </c>
      <c r="F4787" s="10">
        <v>6.4</v>
      </c>
      <c r="G4787" s="10">
        <v>9000</v>
      </c>
      <c r="H4787" s="10">
        <v>4584</v>
      </c>
      <c r="I4787" s="5">
        <f>IMDB_Movies!$H4787-IMDB_Movies!$G4787</f>
        <v>-4416</v>
      </c>
    </row>
    <row r="4788" spans="1:9" ht="23">
      <c r="A4788" s="2" t="s">
        <v>7235</v>
      </c>
      <c r="B4788" s="9" t="s">
        <v>7236</v>
      </c>
      <c r="C4788" s="9" t="s">
        <v>138</v>
      </c>
      <c r="D4788" s="9" t="s">
        <v>11</v>
      </c>
      <c r="E4788" s="9">
        <v>87</v>
      </c>
      <c r="F4788" s="9">
        <v>7.7</v>
      </c>
      <c r="G4788" s="9">
        <v>20000000</v>
      </c>
      <c r="H4788" s="9">
        <v>25078937</v>
      </c>
      <c r="I4788" s="5">
        <f>IMDB_Movies!$H4788-IMDB_Movies!$G4788</f>
        <v>5078937</v>
      </c>
    </row>
    <row r="4789" spans="1:9" ht="23">
      <c r="A4789" s="3" t="s">
        <v>7237</v>
      </c>
      <c r="B4789" s="10" t="s">
        <v>7238</v>
      </c>
      <c r="C4789" s="10" t="s">
        <v>56</v>
      </c>
      <c r="D4789" s="10" t="s">
        <v>11</v>
      </c>
      <c r="E4789" s="10">
        <v>76</v>
      </c>
      <c r="F4789" s="10">
        <v>6.3</v>
      </c>
      <c r="G4789" s="10">
        <v>1400</v>
      </c>
      <c r="H4789" s="10">
        <v>25078937</v>
      </c>
      <c r="I4789" s="5">
        <f>IMDB_Movies!$H4789-IMDB_Movies!$G4789</f>
        <v>25077537</v>
      </c>
    </row>
    <row r="4790" spans="1:9" ht="23">
      <c r="A4790" s="2" t="s">
        <v>7239</v>
      </c>
      <c r="B4790" s="9" t="s">
        <v>7240</v>
      </c>
      <c r="C4790" s="9" t="s">
        <v>138</v>
      </c>
      <c r="D4790" s="9" t="s">
        <v>11</v>
      </c>
      <c r="E4790" s="9">
        <v>100</v>
      </c>
      <c r="F4790" s="9">
        <v>6.3</v>
      </c>
      <c r="G4790" s="9">
        <v>20000000</v>
      </c>
      <c r="H4790" s="9">
        <v>10443</v>
      </c>
      <c r="I4790" s="5">
        <f>IMDB_Movies!$H4790-IMDB_Movies!$G4790</f>
        <v>-19989557</v>
      </c>
    </row>
    <row r="4791" spans="1:9" ht="23">
      <c r="A4791" s="3" t="s">
        <v>7241</v>
      </c>
      <c r="B4791" s="10" t="s">
        <v>5972</v>
      </c>
      <c r="C4791" s="10" t="s">
        <v>772</v>
      </c>
      <c r="D4791" s="10" t="s">
        <v>11</v>
      </c>
      <c r="E4791" s="10">
        <v>90</v>
      </c>
      <c r="F4791" s="10">
        <v>6.6</v>
      </c>
      <c r="G4791" s="10">
        <v>1100</v>
      </c>
      <c r="H4791" s="10">
        <v>85222</v>
      </c>
      <c r="I4791" s="5">
        <f>IMDB_Movies!$H4791-IMDB_Movies!$G4791</f>
        <v>84122</v>
      </c>
    </row>
  </sheetData>
  <conditionalFormatting sqref="A2:I4791">
    <cfRule type="expression" dxfId="74" priority="1">
      <formula>COUNTIF($I2, "523505847")</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C0FD-DCAF-A745-8AE0-D078FC2DDBD5}">
  <dimension ref="A2:K23"/>
  <sheetViews>
    <sheetView zoomScale="69" zoomScaleNormal="85" workbookViewId="0">
      <selection activeCell="J10" sqref="J10"/>
    </sheetView>
  </sheetViews>
  <sheetFormatPr baseColWidth="10" defaultRowHeight="22"/>
  <cols>
    <col min="1" max="1" width="13.5" bestFit="1" customWidth="1"/>
    <col min="2" max="2" width="20.75" bestFit="1" customWidth="1"/>
    <col min="3" max="3" width="23" bestFit="1" customWidth="1"/>
    <col min="4" max="4" width="18.25" bestFit="1" customWidth="1"/>
    <col min="5" max="5" width="23.375" bestFit="1" customWidth="1"/>
    <col min="6" max="6" width="18.625" bestFit="1" customWidth="1"/>
    <col min="7" max="7" width="19.125" bestFit="1" customWidth="1"/>
    <col min="8" max="8" width="20.625" bestFit="1" customWidth="1"/>
    <col min="10" max="10" width="13.875" bestFit="1" customWidth="1"/>
    <col min="11" max="11" width="21.125" bestFit="1" customWidth="1"/>
  </cols>
  <sheetData>
    <row r="2" spans="1:11" ht="23">
      <c r="A2" s="37" t="s">
        <v>2</v>
      </c>
      <c r="B2" s="34" t="s">
        <v>7248</v>
      </c>
      <c r="C2" s="34" t="s">
        <v>7243</v>
      </c>
      <c r="D2" s="34" t="s">
        <v>7244</v>
      </c>
      <c r="E2" s="34" t="s">
        <v>7258</v>
      </c>
      <c r="F2" s="34" t="s">
        <v>7245</v>
      </c>
      <c r="G2" s="34" t="s">
        <v>7246</v>
      </c>
      <c r="H2" s="22" t="s">
        <v>7247</v>
      </c>
      <c r="J2" s="24" t="s">
        <v>2</v>
      </c>
      <c r="K2" s="24" t="s">
        <v>7248</v>
      </c>
    </row>
    <row r="3" spans="1:11" ht="23">
      <c r="A3" s="34" t="s">
        <v>10</v>
      </c>
      <c r="B3" s="38">
        <v>1090</v>
      </c>
      <c r="C3" s="33">
        <v>6.2090825688073492</v>
      </c>
      <c r="D3" s="33">
        <v>1.2218366231116973</v>
      </c>
      <c r="E3" s="33">
        <v>1.1048600237502111</v>
      </c>
      <c r="F3" s="38">
        <v>1.7</v>
      </c>
      <c r="G3" s="38">
        <v>9</v>
      </c>
      <c r="H3" s="6">
        <f>G3-F3</f>
        <v>7.3</v>
      </c>
      <c r="I3" s="7"/>
      <c r="J3" s="5" t="s">
        <v>10</v>
      </c>
      <c r="K3" s="5">
        <v>1090</v>
      </c>
    </row>
    <row r="4" spans="1:11" ht="23">
      <c r="A4" s="34" t="s">
        <v>24</v>
      </c>
      <c r="B4" s="38">
        <v>435</v>
      </c>
      <c r="C4" s="33">
        <v>6.519310344827586</v>
      </c>
      <c r="D4" s="33">
        <v>1.2763082790402327</v>
      </c>
      <c r="E4" s="33">
        <v>1.12843884948164</v>
      </c>
      <c r="F4" s="38">
        <v>2.2999999999999998</v>
      </c>
      <c r="G4" s="38">
        <v>8.6</v>
      </c>
      <c r="H4" s="6">
        <f t="shared" ref="H4:H22" si="0">G4-F4</f>
        <v>6.3</v>
      </c>
      <c r="I4" s="7"/>
      <c r="J4" s="5" t="s">
        <v>24</v>
      </c>
      <c r="K4" s="5">
        <v>435</v>
      </c>
    </row>
    <row r="5" spans="1:11" ht="23">
      <c r="A5" s="34" t="s">
        <v>116</v>
      </c>
      <c r="B5" s="38">
        <v>57</v>
      </c>
      <c r="C5" s="33">
        <v>6.5403508771929815</v>
      </c>
      <c r="D5" s="33">
        <v>1.3742355889724536</v>
      </c>
      <c r="E5" s="33">
        <v>1.1619493072740719</v>
      </c>
      <c r="F5" s="38">
        <v>3.7</v>
      </c>
      <c r="G5" s="38">
        <v>8.4</v>
      </c>
      <c r="H5" s="6">
        <f t="shared" si="0"/>
        <v>4.7</v>
      </c>
      <c r="I5" s="7"/>
      <c r="J5" s="5" t="s">
        <v>116</v>
      </c>
      <c r="K5" s="5">
        <v>57</v>
      </c>
    </row>
    <row r="6" spans="1:11" ht="23">
      <c r="A6" s="34" t="s">
        <v>418</v>
      </c>
      <c r="B6" s="38">
        <v>249</v>
      </c>
      <c r="C6" s="33">
        <v>7.1554216867469886</v>
      </c>
      <c r="D6" s="33">
        <v>0.48489992226974032</v>
      </c>
      <c r="E6" s="33">
        <v>0.69494786352911142</v>
      </c>
      <c r="F6" s="38">
        <v>4.5</v>
      </c>
      <c r="G6" s="38">
        <v>8.9</v>
      </c>
      <c r="H6" s="6">
        <f t="shared" si="0"/>
        <v>4.4000000000000004</v>
      </c>
      <c r="I6" s="7"/>
      <c r="J6" s="5" t="s">
        <v>418</v>
      </c>
      <c r="K6" s="5">
        <v>249</v>
      </c>
    </row>
    <row r="7" spans="1:11" ht="23">
      <c r="A7" s="34" t="s">
        <v>138</v>
      </c>
      <c r="B7" s="38">
        <v>1278</v>
      </c>
      <c r="C7" s="33">
        <v>6.1639280125195715</v>
      </c>
      <c r="D7" s="33">
        <v>1.1458003769592739</v>
      </c>
      <c r="E7" s="33">
        <v>1.0700017848320682</v>
      </c>
      <c r="F7" s="38">
        <v>1.9</v>
      </c>
      <c r="G7" s="38">
        <v>9.5</v>
      </c>
      <c r="H7" s="6">
        <f t="shared" si="0"/>
        <v>7.6</v>
      </c>
      <c r="I7" s="7"/>
      <c r="J7" s="5" t="s">
        <v>138</v>
      </c>
      <c r="K7" s="5">
        <v>1278</v>
      </c>
    </row>
    <row r="8" spans="1:11" ht="23">
      <c r="A8" s="34" t="s">
        <v>414</v>
      </c>
      <c r="B8" s="38">
        <v>319</v>
      </c>
      <c r="C8" s="33">
        <v>6.8526645768025105</v>
      </c>
      <c r="D8" s="33">
        <v>0.88564539342676185</v>
      </c>
      <c r="E8" s="33">
        <v>0.93961112997826457</v>
      </c>
      <c r="F8" s="38">
        <v>3.1</v>
      </c>
      <c r="G8" s="38">
        <v>9.3000000000000007</v>
      </c>
      <c r="H8" s="6">
        <f t="shared" si="0"/>
        <v>6.2000000000000011</v>
      </c>
      <c r="I8" s="7"/>
      <c r="J8" s="5" t="s">
        <v>414</v>
      </c>
      <c r="K8" s="5">
        <v>319</v>
      </c>
    </row>
    <row r="9" spans="1:11" ht="23">
      <c r="A9" s="34" t="s">
        <v>772</v>
      </c>
      <c r="B9" s="38">
        <v>81</v>
      </c>
      <c r="C9" s="33">
        <v>7.1592592592592608</v>
      </c>
      <c r="D9" s="33">
        <v>1.4364444444444415</v>
      </c>
      <c r="E9" s="33">
        <v>1.1910963699106223</v>
      </c>
      <c r="F9" s="38">
        <v>1.6</v>
      </c>
      <c r="G9" s="38">
        <v>8.6999999999999993</v>
      </c>
      <c r="H9" s="6">
        <f t="shared" si="0"/>
        <v>7.1</v>
      </c>
      <c r="I9" s="7"/>
      <c r="J9" s="5" t="s">
        <v>772</v>
      </c>
      <c r="K9" s="5">
        <v>81</v>
      </c>
    </row>
    <row r="10" spans="1:11" ht="23">
      <c r="A10" s="34" t="s">
        <v>56</v>
      </c>
      <c r="B10" s="38">
        <v>913</v>
      </c>
      <c r="C10" s="33">
        <v>6.7452354874041571</v>
      </c>
      <c r="D10" s="33">
        <v>0.97815984031825665</v>
      </c>
      <c r="E10" s="33">
        <v>0.98847785578653347</v>
      </c>
      <c r="F10" s="38">
        <v>2</v>
      </c>
      <c r="G10" s="38">
        <v>8.8000000000000007</v>
      </c>
      <c r="H10" s="6">
        <f t="shared" si="0"/>
        <v>6.8000000000000007</v>
      </c>
      <c r="I10" s="7"/>
      <c r="J10" s="5" t="s">
        <v>56</v>
      </c>
      <c r="K10" s="5">
        <v>913</v>
      </c>
    </row>
    <row r="11" spans="1:11" ht="23">
      <c r="A11" s="34" t="s">
        <v>3326</v>
      </c>
      <c r="B11" s="38">
        <v>11</v>
      </c>
      <c r="C11" s="33">
        <v>5.7090909090909099</v>
      </c>
      <c r="D11" s="33">
        <v>3.8709090909090778</v>
      </c>
      <c r="E11" s="33">
        <v>1.8759019869019811</v>
      </c>
      <c r="F11" s="38">
        <v>2.8</v>
      </c>
      <c r="G11" s="38">
        <v>8.6</v>
      </c>
      <c r="H11" s="6">
        <f t="shared" si="0"/>
        <v>5.8</v>
      </c>
      <c r="I11" s="7"/>
      <c r="J11" s="5" t="s">
        <v>3326</v>
      </c>
      <c r="K11" s="5">
        <v>11</v>
      </c>
    </row>
    <row r="12" spans="1:11" ht="23">
      <c r="A12" s="34" t="s">
        <v>713</v>
      </c>
      <c r="B12" s="38">
        <v>47</v>
      </c>
      <c r="C12" s="33">
        <v>6.3808510638297866</v>
      </c>
      <c r="D12" s="33">
        <v>0.83592969472711642</v>
      </c>
      <c r="E12" s="33">
        <v>0.90451310468197976</v>
      </c>
      <c r="F12" s="38">
        <v>4.3</v>
      </c>
      <c r="G12" s="38">
        <v>7.9</v>
      </c>
      <c r="H12" s="6">
        <f t="shared" si="0"/>
        <v>3.6000000000000005</v>
      </c>
      <c r="I12" s="7"/>
      <c r="J12" s="5" t="s">
        <v>713</v>
      </c>
      <c r="K12" s="5">
        <v>47</v>
      </c>
    </row>
    <row r="13" spans="1:11" ht="23">
      <c r="A13" s="34" t="s">
        <v>6242</v>
      </c>
      <c r="B13" s="38">
        <v>1</v>
      </c>
      <c r="C13" s="33">
        <v>7.6</v>
      </c>
      <c r="D13" s="33" t="e">
        <v>#DIV/0!</v>
      </c>
      <c r="E13" s="33">
        <v>0</v>
      </c>
      <c r="F13" s="38">
        <v>7.6</v>
      </c>
      <c r="G13" s="38">
        <v>7.6</v>
      </c>
      <c r="H13" s="6">
        <f t="shared" si="0"/>
        <v>0</v>
      </c>
      <c r="I13" s="7"/>
      <c r="J13" s="5" t="s">
        <v>6242</v>
      </c>
      <c r="K13" s="5">
        <v>1</v>
      </c>
    </row>
    <row r="14" spans="1:11" ht="23">
      <c r="A14" s="34" t="s">
        <v>6811</v>
      </c>
      <c r="B14" s="38">
        <v>1</v>
      </c>
      <c r="C14" s="33">
        <v>7.5</v>
      </c>
      <c r="D14" s="33" t="e">
        <v>#DIV/0!</v>
      </c>
      <c r="E14" s="33">
        <v>0</v>
      </c>
      <c r="F14" s="38">
        <v>7.5</v>
      </c>
      <c r="G14" s="38">
        <v>7.5</v>
      </c>
      <c r="H14" s="6">
        <f t="shared" si="0"/>
        <v>0</v>
      </c>
      <c r="I14" s="7"/>
      <c r="J14" s="5" t="s">
        <v>6811</v>
      </c>
      <c r="K14" s="5">
        <v>1</v>
      </c>
    </row>
    <row r="15" spans="1:11" ht="23">
      <c r="A15" s="34" t="s">
        <v>810</v>
      </c>
      <c r="B15" s="38">
        <v>221</v>
      </c>
      <c r="C15" s="33">
        <v>5.6339366515837117</v>
      </c>
      <c r="D15" s="33">
        <v>1.2371612505141663</v>
      </c>
      <c r="E15" s="33">
        <v>1.1097581879877974</v>
      </c>
      <c r="F15" s="38">
        <v>2.2000000000000002</v>
      </c>
      <c r="G15" s="38">
        <v>8.5</v>
      </c>
      <c r="H15" s="6">
        <f t="shared" si="0"/>
        <v>6.3</v>
      </c>
      <c r="I15" s="7"/>
      <c r="J15" s="5" t="s">
        <v>810</v>
      </c>
      <c r="K15" s="5">
        <v>221</v>
      </c>
    </row>
    <row r="16" spans="1:11" ht="23">
      <c r="A16" s="34" t="s">
        <v>3435</v>
      </c>
      <c r="B16" s="38">
        <v>1</v>
      </c>
      <c r="C16" s="33">
        <v>7.2</v>
      </c>
      <c r="D16" s="33" t="e">
        <v>#DIV/0!</v>
      </c>
      <c r="E16" s="33">
        <v>0</v>
      </c>
      <c r="F16" s="38">
        <v>7.2</v>
      </c>
      <c r="G16" s="38">
        <v>7.2</v>
      </c>
      <c r="H16" s="6">
        <f t="shared" si="0"/>
        <v>0</v>
      </c>
      <c r="I16" s="7"/>
      <c r="J16" s="5" t="s">
        <v>3435</v>
      </c>
      <c r="K16" s="5">
        <v>1</v>
      </c>
    </row>
    <row r="17" spans="1:11" ht="23">
      <c r="A17" s="34" t="s">
        <v>5029</v>
      </c>
      <c r="B17" s="38">
        <v>4</v>
      </c>
      <c r="C17" s="33">
        <v>6</v>
      </c>
      <c r="D17" s="33">
        <v>3.1666666666666665</v>
      </c>
      <c r="E17" s="33">
        <v>1.541103500742244</v>
      </c>
      <c r="F17" s="38">
        <v>3.4</v>
      </c>
      <c r="G17" s="38">
        <v>7.2</v>
      </c>
      <c r="H17" s="6">
        <f t="shared" si="0"/>
        <v>3.8000000000000003</v>
      </c>
      <c r="I17" s="7"/>
      <c r="J17" s="5" t="s">
        <v>5029</v>
      </c>
      <c r="K17" s="5">
        <v>4</v>
      </c>
    </row>
    <row r="18" spans="1:11" ht="23">
      <c r="A18" s="34" t="s">
        <v>228</v>
      </c>
      <c r="B18" s="38">
        <v>32</v>
      </c>
      <c r="C18" s="33">
        <v>6.5343749999999998</v>
      </c>
      <c r="D18" s="33">
        <v>1.3132963709677428</v>
      </c>
      <c r="E18" s="33">
        <v>1.1279431986474322</v>
      </c>
      <c r="F18" s="38">
        <v>3.2</v>
      </c>
      <c r="G18" s="38">
        <v>8.5</v>
      </c>
      <c r="H18" s="6">
        <f t="shared" si="0"/>
        <v>5.3</v>
      </c>
      <c r="I18" s="7"/>
      <c r="J18" s="5" t="s">
        <v>228</v>
      </c>
      <c r="K18" s="5">
        <v>32</v>
      </c>
    </row>
    <row r="19" spans="1:11" ht="23">
      <c r="A19" s="34" t="s">
        <v>1359</v>
      </c>
      <c r="B19" s="38">
        <v>4</v>
      </c>
      <c r="C19" s="33">
        <v>6.2749999999999995</v>
      </c>
      <c r="D19" s="33">
        <v>0.64916666666667311</v>
      </c>
      <c r="E19" s="33">
        <v>0.69776428684764658</v>
      </c>
      <c r="F19" s="38">
        <v>5.2</v>
      </c>
      <c r="G19" s="38">
        <v>7.1</v>
      </c>
      <c r="H19" s="6">
        <f t="shared" si="0"/>
        <v>1.8999999999999995</v>
      </c>
      <c r="I19" s="7"/>
      <c r="J19" s="5" t="s">
        <v>1359</v>
      </c>
      <c r="K19" s="5">
        <v>4</v>
      </c>
    </row>
    <row r="20" spans="1:11" ht="23">
      <c r="A20" s="34" t="s">
        <v>790</v>
      </c>
      <c r="B20" s="38">
        <v>13</v>
      </c>
      <c r="C20" s="33">
        <v>6</v>
      </c>
      <c r="D20" s="33">
        <v>2.2116666666666638</v>
      </c>
      <c r="E20" s="33">
        <v>1.4288241534697188</v>
      </c>
      <c r="F20" s="38">
        <v>2.8</v>
      </c>
      <c r="G20" s="38">
        <v>8.1999999999999993</v>
      </c>
      <c r="H20" s="6">
        <f t="shared" si="0"/>
        <v>5.3999999999999995</v>
      </c>
      <c r="I20" s="7"/>
      <c r="J20" s="5" t="s">
        <v>790</v>
      </c>
      <c r="K20" s="5">
        <v>13</v>
      </c>
    </row>
    <row r="21" spans="1:11" ht="23">
      <c r="A21" s="34" t="s">
        <v>2945</v>
      </c>
      <c r="B21" s="38">
        <v>21</v>
      </c>
      <c r="C21" s="33">
        <v>5.5809523809523798</v>
      </c>
      <c r="D21" s="33">
        <v>1.7736190476190585</v>
      </c>
      <c r="E21" s="33">
        <v>1.2996772667598808</v>
      </c>
      <c r="F21" s="38">
        <v>3.4</v>
      </c>
      <c r="G21" s="38">
        <v>8.1</v>
      </c>
      <c r="H21" s="6">
        <f t="shared" si="0"/>
        <v>4.6999999999999993</v>
      </c>
      <c r="I21" s="7"/>
      <c r="J21" s="5" t="s">
        <v>2945</v>
      </c>
      <c r="K21" s="5">
        <v>21</v>
      </c>
    </row>
    <row r="22" spans="1:11" ht="23">
      <c r="A22" s="34" t="s">
        <v>4398</v>
      </c>
      <c r="B22" s="38">
        <v>12</v>
      </c>
      <c r="C22" s="33">
        <v>6.583333333333333</v>
      </c>
      <c r="D22" s="33">
        <v>2.5596969696969669</v>
      </c>
      <c r="E22" s="33">
        <v>1.5317927042811275</v>
      </c>
      <c r="F22" s="38">
        <v>3.8</v>
      </c>
      <c r="G22" s="38">
        <v>8.9</v>
      </c>
      <c r="H22" s="6">
        <f t="shared" si="0"/>
        <v>5.1000000000000005</v>
      </c>
      <c r="I22" s="7"/>
      <c r="J22" s="5" t="s">
        <v>4398</v>
      </c>
      <c r="K22" s="5">
        <v>12</v>
      </c>
    </row>
    <row r="23" spans="1:11" ht="23">
      <c r="H23" s="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5A51-0770-2F41-9A2F-77F062D3EA6B}">
  <dimension ref="C3:K17"/>
  <sheetViews>
    <sheetView zoomScale="69" zoomScaleNormal="106" workbookViewId="0">
      <selection activeCell="K13" sqref="K13"/>
    </sheetView>
  </sheetViews>
  <sheetFormatPr baseColWidth="10" defaultRowHeight="22"/>
  <cols>
    <col min="3" max="8" width="11.5" customWidth="1"/>
    <col min="9" max="9" width="7.125" customWidth="1"/>
    <col min="10" max="10" width="24.25" customWidth="1"/>
    <col min="11" max="11" width="15.5" customWidth="1"/>
  </cols>
  <sheetData>
    <row r="3" spans="10:11" ht="23">
      <c r="J3" s="28" t="s">
        <v>7254</v>
      </c>
      <c r="K3" s="28"/>
    </row>
    <row r="4" spans="10:11" ht="23">
      <c r="J4" s="14" t="s">
        <v>7255</v>
      </c>
      <c r="K4" s="15">
        <f>AVERAGE(Table1[Duration])</f>
        <v>108.05991649269311</v>
      </c>
    </row>
    <row r="5" spans="10:11" ht="23">
      <c r="J5" s="14" t="s">
        <v>7256</v>
      </c>
      <c r="K5" s="15">
        <f>MEDIAN(Table1[Duration])</f>
        <v>104</v>
      </c>
    </row>
    <row r="6" spans="10:11" ht="24">
      <c r="J6" s="16" t="s">
        <v>7257</v>
      </c>
      <c r="K6" s="15">
        <f>_xlfn.STDEV.P(Table1[Duration])</f>
        <v>22.584361929238899</v>
      </c>
    </row>
    <row r="17" spans="3:8">
      <c r="C17" s="41" t="s">
        <v>7253</v>
      </c>
      <c r="D17" s="41"/>
      <c r="E17" s="41"/>
      <c r="F17" s="41"/>
      <c r="G17" s="41"/>
      <c r="H17" s="41"/>
    </row>
  </sheetData>
  <mergeCells count="2">
    <mergeCell ref="J3:K3"/>
    <mergeCell ref="C17:H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9B19-644F-7149-A341-7FBD93A3B39B}">
  <dimension ref="A2:I47"/>
  <sheetViews>
    <sheetView zoomScale="75" zoomScaleNormal="75" workbookViewId="0">
      <selection activeCell="F10" sqref="F10"/>
    </sheetView>
  </sheetViews>
  <sheetFormatPr baseColWidth="10" defaultRowHeight="22"/>
  <cols>
    <col min="1" max="1" width="12.5" bestFit="1" customWidth="1"/>
    <col min="2" max="2" width="21.5" bestFit="1" customWidth="1"/>
    <col min="3" max="3" width="22.625" bestFit="1" customWidth="1"/>
    <col min="4" max="4" width="23" bestFit="1" customWidth="1"/>
    <col min="5" max="5" width="12.25" customWidth="1"/>
    <col min="9" max="9" width="7.25" customWidth="1"/>
  </cols>
  <sheetData>
    <row r="2" spans="1:9" ht="24">
      <c r="A2" s="4" t="s">
        <v>3</v>
      </c>
      <c r="B2" s="5" t="s">
        <v>7249</v>
      </c>
      <c r="C2" s="5" t="s">
        <v>7243</v>
      </c>
      <c r="D2" s="5" t="s">
        <v>7258</v>
      </c>
      <c r="F2" s="29" t="s">
        <v>7262</v>
      </c>
      <c r="G2" s="29"/>
      <c r="H2" s="20" t="s">
        <v>7266</v>
      </c>
      <c r="I2" s="20" t="s">
        <v>7265</v>
      </c>
    </row>
    <row r="3" spans="1:9" ht="24" customHeight="1">
      <c r="A3" s="5" t="s">
        <v>592</v>
      </c>
      <c r="B3" s="36">
        <v>2</v>
      </c>
      <c r="C3" s="6">
        <v>6.95</v>
      </c>
      <c r="D3" s="6">
        <v>0.55000000000000182</v>
      </c>
      <c r="F3" s="21" t="str" cm="1">
        <f t="array" ref="F3:I5">_xlfn._xlws.SORT(_xlfn._xlws.FILTER(A3:D46,(B3:B46&gt;=PERCENTILE(B3:B46,0.95))),2,-1)</f>
        <v>English</v>
      </c>
      <c r="G3" s="21">
        <v>4479</v>
      </c>
      <c r="H3" s="35">
        <v>6.3707747265014421</v>
      </c>
      <c r="I3" s="35">
        <v>1.1143349788647905</v>
      </c>
    </row>
    <row r="4" spans="1:9" ht="23">
      <c r="A4" s="5" t="s">
        <v>4714</v>
      </c>
      <c r="B4" s="36">
        <v>5</v>
      </c>
      <c r="C4" s="6">
        <v>7.3800000000000008</v>
      </c>
      <c r="D4" s="6">
        <v>0.79094879733139856</v>
      </c>
      <c r="F4" s="21" t="str">
        <v>French</v>
      </c>
      <c r="G4" s="21">
        <v>72</v>
      </c>
      <c r="H4" s="35">
        <v>7.0208333333333321</v>
      </c>
      <c r="I4" s="35">
        <v>0.71140266375663297</v>
      </c>
    </row>
    <row r="5" spans="1:9" ht="23">
      <c r="A5" s="5" t="s">
        <v>2628</v>
      </c>
      <c r="B5" s="36">
        <v>1</v>
      </c>
      <c r="C5" s="6">
        <v>7.1</v>
      </c>
      <c r="D5" s="6">
        <v>0</v>
      </c>
      <c r="F5" s="21" t="str">
        <v>Spanish</v>
      </c>
      <c r="G5" s="21">
        <v>40</v>
      </c>
      <c r="H5" s="35">
        <v>6.9374999999999982</v>
      </c>
      <c r="I5" s="35">
        <v>0.844300746179939</v>
      </c>
    </row>
    <row r="6" spans="1:9" ht="23">
      <c r="A6" s="5" t="s">
        <v>4041</v>
      </c>
      <c r="B6" s="36">
        <v>1</v>
      </c>
      <c r="C6" s="6">
        <v>4.3</v>
      </c>
      <c r="D6" s="6">
        <v>0</v>
      </c>
    </row>
    <row r="7" spans="1:9" ht="23">
      <c r="A7" s="5" t="s">
        <v>2005</v>
      </c>
      <c r="B7" s="36">
        <v>11</v>
      </c>
      <c r="C7" s="6">
        <v>6.9545454545454533</v>
      </c>
      <c r="D7" s="6">
        <v>0.67198976773006158</v>
      </c>
    </row>
    <row r="8" spans="1:9" ht="23">
      <c r="A8" s="5" t="s">
        <v>3337</v>
      </c>
      <c r="B8" s="36">
        <v>3</v>
      </c>
      <c r="C8" s="6">
        <v>5.666666666666667</v>
      </c>
      <c r="D8" s="6">
        <v>0.44969125210773386</v>
      </c>
      <c r="F8" s="30" t="s">
        <v>7263</v>
      </c>
      <c r="G8" s="30"/>
      <c r="H8" s="30"/>
      <c r="I8" s="30"/>
    </row>
    <row r="9" spans="1:9" ht="23">
      <c r="A9" s="5" t="s">
        <v>5382</v>
      </c>
      <c r="B9" s="36">
        <v>1</v>
      </c>
      <c r="C9" s="6">
        <v>7.4</v>
      </c>
      <c r="D9" s="6">
        <v>0</v>
      </c>
      <c r="F9" s="30"/>
      <c r="G9" s="30"/>
      <c r="H9" s="30"/>
      <c r="I9" s="30"/>
    </row>
    <row r="10" spans="1:9" ht="23">
      <c r="A10" s="5" t="s">
        <v>4656</v>
      </c>
      <c r="B10" s="36">
        <v>5</v>
      </c>
      <c r="C10" s="6">
        <v>7.5</v>
      </c>
      <c r="D10" s="6">
        <v>0.96332756630338934</v>
      </c>
    </row>
    <row r="11" spans="1:9" ht="23">
      <c r="A11" s="5" t="s">
        <v>3159</v>
      </c>
      <c r="B11" s="36">
        <v>2</v>
      </c>
      <c r="C11" s="6">
        <v>7.5</v>
      </c>
      <c r="D11" s="6">
        <v>0.10000000000002558</v>
      </c>
    </row>
    <row r="12" spans="1:9" ht="23">
      <c r="A12" s="5" t="s">
        <v>2970</v>
      </c>
      <c r="B12" s="36">
        <v>4</v>
      </c>
      <c r="C12" s="6">
        <v>7.4249999999999998</v>
      </c>
      <c r="D12" s="6">
        <v>0.37666297933299203</v>
      </c>
    </row>
    <row r="13" spans="1:9" ht="23">
      <c r="A13" s="5" t="s">
        <v>6183</v>
      </c>
      <c r="B13" s="36">
        <v>1</v>
      </c>
      <c r="C13" s="6">
        <v>7.5</v>
      </c>
      <c r="D13" s="6">
        <v>0</v>
      </c>
    </row>
    <row r="14" spans="1:9" ht="23">
      <c r="A14" s="5" t="s">
        <v>11</v>
      </c>
      <c r="B14" s="36">
        <v>4479</v>
      </c>
      <c r="C14" s="6">
        <v>6.3707747265014421</v>
      </c>
      <c r="D14" s="6">
        <v>1.1143349788647905</v>
      </c>
    </row>
    <row r="15" spans="1:9" ht="23">
      <c r="A15" s="5" t="s">
        <v>1201</v>
      </c>
      <c r="B15" s="36">
        <v>1</v>
      </c>
      <c r="C15" s="6">
        <v>6.7</v>
      </c>
      <c r="D15" s="6">
        <v>0</v>
      </c>
    </row>
    <row r="16" spans="1:9" ht="23">
      <c r="A16" s="5" t="s">
        <v>394</v>
      </c>
      <c r="B16" s="36">
        <v>72</v>
      </c>
      <c r="C16" s="6">
        <v>7.0208333333333321</v>
      </c>
      <c r="D16" s="6">
        <v>0.71140266375663297</v>
      </c>
    </row>
    <row r="17" spans="1:4" ht="23">
      <c r="A17" s="5" t="s">
        <v>2452</v>
      </c>
      <c r="B17" s="36">
        <v>19</v>
      </c>
      <c r="C17" s="6">
        <v>7.3421052631578947</v>
      </c>
      <c r="D17" s="6">
        <v>0.92867522478539521</v>
      </c>
    </row>
    <row r="18" spans="1:4" ht="23">
      <c r="A18" s="5" t="s">
        <v>6898</v>
      </c>
      <c r="B18" s="36">
        <v>1</v>
      </c>
      <c r="C18" s="6">
        <v>7.3</v>
      </c>
      <c r="D18" s="6">
        <v>0</v>
      </c>
    </row>
    <row r="19" spans="1:4" ht="23">
      <c r="A19" s="5" t="s">
        <v>3331</v>
      </c>
      <c r="B19" s="36">
        <v>5</v>
      </c>
      <c r="C19" s="6">
        <v>7.580000000000001</v>
      </c>
      <c r="D19" s="6">
        <v>0.29933259094188552</v>
      </c>
    </row>
    <row r="20" spans="1:4" ht="23">
      <c r="A20" s="5" t="s">
        <v>1534</v>
      </c>
      <c r="B20" s="36">
        <v>27</v>
      </c>
      <c r="C20" s="6">
        <v>6.7740740740740755</v>
      </c>
      <c r="D20" s="6">
        <v>1.1802675756236731</v>
      </c>
    </row>
    <row r="21" spans="1:4" ht="23">
      <c r="A21" s="5" t="s">
        <v>4200</v>
      </c>
      <c r="B21" s="36">
        <v>1</v>
      </c>
      <c r="C21" s="6">
        <v>7.1</v>
      </c>
      <c r="D21" s="6">
        <v>0</v>
      </c>
    </row>
    <row r="22" spans="1:4" ht="23">
      <c r="A22" s="5" t="s">
        <v>4558</v>
      </c>
      <c r="B22" s="36">
        <v>1</v>
      </c>
      <c r="C22" s="6">
        <v>6.9</v>
      </c>
      <c r="D22" s="6">
        <v>0</v>
      </c>
    </row>
    <row r="23" spans="1:4" ht="23">
      <c r="A23" s="5" t="s">
        <v>6421</v>
      </c>
      <c r="B23" s="36">
        <v>2</v>
      </c>
      <c r="C23" s="6">
        <v>7.8999999999999995</v>
      </c>
      <c r="D23" s="6">
        <v>0.30000000000001753</v>
      </c>
    </row>
    <row r="24" spans="1:4" ht="23">
      <c r="A24" s="5" t="s">
        <v>2756</v>
      </c>
      <c r="B24" s="36">
        <v>10</v>
      </c>
      <c r="C24" s="6">
        <v>7.08</v>
      </c>
      <c r="D24" s="6">
        <v>1.1443775600736015</v>
      </c>
    </row>
    <row r="25" spans="1:4" ht="23">
      <c r="A25" s="5" t="s">
        <v>179</v>
      </c>
      <c r="B25" s="36">
        <v>16</v>
      </c>
      <c r="C25" s="6">
        <v>7.3687499999999995</v>
      </c>
      <c r="D25" s="6">
        <v>0.99606648246992346</v>
      </c>
    </row>
    <row r="26" spans="1:4" ht="23">
      <c r="A26" s="5" t="s">
        <v>1901</v>
      </c>
      <c r="B26" s="36">
        <v>1</v>
      </c>
      <c r="C26" s="6">
        <v>6</v>
      </c>
      <c r="D26" s="6">
        <v>0</v>
      </c>
    </row>
    <row r="27" spans="1:4" ht="23">
      <c r="A27" s="5" t="s">
        <v>3647</v>
      </c>
      <c r="B27" s="36">
        <v>7</v>
      </c>
      <c r="C27" s="6">
        <v>7.4428571428571431</v>
      </c>
      <c r="D27" s="6">
        <v>0.81039169163901703</v>
      </c>
    </row>
    <row r="28" spans="1:4" ht="23">
      <c r="A28" s="5" t="s">
        <v>521</v>
      </c>
      <c r="B28" s="36">
        <v>24</v>
      </c>
      <c r="C28" s="6">
        <v>6.7875000000000005</v>
      </c>
      <c r="D28" s="6">
        <v>1.0150174464838855</v>
      </c>
    </row>
    <row r="29" spans="1:4" ht="23">
      <c r="A29" s="5" t="s">
        <v>1780</v>
      </c>
      <c r="B29" s="36">
        <v>1</v>
      </c>
      <c r="C29" s="6">
        <v>7.8</v>
      </c>
      <c r="D29" s="6">
        <v>0</v>
      </c>
    </row>
    <row r="30" spans="1:4" ht="23">
      <c r="A30" s="5" t="s">
        <v>3416</v>
      </c>
      <c r="B30" s="36">
        <v>1</v>
      </c>
      <c r="C30" s="6">
        <v>7.3</v>
      </c>
      <c r="D30" s="6">
        <v>0</v>
      </c>
    </row>
    <row r="31" spans="1:4" ht="23">
      <c r="A31" s="5" t="s">
        <v>5188</v>
      </c>
      <c r="B31" s="36">
        <v>4</v>
      </c>
      <c r="C31" s="6">
        <v>7.15</v>
      </c>
      <c r="D31" s="6">
        <v>0.4974937185533051</v>
      </c>
    </row>
    <row r="32" spans="1:4" ht="23">
      <c r="A32" s="5" t="s">
        <v>5868</v>
      </c>
      <c r="B32" s="36">
        <v>1</v>
      </c>
      <c r="C32" s="6">
        <v>6.6</v>
      </c>
      <c r="D32" s="6">
        <v>0</v>
      </c>
    </row>
    <row r="33" spans="1:4" ht="23">
      <c r="A33" s="5" t="s">
        <v>6615</v>
      </c>
      <c r="B33" s="36">
        <v>4</v>
      </c>
      <c r="C33" s="6">
        <v>7.5750000000000002</v>
      </c>
      <c r="D33" s="6">
        <v>1.0425329730996518</v>
      </c>
    </row>
    <row r="34" spans="1:4" ht="23">
      <c r="A34" s="5" t="s">
        <v>5879</v>
      </c>
      <c r="B34" s="36">
        <v>1</v>
      </c>
      <c r="C34" s="6">
        <v>7.4</v>
      </c>
      <c r="D34" s="6">
        <v>0</v>
      </c>
    </row>
    <row r="35" spans="1:4" ht="23">
      <c r="A35" s="5" t="s">
        <v>4233</v>
      </c>
      <c r="B35" s="36">
        <v>8</v>
      </c>
      <c r="C35" s="6">
        <v>7.4874999999999989</v>
      </c>
      <c r="D35" s="6">
        <v>0.82679728470769742</v>
      </c>
    </row>
    <row r="36" spans="1:4" ht="23">
      <c r="A36" s="5" t="s">
        <v>6608</v>
      </c>
      <c r="B36" s="36">
        <v>2</v>
      </c>
      <c r="C36" s="6">
        <v>7.2</v>
      </c>
      <c r="D36" s="6">
        <v>0.69999999999999629</v>
      </c>
    </row>
    <row r="37" spans="1:4" ht="23">
      <c r="A37" s="5" t="s">
        <v>1544</v>
      </c>
      <c r="B37" s="36">
        <v>11</v>
      </c>
      <c r="C37" s="6">
        <v>6.3636363636363633</v>
      </c>
      <c r="D37" s="6">
        <v>1.3192785406306728</v>
      </c>
    </row>
    <row r="38" spans="1:4" ht="23">
      <c r="A38" s="5" t="s">
        <v>6737</v>
      </c>
      <c r="B38" s="36">
        <v>1</v>
      </c>
      <c r="C38" s="6">
        <v>6.4</v>
      </c>
      <c r="D38" s="6">
        <v>0</v>
      </c>
    </row>
    <row r="39" spans="1:4" ht="23">
      <c r="A39" s="5" t="s">
        <v>741</v>
      </c>
      <c r="B39" s="36">
        <v>40</v>
      </c>
      <c r="C39" s="6">
        <v>6.9374999999999982</v>
      </c>
      <c r="D39" s="6">
        <v>0.844300746179939</v>
      </c>
    </row>
    <row r="40" spans="1:4" ht="23">
      <c r="A40" s="5" t="s">
        <v>7208</v>
      </c>
      <c r="B40" s="36">
        <v>1</v>
      </c>
      <c r="C40" s="6">
        <v>7.4</v>
      </c>
      <c r="D40" s="6">
        <v>0</v>
      </c>
    </row>
    <row r="41" spans="1:4" ht="23">
      <c r="A41" s="5" t="s">
        <v>3574</v>
      </c>
      <c r="B41" s="36">
        <v>5</v>
      </c>
      <c r="C41" s="6">
        <v>7.44</v>
      </c>
      <c r="D41" s="6">
        <v>0.67705243519242464</v>
      </c>
    </row>
    <row r="42" spans="1:4" ht="23">
      <c r="A42" s="5" t="s">
        <v>6177</v>
      </c>
      <c r="B42" s="36">
        <v>1</v>
      </c>
      <c r="C42" s="6">
        <v>5.0999999999999996</v>
      </c>
      <c r="D42" s="6">
        <v>0</v>
      </c>
    </row>
    <row r="43" spans="1:4" ht="23">
      <c r="A43" s="5" t="s">
        <v>1910</v>
      </c>
      <c r="B43" s="36">
        <v>1</v>
      </c>
      <c r="C43" s="6">
        <v>8.4</v>
      </c>
      <c r="D43" s="6">
        <v>0</v>
      </c>
    </row>
    <row r="44" spans="1:4" ht="23">
      <c r="A44" s="5" t="s">
        <v>3835</v>
      </c>
      <c r="B44" s="36">
        <v>3</v>
      </c>
      <c r="C44" s="6">
        <v>6.6333333333333329</v>
      </c>
      <c r="D44" s="6">
        <v>0.36817870057292135</v>
      </c>
    </row>
    <row r="45" spans="1:4" ht="23">
      <c r="A45" s="5" t="s">
        <v>6332</v>
      </c>
      <c r="B45" s="36">
        <v>1</v>
      </c>
      <c r="C45" s="6">
        <v>7.4</v>
      </c>
      <c r="D45" s="6">
        <v>0</v>
      </c>
    </row>
    <row r="46" spans="1:4" ht="23">
      <c r="A46" s="5" t="s">
        <v>3619</v>
      </c>
      <c r="B46" s="36">
        <v>2</v>
      </c>
      <c r="C46" s="6">
        <v>7.1</v>
      </c>
      <c r="D46" s="6">
        <v>0.20000000000001564</v>
      </c>
    </row>
    <row r="47" spans="1:4" ht="23">
      <c r="A47" s="5" t="s">
        <v>7242</v>
      </c>
      <c r="B47" s="36">
        <v>4790</v>
      </c>
      <c r="C47" s="6">
        <v>6.4139039665970712</v>
      </c>
      <c r="D47" s="6">
        <v>1.1156145498168548</v>
      </c>
    </row>
  </sheetData>
  <mergeCells count="2">
    <mergeCell ref="F8:I9"/>
    <mergeCell ref="F2:G2"/>
  </mergeCells>
  <conditionalFormatting sqref="A3:A46">
    <cfRule type="expression" dxfId="73" priority="1">
      <formula>COUNTIF($B3,"&gt;=38.5")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C42C-46AD-9044-958F-01F3AB9A1D4E}">
  <dimension ref="A2:G2384"/>
  <sheetViews>
    <sheetView tabSelected="1" zoomScale="60" zoomScaleNormal="50" workbookViewId="0">
      <selection activeCell="I24" sqref="I24"/>
    </sheetView>
  </sheetViews>
  <sheetFormatPr baseColWidth="10" defaultRowHeight="22"/>
  <cols>
    <col min="1" max="1" width="36" bestFit="1" customWidth="1"/>
    <col min="2" max="2" width="24.5" bestFit="1" customWidth="1"/>
    <col min="3" max="3" width="24.75" bestFit="1" customWidth="1"/>
    <col min="4" max="4" width="18.875" customWidth="1"/>
    <col min="5" max="5" width="26.5" bestFit="1" customWidth="1"/>
    <col min="6" max="6" width="5.625" bestFit="1" customWidth="1"/>
    <col min="8" max="8" width="5.625" bestFit="1" customWidth="1"/>
    <col min="14" max="14" width="10.625" customWidth="1"/>
  </cols>
  <sheetData>
    <row r="2" spans="1:6" ht="23">
      <c r="A2" s="4" t="s">
        <v>1</v>
      </c>
      <c r="B2" s="5" t="s">
        <v>7243</v>
      </c>
      <c r="C2" s="5" t="s">
        <v>7258</v>
      </c>
      <c r="D2" s="5"/>
      <c r="E2" s="12" t="s">
        <v>7250</v>
      </c>
      <c r="F2" s="13">
        <f>PERCENTILE(B3:B2383,0.99)</f>
        <v>8.3000000000000007</v>
      </c>
    </row>
    <row r="3" spans="1:6" ht="23">
      <c r="A3" s="5" t="s">
        <v>6549</v>
      </c>
      <c r="B3" s="6">
        <v>1.9</v>
      </c>
      <c r="C3" s="6">
        <v>0</v>
      </c>
      <c r="D3" s="6"/>
      <c r="F3" s="7"/>
    </row>
    <row r="4" spans="1:6" ht="23">
      <c r="A4" s="5" t="s">
        <v>6095</v>
      </c>
      <c r="B4" s="6">
        <v>6</v>
      </c>
      <c r="C4" s="6">
        <v>0</v>
      </c>
      <c r="D4" s="6"/>
      <c r="E4" s="5" t="str" cm="1">
        <f t="array" ref="E4:F32">_xlfn._xlws.SORT(_xlfn._xlws.FILTER(A3:B2383,(B3:B2383&gt;=F2)),2,-1)</f>
        <v>John Blanchard</v>
      </c>
      <c r="F4" s="6">
        <v>9.5</v>
      </c>
    </row>
    <row r="5" spans="1:6" ht="23">
      <c r="A5" s="5" t="s">
        <v>4910</v>
      </c>
      <c r="B5" s="6">
        <v>7.1</v>
      </c>
      <c r="C5" s="6">
        <v>0</v>
      </c>
      <c r="D5" s="6"/>
      <c r="E5" s="5" t="str">
        <v>Cary Bell</v>
      </c>
      <c r="F5" s="6">
        <v>8.6999999999999993</v>
      </c>
    </row>
    <row r="6" spans="1:6" ht="23">
      <c r="A6" s="5" t="s">
        <v>3051</v>
      </c>
      <c r="B6" s="6">
        <v>2.7</v>
      </c>
      <c r="C6" s="6">
        <v>0</v>
      </c>
      <c r="D6" s="6"/>
      <c r="E6" s="5" t="str">
        <v>Mitchell Altieri</v>
      </c>
      <c r="F6" s="6">
        <v>8.6999999999999993</v>
      </c>
    </row>
    <row r="7" spans="1:6" ht="23">
      <c r="A7" s="5" t="s">
        <v>4067</v>
      </c>
      <c r="B7" s="6">
        <v>6.6</v>
      </c>
      <c r="C7" s="6">
        <v>0</v>
      </c>
      <c r="D7" s="6"/>
      <c r="E7" s="5" t="str">
        <v>Sadyk Sher-Niyaz</v>
      </c>
      <c r="F7" s="6">
        <v>8.6999999999999993</v>
      </c>
    </row>
    <row r="8" spans="1:6" ht="23">
      <c r="A8" s="5" t="s">
        <v>4887</v>
      </c>
      <c r="B8" s="6">
        <v>7.2</v>
      </c>
      <c r="C8" s="6">
        <v>0</v>
      </c>
      <c r="D8" s="6"/>
      <c r="E8" s="5" t="str">
        <v>Charles Chaplin</v>
      </c>
      <c r="F8" s="6">
        <v>8.6</v>
      </c>
    </row>
    <row r="9" spans="1:6" ht="23">
      <c r="A9" s="5" t="s">
        <v>6277</v>
      </c>
      <c r="B9" s="6">
        <v>6.1</v>
      </c>
      <c r="C9" s="6">
        <v>0</v>
      </c>
      <c r="D9" s="6"/>
      <c r="E9" s="5" t="str">
        <v>Mike Mayhall</v>
      </c>
      <c r="F9" s="6">
        <v>8.6</v>
      </c>
    </row>
    <row r="10" spans="1:6" ht="23">
      <c r="A10" s="5" t="s">
        <v>6230</v>
      </c>
      <c r="B10" s="6">
        <v>5.4</v>
      </c>
      <c r="C10" s="6">
        <v>0</v>
      </c>
      <c r="D10" s="6"/>
      <c r="E10" s="5" t="str">
        <v>Damien Chazelle</v>
      </c>
      <c r="F10" s="6">
        <v>8.5</v>
      </c>
    </row>
    <row r="11" spans="1:6" ht="23">
      <c r="A11" s="5" t="s">
        <v>6268</v>
      </c>
      <c r="B11" s="6">
        <v>5.7</v>
      </c>
      <c r="C11" s="6">
        <v>0</v>
      </c>
      <c r="D11" s="6"/>
      <c r="E11" s="5" t="str">
        <v>Majid Majidi</v>
      </c>
      <c r="F11" s="6">
        <v>8.5</v>
      </c>
    </row>
    <row r="12" spans="1:6" ht="23">
      <c r="A12" s="5" t="s">
        <v>6393</v>
      </c>
      <c r="B12" s="6">
        <v>3.8</v>
      </c>
      <c r="C12" s="6">
        <v>0</v>
      </c>
      <c r="D12" s="6"/>
      <c r="E12" s="5" t="str">
        <v>Raja Menon</v>
      </c>
      <c r="F12" s="6">
        <v>8.5</v>
      </c>
    </row>
    <row r="13" spans="1:6" ht="23">
      <c r="A13" s="5" t="s">
        <v>5735</v>
      </c>
      <c r="B13" s="6">
        <v>4.3</v>
      </c>
      <c r="C13" s="6">
        <v>0</v>
      </c>
      <c r="D13" s="6"/>
      <c r="E13" s="5" t="str">
        <v>Sergio Leone</v>
      </c>
      <c r="F13" s="6">
        <v>8.4749999999999996</v>
      </c>
    </row>
    <row r="14" spans="1:6" ht="23">
      <c r="A14" s="5" t="s">
        <v>468</v>
      </c>
      <c r="B14" s="6">
        <v>6.9166666666666679</v>
      </c>
      <c r="C14" s="6">
        <v>0.48102898965537194</v>
      </c>
      <c r="D14" s="6"/>
      <c r="E14" s="5" t="str">
        <v>Tony Kaye</v>
      </c>
      <c r="F14" s="6">
        <v>8.4499999999999993</v>
      </c>
    </row>
    <row r="15" spans="1:6" ht="23">
      <c r="A15" s="5" t="s">
        <v>5645</v>
      </c>
      <c r="B15" s="6">
        <v>6.4</v>
      </c>
      <c r="C15" s="6">
        <v>0</v>
      </c>
      <c r="D15" s="6"/>
      <c r="E15" s="5" t="str">
        <v>Christopher Nolan</v>
      </c>
      <c r="F15" s="6">
        <v>8.4250000000000007</v>
      </c>
    </row>
    <row r="16" spans="1:6" ht="23">
      <c r="A16" s="5" t="s">
        <v>3599</v>
      </c>
      <c r="B16" s="6">
        <v>6.5</v>
      </c>
      <c r="C16" s="6">
        <v>0.30000000000000571</v>
      </c>
      <c r="D16" s="6"/>
      <c r="E16" s="5" t="str">
        <v>Asghar Farhadi</v>
      </c>
      <c r="F16" s="6">
        <v>8.4</v>
      </c>
    </row>
    <row r="17" spans="1:6" ht="23">
      <c r="A17" s="5" t="s">
        <v>700</v>
      </c>
      <c r="B17" s="6">
        <v>5.9625000000000004</v>
      </c>
      <c r="C17" s="6">
        <v>0.7034513131695711</v>
      </c>
      <c r="D17" s="6"/>
      <c r="E17" s="5" t="str">
        <v>Bill Melendez</v>
      </c>
      <c r="F17" s="6">
        <v>8.4</v>
      </c>
    </row>
    <row r="18" spans="1:6" ht="23">
      <c r="A18" s="5" t="s">
        <v>1414</v>
      </c>
      <c r="B18" s="6">
        <v>6.4</v>
      </c>
      <c r="C18" s="6">
        <v>0.41231056256175092</v>
      </c>
      <c r="D18" s="6"/>
      <c r="E18" s="5" t="str">
        <v>Catherine Owens</v>
      </c>
      <c r="F18" s="6">
        <v>8.4</v>
      </c>
    </row>
    <row r="19" spans="1:6" ht="23">
      <c r="A19" s="5" t="s">
        <v>6234</v>
      </c>
      <c r="B19" s="6">
        <v>7.1</v>
      </c>
      <c r="C19" s="6">
        <v>0</v>
      </c>
      <c r="D19" s="6"/>
      <c r="E19" s="5" t="str">
        <v>Jay Oliva</v>
      </c>
      <c r="F19" s="6">
        <v>8.4</v>
      </c>
    </row>
    <row r="20" spans="1:6" ht="23">
      <c r="A20" s="5" t="s">
        <v>4289</v>
      </c>
      <c r="B20" s="6">
        <v>6.8</v>
      </c>
      <c r="C20" s="6">
        <v>0</v>
      </c>
      <c r="D20" s="6"/>
      <c r="E20" s="5" t="str">
        <v>Marius A. Markevicius</v>
      </c>
      <c r="F20" s="6">
        <v>8.4</v>
      </c>
    </row>
    <row r="21" spans="1:6" ht="23">
      <c r="A21" s="5" t="s">
        <v>5451</v>
      </c>
      <c r="B21" s="6">
        <v>5.9</v>
      </c>
      <c r="C21" s="6">
        <v>0</v>
      </c>
      <c r="D21" s="6"/>
      <c r="E21" s="5" t="str">
        <v>Moustapha Akkad</v>
      </c>
      <c r="F21" s="6">
        <v>8.4</v>
      </c>
    </row>
    <row r="22" spans="1:6" ht="23">
      <c r="A22" s="5" t="s">
        <v>2536</v>
      </c>
      <c r="B22" s="6">
        <v>6.1</v>
      </c>
      <c r="C22" s="6">
        <v>0</v>
      </c>
      <c r="D22" s="6"/>
      <c r="E22" s="5" t="str">
        <v>Rakeysh Omprakash Mehra</v>
      </c>
      <c r="F22" s="6">
        <v>8.4</v>
      </c>
    </row>
    <row r="23" spans="1:6" ht="23">
      <c r="A23" s="5" t="s">
        <v>5174</v>
      </c>
      <c r="B23" s="6">
        <v>7.2</v>
      </c>
      <c r="C23" s="6">
        <v>0</v>
      </c>
      <c r="D23" s="6"/>
      <c r="E23" s="5" t="str">
        <v>Richard Marquand</v>
      </c>
      <c r="F23" s="6">
        <v>8.4</v>
      </c>
    </row>
    <row r="24" spans="1:6" ht="23">
      <c r="A24" s="5" t="s">
        <v>4222</v>
      </c>
      <c r="B24" s="6">
        <v>8.1</v>
      </c>
      <c r="C24" s="6">
        <v>0.59999999999999953</v>
      </c>
      <c r="D24" s="6"/>
      <c r="E24" s="5" t="str">
        <v>Robert Mulligan</v>
      </c>
      <c r="F24" s="6">
        <v>8.4</v>
      </c>
    </row>
    <row r="25" spans="1:6" ht="23">
      <c r="A25" s="5" t="s">
        <v>1182</v>
      </c>
      <c r="B25" s="6">
        <v>6.2</v>
      </c>
      <c r="C25" s="6">
        <v>0</v>
      </c>
      <c r="D25" s="6"/>
      <c r="E25" s="5" t="str">
        <v>S.S. Rajamouli</v>
      </c>
      <c r="F25" s="6">
        <v>8.4</v>
      </c>
    </row>
    <row r="26" spans="1:6" ht="23">
      <c r="A26" s="5" t="s">
        <v>1276</v>
      </c>
      <c r="B26" s="6">
        <v>6.2</v>
      </c>
      <c r="C26" s="6">
        <v>0.49999999999999289</v>
      </c>
      <c r="D26" s="6"/>
      <c r="E26" s="5" t="str">
        <v>Fritz Lang</v>
      </c>
      <c r="F26" s="6">
        <v>8.3000000000000007</v>
      </c>
    </row>
    <row r="27" spans="1:6" ht="23">
      <c r="A27" s="5" t="s">
        <v>6963</v>
      </c>
      <c r="B27" s="6">
        <v>4.3</v>
      </c>
      <c r="C27" s="6">
        <v>0</v>
      </c>
      <c r="D27" s="6"/>
      <c r="E27" s="5" t="str">
        <v>John Sturges</v>
      </c>
      <c r="F27" s="6">
        <v>8.3000000000000007</v>
      </c>
    </row>
    <row r="28" spans="1:6" ht="23">
      <c r="A28" s="5" t="s">
        <v>7006</v>
      </c>
      <c r="B28" s="6">
        <v>4</v>
      </c>
      <c r="C28" s="6">
        <v>0</v>
      </c>
      <c r="D28" s="6"/>
      <c r="E28" s="5" t="str">
        <v>Justin Paul Miller</v>
      </c>
      <c r="F28" s="6">
        <v>8.3000000000000007</v>
      </c>
    </row>
    <row r="29" spans="1:6" ht="23">
      <c r="A29" s="5" t="s">
        <v>3936</v>
      </c>
      <c r="B29" s="6">
        <v>6.3</v>
      </c>
      <c r="C29" s="6">
        <v>0</v>
      </c>
      <c r="D29" s="6"/>
      <c r="E29" s="5" t="str">
        <v>Lee Unkrich</v>
      </c>
      <c r="F29" s="6">
        <v>8.3000000000000007</v>
      </c>
    </row>
    <row r="30" spans="1:6" ht="23">
      <c r="A30" s="5" t="s">
        <v>4997</v>
      </c>
      <c r="B30" s="6">
        <v>7.2</v>
      </c>
      <c r="C30" s="6">
        <v>0</v>
      </c>
      <c r="D30" s="6"/>
      <c r="E30" s="5" t="str">
        <v>Lenny Abrahamson</v>
      </c>
      <c r="F30" s="6">
        <v>8.3000000000000007</v>
      </c>
    </row>
    <row r="31" spans="1:6" ht="23">
      <c r="A31" s="5" t="s">
        <v>3905</v>
      </c>
      <c r="B31" s="6">
        <v>6</v>
      </c>
      <c r="C31" s="6">
        <v>0</v>
      </c>
      <c r="D31" s="6"/>
      <c r="E31" s="5" t="str">
        <v>Stanley Donen</v>
      </c>
      <c r="F31" s="6">
        <v>8.3000000000000007</v>
      </c>
    </row>
    <row r="32" spans="1:6" ht="23">
      <c r="A32" s="5" t="s">
        <v>606</v>
      </c>
      <c r="B32" s="6">
        <v>6.3</v>
      </c>
      <c r="C32" s="6">
        <v>0.19999999999999787</v>
      </c>
      <c r="D32" s="6"/>
      <c r="E32" s="5" t="str">
        <v>Sut Jhally</v>
      </c>
      <c r="F32" s="6">
        <v>8.3000000000000007</v>
      </c>
    </row>
    <row r="33" spans="1:7" ht="23">
      <c r="A33" s="5" t="s">
        <v>5594</v>
      </c>
      <c r="B33" s="6">
        <v>7.3</v>
      </c>
      <c r="C33" s="6">
        <v>0</v>
      </c>
      <c r="D33" s="6"/>
    </row>
    <row r="34" spans="1:7" ht="24">
      <c r="A34" s="5" t="s">
        <v>4523</v>
      </c>
      <c r="B34" s="6">
        <v>3.3</v>
      </c>
      <c r="C34" s="6">
        <v>0</v>
      </c>
      <c r="D34" s="6"/>
      <c r="E34" s="17" t="s">
        <v>7252</v>
      </c>
      <c r="F34" s="40">
        <f>ROWS(F4:F32)</f>
        <v>29</v>
      </c>
    </row>
    <row r="35" spans="1:7" ht="23">
      <c r="A35" s="5" t="s">
        <v>1269</v>
      </c>
      <c r="B35" s="6">
        <v>7.0333333333333341</v>
      </c>
      <c r="C35" s="6">
        <v>0.52493385826744399</v>
      </c>
      <c r="D35" s="6"/>
    </row>
    <row r="36" spans="1:7" ht="24">
      <c r="A36" s="5" t="s">
        <v>2056</v>
      </c>
      <c r="B36" s="6">
        <v>5.3</v>
      </c>
      <c r="C36" s="6">
        <v>0</v>
      </c>
      <c r="D36" s="6"/>
      <c r="E36" s="27" t="s">
        <v>7264</v>
      </c>
      <c r="F36" s="39">
        <f>SUM(F4:F32)/SUM(B3:B2383)</f>
        <v>1.6540222110195481E-2</v>
      </c>
    </row>
    <row r="37" spans="1:7" ht="23">
      <c r="A37" s="5" t="s">
        <v>4202</v>
      </c>
      <c r="B37" s="6">
        <v>4.5999999999999996</v>
      </c>
      <c r="C37" s="6">
        <v>0</v>
      </c>
      <c r="D37" s="6"/>
      <c r="F37" s="26"/>
      <c r="G37" s="25"/>
    </row>
    <row r="38" spans="1:7" ht="23">
      <c r="A38" s="5" t="s">
        <v>2623</v>
      </c>
      <c r="B38" s="6">
        <v>5.2</v>
      </c>
      <c r="C38" s="6">
        <v>0</v>
      </c>
      <c r="D38" s="6"/>
      <c r="F38" s="7"/>
    </row>
    <row r="39" spans="1:7" ht="23">
      <c r="A39" s="5" t="s">
        <v>199</v>
      </c>
      <c r="B39" s="6">
        <v>6.85</v>
      </c>
      <c r="C39" s="6">
        <v>0.25000000000001421</v>
      </c>
      <c r="D39" s="6"/>
    </row>
    <row r="40" spans="1:7" ht="23">
      <c r="A40" s="5" t="s">
        <v>3311</v>
      </c>
      <c r="B40" s="6">
        <v>6.2</v>
      </c>
      <c r="C40" s="6">
        <v>0</v>
      </c>
      <c r="D40" s="6"/>
    </row>
    <row r="41" spans="1:7" ht="23">
      <c r="A41" s="5" t="s">
        <v>3764</v>
      </c>
      <c r="B41" s="6">
        <v>5.6</v>
      </c>
      <c r="C41" s="6">
        <v>0</v>
      </c>
      <c r="D41" s="6"/>
    </row>
    <row r="42" spans="1:7" ht="23">
      <c r="A42" s="5" t="s">
        <v>709</v>
      </c>
      <c r="B42" s="6">
        <v>7.0666666666666664</v>
      </c>
      <c r="C42" s="6">
        <v>0.30912061651651568</v>
      </c>
      <c r="D42" s="6"/>
    </row>
    <row r="43" spans="1:7" ht="23">
      <c r="A43" s="5" t="s">
        <v>6833</v>
      </c>
      <c r="B43" s="6">
        <v>4.3</v>
      </c>
      <c r="C43" s="6">
        <v>0</v>
      </c>
      <c r="D43" s="6"/>
    </row>
    <row r="44" spans="1:7" ht="23">
      <c r="A44" s="5" t="s">
        <v>1787</v>
      </c>
      <c r="B44" s="6">
        <v>6.8</v>
      </c>
      <c r="C44" s="6">
        <v>0</v>
      </c>
      <c r="D44" s="6"/>
    </row>
    <row r="45" spans="1:7" ht="23">
      <c r="A45" s="5" t="s">
        <v>955</v>
      </c>
      <c r="B45" s="6">
        <v>7.15</v>
      </c>
      <c r="C45" s="6">
        <v>0.895823643358443</v>
      </c>
      <c r="D45" s="6"/>
    </row>
    <row r="46" spans="1:7" ht="23">
      <c r="A46" s="5" t="s">
        <v>305</v>
      </c>
      <c r="B46" s="6">
        <v>7.7833333333333341</v>
      </c>
      <c r="C46" s="6">
        <v>0.24776781245531046</v>
      </c>
      <c r="D46" s="6"/>
    </row>
    <row r="47" spans="1:7" ht="23">
      <c r="A47" s="5" t="s">
        <v>3223</v>
      </c>
      <c r="B47" s="6">
        <v>7.4</v>
      </c>
      <c r="C47" s="6">
        <v>0</v>
      </c>
      <c r="D47" s="6"/>
    </row>
    <row r="48" spans="1:7" ht="23">
      <c r="A48" s="5" t="s">
        <v>5569</v>
      </c>
      <c r="B48" s="6">
        <v>7.5</v>
      </c>
      <c r="C48" s="6">
        <v>0</v>
      </c>
      <c r="D48" s="6"/>
    </row>
    <row r="49" spans="1:4" ht="23">
      <c r="A49" s="5" t="s">
        <v>4957</v>
      </c>
      <c r="B49" s="6">
        <v>6.7</v>
      </c>
      <c r="C49" s="6">
        <v>0</v>
      </c>
      <c r="D49" s="6"/>
    </row>
    <row r="50" spans="1:4" ht="23">
      <c r="A50" s="5" t="s">
        <v>268</v>
      </c>
      <c r="B50" s="6">
        <v>7.2</v>
      </c>
      <c r="C50" s="6">
        <v>0</v>
      </c>
      <c r="D50" s="6"/>
    </row>
    <row r="51" spans="1:4" ht="23">
      <c r="A51" s="5" t="s">
        <v>6247</v>
      </c>
      <c r="B51" s="6">
        <v>6.9</v>
      </c>
      <c r="C51" s="6">
        <v>0</v>
      </c>
      <c r="D51" s="6"/>
    </row>
    <row r="52" spans="1:4" ht="23">
      <c r="A52" s="5" t="s">
        <v>6797</v>
      </c>
      <c r="B52" s="6">
        <v>4.5999999999999996</v>
      </c>
      <c r="C52" s="6">
        <v>0</v>
      </c>
      <c r="D52" s="6"/>
    </row>
    <row r="53" spans="1:4" ht="23">
      <c r="A53" s="5" t="s">
        <v>4543</v>
      </c>
      <c r="B53" s="6">
        <v>6.1</v>
      </c>
      <c r="C53" s="6">
        <v>0</v>
      </c>
      <c r="D53" s="6"/>
    </row>
    <row r="54" spans="1:4" ht="23">
      <c r="A54" s="5" t="s">
        <v>3993</v>
      </c>
      <c r="B54" s="6">
        <v>7.7</v>
      </c>
      <c r="C54" s="6">
        <v>0</v>
      </c>
      <c r="D54" s="6"/>
    </row>
    <row r="55" spans="1:4" ht="23">
      <c r="A55" s="5" t="s">
        <v>6515</v>
      </c>
      <c r="B55" s="6">
        <v>7.7</v>
      </c>
      <c r="C55" s="6">
        <v>0</v>
      </c>
      <c r="D55" s="6"/>
    </row>
    <row r="56" spans="1:4" ht="23">
      <c r="A56" s="5" t="s">
        <v>6017</v>
      </c>
      <c r="B56" s="6">
        <v>6.7750000000000004</v>
      </c>
      <c r="C56" s="6">
        <v>0.19202864369670189</v>
      </c>
      <c r="D56" s="6"/>
    </row>
    <row r="57" spans="1:4" ht="23">
      <c r="A57" s="5" t="s">
        <v>281</v>
      </c>
      <c r="B57" s="6">
        <v>6.82</v>
      </c>
      <c r="C57" s="6">
        <v>0.8471127433818908</v>
      </c>
      <c r="D57" s="6"/>
    </row>
    <row r="58" spans="1:4" ht="23">
      <c r="A58" s="5" t="s">
        <v>6316</v>
      </c>
      <c r="B58" s="6">
        <v>4.8</v>
      </c>
      <c r="C58" s="6">
        <v>0</v>
      </c>
      <c r="D58" s="6"/>
    </row>
    <row r="59" spans="1:4" ht="23">
      <c r="A59" s="5" t="s">
        <v>5936</v>
      </c>
      <c r="B59" s="6">
        <v>5.9</v>
      </c>
      <c r="C59" s="6">
        <v>0</v>
      </c>
      <c r="D59" s="6"/>
    </row>
    <row r="60" spans="1:4" ht="23">
      <c r="A60" s="5" t="s">
        <v>6789</v>
      </c>
      <c r="B60" s="6">
        <v>6.1</v>
      </c>
      <c r="C60" s="6">
        <v>0</v>
      </c>
      <c r="D60" s="6"/>
    </row>
    <row r="61" spans="1:4" ht="23">
      <c r="A61" s="5" t="s">
        <v>5873</v>
      </c>
      <c r="B61" s="6">
        <v>7</v>
      </c>
      <c r="C61" s="6">
        <v>0</v>
      </c>
      <c r="D61" s="6"/>
    </row>
    <row r="62" spans="1:4" ht="23">
      <c r="A62" s="5" t="s">
        <v>4946</v>
      </c>
      <c r="B62" s="6">
        <v>2.2999999999999998</v>
      </c>
      <c r="C62" s="6">
        <v>0</v>
      </c>
      <c r="D62" s="6"/>
    </row>
    <row r="63" spans="1:4" ht="23">
      <c r="A63" s="5" t="s">
        <v>2285</v>
      </c>
      <c r="B63" s="6">
        <v>7.42</v>
      </c>
      <c r="C63" s="6">
        <v>0.21354156504061431</v>
      </c>
      <c r="D63" s="6"/>
    </row>
    <row r="64" spans="1:4" ht="23">
      <c r="A64" s="5" t="s">
        <v>1441</v>
      </c>
      <c r="B64" s="6">
        <v>6.2</v>
      </c>
      <c r="C64" s="6">
        <v>0</v>
      </c>
      <c r="D64" s="6"/>
    </row>
    <row r="65" spans="1:4" ht="23">
      <c r="A65" s="5" t="s">
        <v>2071</v>
      </c>
      <c r="B65" s="6">
        <v>6.2250000000000005</v>
      </c>
      <c r="C65" s="6">
        <v>0.47103609203540875</v>
      </c>
      <c r="D65" s="6"/>
    </row>
    <row r="66" spans="1:4" ht="23">
      <c r="A66" s="5" t="s">
        <v>328</v>
      </c>
      <c r="B66" s="6">
        <v>7.8</v>
      </c>
      <c r="C66" s="6">
        <v>7.0710678118672834E-2</v>
      </c>
      <c r="D66" s="6"/>
    </row>
    <row r="67" spans="1:4" ht="23">
      <c r="A67" s="5" t="s">
        <v>3135</v>
      </c>
      <c r="B67" s="6">
        <v>7.3500000000000014</v>
      </c>
      <c r="C67" s="6">
        <v>0.70533679898327573</v>
      </c>
      <c r="D67" s="6"/>
    </row>
    <row r="68" spans="1:4" ht="23">
      <c r="A68" s="5" t="s">
        <v>5914</v>
      </c>
      <c r="B68" s="6">
        <v>7.6</v>
      </c>
      <c r="C68" s="6">
        <v>0</v>
      </c>
      <c r="D68" s="6"/>
    </row>
    <row r="69" spans="1:4" ht="23">
      <c r="A69" s="5" t="s">
        <v>5912</v>
      </c>
      <c r="B69" s="6">
        <v>7</v>
      </c>
      <c r="C69" s="6">
        <v>0</v>
      </c>
      <c r="D69" s="6"/>
    </row>
    <row r="70" spans="1:4" ht="23">
      <c r="A70" s="5" t="s">
        <v>2375</v>
      </c>
      <c r="B70" s="6">
        <v>5.9</v>
      </c>
      <c r="C70" s="6">
        <v>0</v>
      </c>
      <c r="D70" s="6"/>
    </row>
    <row r="71" spans="1:4" ht="23">
      <c r="A71" s="5" t="s">
        <v>4450</v>
      </c>
      <c r="B71" s="6">
        <v>4.2</v>
      </c>
      <c r="C71" s="6">
        <v>0</v>
      </c>
      <c r="D71" s="6"/>
    </row>
    <row r="72" spans="1:4" ht="23">
      <c r="A72" s="5" t="s">
        <v>6461</v>
      </c>
      <c r="B72" s="6">
        <v>7.2</v>
      </c>
      <c r="C72" s="6">
        <v>0</v>
      </c>
      <c r="D72" s="6"/>
    </row>
    <row r="73" spans="1:4" ht="23">
      <c r="A73" s="5" t="s">
        <v>3584</v>
      </c>
      <c r="B73" s="6">
        <v>7.2</v>
      </c>
      <c r="C73" s="6">
        <v>0</v>
      </c>
      <c r="D73" s="6"/>
    </row>
    <row r="74" spans="1:4" ht="23">
      <c r="A74" s="5" t="s">
        <v>2101</v>
      </c>
      <c r="B74" s="6">
        <v>6.2</v>
      </c>
      <c r="C74" s="6">
        <v>0</v>
      </c>
      <c r="D74" s="6"/>
    </row>
    <row r="75" spans="1:4" ht="23">
      <c r="A75" s="5" t="s">
        <v>5517</v>
      </c>
      <c r="B75" s="6">
        <v>6.4</v>
      </c>
      <c r="C75" s="6">
        <v>0.299999999999982</v>
      </c>
      <c r="D75" s="6"/>
    </row>
    <row r="76" spans="1:4" ht="23">
      <c r="A76" s="5" t="s">
        <v>6598</v>
      </c>
      <c r="B76" s="6">
        <v>6</v>
      </c>
      <c r="C76" s="6">
        <v>0</v>
      </c>
      <c r="D76" s="6"/>
    </row>
    <row r="77" spans="1:4" ht="23">
      <c r="A77" s="5" t="s">
        <v>7087</v>
      </c>
      <c r="B77" s="6">
        <v>8.1999999999999993</v>
      </c>
      <c r="C77" s="6">
        <v>0</v>
      </c>
      <c r="D77" s="6"/>
    </row>
    <row r="78" spans="1:4" ht="23">
      <c r="A78" s="5" t="s">
        <v>5650</v>
      </c>
      <c r="B78" s="6">
        <v>6.1</v>
      </c>
      <c r="C78" s="6">
        <v>0</v>
      </c>
      <c r="D78" s="6"/>
    </row>
    <row r="79" spans="1:4" ht="23">
      <c r="A79" s="5" t="s">
        <v>6554</v>
      </c>
      <c r="B79" s="6">
        <v>6.8</v>
      </c>
      <c r="C79" s="6">
        <v>0</v>
      </c>
      <c r="D79" s="6"/>
    </row>
    <row r="80" spans="1:4" ht="23">
      <c r="A80" s="5" t="s">
        <v>3166</v>
      </c>
      <c r="B80" s="6">
        <v>6.1</v>
      </c>
      <c r="C80" s="6">
        <v>0.91378334412485762</v>
      </c>
      <c r="D80" s="6"/>
    </row>
    <row r="81" spans="1:4" ht="23">
      <c r="A81" s="5" t="s">
        <v>6734</v>
      </c>
      <c r="B81" s="6">
        <v>6.1</v>
      </c>
      <c r="C81" s="6">
        <v>0</v>
      </c>
      <c r="D81" s="6"/>
    </row>
    <row r="82" spans="1:4" ht="23">
      <c r="A82" s="5" t="s">
        <v>5411</v>
      </c>
      <c r="B82" s="6">
        <v>6.2</v>
      </c>
      <c r="C82" s="6">
        <v>0</v>
      </c>
      <c r="D82" s="6"/>
    </row>
    <row r="83" spans="1:4" ht="23">
      <c r="A83" s="5" t="s">
        <v>3317</v>
      </c>
      <c r="B83" s="6">
        <v>6.5666666666666673</v>
      </c>
      <c r="C83" s="6">
        <v>0.23570226039551584</v>
      </c>
      <c r="D83" s="6"/>
    </row>
    <row r="84" spans="1:4" ht="23">
      <c r="A84" s="5" t="s">
        <v>5641</v>
      </c>
      <c r="B84" s="6">
        <v>7</v>
      </c>
      <c r="C84" s="6">
        <v>0</v>
      </c>
      <c r="D84" s="6"/>
    </row>
    <row r="85" spans="1:4" ht="23">
      <c r="A85" s="5" t="s">
        <v>4661</v>
      </c>
      <c r="B85" s="6">
        <v>6</v>
      </c>
      <c r="C85" s="6">
        <v>0</v>
      </c>
      <c r="D85" s="6"/>
    </row>
    <row r="86" spans="1:4" ht="23">
      <c r="A86" s="5" t="s">
        <v>5791</v>
      </c>
      <c r="B86" s="6">
        <v>7.3</v>
      </c>
      <c r="C86" s="6">
        <v>0</v>
      </c>
      <c r="D86" s="6"/>
    </row>
    <row r="87" spans="1:4" ht="23">
      <c r="A87" s="5" t="s">
        <v>3524</v>
      </c>
      <c r="B87" s="6">
        <v>6.6</v>
      </c>
      <c r="C87" s="6">
        <v>0</v>
      </c>
      <c r="D87" s="6"/>
    </row>
    <row r="88" spans="1:4" ht="23">
      <c r="A88" s="5" t="s">
        <v>1543</v>
      </c>
      <c r="B88" s="6">
        <v>8.1</v>
      </c>
      <c r="C88" s="6">
        <v>0</v>
      </c>
      <c r="D88" s="6"/>
    </row>
    <row r="89" spans="1:4" ht="23">
      <c r="A89" s="5" t="s">
        <v>776</v>
      </c>
      <c r="B89" s="6">
        <v>4.4000000000000004</v>
      </c>
      <c r="C89" s="6">
        <v>0</v>
      </c>
      <c r="D89" s="6"/>
    </row>
    <row r="90" spans="1:4" ht="23">
      <c r="A90" s="5" t="s">
        <v>3654</v>
      </c>
      <c r="B90" s="6">
        <v>6.2</v>
      </c>
      <c r="C90" s="6">
        <v>0</v>
      </c>
      <c r="D90" s="6"/>
    </row>
    <row r="91" spans="1:4" ht="23">
      <c r="A91" s="5" t="s">
        <v>39</v>
      </c>
      <c r="B91" s="6">
        <v>7.08</v>
      </c>
      <c r="C91" s="6">
        <v>0.45343136195017975</v>
      </c>
      <c r="D91" s="6"/>
    </row>
    <row r="92" spans="1:4" ht="23">
      <c r="A92" s="5" t="s">
        <v>7089</v>
      </c>
      <c r="B92" s="6">
        <v>6.6</v>
      </c>
      <c r="C92" s="6">
        <v>0</v>
      </c>
      <c r="D92" s="6"/>
    </row>
    <row r="93" spans="1:4" ht="23">
      <c r="A93" s="5" t="s">
        <v>1455</v>
      </c>
      <c r="B93" s="6">
        <v>4.8</v>
      </c>
      <c r="C93" s="6">
        <v>0.5</v>
      </c>
      <c r="D93" s="6"/>
    </row>
    <row r="94" spans="1:4" ht="23">
      <c r="A94" s="5" t="s">
        <v>7184</v>
      </c>
      <c r="B94" s="6">
        <v>6.65</v>
      </c>
      <c r="C94" s="6">
        <v>0.25000000000001421</v>
      </c>
      <c r="D94" s="6"/>
    </row>
    <row r="95" spans="1:4" ht="23">
      <c r="A95" s="5" t="s">
        <v>4802</v>
      </c>
      <c r="B95" s="6">
        <v>6.8</v>
      </c>
      <c r="C95" s="6">
        <v>0</v>
      </c>
      <c r="D95" s="6"/>
    </row>
    <row r="96" spans="1:4" ht="23">
      <c r="A96" s="5" t="s">
        <v>652</v>
      </c>
      <c r="B96" s="6">
        <v>6.5</v>
      </c>
      <c r="C96" s="6">
        <v>0.9823441352194231</v>
      </c>
      <c r="D96" s="6"/>
    </row>
    <row r="97" spans="1:4" ht="23">
      <c r="A97" s="5" t="s">
        <v>2443</v>
      </c>
      <c r="B97" s="6">
        <v>6.85</v>
      </c>
      <c r="C97" s="6">
        <v>0.65000000000000502</v>
      </c>
      <c r="D97" s="6"/>
    </row>
    <row r="98" spans="1:4" ht="23">
      <c r="A98" s="5" t="s">
        <v>3333</v>
      </c>
      <c r="B98" s="6">
        <v>6</v>
      </c>
      <c r="C98" s="6">
        <v>0</v>
      </c>
      <c r="D98" s="6"/>
    </row>
    <row r="99" spans="1:4" ht="23">
      <c r="A99" s="5" t="s">
        <v>5429</v>
      </c>
      <c r="B99" s="6">
        <v>6.1</v>
      </c>
      <c r="C99" s="6">
        <v>0.70000000000000651</v>
      </c>
      <c r="D99" s="6"/>
    </row>
    <row r="100" spans="1:4" ht="23">
      <c r="A100" s="5" t="s">
        <v>3112</v>
      </c>
      <c r="B100" s="6">
        <v>6.15</v>
      </c>
      <c r="C100" s="6">
        <v>0.18027756377319631</v>
      </c>
      <c r="D100" s="6"/>
    </row>
    <row r="101" spans="1:4" ht="23">
      <c r="A101" s="5" t="s">
        <v>7053</v>
      </c>
      <c r="B101" s="6">
        <v>7.7</v>
      </c>
      <c r="C101" s="6">
        <v>0</v>
      </c>
      <c r="D101" s="6"/>
    </row>
    <row r="102" spans="1:4" ht="23">
      <c r="A102" s="5" t="s">
        <v>6990</v>
      </c>
      <c r="B102" s="6">
        <v>4.4000000000000004</v>
      </c>
      <c r="C102" s="6">
        <v>0</v>
      </c>
      <c r="D102" s="6"/>
    </row>
    <row r="103" spans="1:4" ht="23">
      <c r="A103" s="5" t="s">
        <v>3263</v>
      </c>
      <c r="B103" s="6">
        <v>6.3</v>
      </c>
      <c r="C103" s="6">
        <v>0</v>
      </c>
      <c r="D103" s="6"/>
    </row>
    <row r="104" spans="1:4" ht="23">
      <c r="A104" s="5" t="s">
        <v>7158</v>
      </c>
      <c r="B104" s="6">
        <v>7.3</v>
      </c>
      <c r="C104" s="6">
        <v>0</v>
      </c>
      <c r="D104" s="6"/>
    </row>
    <row r="105" spans="1:4" ht="23">
      <c r="A105" s="5" t="s">
        <v>2615</v>
      </c>
      <c r="B105" s="6">
        <v>4.3</v>
      </c>
      <c r="C105" s="6">
        <v>0</v>
      </c>
      <c r="D105" s="6"/>
    </row>
    <row r="106" spans="1:4" ht="23">
      <c r="A106" s="5" t="s">
        <v>1465</v>
      </c>
      <c r="B106" s="6">
        <v>6.88</v>
      </c>
      <c r="C106" s="6">
        <v>0.71944422994420576</v>
      </c>
      <c r="D106" s="6"/>
    </row>
    <row r="107" spans="1:4" ht="23">
      <c r="A107" s="5" t="s">
        <v>19</v>
      </c>
      <c r="B107" s="6">
        <v>7.7333333333333334</v>
      </c>
      <c r="C107" s="6">
        <v>0.80553639823964029</v>
      </c>
      <c r="D107" s="6"/>
    </row>
    <row r="108" spans="1:4" ht="23">
      <c r="A108" s="5" t="s">
        <v>6465</v>
      </c>
      <c r="B108" s="6">
        <v>7</v>
      </c>
      <c r="C108" s="6">
        <v>0</v>
      </c>
      <c r="D108" s="6"/>
    </row>
    <row r="109" spans="1:4" ht="23">
      <c r="A109" s="5" t="s">
        <v>4545</v>
      </c>
      <c r="B109" s="6">
        <v>5.8</v>
      </c>
      <c r="C109" s="6">
        <v>0</v>
      </c>
      <c r="D109" s="6"/>
    </row>
    <row r="110" spans="1:4" ht="23">
      <c r="A110" s="5" t="s">
        <v>4804</v>
      </c>
      <c r="B110" s="6">
        <v>5.5</v>
      </c>
      <c r="C110" s="6">
        <v>0</v>
      </c>
      <c r="D110" s="6"/>
    </row>
    <row r="111" spans="1:4" ht="23">
      <c r="A111" s="5" t="s">
        <v>613</v>
      </c>
      <c r="B111" s="6">
        <v>5.35</v>
      </c>
      <c r="C111" s="6">
        <v>0.95000000000000184</v>
      </c>
      <c r="D111" s="6"/>
    </row>
    <row r="112" spans="1:4" ht="23">
      <c r="A112" s="5" t="s">
        <v>3832</v>
      </c>
      <c r="B112" s="6">
        <v>8</v>
      </c>
      <c r="C112" s="6">
        <v>0</v>
      </c>
      <c r="D112" s="6"/>
    </row>
    <row r="113" spans="1:4" ht="23">
      <c r="A113" s="5" t="s">
        <v>5600</v>
      </c>
      <c r="B113" s="6">
        <v>7.5</v>
      </c>
      <c r="C113" s="6">
        <v>0</v>
      </c>
      <c r="D113" s="6"/>
    </row>
    <row r="114" spans="1:4" ht="23">
      <c r="A114" s="5" t="s">
        <v>919</v>
      </c>
      <c r="B114" s="6">
        <v>5.26</v>
      </c>
      <c r="C114" s="6">
        <v>0.83570329663104259</v>
      </c>
      <c r="D114" s="6"/>
    </row>
    <row r="115" spans="1:4" ht="23">
      <c r="A115" s="5" t="s">
        <v>2418</v>
      </c>
      <c r="B115" s="6">
        <v>6.1</v>
      </c>
      <c r="C115" s="6">
        <v>0</v>
      </c>
      <c r="D115" s="6"/>
    </row>
    <row r="116" spans="1:4" ht="23">
      <c r="A116" s="5" t="s">
        <v>1401</v>
      </c>
      <c r="B116" s="6">
        <v>5.7666666666666666</v>
      </c>
      <c r="C116" s="6">
        <v>0.65489609014628458</v>
      </c>
      <c r="D116" s="6"/>
    </row>
    <row r="117" spans="1:4" ht="23">
      <c r="A117" s="5" t="s">
        <v>4573</v>
      </c>
      <c r="B117" s="6">
        <v>6.7</v>
      </c>
      <c r="C117" s="6">
        <v>0</v>
      </c>
      <c r="D117" s="6"/>
    </row>
    <row r="118" spans="1:4" ht="23">
      <c r="A118" s="5" t="s">
        <v>838</v>
      </c>
      <c r="B118" s="6">
        <v>6.25</v>
      </c>
      <c r="C118" s="6">
        <v>0.56199051000290945</v>
      </c>
      <c r="D118" s="6"/>
    </row>
    <row r="119" spans="1:4" ht="23">
      <c r="A119" s="5" t="s">
        <v>287</v>
      </c>
      <c r="B119" s="6">
        <v>7.2500000000000009</v>
      </c>
      <c r="C119" s="6">
        <v>0.73824115301166637</v>
      </c>
      <c r="D119" s="6"/>
    </row>
    <row r="120" spans="1:4" ht="23">
      <c r="A120" s="5" t="s">
        <v>1408</v>
      </c>
      <c r="B120" s="6">
        <v>5</v>
      </c>
      <c r="C120" s="6">
        <v>0.30000000000000571</v>
      </c>
      <c r="D120" s="6"/>
    </row>
    <row r="121" spans="1:4" ht="23">
      <c r="A121" s="5" t="s">
        <v>990</v>
      </c>
      <c r="B121" s="6">
        <v>5.6000000000000005</v>
      </c>
      <c r="C121" s="6">
        <v>1.2027745701779136</v>
      </c>
      <c r="D121" s="6"/>
    </row>
    <row r="122" spans="1:4" ht="23">
      <c r="A122" s="5" t="s">
        <v>3250</v>
      </c>
      <c r="B122" s="6">
        <v>7</v>
      </c>
      <c r="C122" s="6">
        <v>0</v>
      </c>
      <c r="D122" s="6"/>
    </row>
    <row r="123" spans="1:4" ht="23">
      <c r="A123" s="5" t="s">
        <v>4781</v>
      </c>
      <c r="B123" s="6">
        <v>7.2</v>
      </c>
      <c r="C123" s="6">
        <v>0</v>
      </c>
      <c r="D123" s="6"/>
    </row>
    <row r="124" spans="1:4" ht="23">
      <c r="A124" s="5" t="s">
        <v>6705</v>
      </c>
      <c r="B124" s="6">
        <v>5.3</v>
      </c>
      <c r="C124" s="6">
        <v>0</v>
      </c>
      <c r="D124" s="6"/>
    </row>
    <row r="125" spans="1:4" ht="23">
      <c r="A125" s="5" t="s">
        <v>6378</v>
      </c>
      <c r="B125" s="6">
        <v>7.9</v>
      </c>
      <c r="C125" s="6">
        <v>0</v>
      </c>
      <c r="D125" s="6"/>
    </row>
    <row r="126" spans="1:4" ht="23">
      <c r="A126" s="5" t="s">
        <v>1697</v>
      </c>
      <c r="B126" s="6">
        <v>4</v>
      </c>
      <c r="C126" s="6">
        <v>0</v>
      </c>
      <c r="D126" s="6"/>
    </row>
    <row r="127" spans="1:4" ht="23">
      <c r="A127" s="5" t="s">
        <v>1721</v>
      </c>
      <c r="B127" s="6">
        <v>6.0400000000000009</v>
      </c>
      <c r="C127" s="6">
        <v>0.56426943918662864</v>
      </c>
      <c r="D127" s="6"/>
    </row>
    <row r="128" spans="1:4" ht="23">
      <c r="A128" s="5" t="s">
        <v>2911</v>
      </c>
      <c r="B128" s="6">
        <v>6.45</v>
      </c>
      <c r="C128" s="6">
        <v>0.25000000000001421</v>
      </c>
      <c r="D128" s="6"/>
    </row>
    <row r="129" spans="1:4" ht="23">
      <c r="A129" s="5" t="s">
        <v>3123</v>
      </c>
      <c r="B129" s="6">
        <v>5.3</v>
      </c>
      <c r="C129" s="6">
        <v>0</v>
      </c>
      <c r="D129" s="6"/>
    </row>
    <row r="130" spans="1:4" ht="23">
      <c r="A130" s="5" t="s">
        <v>5637</v>
      </c>
      <c r="B130" s="6">
        <v>3.3</v>
      </c>
      <c r="C130" s="6">
        <v>0</v>
      </c>
      <c r="D130" s="6"/>
    </row>
    <row r="131" spans="1:4" ht="23">
      <c r="A131" s="5" t="s">
        <v>1218</v>
      </c>
      <c r="B131" s="6">
        <v>5.9</v>
      </c>
      <c r="C131" s="6">
        <v>0</v>
      </c>
      <c r="D131" s="6"/>
    </row>
    <row r="132" spans="1:4" ht="23">
      <c r="A132" s="5" t="s">
        <v>5767</v>
      </c>
      <c r="B132" s="6">
        <v>5.3</v>
      </c>
      <c r="C132" s="6">
        <v>0</v>
      </c>
      <c r="D132" s="6"/>
    </row>
    <row r="133" spans="1:4" ht="23">
      <c r="A133" s="5" t="s">
        <v>3319</v>
      </c>
      <c r="B133" s="6">
        <v>6.7</v>
      </c>
      <c r="C133" s="6">
        <v>0</v>
      </c>
      <c r="D133" s="6"/>
    </row>
    <row r="134" spans="1:4" ht="23">
      <c r="A134" s="5" t="s">
        <v>707</v>
      </c>
      <c r="B134" s="6">
        <v>7.3</v>
      </c>
      <c r="C134" s="6">
        <v>8.1649658092774149E-2</v>
      </c>
      <c r="D134" s="6"/>
    </row>
    <row r="135" spans="1:4" ht="23">
      <c r="A135" s="5" t="s">
        <v>5999</v>
      </c>
      <c r="B135" s="6">
        <v>5.5</v>
      </c>
      <c r="C135" s="6">
        <v>0</v>
      </c>
      <c r="D135" s="6"/>
    </row>
    <row r="136" spans="1:4" ht="23">
      <c r="A136" s="5" t="s">
        <v>6522</v>
      </c>
      <c r="B136" s="6">
        <v>7.6</v>
      </c>
      <c r="C136" s="6">
        <v>0</v>
      </c>
      <c r="D136" s="6"/>
    </row>
    <row r="137" spans="1:4" ht="23">
      <c r="A137" s="5" t="s">
        <v>58</v>
      </c>
      <c r="B137" s="6">
        <v>7</v>
      </c>
      <c r="C137" s="6">
        <v>1.0488088481701487</v>
      </c>
      <c r="D137" s="6"/>
    </row>
    <row r="138" spans="1:4" ht="23">
      <c r="A138" s="5" t="s">
        <v>3851</v>
      </c>
      <c r="B138" s="6">
        <v>5.8</v>
      </c>
      <c r="C138" s="6">
        <v>0</v>
      </c>
      <c r="D138" s="6"/>
    </row>
    <row r="139" spans="1:4" ht="23">
      <c r="A139" s="5" t="s">
        <v>7233</v>
      </c>
      <c r="B139" s="6">
        <v>7.8</v>
      </c>
      <c r="C139" s="6">
        <v>0</v>
      </c>
      <c r="D139" s="6"/>
    </row>
    <row r="140" spans="1:4" ht="23">
      <c r="A140" s="5" t="s">
        <v>826</v>
      </c>
      <c r="B140" s="6">
        <v>6.9375000000000009</v>
      </c>
      <c r="C140" s="6">
        <v>0.51219503121368248</v>
      </c>
      <c r="D140" s="6"/>
    </row>
    <row r="141" spans="1:4" ht="23">
      <c r="A141" s="5" t="s">
        <v>3077</v>
      </c>
      <c r="B141" s="6">
        <v>6.9333333333333336</v>
      </c>
      <c r="C141" s="6">
        <v>0.57927157323275169</v>
      </c>
      <c r="D141" s="6"/>
    </row>
    <row r="142" spans="1:4" ht="23">
      <c r="A142" s="5" t="s">
        <v>4175</v>
      </c>
      <c r="B142" s="6">
        <v>7.1</v>
      </c>
      <c r="C142" s="6">
        <v>0</v>
      </c>
      <c r="D142" s="6"/>
    </row>
    <row r="143" spans="1:4" ht="23">
      <c r="A143" s="5" t="s">
        <v>3819</v>
      </c>
      <c r="B143" s="6">
        <v>6.3</v>
      </c>
      <c r="C143" s="6">
        <v>0</v>
      </c>
      <c r="D143" s="6"/>
    </row>
    <row r="144" spans="1:4" ht="23">
      <c r="A144" s="5" t="s">
        <v>5665</v>
      </c>
      <c r="B144" s="6">
        <v>3.1</v>
      </c>
      <c r="C144" s="6">
        <v>0</v>
      </c>
      <c r="D144" s="6"/>
    </row>
    <row r="145" spans="1:4" ht="23">
      <c r="A145" s="5" t="s">
        <v>768</v>
      </c>
      <c r="B145" s="6">
        <v>5.7</v>
      </c>
      <c r="C145" s="6">
        <v>0</v>
      </c>
      <c r="D145" s="6"/>
    </row>
    <row r="146" spans="1:4" ht="23">
      <c r="A146" s="5" t="s">
        <v>4595</v>
      </c>
      <c r="B146" s="6">
        <v>6</v>
      </c>
      <c r="C146" s="6">
        <v>0</v>
      </c>
      <c r="D146" s="6"/>
    </row>
    <row r="147" spans="1:4" ht="23">
      <c r="A147" s="5" t="s">
        <v>6051</v>
      </c>
      <c r="B147" s="6">
        <v>8</v>
      </c>
      <c r="C147" s="6">
        <v>0</v>
      </c>
      <c r="D147" s="6"/>
    </row>
    <row r="148" spans="1:4" ht="23">
      <c r="A148" s="5" t="s">
        <v>6870</v>
      </c>
      <c r="B148" s="6">
        <v>5.8</v>
      </c>
      <c r="C148" s="6">
        <v>0</v>
      </c>
      <c r="D148" s="6"/>
    </row>
    <row r="149" spans="1:4" ht="23">
      <c r="A149" s="5" t="s">
        <v>4691</v>
      </c>
      <c r="B149" s="6">
        <v>6.5</v>
      </c>
      <c r="C149" s="6">
        <v>0</v>
      </c>
      <c r="D149" s="6"/>
    </row>
    <row r="150" spans="1:4" ht="23">
      <c r="A150" s="5" t="s">
        <v>4980</v>
      </c>
      <c r="B150" s="6">
        <v>7</v>
      </c>
      <c r="C150" s="6">
        <v>0</v>
      </c>
      <c r="D150" s="6"/>
    </row>
    <row r="151" spans="1:4" ht="23">
      <c r="A151" s="5" t="s">
        <v>2238</v>
      </c>
      <c r="B151" s="6">
        <v>6.6</v>
      </c>
      <c r="C151" s="6">
        <v>0.30000000000001753</v>
      </c>
      <c r="D151" s="6"/>
    </row>
    <row r="152" spans="1:4" ht="23">
      <c r="A152" s="5" t="s">
        <v>6344</v>
      </c>
      <c r="B152" s="6">
        <v>3.3</v>
      </c>
      <c r="C152" s="6">
        <v>0</v>
      </c>
      <c r="D152" s="6"/>
    </row>
    <row r="153" spans="1:4" ht="23">
      <c r="A153" s="5" t="s">
        <v>4529</v>
      </c>
      <c r="B153" s="6">
        <v>3.5</v>
      </c>
      <c r="C153" s="6">
        <v>0</v>
      </c>
      <c r="D153" s="6"/>
    </row>
    <row r="154" spans="1:4" ht="23">
      <c r="A154" s="5" t="s">
        <v>1715</v>
      </c>
      <c r="B154" s="6">
        <v>6.6</v>
      </c>
      <c r="C154" s="6">
        <v>0</v>
      </c>
      <c r="D154" s="6"/>
    </row>
    <row r="155" spans="1:4" ht="23">
      <c r="A155" s="5" t="s">
        <v>6637</v>
      </c>
      <c r="B155" s="6">
        <v>8.4</v>
      </c>
      <c r="C155" s="6">
        <v>0</v>
      </c>
      <c r="D155" s="6"/>
    </row>
    <row r="156" spans="1:4" ht="23">
      <c r="A156" s="5" t="s">
        <v>7226</v>
      </c>
      <c r="B156" s="6">
        <v>6.4</v>
      </c>
      <c r="C156" s="6">
        <v>0</v>
      </c>
      <c r="D156" s="6"/>
    </row>
    <row r="157" spans="1:4" ht="23">
      <c r="A157" s="5" t="s">
        <v>523</v>
      </c>
      <c r="B157" s="6">
        <v>6.8</v>
      </c>
      <c r="C157" s="6">
        <v>0</v>
      </c>
      <c r="D157" s="6"/>
    </row>
    <row r="158" spans="1:4" ht="23">
      <c r="A158" s="5" t="s">
        <v>5149</v>
      </c>
      <c r="B158" s="6">
        <v>4.3</v>
      </c>
      <c r="C158" s="6">
        <v>0</v>
      </c>
      <c r="D158" s="6"/>
    </row>
    <row r="159" spans="1:4" ht="23">
      <c r="A159" s="5" t="s">
        <v>2815</v>
      </c>
      <c r="B159" s="6">
        <v>6.8833333333333337</v>
      </c>
      <c r="C159" s="6">
        <v>0.47404875511092065</v>
      </c>
      <c r="D159" s="6"/>
    </row>
    <row r="160" spans="1:4" ht="23">
      <c r="A160" s="5" t="s">
        <v>3363</v>
      </c>
      <c r="B160" s="6">
        <v>6.7</v>
      </c>
      <c r="C160" s="6">
        <v>0</v>
      </c>
      <c r="D160" s="6"/>
    </row>
    <row r="161" spans="1:4" ht="23">
      <c r="A161" s="5" t="s">
        <v>3055</v>
      </c>
      <c r="B161" s="6">
        <v>7</v>
      </c>
      <c r="C161" s="6">
        <v>0.5</v>
      </c>
      <c r="D161" s="6"/>
    </row>
    <row r="162" spans="1:4" ht="23">
      <c r="A162" s="5" t="s">
        <v>5652</v>
      </c>
      <c r="B162" s="6">
        <v>5.5</v>
      </c>
      <c r="C162" s="6">
        <v>0</v>
      </c>
      <c r="D162" s="6"/>
    </row>
    <row r="163" spans="1:4" ht="23">
      <c r="A163" s="5" t="s">
        <v>4708</v>
      </c>
      <c r="B163" s="6">
        <v>6.9</v>
      </c>
      <c r="C163" s="6">
        <v>0</v>
      </c>
      <c r="D163" s="6"/>
    </row>
    <row r="164" spans="1:4" ht="23">
      <c r="A164" s="5" t="s">
        <v>1126</v>
      </c>
      <c r="B164" s="6">
        <v>5.9</v>
      </c>
      <c r="C164" s="6">
        <v>0</v>
      </c>
      <c r="D164" s="6"/>
    </row>
    <row r="165" spans="1:4" ht="23">
      <c r="A165" s="5" t="s">
        <v>6923</v>
      </c>
      <c r="B165" s="6">
        <v>3.2</v>
      </c>
      <c r="C165" s="6">
        <v>0</v>
      </c>
      <c r="D165" s="6"/>
    </row>
    <row r="166" spans="1:4" ht="23">
      <c r="A166" s="5" t="s">
        <v>1031</v>
      </c>
      <c r="B166" s="6">
        <v>6.7666666666666666</v>
      </c>
      <c r="C166" s="6">
        <v>0.24944382578492993</v>
      </c>
      <c r="D166" s="6"/>
    </row>
    <row r="167" spans="1:4" ht="23">
      <c r="A167" s="5" t="s">
        <v>1459</v>
      </c>
      <c r="B167" s="6">
        <v>6</v>
      </c>
      <c r="C167" s="6">
        <v>9.9999999999990055E-2</v>
      </c>
      <c r="D167" s="6"/>
    </row>
    <row r="168" spans="1:4" ht="23">
      <c r="A168" s="5" t="s">
        <v>1686</v>
      </c>
      <c r="B168" s="6">
        <v>6.5666666666666664</v>
      </c>
      <c r="C168" s="6">
        <v>4.7140452079148722E-2</v>
      </c>
      <c r="D168" s="6"/>
    </row>
    <row r="169" spans="1:4" ht="23">
      <c r="A169" s="5" t="s">
        <v>5368</v>
      </c>
      <c r="B169" s="6">
        <v>6.7</v>
      </c>
      <c r="C169" s="6">
        <v>0</v>
      </c>
      <c r="D169" s="6"/>
    </row>
    <row r="170" spans="1:4" ht="23">
      <c r="A170" s="5" t="s">
        <v>756</v>
      </c>
      <c r="B170" s="6">
        <v>5.2</v>
      </c>
      <c r="C170" s="6">
        <v>0</v>
      </c>
      <c r="D170" s="6"/>
    </row>
    <row r="171" spans="1:4" ht="23">
      <c r="A171" s="5" t="s">
        <v>834</v>
      </c>
      <c r="B171" s="6">
        <v>6.5769230769230758</v>
      </c>
      <c r="C171" s="6">
        <v>0.82848689340531811</v>
      </c>
      <c r="D171" s="6"/>
    </row>
    <row r="172" spans="1:4" ht="23">
      <c r="A172" s="5" t="s">
        <v>5443</v>
      </c>
      <c r="B172" s="6">
        <v>6.5</v>
      </c>
      <c r="C172" s="6">
        <v>0</v>
      </c>
      <c r="D172" s="6"/>
    </row>
    <row r="173" spans="1:4" ht="23">
      <c r="A173" s="5" t="s">
        <v>44</v>
      </c>
      <c r="B173" s="6">
        <v>6.4571428571428564</v>
      </c>
      <c r="C173" s="6">
        <v>0.7575470619178819</v>
      </c>
      <c r="D173" s="6"/>
    </row>
    <row r="174" spans="1:4" ht="23">
      <c r="A174" s="5" t="s">
        <v>6756</v>
      </c>
      <c r="B174" s="6">
        <v>7.6</v>
      </c>
      <c r="C174" s="6">
        <v>0</v>
      </c>
      <c r="D174" s="6"/>
    </row>
    <row r="175" spans="1:4" ht="23">
      <c r="A175" s="5" t="s">
        <v>3391</v>
      </c>
      <c r="B175" s="6">
        <v>5.45</v>
      </c>
      <c r="C175" s="6">
        <v>0.25</v>
      </c>
      <c r="D175" s="6"/>
    </row>
    <row r="176" spans="1:4" ht="23">
      <c r="A176" s="5" t="s">
        <v>96</v>
      </c>
      <c r="B176" s="6">
        <v>7.0750000000000002</v>
      </c>
      <c r="C176" s="6">
        <v>0.3960744879438618</v>
      </c>
      <c r="D176" s="6"/>
    </row>
    <row r="177" spans="1:4" ht="23">
      <c r="A177" s="5" t="s">
        <v>6540</v>
      </c>
      <c r="B177" s="6">
        <v>6.3</v>
      </c>
      <c r="C177" s="6">
        <v>0</v>
      </c>
      <c r="D177" s="6"/>
    </row>
    <row r="178" spans="1:4" ht="23">
      <c r="A178" s="5" t="s">
        <v>1443</v>
      </c>
      <c r="B178" s="6">
        <v>5.9</v>
      </c>
      <c r="C178" s="6">
        <v>0</v>
      </c>
      <c r="D178" s="6"/>
    </row>
    <row r="179" spans="1:4" ht="23">
      <c r="A179" s="5" t="s">
        <v>1649</v>
      </c>
      <c r="B179" s="6">
        <v>7.65</v>
      </c>
      <c r="C179" s="6">
        <v>4.9999999999977264E-2</v>
      </c>
      <c r="D179" s="6"/>
    </row>
    <row r="180" spans="1:4" ht="23">
      <c r="A180" s="5" t="s">
        <v>2474</v>
      </c>
      <c r="B180" s="6">
        <v>5.0999999999999996</v>
      </c>
      <c r="C180" s="6">
        <v>0.20000000000001564</v>
      </c>
      <c r="D180" s="6"/>
    </row>
    <row r="181" spans="1:4" ht="23">
      <c r="A181" s="5" t="s">
        <v>6467</v>
      </c>
      <c r="B181" s="6">
        <v>7.2</v>
      </c>
      <c r="C181" s="6">
        <v>0</v>
      </c>
      <c r="D181" s="6"/>
    </row>
    <row r="182" spans="1:4" ht="23">
      <c r="A182" s="5" t="s">
        <v>2825</v>
      </c>
      <c r="B182" s="6">
        <v>6.1</v>
      </c>
      <c r="C182" s="6">
        <v>0</v>
      </c>
      <c r="D182" s="6"/>
    </row>
    <row r="183" spans="1:4" ht="23">
      <c r="A183" s="5" t="s">
        <v>568</v>
      </c>
      <c r="B183" s="6">
        <v>6.3400000000000007</v>
      </c>
      <c r="C183" s="6">
        <v>0.88453377549983037</v>
      </c>
      <c r="D183" s="6"/>
    </row>
    <row r="184" spans="1:4" ht="23">
      <c r="A184" s="5" t="s">
        <v>6668</v>
      </c>
      <c r="B184" s="6">
        <v>6.4</v>
      </c>
      <c r="C184" s="6">
        <v>9.9999999999954528E-2</v>
      </c>
      <c r="D184" s="6"/>
    </row>
    <row r="185" spans="1:4" ht="23">
      <c r="A185" s="5" t="s">
        <v>4620</v>
      </c>
      <c r="B185" s="6">
        <v>7</v>
      </c>
      <c r="C185" s="6">
        <v>0</v>
      </c>
      <c r="D185" s="6"/>
    </row>
    <row r="186" spans="1:4" ht="23">
      <c r="A186" s="5" t="s">
        <v>4052</v>
      </c>
      <c r="B186" s="6">
        <v>6.4</v>
      </c>
      <c r="C186" s="6">
        <v>0</v>
      </c>
      <c r="D186" s="6"/>
    </row>
    <row r="187" spans="1:4" ht="23">
      <c r="A187" s="5" t="s">
        <v>4557</v>
      </c>
      <c r="B187" s="6">
        <v>6.9</v>
      </c>
      <c r="C187" s="6">
        <v>0</v>
      </c>
      <c r="D187" s="6"/>
    </row>
    <row r="188" spans="1:4" ht="23">
      <c r="A188" s="5" t="s">
        <v>6168</v>
      </c>
      <c r="B188" s="6">
        <v>7.3</v>
      </c>
      <c r="C188" s="6">
        <v>0</v>
      </c>
      <c r="D188" s="6"/>
    </row>
    <row r="189" spans="1:4" ht="23">
      <c r="A189" s="5" t="s">
        <v>6544</v>
      </c>
      <c r="B189" s="6">
        <v>5.5</v>
      </c>
      <c r="C189" s="6">
        <v>0</v>
      </c>
      <c r="D189" s="6"/>
    </row>
    <row r="190" spans="1:4" ht="23">
      <c r="A190" s="5" t="s">
        <v>7238</v>
      </c>
      <c r="B190" s="6">
        <v>6.3</v>
      </c>
      <c r="C190" s="6">
        <v>0</v>
      </c>
      <c r="D190" s="6"/>
    </row>
    <row r="191" spans="1:4" ht="23">
      <c r="A191" s="5" t="s">
        <v>1396</v>
      </c>
      <c r="B191" s="6">
        <v>7.5</v>
      </c>
      <c r="C191" s="6">
        <v>0.10000000000002558</v>
      </c>
      <c r="D191" s="6"/>
    </row>
    <row r="192" spans="1:4" ht="23">
      <c r="A192" s="5" t="s">
        <v>5941</v>
      </c>
      <c r="B192" s="6">
        <v>5</v>
      </c>
      <c r="C192" s="6">
        <v>0</v>
      </c>
      <c r="D192" s="6"/>
    </row>
    <row r="193" spans="1:4" ht="23">
      <c r="A193" s="5" t="s">
        <v>5742</v>
      </c>
      <c r="B193" s="6">
        <v>5.9</v>
      </c>
      <c r="C193" s="6">
        <v>0</v>
      </c>
      <c r="D193" s="6"/>
    </row>
    <row r="194" spans="1:4" ht="23">
      <c r="A194" s="5" t="s">
        <v>3214</v>
      </c>
      <c r="B194" s="6">
        <v>5</v>
      </c>
      <c r="C194" s="6">
        <v>0</v>
      </c>
      <c r="D194" s="6"/>
    </row>
    <row r="195" spans="1:4" ht="23">
      <c r="A195" s="5" t="s">
        <v>2681</v>
      </c>
      <c r="B195" s="6">
        <v>7.9499999999999993</v>
      </c>
      <c r="C195" s="6">
        <v>0.15000000000002653</v>
      </c>
      <c r="D195" s="6"/>
    </row>
    <row r="196" spans="1:4" ht="23">
      <c r="A196" s="5" t="s">
        <v>5432</v>
      </c>
      <c r="B196" s="6">
        <v>6</v>
      </c>
      <c r="C196" s="6">
        <v>0</v>
      </c>
      <c r="D196" s="6"/>
    </row>
    <row r="197" spans="1:4" ht="23">
      <c r="A197" s="5" t="s">
        <v>878</v>
      </c>
      <c r="B197" s="6">
        <v>5.3000000000000007</v>
      </c>
      <c r="C197" s="6">
        <v>0.53385391260155901</v>
      </c>
      <c r="D197" s="6"/>
    </row>
    <row r="198" spans="1:4" ht="23">
      <c r="A198" s="5" t="s">
        <v>534</v>
      </c>
      <c r="B198" s="6">
        <v>6.5666666666666664</v>
      </c>
      <c r="C198" s="6">
        <v>0.40276819911983192</v>
      </c>
      <c r="D198" s="6"/>
    </row>
    <row r="199" spans="1:4" ht="23">
      <c r="A199" s="5" t="s">
        <v>4509</v>
      </c>
      <c r="B199" s="6">
        <v>6.8</v>
      </c>
      <c r="C199" s="6">
        <v>0</v>
      </c>
      <c r="D199" s="6"/>
    </row>
    <row r="200" spans="1:4" ht="23">
      <c r="A200" s="5" t="s">
        <v>6699</v>
      </c>
      <c r="B200" s="6">
        <v>7.4</v>
      </c>
      <c r="C200" s="6">
        <v>0</v>
      </c>
      <c r="D200" s="6"/>
    </row>
    <row r="201" spans="1:4" ht="23">
      <c r="A201" s="5" t="s">
        <v>299</v>
      </c>
      <c r="B201" s="6">
        <v>6.56</v>
      </c>
      <c r="C201" s="6">
        <v>0.69742383096651006</v>
      </c>
      <c r="D201" s="6"/>
    </row>
    <row r="202" spans="1:4" ht="23">
      <c r="A202" s="5" t="s">
        <v>5284</v>
      </c>
      <c r="B202" s="6">
        <v>6.1</v>
      </c>
      <c r="C202" s="6">
        <v>0</v>
      </c>
      <c r="D202" s="6"/>
    </row>
    <row r="203" spans="1:4" ht="23">
      <c r="A203" s="5" t="s">
        <v>7075</v>
      </c>
      <c r="B203" s="6">
        <v>8.4</v>
      </c>
      <c r="C203" s="6">
        <v>0</v>
      </c>
      <c r="D203" s="6"/>
    </row>
    <row r="204" spans="1:4" ht="23">
      <c r="A204" s="5" t="s">
        <v>6084</v>
      </c>
      <c r="B204" s="6">
        <v>4.8</v>
      </c>
      <c r="C204" s="6">
        <v>0</v>
      </c>
      <c r="D204" s="6"/>
    </row>
    <row r="205" spans="1:4" ht="23">
      <c r="A205" s="5" t="s">
        <v>2758</v>
      </c>
      <c r="B205" s="6">
        <v>7.4</v>
      </c>
      <c r="C205" s="6">
        <v>9.9999999999954528E-2</v>
      </c>
      <c r="D205" s="6"/>
    </row>
    <row r="206" spans="1:4" ht="23">
      <c r="A206" s="5" t="s">
        <v>6958</v>
      </c>
      <c r="B206" s="6">
        <v>7</v>
      </c>
      <c r="C206" s="6">
        <v>0</v>
      </c>
      <c r="D206" s="6"/>
    </row>
    <row r="207" spans="1:4" ht="23">
      <c r="A207" s="5" t="s">
        <v>2137</v>
      </c>
      <c r="B207" s="6">
        <v>6.75</v>
      </c>
      <c r="C207" s="6">
        <v>0.35000000000000325</v>
      </c>
      <c r="D207" s="6"/>
    </row>
    <row r="208" spans="1:4" ht="23">
      <c r="A208" s="5" t="s">
        <v>2696</v>
      </c>
      <c r="B208" s="6">
        <v>5.125</v>
      </c>
      <c r="C208" s="6">
        <v>0.37666297933298731</v>
      </c>
      <c r="D208" s="6"/>
    </row>
    <row r="209" spans="1:4" ht="23">
      <c r="A209" s="5" t="s">
        <v>1632</v>
      </c>
      <c r="B209" s="6">
        <v>6.9</v>
      </c>
      <c r="C209" s="6">
        <v>1.0999999999999972</v>
      </c>
      <c r="D209" s="6"/>
    </row>
    <row r="210" spans="1:4" ht="23">
      <c r="A210" s="5" t="s">
        <v>5331</v>
      </c>
      <c r="B210" s="6">
        <v>5.6</v>
      </c>
      <c r="C210" s="6">
        <v>0</v>
      </c>
      <c r="D210" s="6"/>
    </row>
    <row r="211" spans="1:4" ht="23">
      <c r="A211" s="5" t="s">
        <v>3172</v>
      </c>
      <c r="B211" s="6">
        <v>6.7</v>
      </c>
      <c r="C211" s="6">
        <v>0.5</v>
      </c>
      <c r="D211" s="6"/>
    </row>
    <row r="212" spans="1:4" ht="23">
      <c r="A212" s="5" t="s">
        <v>5488</v>
      </c>
      <c r="B212" s="6">
        <v>7.9750000000000005</v>
      </c>
      <c r="C212" s="6">
        <v>0.40850336595920167</v>
      </c>
      <c r="D212" s="6"/>
    </row>
    <row r="213" spans="1:4" ht="23">
      <c r="A213" s="5" t="s">
        <v>6596</v>
      </c>
      <c r="B213" s="6">
        <v>5.5</v>
      </c>
      <c r="C213" s="6">
        <v>0</v>
      </c>
      <c r="D213" s="6"/>
    </row>
    <row r="214" spans="1:4" ht="23">
      <c r="A214" s="5" t="s">
        <v>4017</v>
      </c>
      <c r="B214" s="6">
        <v>5.6</v>
      </c>
      <c r="C214" s="6">
        <v>0</v>
      </c>
      <c r="D214" s="6"/>
    </row>
    <row r="215" spans="1:4" ht="23">
      <c r="A215" s="5" t="s">
        <v>2964</v>
      </c>
      <c r="B215" s="6">
        <v>6.65</v>
      </c>
      <c r="C215" s="6">
        <v>0.44999999999999274</v>
      </c>
      <c r="D215" s="6"/>
    </row>
    <row r="216" spans="1:4" ht="23">
      <c r="A216" s="5" t="s">
        <v>6736</v>
      </c>
      <c r="B216" s="6">
        <v>6.4</v>
      </c>
      <c r="C216" s="6">
        <v>0</v>
      </c>
      <c r="D216" s="6"/>
    </row>
    <row r="217" spans="1:4" ht="23">
      <c r="A217" s="5" t="s">
        <v>442</v>
      </c>
      <c r="B217" s="6">
        <v>3.8</v>
      </c>
      <c r="C217" s="6">
        <v>0</v>
      </c>
      <c r="D217" s="6"/>
    </row>
    <row r="218" spans="1:4" ht="23">
      <c r="A218" s="5" t="s">
        <v>3944</v>
      </c>
      <c r="B218" s="6">
        <v>3.6</v>
      </c>
      <c r="C218" s="6">
        <v>0</v>
      </c>
      <c r="D218" s="6"/>
    </row>
    <row r="219" spans="1:4" ht="23">
      <c r="A219" s="5" t="s">
        <v>2183</v>
      </c>
      <c r="B219" s="6">
        <v>7.0333333333333341</v>
      </c>
      <c r="C219" s="6">
        <v>0.55577773335109382</v>
      </c>
      <c r="D219" s="6"/>
    </row>
    <row r="220" spans="1:4" ht="23">
      <c r="A220" s="5" t="s">
        <v>3205</v>
      </c>
      <c r="B220" s="6">
        <v>4.6750000000000007</v>
      </c>
      <c r="C220" s="6">
        <v>2.5733004099793697</v>
      </c>
      <c r="D220" s="6"/>
    </row>
    <row r="221" spans="1:4" ht="23">
      <c r="A221" s="5" t="s">
        <v>4361</v>
      </c>
      <c r="B221" s="6">
        <v>5.6</v>
      </c>
      <c r="C221" s="6">
        <v>0</v>
      </c>
      <c r="D221" s="6"/>
    </row>
    <row r="222" spans="1:4" ht="23">
      <c r="A222" s="5" t="s">
        <v>654</v>
      </c>
      <c r="B222" s="6">
        <v>7.4</v>
      </c>
      <c r="C222" s="6">
        <v>0.39999999999999575</v>
      </c>
      <c r="D222" s="6"/>
    </row>
    <row r="223" spans="1:4" ht="23">
      <c r="A223" s="5" t="s">
        <v>6063</v>
      </c>
      <c r="B223" s="6">
        <v>7.3</v>
      </c>
      <c r="C223" s="6">
        <v>0</v>
      </c>
      <c r="D223" s="6"/>
    </row>
    <row r="224" spans="1:4" ht="23">
      <c r="A224" s="5" t="s">
        <v>4944</v>
      </c>
      <c r="B224" s="6">
        <v>5.3</v>
      </c>
      <c r="C224" s="6">
        <v>0</v>
      </c>
      <c r="D224" s="6"/>
    </row>
    <row r="225" spans="1:4" ht="23">
      <c r="A225" s="5" t="s">
        <v>4495</v>
      </c>
      <c r="B225" s="6">
        <v>5.65</v>
      </c>
      <c r="C225" s="6">
        <v>0.34999999999999815</v>
      </c>
      <c r="D225" s="6"/>
    </row>
    <row r="226" spans="1:4" ht="23">
      <c r="A226" s="5" t="s">
        <v>2617</v>
      </c>
      <c r="B226" s="6">
        <v>6.35</v>
      </c>
      <c r="C226" s="6">
        <v>0.24999999999998579</v>
      </c>
      <c r="D226" s="6"/>
    </row>
    <row r="227" spans="1:4" ht="23">
      <c r="A227" s="5" t="s">
        <v>4007</v>
      </c>
      <c r="B227" s="6">
        <v>5.3000000000000007</v>
      </c>
      <c r="C227" s="6">
        <v>1.0999999999999988</v>
      </c>
      <c r="D227" s="6"/>
    </row>
    <row r="228" spans="1:4" ht="23">
      <c r="A228" s="5" t="s">
        <v>2720</v>
      </c>
      <c r="B228" s="6">
        <v>3.3</v>
      </c>
      <c r="C228" s="6">
        <v>0</v>
      </c>
      <c r="D228" s="6"/>
    </row>
    <row r="229" spans="1:4" ht="23">
      <c r="A229" s="5" t="s">
        <v>934</v>
      </c>
      <c r="B229" s="6">
        <v>6.1300000000000008</v>
      </c>
      <c r="C229" s="6">
        <v>0.56044625076807275</v>
      </c>
      <c r="D229" s="6"/>
    </row>
    <row r="230" spans="1:4" ht="23">
      <c r="A230" s="5" t="s">
        <v>5797</v>
      </c>
      <c r="B230" s="6">
        <v>5</v>
      </c>
      <c r="C230" s="6">
        <v>0</v>
      </c>
      <c r="D230" s="6"/>
    </row>
    <row r="231" spans="1:4" ht="23">
      <c r="A231" s="5" t="s">
        <v>4517</v>
      </c>
      <c r="B231" s="6">
        <v>6.9</v>
      </c>
      <c r="C231" s="6">
        <v>0</v>
      </c>
      <c r="D231" s="6"/>
    </row>
    <row r="232" spans="1:4" ht="23">
      <c r="A232" s="5" t="s">
        <v>2856</v>
      </c>
      <c r="B232" s="6">
        <v>6.9</v>
      </c>
      <c r="C232" s="6">
        <v>0</v>
      </c>
      <c r="D232" s="6"/>
    </row>
    <row r="233" spans="1:4" ht="23">
      <c r="A233" s="5" t="s">
        <v>6336</v>
      </c>
      <c r="B233" s="6">
        <v>5.7</v>
      </c>
      <c r="C233" s="6">
        <v>0</v>
      </c>
      <c r="D233" s="6"/>
    </row>
    <row r="234" spans="1:4" ht="23">
      <c r="A234" s="5" t="s">
        <v>3815</v>
      </c>
      <c r="B234" s="6">
        <v>6.8600000000000012</v>
      </c>
      <c r="C234" s="6">
        <v>0.42708313008123922</v>
      </c>
      <c r="D234" s="6"/>
    </row>
    <row r="235" spans="1:4" ht="23">
      <c r="A235" s="5" t="s">
        <v>162</v>
      </c>
      <c r="B235" s="6">
        <v>7.58</v>
      </c>
      <c r="C235" s="6">
        <v>0.58787753826796618</v>
      </c>
      <c r="D235" s="6"/>
    </row>
    <row r="236" spans="1:4" ht="23">
      <c r="A236" s="5" t="s">
        <v>6124</v>
      </c>
      <c r="B236" s="6">
        <v>6.6</v>
      </c>
      <c r="C236" s="6">
        <v>0</v>
      </c>
      <c r="D236" s="6"/>
    </row>
    <row r="237" spans="1:4" ht="23">
      <c r="A237" s="5" t="s">
        <v>1558</v>
      </c>
      <c r="B237" s="6">
        <v>6.7333333333333334</v>
      </c>
      <c r="C237" s="6">
        <v>0.80138768534475591</v>
      </c>
      <c r="D237" s="6"/>
    </row>
    <row r="238" spans="1:4" ht="23">
      <c r="A238" s="5" t="s">
        <v>6217</v>
      </c>
      <c r="B238" s="6">
        <v>6.1</v>
      </c>
      <c r="C238" s="6">
        <v>0</v>
      </c>
      <c r="D238" s="6"/>
    </row>
    <row r="239" spans="1:4" ht="23">
      <c r="A239" s="5" t="s">
        <v>408</v>
      </c>
      <c r="B239" s="6">
        <v>5.3999999999999995</v>
      </c>
      <c r="C239" s="6">
        <v>0.78740078740118002</v>
      </c>
      <c r="D239" s="6"/>
    </row>
    <row r="240" spans="1:4" ht="23">
      <c r="A240" s="5" t="s">
        <v>502</v>
      </c>
      <c r="B240" s="6">
        <v>6.2</v>
      </c>
      <c r="C240" s="6">
        <v>0.54313902456000585</v>
      </c>
      <c r="D240" s="6"/>
    </row>
    <row r="241" spans="1:6" ht="23">
      <c r="A241" s="5" t="s">
        <v>6443</v>
      </c>
      <c r="B241" s="6">
        <v>5</v>
      </c>
      <c r="C241" s="6">
        <v>0</v>
      </c>
      <c r="D241" s="6"/>
    </row>
    <row r="242" spans="1:6" ht="23">
      <c r="A242" s="5" t="s">
        <v>7180</v>
      </c>
      <c r="B242" s="6">
        <v>6.3</v>
      </c>
      <c r="C242" s="6">
        <v>0</v>
      </c>
      <c r="D242" s="6"/>
    </row>
    <row r="243" spans="1:6" ht="23">
      <c r="A243" s="5" t="s">
        <v>3381</v>
      </c>
      <c r="B243" s="6">
        <v>5.6</v>
      </c>
      <c r="C243" s="6">
        <v>0</v>
      </c>
      <c r="D243" s="6"/>
    </row>
    <row r="244" spans="1:6" ht="23">
      <c r="A244" s="5" t="s">
        <v>5706</v>
      </c>
      <c r="B244" s="6">
        <v>5.7</v>
      </c>
      <c r="C244" s="6">
        <v>0</v>
      </c>
      <c r="D244" s="6"/>
    </row>
    <row r="245" spans="1:6" ht="23">
      <c r="A245" s="5" t="s">
        <v>7204</v>
      </c>
      <c r="B245" s="6">
        <v>3</v>
      </c>
      <c r="C245" s="6">
        <v>0</v>
      </c>
      <c r="D245" s="6"/>
    </row>
    <row r="246" spans="1:6" ht="23">
      <c r="A246" s="5" t="s">
        <v>7137</v>
      </c>
      <c r="B246" s="6">
        <v>5.6</v>
      </c>
      <c r="C246" s="6">
        <v>0</v>
      </c>
      <c r="D246" s="6"/>
    </row>
    <row r="247" spans="1:6" ht="23">
      <c r="A247" s="5" t="s">
        <v>291</v>
      </c>
      <c r="B247" s="6">
        <v>6.166666666666667</v>
      </c>
      <c r="C247" s="6">
        <v>0.23570226039551584</v>
      </c>
      <c r="D247" s="6"/>
    </row>
    <row r="248" spans="1:6" ht="23">
      <c r="A248" s="5" t="s">
        <v>1067</v>
      </c>
      <c r="B248" s="6">
        <v>7</v>
      </c>
      <c r="C248" s="6">
        <v>0</v>
      </c>
      <c r="D248" s="6"/>
    </row>
    <row r="249" spans="1:6" ht="23">
      <c r="A249" s="5" t="s">
        <v>4260</v>
      </c>
      <c r="B249" s="6">
        <v>6.3</v>
      </c>
      <c r="C249" s="6">
        <v>0</v>
      </c>
      <c r="D249" s="6"/>
    </row>
    <row r="250" spans="1:6" ht="23">
      <c r="A250" s="5" t="s">
        <v>6398</v>
      </c>
      <c r="B250" s="6">
        <v>3.8</v>
      </c>
      <c r="C250" s="6">
        <v>0</v>
      </c>
      <c r="D250" s="6"/>
    </row>
    <row r="251" spans="1:6" ht="23">
      <c r="A251" s="5" t="s">
        <v>2371</v>
      </c>
      <c r="B251" s="6">
        <v>5.45</v>
      </c>
      <c r="C251" s="6">
        <v>5.0000000000012791E-2</v>
      </c>
      <c r="D251" s="6"/>
    </row>
    <row r="252" spans="1:6" ht="23">
      <c r="A252" s="5" t="s">
        <v>7134</v>
      </c>
      <c r="B252" s="6">
        <v>4.5</v>
      </c>
      <c r="C252" s="6">
        <v>0</v>
      </c>
      <c r="D252" s="6"/>
    </row>
    <row r="253" spans="1:6" ht="23">
      <c r="A253" s="5" t="s">
        <v>70</v>
      </c>
      <c r="B253" s="6">
        <v>6.4555555555555557</v>
      </c>
      <c r="C253" s="6">
        <v>0.37151674438445259</v>
      </c>
      <c r="D253" s="6"/>
    </row>
    <row r="254" spans="1:6" ht="23">
      <c r="A254" s="5" t="s">
        <v>3463</v>
      </c>
      <c r="B254" s="6">
        <v>4.5999999999999996</v>
      </c>
      <c r="C254" s="6">
        <v>0</v>
      </c>
      <c r="D254" s="6"/>
    </row>
    <row r="255" spans="1:6" ht="23">
      <c r="A255" s="5" t="s">
        <v>6752</v>
      </c>
      <c r="B255" s="6">
        <v>7.1</v>
      </c>
      <c r="C255" s="6">
        <v>0</v>
      </c>
      <c r="D255" s="6"/>
      <c r="F255" s="7"/>
    </row>
    <row r="256" spans="1:6" ht="23">
      <c r="A256" s="5" t="s">
        <v>5837</v>
      </c>
      <c r="B256" s="6">
        <v>6.2</v>
      </c>
      <c r="C256" s="6">
        <v>0</v>
      </c>
      <c r="D256" s="6"/>
      <c r="F256" s="7"/>
    </row>
    <row r="257" spans="1:6" ht="23">
      <c r="A257" s="5" t="s">
        <v>5291</v>
      </c>
      <c r="B257" s="6">
        <v>6.9</v>
      </c>
      <c r="C257" s="6">
        <v>0</v>
      </c>
      <c r="D257" s="6"/>
      <c r="F257" s="7"/>
    </row>
    <row r="258" spans="1:6" ht="23">
      <c r="A258" s="5" t="s">
        <v>600</v>
      </c>
      <c r="B258" s="6">
        <v>6.6833333333333336</v>
      </c>
      <c r="C258" s="6">
        <v>0.85521277404449869</v>
      </c>
      <c r="D258" s="6"/>
      <c r="F258" s="7"/>
    </row>
    <row r="259" spans="1:6" ht="23">
      <c r="A259" s="5" t="s">
        <v>6610</v>
      </c>
      <c r="B259" s="6">
        <v>7.3</v>
      </c>
      <c r="C259" s="6">
        <v>0</v>
      </c>
      <c r="D259" s="6"/>
      <c r="F259" s="7"/>
    </row>
    <row r="260" spans="1:6" ht="23">
      <c r="A260" s="5" t="s">
        <v>1655</v>
      </c>
      <c r="B260" s="6">
        <v>6.4</v>
      </c>
      <c r="C260" s="6">
        <v>0.79999999999999594</v>
      </c>
      <c r="D260" s="6"/>
      <c r="F260" s="7"/>
    </row>
    <row r="261" spans="1:6" ht="23">
      <c r="A261" s="5" t="s">
        <v>1382</v>
      </c>
      <c r="B261" s="6">
        <v>6.7200000000000006</v>
      </c>
      <c r="C261" s="6">
        <v>0.83522452071284536</v>
      </c>
      <c r="D261" s="6"/>
      <c r="F261" s="7"/>
    </row>
    <row r="262" spans="1:6" ht="23">
      <c r="A262" s="5" t="s">
        <v>4116</v>
      </c>
      <c r="B262" s="6">
        <v>7.7</v>
      </c>
      <c r="C262" s="6">
        <v>0</v>
      </c>
      <c r="D262" s="6"/>
      <c r="F262" s="7"/>
    </row>
    <row r="263" spans="1:6" ht="23">
      <c r="A263" s="5" t="s">
        <v>5071</v>
      </c>
      <c r="B263" s="6">
        <v>7.1</v>
      </c>
      <c r="C263" s="6">
        <v>0</v>
      </c>
      <c r="D263" s="6"/>
      <c r="F263" s="7"/>
    </row>
    <row r="264" spans="1:6" ht="23">
      <c r="A264" s="5" t="s">
        <v>3760</v>
      </c>
      <c r="B264" s="6">
        <v>6.25</v>
      </c>
      <c r="C264" s="6">
        <v>0.15000000000000285</v>
      </c>
      <c r="D264" s="6"/>
      <c r="F264" s="7"/>
    </row>
    <row r="265" spans="1:6" ht="23">
      <c r="A265" s="5" t="s">
        <v>1106</v>
      </c>
      <c r="B265" s="6">
        <v>4.8166666666666664</v>
      </c>
      <c r="C265" s="6">
        <v>0.61756691045496137</v>
      </c>
      <c r="D265" s="6"/>
      <c r="F265" s="7"/>
    </row>
    <row r="266" spans="1:6" ht="23">
      <c r="A266" s="5" t="s">
        <v>3314</v>
      </c>
      <c r="B266" s="6">
        <v>7.6</v>
      </c>
      <c r="C266" s="6">
        <v>0</v>
      </c>
      <c r="D266" s="6"/>
      <c r="F266" s="7"/>
    </row>
    <row r="267" spans="1:6" ht="23">
      <c r="A267" s="5" t="s">
        <v>1103</v>
      </c>
      <c r="B267" s="6">
        <v>5.5333333333333341</v>
      </c>
      <c r="C267" s="6">
        <v>0.73181661333666681</v>
      </c>
      <c r="D267" s="6"/>
      <c r="F267" s="7"/>
    </row>
    <row r="268" spans="1:6" ht="23">
      <c r="A268" s="5" t="s">
        <v>2962</v>
      </c>
      <c r="B268" s="6">
        <v>4.1666666666666661</v>
      </c>
      <c r="C268" s="6">
        <v>9.4280904158230455E-2</v>
      </c>
      <c r="D268" s="6"/>
      <c r="F268" s="7"/>
    </row>
    <row r="269" spans="1:6" ht="23">
      <c r="A269" s="5" t="s">
        <v>6089</v>
      </c>
      <c r="B269" s="6">
        <v>5.9</v>
      </c>
      <c r="C269" s="6">
        <v>0</v>
      </c>
      <c r="D269" s="6"/>
      <c r="F269" s="7"/>
    </row>
    <row r="270" spans="1:6" ht="23">
      <c r="A270" s="5" t="s">
        <v>3307</v>
      </c>
      <c r="B270" s="6">
        <v>3.6</v>
      </c>
      <c r="C270" s="6">
        <v>0</v>
      </c>
      <c r="D270" s="6"/>
      <c r="F270" s="7"/>
    </row>
    <row r="271" spans="1:6" ht="23">
      <c r="A271" s="5" t="s">
        <v>3986</v>
      </c>
      <c r="B271" s="6">
        <v>5.9</v>
      </c>
      <c r="C271" s="6">
        <v>0</v>
      </c>
      <c r="D271" s="6"/>
      <c r="F271" s="7"/>
    </row>
    <row r="272" spans="1:6" ht="23">
      <c r="A272" s="5" t="s">
        <v>1723</v>
      </c>
      <c r="B272" s="6">
        <v>7.3000000000000007</v>
      </c>
      <c r="C272" s="6">
        <v>0.57445626465379518</v>
      </c>
      <c r="D272" s="6"/>
      <c r="F272" s="7"/>
    </row>
    <row r="273" spans="1:6" ht="23">
      <c r="A273" s="5" t="s">
        <v>6274</v>
      </c>
      <c r="B273" s="6">
        <v>6.3</v>
      </c>
      <c r="C273" s="6">
        <v>0</v>
      </c>
      <c r="D273" s="6"/>
      <c r="F273" s="7"/>
    </row>
    <row r="274" spans="1:6" ht="23">
      <c r="A274" s="5" t="s">
        <v>6929</v>
      </c>
      <c r="B274" s="6">
        <v>4.8</v>
      </c>
      <c r="C274" s="6">
        <v>0</v>
      </c>
      <c r="D274" s="6"/>
      <c r="F274" s="7"/>
    </row>
    <row r="275" spans="1:6" ht="23">
      <c r="A275" s="5" t="s">
        <v>2404</v>
      </c>
      <c r="B275" s="6">
        <v>5.0999999999999996</v>
      </c>
      <c r="C275" s="6">
        <v>0</v>
      </c>
      <c r="D275" s="6"/>
      <c r="F275" s="7"/>
    </row>
    <row r="276" spans="1:6" ht="23">
      <c r="A276" s="5" t="s">
        <v>5585</v>
      </c>
      <c r="B276" s="6">
        <v>4.7</v>
      </c>
      <c r="C276" s="6">
        <v>0</v>
      </c>
      <c r="D276" s="6"/>
      <c r="F276" s="7"/>
    </row>
    <row r="277" spans="1:6" ht="23">
      <c r="A277" s="5" t="s">
        <v>5254</v>
      </c>
      <c r="B277" s="6">
        <v>6.4</v>
      </c>
      <c r="C277" s="6">
        <v>0</v>
      </c>
      <c r="D277" s="6"/>
      <c r="F277" s="7"/>
    </row>
    <row r="278" spans="1:6" ht="23">
      <c r="A278" s="5" t="s">
        <v>2770</v>
      </c>
      <c r="B278" s="6">
        <v>5.05</v>
      </c>
      <c r="C278" s="6">
        <v>5.0000000000012791E-2</v>
      </c>
      <c r="D278" s="6"/>
      <c r="F278" s="7"/>
    </row>
    <row r="279" spans="1:6" ht="23">
      <c r="A279" s="5" t="s">
        <v>6281</v>
      </c>
      <c r="B279" s="6">
        <v>6.7</v>
      </c>
      <c r="C279" s="6">
        <v>0</v>
      </c>
      <c r="D279" s="6"/>
      <c r="F279" s="7"/>
    </row>
    <row r="280" spans="1:6" ht="23">
      <c r="A280" s="5" t="s">
        <v>3596</v>
      </c>
      <c r="B280" s="6">
        <v>6</v>
      </c>
      <c r="C280" s="6">
        <v>0</v>
      </c>
      <c r="D280" s="6"/>
      <c r="F280" s="7"/>
    </row>
    <row r="281" spans="1:6" ht="23">
      <c r="A281" s="5" t="s">
        <v>7150</v>
      </c>
      <c r="B281" s="6">
        <v>6.4</v>
      </c>
      <c r="C281" s="6">
        <v>0</v>
      </c>
      <c r="D281" s="6"/>
      <c r="F281" s="7"/>
    </row>
    <row r="282" spans="1:6" ht="23">
      <c r="A282" s="5" t="s">
        <v>3754</v>
      </c>
      <c r="B282" s="6">
        <v>6.2</v>
      </c>
      <c r="C282" s="6">
        <v>0</v>
      </c>
      <c r="D282" s="6"/>
      <c r="F282" s="7"/>
    </row>
    <row r="283" spans="1:6" ht="23">
      <c r="A283" s="5" t="s">
        <v>32</v>
      </c>
      <c r="B283" s="6">
        <v>7.2875000000000005</v>
      </c>
      <c r="C283" s="6">
        <v>0.76719863790284903</v>
      </c>
      <c r="D283" s="6"/>
      <c r="F283" s="7"/>
    </row>
    <row r="284" spans="1:6" ht="23">
      <c r="A284" s="5" t="s">
        <v>1671</v>
      </c>
      <c r="B284" s="6">
        <v>6.4249999999999998</v>
      </c>
      <c r="C284" s="6">
        <v>0.42646805273080551</v>
      </c>
      <c r="D284" s="6"/>
      <c r="F284" s="7"/>
    </row>
    <row r="285" spans="1:6" ht="23">
      <c r="A285" s="5" t="s">
        <v>232</v>
      </c>
      <c r="B285" s="6">
        <v>6.9</v>
      </c>
      <c r="C285" s="6">
        <v>0</v>
      </c>
      <c r="D285" s="6"/>
      <c r="F285" s="7"/>
    </row>
    <row r="286" spans="1:6" ht="23">
      <c r="A286" s="5" t="s">
        <v>7045</v>
      </c>
      <c r="B286" s="6">
        <v>6.7</v>
      </c>
      <c r="C286" s="6">
        <v>0</v>
      </c>
      <c r="D286" s="6"/>
      <c r="F286" s="7"/>
    </row>
    <row r="287" spans="1:6" ht="23">
      <c r="A287" s="5" t="s">
        <v>6622</v>
      </c>
      <c r="B287" s="6">
        <v>6.45</v>
      </c>
      <c r="C287" s="6">
        <v>0.75000000000000477</v>
      </c>
      <c r="D287" s="6"/>
      <c r="F287" s="7"/>
    </row>
    <row r="288" spans="1:6" ht="23">
      <c r="A288" s="5" t="s">
        <v>1778</v>
      </c>
      <c r="B288" s="6">
        <v>5.9</v>
      </c>
      <c r="C288" s="6">
        <v>0</v>
      </c>
      <c r="D288" s="6"/>
      <c r="F288" s="7"/>
    </row>
    <row r="289" spans="1:6" ht="23">
      <c r="A289" s="5" t="s">
        <v>2551</v>
      </c>
      <c r="B289" s="6">
        <v>5.9</v>
      </c>
      <c r="C289" s="6">
        <v>9.9999999999990055E-2</v>
      </c>
      <c r="D289" s="6"/>
      <c r="F289" s="7"/>
    </row>
    <row r="290" spans="1:6" ht="23">
      <c r="A290" s="5" t="s">
        <v>894</v>
      </c>
      <c r="B290" s="6">
        <v>6.833333333333333</v>
      </c>
      <c r="C290" s="6">
        <v>0.78244630628703693</v>
      </c>
      <c r="D290" s="6"/>
      <c r="F290" s="7"/>
    </row>
    <row r="291" spans="1:6" ht="23">
      <c r="A291" s="5" t="s">
        <v>2538</v>
      </c>
      <c r="B291" s="6">
        <v>5.4</v>
      </c>
      <c r="C291" s="6">
        <v>0.29999999999999383</v>
      </c>
      <c r="D291" s="6"/>
      <c r="F291" s="7"/>
    </row>
    <row r="292" spans="1:6" ht="23">
      <c r="A292" s="5" t="s">
        <v>1445</v>
      </c>
      <c r="B292" s="6">
        <v>6.6000000000000005</v>
      </c>
      <c r="C292" s="6">
        <v>0.29439202887758975</v>
      </c>
      <c r="D292" s="6"/>
      <c r="F292" s="7"/>
    </row>
    <row r="293" spans="1:6" ht="23">
      <c r="A293" s="5" t="s">
        <v>157</v>
      </c>
      <c r="B293" s="6">
        <v>6.3</v>
      </c>
      <c r="C293" s="6">
        <v>0</v>
      </c>
      <c r="D293" s="6"/>
      <c r="F293" s="7"/>
    </row>
    <row r="294" spans="1:6" ht="23">
      <c r="A294" s="5" t="s">
        <v>7034</v>
      </c>
      <c r="B294" s="6">
        <v>8.1</v>
      </c>
      <c r="C294" s="6">
        <v>0</v>
      </c>
      <c r="D294" s="6"/>
      <c r="F294" s="7"/>
    </row>
    <row r="295" spans="1:6" ht="23">
      <c r="A295" s="5" t="s">
        <v>6166</v>
      </c>
      <c r="B295" s="6">
        <v>6.8</v>
      </c>
      <c r="C295" s="6">
        <v>0</v>
      </c>
      <c r="D295" s="6"/>
      <c r="F295" s="7"/>
    </row>
    <row r="296" spans="1:6" ht="23">
      <c r="A296" s="5" t="s">
        <v>344</v>
      </c>
      <c r="B296" s="6">
        <v>6.8249999999999993</v>
      </c>
      <c r="C296" s="6">
        <v>0.24874685927668469</v>
      </c>
      <c r="D296" s="6"/>
      <c r="F296" s="7"/>
    </row>
    <row r="297" spans="1:6" ht="23">
      <c r="A297" s="5" t="s">
        <v>5426</v>
      </c>
      <c r="B297" s="6">
        <v>7.2</v>
      </c>
      <c r="C297" s="6">
        <v>0</v>
      </c>
      <c r="D297" s="6"/>
      <c r="F297" s="7"/>
    </row>
    <row r="298" spans="1:6" ht="23">
      <c r="A298" s="5" t="s">
        <v>5955</v>
      </c>
      <c r="B298" s="6">
        <v>3.9</v>
      </c>
      <c r="C298" s="6">
        <v>0</v>
      </c>
      <c r="D298" s="6"/>
      <c r="F298" s="7"/>
    </row>
    <row r="299" spans="1:6" ht="23">
      <c r="A299" s="5" t="s">
        <v>4342</v>
      </c>
      <c r="B299" s="6">
        <v>7.15</v>
      </c>
      <c r="C299" s="6">
        <v>0.34999999999999309</v>
      </c>
      <c r="D299" s="6"/>
      <c r="F299" s="7"/>
    </row>
    <row r="300" spans="1:6" ht="23">
      <c r="A300" s="5" t="s">
        <v>5006</v>
      </c>
      <c r="B300" s="6">
        <v>7.7</v>
      </c>
      <c r="C300" s="6">
        <v>0</v>
      </c>
      <c r="D300" s="6"/>
      <c r="F300" s="7"/>
    </row>
    <row r="301" spans="1:6" ht="23">
      <c r="A301" s="5" t="s">
        <v>4188</v>
      </c>
      <c r="B301" s="6">
        <v>7.35</v>
      </c>
      <c r="C301" s="6">
        <v>5.0000000000119373E-2</v>
      </c>
      <c r="D301" s="6"/>
      <c r="F301" s="7"/>
    </row>
    <row r="302" spans="1:6" ht="23">
      <c r="A302" s="5" t="s">
        <v>2762</v>
      </c>
      <c r="B302" s="6">
        <v>5.9</v>
      </c>
      <c r="C302" s="6">
        <v>0</v>
      </c>
      <c r="D302" s="6"/>
      <c r="F302" s="7"/>
    </row>
    <row r="303" spans="1:6" ht="23">
      <c r="A303" s="5" t="s">
        <v>7056</v>
      </c>
      <c r="B303" s="6">
        <v>8.6999999999999993</v>
      </c>
      <c r="C303" s="6">
        <v>0</v>
      </c>
      <c r="D303" s="6"/>
      <c r="F303" s="7"/>
    </row>
    <row r="304" spans="1:6" ht="23">
      <c r="A304" s="5" t="s">
        <v>6683</v>
      </c>
      <c r="B304" s="6">
        <v>6.3</v>
      </c>
      <c r="C304" s="6">
        <v>0</v>
      </c>
      <c r="D304" s="6"/>
      <c r="F304" s="7"/>
    </row>
    <row r="305" spans="1:6" ht="23">
      <c r="A305" s="5" t="s">
        <v>6872</v>
      </c>
      <c r="B305" s="6">
        <v>6</v>
      </c>
      <c r="C305" s="6">
        <v>0</v>
      </c>
      <c r="D305" s="6"/>
      <c r="F305" s="7"/>
    </row>
    <row r="306" spans="1:6" ht="23">
      <c r="A306" s="5" t="s">
        <v>6826</v>
      </c>
      <c r="B306" s="6">
        <v>6.8</v>
      </c>
      <c r="C306" s="6">
        <v>0</v>
      </c>
      <c r="D306" s="6"/>
      <c r="F306" s="7"/>
    </row>
    <row r="307" spans="1:6" ht="23">
      <c r="A307" s="5" t="s">
        <v>1693</v>
      </c>
      <c r="B307" s="6">
        <v>6.1166666666666671</v>
      </c>
      <c r="C307" s="6">
        <v>0.79249956186457704</v>
      </c>
      <c r="D307" s="6"/>
      <c r="F307" s="7"/>
    </row>
    <row r="308" spans="1:6" ht="23">
      <c r="A308" s="5" t="s">
        <v>6653</v>
      </c>
      <c r="B308" s="6">
        <v>4.2</v>
      </c>
      <c r="C308" s="6">
        <v>0</v>
      </c>
      <c r="D308" s="6"/>
      <c r="F308" s="7"/>
    </row>
    <row r="309" spans="1:6" ht="23">
      <c r="A309" s="5" t="s">
        <v>3750</v>
      </c>
      <c r="B309" s="6">
        <v>8.4</v>
      </c>
      <c r="C309" s="6">
        <v>0</v>
      </c>
      <c r="D309" s="6"/>
      <c r="F309" s="7"/>
    </row>
    <row r="310" spans="1:6" ht="23">
      <c r="A310" s="5" t="s">
        <v>2686</v>
      </c>
      <c r="B310" s="6">
        <v>5.2</v>
      </c>
      <c r="C310" s="6">
        <v>0</v>
      </c>
      <c r="D310" s="6"/>
      <c r="F310" s="7"/>
    </row>
    <row r="311" spans="1:6" ht="23">
      <c r="A311" s="5" t="s">
        <v>5479</v>
      </c>
      <c r="B311" s="6">
        <v>6.7</v>
      </c>
      <c r="C311" s="6">
        <v>0</v>
      </c>
      <c r="D311" s="6"/>
      <c r="F311" s="7"/>
    </row>
    <row r="312" spans="1:6" ht="23">
      <c r="A312" s="5" t="s">
        <v>5131</v>
      </c>
      <c r="B312" s="6">
        <v>7.1</v>
      </c>
      <c r="C312" s="6">
        <v>0.20000000000001564</v>
      </c>
      <c r="D312" s="6"/>
      <c r="F312" s="7"/>
    </row>
    <row r="313" spans="1:6" ht="23">
      <c r="A313" s="5" t="s">
        <v>397</v>
      </c>
      <c r="B313" s="6">
        <v>6.1</v>
      </c>
      <c r="C313" s="6">
        <v>0</v>
      </c>
      <c r="D313" s="6"/>
      <c r="F313" s="7"/>
    </row>
    <row r="314" spans="1:6" ht="23">
      <c r="A314" s="5" t="s">
        <v>7166</v>
      </c>
      <c r="B314" s="6">
        <v>6.6</v>
      </c>
      <c r="C314" s="6">
        <v>0</v>
      </c>
      <c r="D314" s="6"/>
      <c r="F314" s="7"/>
    </row>
    <row r="315" spans="1:6" ht="23">
      <c r="A315" s="5" t="s">
        <v>6891</v>
      </c>
      <c r="B315" s="6">
        <v>3.4</v>
      </c>
      <c r="C315" s="6">
        <v>0</v>
      </c>
      <c r="D315" s="6"/>
      <c r="F315" s="7"/>
    </row>
    <row r="316" spans="1:6" ht="23">
      <c r="A316" s="5" t="s">
        <v>4183</v>
      </c>
      <c r="B316" s="6">
        <v>7.6333333333333329</v>
      </c>
      <c r="C316" s="6">
        <v>0.65489609014628458</v>
      </c>
      <c r="D316" s="6"/>
      <c r="F316" s="7"/>
    </row>
    <row r="317" spans="1:6" ht="23">
      <c r="A317" s="5" t="s">
        <v>3939</v>
      </c>
      <c r="B317" s="6">
        <v>6.9</v>
      </c>
      <c r="C317" s="6">
        <v>0</v>
      </c>
      <c r="D317" s="6"/>
      <c r="F317" s="7"/>
    </row>
    <row r="318" spans="1:6" ht="23">
      <c r="A318" s="5" t="s">
        <v>5654</v>
      </c>
      <c r="B318" s="6">
        <v>4.8</v>
      </c>
      <c r="C318" s="6">
        <v>0</v>
      </c>
      <c r="D318" s="6"/>
      <c r="F318" s="7"/>
    </row>
    <row r="319" spans="1:6" ht="23">
      <c r="A319" s="5" t="s">
        <v>4817</v>
      </c>
      <c r="B319" s="6">
        <v>7.7</v>
      </c>
      <c r="C319" s="6">
        <v>0</v>
      </c>
      <c r="D319" s="6"/>
      <c r="F319" s="7"/>
    </row>
    <row r="320" spans="1:6" ht="23">
      <c r="A320" s="5" t="s">
        <v>6270</v>
      </c>
      <c r="B320" s="6">
        <v>8.6</v>
      </c>
      <c r="C320" s="6">
        <v>0</v>
      </c>
      <c r="D320" s="6"/>
      <c r="F320" s="7"/>
    </row>
    <row r="321" spans="1:6" ht="23">
      <c r="A321" s="5" t="s">
        <v>5658</v>
      </c>
      <c r="B321" s="6">
        <v>7.8666666666666671</v>
      </c>
      <c r="C321" s="6">
        <v>0.61282587702835112</v>
      </c>
      <c r="D321" s="6"/>
      <c r="F321" s="7"/>
    </row>
    <row r="322" spans="1:6" ht="23">
      <c r="A322" s="5" t="s">
        <v>2657</v>
      </c>
      <c r="B322" s="6">
        <v>6.2</v>
      </c>
      <c r="C322" s="6">
        <v>1.15758369027902</v>
      </c>
      <c r="D322" s="6"/>
      <c r="F322" s="7"/>
    </row>
    <row r="323" spans="1:6" ht="23">
      <c r="A323" s="5" t="s">
        <v>1977</v>
      </c>
      <c r="B323" s="6">
        <v>6.1333333333333329</v>
      </c>
      <c r="C323" s="6">
        <v>0.7586537784494074</v>
      </c>
      <c r="D323" s="6"/>
      <c r="F323" s="7"/>
    </row>
    <row r="324" spans="1:6" ht="23">
      <c r="A324" s="5" t="s">
        <v>5137</v>
      </c>
      <c r="B324" s="6">
        <v>6.5</v>
      </c>
      <c r="C324" s="6">
        <v>0</v>
      </c>
      <c r="D324" s="6"/>
      <c r="F324" s="7"/>
    </row>
    <row r="325" spans="1:6" ht="23">
      <c r="A325" s="5" t="s">
        <v>4847</v>
      </c>
      <c r="B325" s="6">
        <v>3.1</v>
      </c>
      <c r="C325" s="6">
        <v>0</v>
      </c>
      <c r="D325" s="6"/>
      <c r="F325" s="7"/>
    </row>
    <row r="326" spans="1:6" ht="23">
      <c r="A326" s="5" t="s">
        <v>1916</v>
      </c>
      <c r="B326" s="6">
        <v>5.3</v>
      </c>
      <c r="C326" s="6">
        <v>0</v>
      </c>
      <c r="D326" s="6"/>
      <c r="F326" s="7"/>
    </row>
    <row r="327" spans="1:6" ht="23">
      <c r="A327" s="5" t="s">
        <v>1866</v>
      </c>
      <c r="B327" s="6">
        <v>6.2</v>
      </c>
      <c r="C327" s="6">
        <v>0</v>
      </c>
      <c r="D327" s="6"/>
      <c r="F327" s="7"/>
    </row>
    <row r="328" spans="1:6" ht="23">
      <c r="A328" s="5" t="s">
        <v>2380</v>
      </c>
      <c r="B328" s="6">
        <v>5.6</v>
      </c>
      <c r="C328" s="6">
        <v>0.10000000000002558</v>
      </c>
      <c r="D328" s="6"/>
      <c r="F328" s="7"/>
    </row>
    <row r="329" spans="1:6" ht="23">
      <c r="A329" s="5" t="s">
        <v>3192</v>
      </c>
      <c r="B329" s="6">
        <v>4.3</v>
      </c>
      <c r="C329" s="6">
        <v>0</v>
      </c>
      <c r="D329" s="6"/>
      <c r="F329" s="7"/>
    </row>
    <row r="330" spans="1:6" ht="23">
      <c r="A330" s="5" t="s">
        <v>3243</v>
      </c>
      <c r="B330" s="6">
        <v>7.5</v>
      </c>
      <c r="C330" s="6">
        <v>0</v>
      </c>
      <c r="D330" s="6"/>
      <c r="F330" s="7"/>
    </row>
    <row r="331" spans="1:6" ht="23">
      <c r="A331" s="5" t="s">
        <v>6569</v>
      </c>
      <c r="B331" s="6">
        <v>6.1</v>
      </c>
      <c r="C331" s="6">
        <v>0</v>
      </c>
      <c r="D331" s="6"/>
      <c r="F331" s="7"/>
    </row>
    <row r="332" spans="1:6" ht="23">
      <c r="A332" s="5" t="s">
        <v>4645</v>
      </c>
      <c r="B332" s="6">
        <v>6.6</v>
      </c>
      <c r="C332" s="6">
        <v>0</v>
      </c>
      <c r="D332" s="6"/>
      <c r="F332" s="7"/>
    </row>
    <row r="333" spans="1:6" ht="23">
      <c r="A333" s="5" t="s">
        <v>4133</v>
      </c>
      <c r="B333" s="6">
        <v>4.5</v>
      </c>
      <c r="C333" s="6">
        <v>0</v>
      </c>
      <c r="D333" s="6"/>
      <c r="F333" s="7"/>
    </row>
    <row r="334" spans="1:6" ht="23">
      <c r="A334" s="5" t="s">
        <v>6011</v>
      </c>
      <c r="B334" s="6">
        <v>7.6</v>
      </c>
      <c r="C334" s="6">
        <v>0</v>
      </c>
      <c r="D334" s="6"/>
      <c r="F334" s="7"/>
    </row>
    <row r="335" spans="1:6" ht="23">
      <c r="A335" s="5" t="s">
        <v>6697</v>
      </c>
      <c r="B335" s="6">
        <v>7.4</v>
      </c>
      <c r="C335" s="6">
        <v>0</v>
      </c>
      <c r="D335" s="6"/>
      <c r="F335" s="7"/>
    </row>
    <row r="336" spans="1:6" ht="23">
      <c r="A336" s="5" t="s">
        <v>221</v>
      </c>
      <c r="B336" s="6">
        <v>7.6</v>
      </c>
      <c r="C336" s="6">
        <v>0</v>
      </c>
      <c r="D336" s="6"/>
      <c r="F336" s="7"/>
    </row>
    <row r="337" spans="1:6" ht="23">
      <c r="A337" s="5" t="s">
        <v>1111</v>
      </c>
      <c r="B337" s="6">
        <v>7</v>
      </c>
      <c r="C337" s="6">
        <v>0</v>
      </c>
      <c r="D337" s="6"/>
      <c r="F337" s="7"/>
    </row>
    <row r="338" spans="1:6" ht="23">
      <c r="A338" s="5" t="s">
        <v>2089</v>
      </c>
      <c r="B338" s="6">
        <v>5.9</v>
      </c>
      <c r="C338" s="6">
        <v>0</v>
      </c>
      <c r="D338" s="6"/>
      <c r="F338" s="7"/>
    </row>
    <row r="339" spans="1:6" ht="23">
      <c r="A339" s="5" t="s">
        <v>337</v>
      </c>
      <c r="B339" s="6">
        <v>6.6545454545454552</v>
      </c>
      <c r="C339" s="6">
        <v>0.72030755598327711</v>
      </c>
      <c r="D339" s="6"/>
      <c r="F339" s="7"/>
    </row>
    <row r="340" spans="1:6" ht="23">
      <c r="A340" s="5" t="s">
        <v>5839</v>
      </c>
      <c r="B340" s="6">
        <v>5.9</v>
      </c>
      <c r="C340" s="6">
        <v>0</v>
      </c>
      <c r="D340" s="6"/>
      <c r="F340" s="7"/>
    </row>
    <row r="341" spans="1:6" ht="23">
      <c r="A341" s="5" t="s">
        <v>6025</v>
      </c>
      <c r="B341" s="6">
        <v>7.2</v>
      </c>
      <c r="C341" s="6">
        <v>0</v>
      </c>
      <c r="D341" s="6"/>
      <c r="F341" s="7"/>
    </row>
    <row r="342" spans="1:6" ht="23">
      <c r="A342" s="5" t="s">
        <v>2172</v>
      </c>
      <c r="B342" s="6">
        <v>4.9000000000000004</v>
      </c>
      <c r="C342" s="6">
        <v>0</v>
      </c>
      <c r="D342" s="6"/>
      <c r="F342" s="7"/>
    </row>
    <row r="343" spans="1:6" ht="23">
      <c r="A343" s="5" t="s">
        <v>6014</v>
      </c>
      <c r="B343" s="6">
        <v>5.5</v>
      </c>
      <c r="C343" s="6">
        <v>0.19999999999999787</v>
      </c>
      <c r="D343" s="6"/>
      <c r="F343" s="7"/>
    </row>
    <row r="344" spans="1:6" ht="23">
      <c r="A344" s="5" t="s">
        <v>3164</v>
      </c>
      <c r="B344" s="6">
        <v>5.25</v>
      </c>
      <c r="C344" s="6">
        <v>0.35000000000000325</v>
      </c>
      <c r="D344" s="6"/>
      <c r="F344" s="7"/>
    </row>
    <row r="345" spans="1:6" ht="23">
      <c r="A345" s="5" t="s">
        <v>7032</v>
      </c>
      <c r="B345" s="6">
        <v>7.4</v>
      </c>
      <c r="C345" s="6">
        <v>0</v>
      </c>
      <c r="D345" s="6"/>
      <c r="F345" s="7"/>
    </row>
    <row r="346" spans="1:6" ht="23">
      <c r="A346" s="5" t="s">
        <v>195</v>
      </c>
      <c r="B346" s="6">
        <v>6.4</v>
      </c>
      <c r="C346" s="6">
        <v>0.299999999999982</v>
      </c>
      <c r="D346" s="6"/>
      <c r="F346" s="7"/>
    </row>
    <row r="347" spans="1:6" ht="23">
      <c r="A347" s="5" t="s">
        <v>2692</v>
      </c>
      <c r="B347" s="6">
        <v>6.6</v>
      </c>
      <c r="C347" s="6">
        <v>0</v>
      </c>
      <c r="D347" s="6"/>
      <c r="F347" s="7"/>
    </row>
    <row r="348" spans="1:6" ht="23">
      <c r="A348" s="5" t="s">
        <v>2292</v>
      </c>
      <c r="B348" s="6">
        <v>6.9</v>
      </c>
      <c r="C348" s="6">
        <v>9.9999999999954528E-2</v>
      </c>
      <c r="D348" s="6"/>
      <c r="F348" s="7"/>
    </row>
    <row r="349" spans="1:6" ht="23">
      <c r="A349" s="5" t="s">
        <v>6485</v>
      </c>
      <c r="B349" s="6">
        <v>7.7</v>
      </c>
      <c r="C349" s="6">
        <v>0</v>
      </c>
      <c r="D349" s="6"/>
      <c r="F349" s="7"/>
    </row>
    <row r="350" spans="1:6" ht="23">
      <c r="A350" s="5" t="s">
        <v>2410</v>
      </c>
      <c r="B350" s="6">
        <v>4.0999999999999996</v>
      </c>
      <c r="C350" s="6">
        <v>0</v>
      </c>
      <c r="D350" s="6"/>
      <c r="F350" s="7"/>
    </row>
    <row r="351" spans="1:6" ht="23">
      <c r="A351" s="5" t="s">
        <v>3491</v>
      </c>
      <c r="B351" s="6">
        <v>6</v>
      </c>
      <c r="C351" s="6">
        <v>0</v>
      </c>
      <c r="D351" s="6"/>
      <c r="F351" s="7"/>
    </row>
    <row r="352" spans="1:6" ht="23">
      <c r="A352" s="5" t="s">
        <v>2001</v>
      </c>
      <c r="B352" s="6">
        <v>5.8</v>
      </c>
      <c r="C352" s="6">
        <v>0.4966554808583874</v>
      </c>
      <c r="D352" s="6"/>
      <c r="F352" s="7"/>
    </row>
    <row r="353" spans="1:6" ht="23">
      <c r="A353" s="5" t="s">
        <v>6109</v>
      </c>
      <c r="B353" s="6">
        <v>5.5</v>
      </c>
      <c r="C353" s="6">
        <v>0</v>
      </c>
      <c r="D353" s="6"/>
      <c r="F353" s="7"/>
    </row>
    <row r="354" spans="1:6" ht="23">
      <c r="A354" s="5" t="s">
        <v>4728</v>
      </c>
      <c r="B354" s="6">
        <v>3.85</v>
      </c>
      <c r="C354" s="6">
        <v>0.34999999999999815</v>
      </c>
      <c r="D354" s="6"/>
      <c r="F354" s="7"/>
    </row>
    <row r="355" spans="1:6" ht="23">
      <c r="A355" s="5" t="s">
        <v>485</v>
      </c>
      <c r="B355" s="6">
        <v>6.8666666666666671</v>
      </c>
      <c r="C355" s="6">
        <v>0.54365021434332728</v>
      </c>
      <c r="D355" s="6"/>
      <c r="F355" s="7"/>
    </row>
    <row r="356" spans="1:6" ht="23">
      <c r="A356" s="5" t="s">
        <v>53</v>
      </c>
      <c r="B356" s="6">
        <v>6.08</v>
      </c>
      <c r="C356" s="6">
        <v>0.99478640923566897</v>
      </c>
      <c r="D356" s="6"/>
      <c r="F356" s="7"/>
    </row>
    <row r="357" spans="1:6" ht="23">
      <c r="A357" s="5" t="s">
        <v>1881</v>
      </c>
      <c r="B357" s="6">
        <v>6.5</v>
      </c>
      <c r="C357" s="6">
        <v>0.30000000000000571</v>
      </c>
      <c r="D357" s="6"/>
      <c r="F357" s="7"/>
    </row>
    <row r="358" spans="1:6" ht="23">
      <c r="A358" s="5" t="s">
        <v>2972</v>
      </c>
      <c r="B358" s="6">
        <v>7.8</v>
      </c>
      <c r="C358" s="6">
        <v>0</v>
      </c>
      <c r="D358" s="6"/>
      <c r="F358" s="7"/>
    </row>
    <row r="359" spans="1:6" ht="23">
      <c r="A359" s="5" t="s">
        <v>1975</v>
      </c>
      <c r="B359" s="6">
        <v>6.1</v>
      </c>
      <c r="C359" s="6">
        <v>0</v>
      </c>
      <c r="D359" s="6"/>
      <c r="F359" s="7"/>
    </row>
    <row r="360" spans="1:6" ht="23">
      <c r="A360" s="5" t="s">
        <v>1827</v>
      </c>
      <c r="B360" s="6">
        <v>5.0999999999999996</v>
      </c>
      <c r="C360" s="6">
        <v>0.60000000000000253</v>
      </c>
      <c r="D360" s="6"/>
      <c r="F360" s="7"/>
    </row>
    <row r="361" spans="1:6" ht="23">
      <c r="A361" s="5" t="s">
        <v>3564</v>
      </c>
      <c r="B361" s="6">
        <v>4.8</v>
      </c>
      <c r="C361" s="6">
        <v>0</v>
      </c>
      <c r="D361" s="6"/>
      <c r="F361" s="7"/>
    </row>
    <row r="362" spans="1:6" ht="23">
      <c r="A362" s="5" t="s">
        <v>5833</v>
      </c>
      <c r="B362" s="6">
        <v>3.9</v>
      </c>
      <c r="C362" s="6">
        <v>0</v>
      </c>
      <c r="D362" s="6"/>
      <c r="F362" s="7"/>
    </row>
    <row r="363" spans="1:6" ht="23">
      <c r="A363" s="5" t="s">
        <v>3445</v>
      </c>
      <c r="B363" s="6">
        <v>6.7</v>
      </c>
      <c r="C363" s="6">
        <v>0</v>
      </c>
      <c r="D363" s="6"/>
      <c r="F363" s="7"/>
    </row>
    <row r="364" spans="1:6" ht="23">
      <c r="A364" s="5" t="s">
        <v>5276</v>
      </c>
      <c r="B364" s="6">
        <v>6.9</v>
      </c>
      <c r="C364" s="6">
        <v>0</v>
      </c>
      <c r="D364" s="6"/>
      <c r="F364" s="7"/>
    </row>
    <row r="365" spans="1:6" ht="23">
      <c r="A365" s="5" t="s">
        <v>5401</v>
      </c>
      <c r="B365" s="6">
        <v>5.4</v>
      </c>
      <c r="C365" s="6">
        <v>0</v>
      </c>
      <c r="D365" s="6"/>
      <c r="F365" s="7"/>
    </row>
    <row r="366" spans="1:6" ht="23">
      <c r="A366" s="5" t="s">
        <v>5165</v>
      </c>
      <c r="B366" s="6">
        <v>7.9</v>
      </c>
      <c r="C366" s="6">
        <v>0</v>
      </c>
      <c r="D366" s="6"/>
      <c r="F366" s="7"/>
    </row>
    <row r="367" spans="1:6" ht="23">
      <c r="A367" s="5" t="s">
        <v>1427</v>
      </c>
      <c r="B367" s="6">
        <v>6.6</v>
      </c>
      <c r="C367" s="6">
        <v>0</v>
      </c>
      <c r="D367" s="6"/>
      <c r="F367" s="7"/>
    </row>
    <row r="368" spans="1:6" ht="23">
      <c r="A368" s="5" t="s">
        <v>3967</v>
      </c>
      <c r="B368" s="6">
        <v>6.8</v>
      </c>
      <c r="C368" s="6">
        <v>0</v>
      </c>
      <c r="D368" s="6"/>
      <c r="F368" s="7"/>
    </row>
    <row r="369" spans="1:6" ht="23">
      <c r="A369" s="5" t="s">
        <v>4113</v>
      </c>
      <c r="B369" s="6">
        <v>4.3</v>
      </c>
      <c r="C369" s="6">
        <v>0</v>
      </c>
      <c r="D369" s="6"/>
      <c r="F369" s="7"/>
    </row>
    <row r="370" spans="1:6" ht="23">
      <c r="A370" s="5" t="s">
        <v>4163</v>
      </c>
      <c r="B370" s="6">
        <v>7.1750000000000007</v>
      </c>
      <c r="C370" s="6">
        <v>0.51659945799428075</v>
      </c>
      <c r="D370" s="6"/>
      <c r="F370" s="7"/>
    </row>
    <row r="371" spans="1:6" ht="23">
      <c r="A371" s="5" t="s">
        <v>6676</v>
      </c>
      <c r="B371" s="6">
        <v>3.1</v>
      </c>
      <c r="C371" s="6">
        <v>0</v>
      </c>
      <c r="D371" s="6"/>
      <c r="F371" s="7"/>
    </row>
    <row r="372" spans="1:6" ht="23">
      <c r="A372" s="5" t="s">
        <v>5220</v>
      </c>
      <c r="B372" s="6">
        <v>5</v>
      </c>
      <c r="C372" s="6">
        <v>0</v>
      </c>
      <c r="D372" s="6"/>
      <c r="F372" s="7"/>
    </row>
    <row r="373" spans="1:6" ht="23">
      <c r="A373" s="5" t="s">
        <v>5752</v>
      </c>
      <c r="B373" s="6">
        <v>3.2</v>
      </c>
      <c r="C373" s="6">
        <v>0</v>
      </c>
      <c r="D373" s="6"/>
      <c r="F373" s="7"/>
    </row>
    <row r="374" spans="1:6" ht="23">
      <c r="A374" s="5" t="s">
        <v>5140</v>
      </c>
      <c r="B374" s="6">
        <v>5.4</v>
      </c>
      <c r="C374" s="6">
        <v>0</v>
      </c>
      <c r="D374" s="6"/>
      <c r="F374" s="7"/>
    </row>
    <row r="375" spans="1:6" ht="23">
      <c r="A375" s="5" t="s">
        <v>239</v>
      </c>
      <c r="B375" s="6">
        <v>7.0333333333333341</v>
      </c>
      <c r="C375" s="6">
        <v>0.28674417556808934</v>
      </c>
      <c r="D375" s="6"/>
      <c r="F375" s="7"/>
    </row>
    <row r="376" spans="1:6" ht="23">
      <c r="A376" s="5" t="s">
        <v>5598</v>
      </c>
      <c r="B376" s="6">
        <v>7.3</v>
      </c>
      <c r="C376" s="6">
        <v>0</v>
      </c>
      <c r="D376" s="6"/>
      <c r="F376" s="7"/>
    </row>
    <row r="377" spans="1:6" ht="23">
      <c r="A377" s="5" t="s">
        <v>17</v>
      </c>
      <c r="B377" s="6">
        <v>8.4250000000000007</v>
      </c>
      <c r="C377" s="6">
        <v>0.50435602504578236</v>
      </c>
      <c r="D377" s="6"/>
      <c r="F377" s="7"/>
    </row>
    <row r="378" spans="1:6" ht="23">
      <c r="A378" s="5" t="s">
        <v>6691</v>
      </c>
      <c r="B378" s="6">
        <v>6.5</v>
      </c>
      <c r="C378" s="6">
        <v>0</v>
      </c>
      <c r="D378" s="6"/>
      <c r="F378" s="7"/>
    </row>
    <row r="379" spans="1:6" ht="23">
      <c r="A379" s="5" t="s">
        <v>4213</v>
      </c>
      <c r="B379" s="6">
        <v>6.75</v>
      </c>
      <c r="C379" s="6">
        <v>0.15000000000000285</v>
      </c>
      <c r="D379" s="6"/>
      <c r="F379" s="7"/>
    </row>
    <row r="380" spans="1:6" ht="23">
      <c r="A380" s="5" t="s">
        <v>2936</v>
      </c>
      <c r="B380" s="6">
        <v>5.6</v>
      </c>
      <c r="C380" s="6">
        <v>0</v>
      </c>
      <c r="D380" s="6"/>
      <c r="F380" s="7"/>
    </row>
    <row r="381" spans="1:6" ht="23">
      <c r="A381" s="5" t="s">
        <v>4206</v>
      </c>
      <c r="B381" s="6">
        <v>7.7</v>
      </c>
      <c r="C381" s="6">
        <v>0</v>
      </c>
      <c r="D381" s="6"/>
      <c r="F381" s="7"/>
    </row>
    <row r="382" spans="1:6" ht="23">
      <c r="A382" s="5" t="s">
        <v>1519</v>
      </c>
      <c r="B382" s="6">
        <v>4.5999999999999996</v>
      </c>
      <c r="C382" s="6">
        <v>0</v>
      </c>
      <c r="D382" s="6"/>
      <c r="F382" s="7"/>
    </row>
    <row r="383" spans="1:6" ht="23">
      <c r="A383" s="5" t="s">
        <v>470</v>
      </c>
      <c r="B383" s="6">
        <v>5.8999999999999995</v>
      </c>
      <c r="C383" s="6">
        <v>0.68556546004010588</v>
      </c>
      <c r="D383" s="6"/>
      <c r="F383" s="7"/>
    </row>
    <row r="384" spans="1:6" ht="23">
      <c r="A384" s="5" t="s">
        <v>4345</v>
      </c>
      <c r="B384" s="6">
        <v>6.5</v>
      </c>
      <c r="C384" s="6">
        <v>0</v>
      </c>
      <c r="D384" s="6"/>
      <c r="F384" s="7"/>
    </row>
    <row r="385" spans="1:6" ht="23">
      <c r="A385" s="5" t="s">
        <v>4374</v>
      </c>
      <c r="B385" s="6">
        <v>5.2</v>
      </c>
      <c r="C385" s="6">
        <v>0</v>
      </c>
      <c r="D385" s="6"/>
      <c r="F385" s="7"/>
    </row>
    <row r="386" spans="1:6" ht="23">
      <c r="A386" s="5" t="s">
        <v>3586</v>
      </c>
      <c r="B386" s="6">
        <v>5.9</v>
      </c>
      <c r="C386" s="6">
        <v>0.19999999999998011</v>
      </c>
      <c r="D386" s="6"/>
      <c r="F386" s="7"/>
    </row>
    <row r="387" spans="1:6" ht="23">
      <c r="A387" s="5" t="s">
        <v>6660</v>
      </c>
      <c r="B387" s="6">
        <v>6.2</v>
      </c>
      <c r="C387" s="6">
        <v>0</v>
      </c>
      <c r="D387" s="6"/>
      <c r="F387" s="7"/>
    </row>
    <row r="388" spans="1:6" ht="23">
      <c r="A388" s="5" t="s">
        <v>5673</v>
      </c>
      <c r="B388" s="6">
        <v>6.5</v>
      </c>
      <c r="C388" s="6">
        <v>0</v>
      </c>
      <c r="D388" s="6"/>
      <c r="F388" s="7"/>
    </row>
    <row r="389" spans="1:6" ht="23">
      <c r="A389" s="5" t="s">
        <v>892</v>
      </c>
      <c r="B389" s="6">
        <v>6.05</v>
      </c>
      <c r="C389" s="6">
        <v>4.9999999999977264E-2</v>
      </c>
      <c r="D389" s="6"/>
      <c r="F389" s="7"/>
    </row>
    <row r="390" spans="1:6" ht="23">
      <c r="A390" s="5" t="s">
        <v>4505</v>
      </c>
      <c r="B390" s="6">
        <v>6.6</v>
      </c>
      <c r="C390" s="6">
        <v>0</v>
      </c>
      <c r="D390" s="6"/>
      <c r="F390" s="7"/>
    </row>
    <row r="391" spans="1:6" ht="23">
      <c r="A391" s="5" t="s">
        <v>4853</v>
      </c>
      <c r="B391" s="6">
        <v>6.9</v>
      </c>
      <c r="C391" s="6">
        <v>0</v>
      </c>
      <c r="D391" s="6"/>
      <c r="F391" s="7"/>
    </row>
    <row r="392" spans="1:6" ht="23">
      <c r="A392" s="5" t="s">
        <v>4813</v>
      </c>
      <c r="B392" s="6">
        <v>5.3</v>
      </c>
      <c r="C392" s="6">
        <v>0</v>
      </c>
      <c r="D392" s="6"/>
      <c r="F392" s="7"/>
    </row>
    <row r="393" spans="1:6" ht="23">
      <c r="A393" s="5" t="s">
        <v>6366</v>
      </c>
      <c r="B393" s="6">
        <v>7</v>
      </c>
      <c r="C393" s="6">
        <v>0</v>
      </c>
      <c r="D393" s="6"/>
      <c r="F393" s="7"/>
    </row>
    <row r="394" spans="1:6" ht="23">
      <c r="A394" s="5" t="s">
        <v>859</v>
      </c>
      <c r="B394" s="6">
        <v>6.3</v>
      </c>
      <c r="C394" s="6">
        <v>0</v>
      </c>
      <c r="D394" s="6"/>
      <c r="F394" s="7"/>
    </row>
    <row r="395" spans="1:6" ht="23">
      <c r="A395" s="5" t="s">
        <v>992</v>
      </c>
      <c r="B395" s="6">
        <v>7.2249999999999996</v>
      </c>
      <c r="C395" s="6">
        <v>0.68328251843582244</v>
      </c>
      <c r="D395" s="6"/>
      <c r="F395" s="7"/>
    </row>
    <row r="396" spans="1:6" ht="23">
      <c r="A396" s="5" t="s">
        <v>6445</v>
      </c>
      <c r="B396" s="6">
        <v>7</v>
      </c>
      <c r="C396" s="6">
        <v>0</v>
      </c>
      <c r="D396" s="6"/>
      <c r="F396" s="7"/>
    </row>
    <row r="397" spans="1:6" ht="23">
      <c r="A397" s="5" t="s">
        <v>781</v>
      </c>
      <c r="B397" s="6">
        <v>6.5</v>
      </c>
      <c r="C397" s="6">
        <v>0</v>
      </c>
      <c r="D397" s="6"/>
      <c r="F397" s="7"/>
    </row>
    <row r="398" spans="1:6" ht="23">
      <c r="A398" s="5" t="s">
        <v>3013</v>
      </c>
      <c r="B398" s="6">
        <v>5.8</v>
      </c>
      <c r="C398" s="6">
        <v>0</v>
      </c>
      <c r="D398" s="6"/>
      <c r="F398" s="7"/>
    </row>
    <row r="399" spans="1:6" ht="23">
      <c r="A399" s="5" t="s">
        <v>6105</v>
      </c>
      <c r="B399" s="6">
        <v>6.1</v>
      </c>
      <c r="C399" s="6">
        <v>0</v>
      </c>
      <c r="D399" s="6"/>
      <c r="F399" s="7"/>
    </row>
    <row r="400" spans="1:6" ht="23">
      <c r="A400" s="5" t="s">
        <v>1799</v>
      </c>
      <c r="B400" s="6">
        <v>4.5500000000000007</v>
      </c>
      <c r="C400" s="6">
        <v>0.14999999999997915</v>
      </c>
      <c r="D400" s="6"/>
      <c r="F400" s="7"/>
    </row>
    <row r="401" spans="1:6" ht="23">
      <c r="A401" s="5" t="s">
        <v>62</v>
      </c>
      <c r="B401" s="6">
        <v>7</v>
      </c>
      <c r="C401" s="6">
        <v>0</v>
      </c>
      <c r="D401" s="6"/>
      <c r="F401" s="7"/>
    </row>
    <row r="402" spans="1:6" ht="23">
      <c r="A402" s="5" t="s">
        <v>7178</v>
      </c>
      <c r="B402" s="6">
        <v>3.7</v>
      </c>
      <c r="C402" s="6">
        <v>0</v>
      </c>
      <c r="D402" s="6"/>
      <c r="F402" s="7"/>
    </row>
    <row r="403" spans="1:6" ht="23">
      <c r="A403" s="5" t="s">
        <v>5181</v>
      </c>
      <c r="B403" s="6">
        <v>6.2</v>
      </c>
      <c r="C403" s="6">
        <v>0</v>
      </c>
      <c r="D403" s="6"/>
      <c r="F403" s="7"/>
    </row>
    <row r="404" spans="1:6" ht="23">
      <c r="A404" s="5" t="s">
        <v>6107</v>
      </c>
      <c r="B404" s="6">
        <v>5.7</v>
      </c>
      <c r="C404" s="6">
        <v>0</v>
      </c>
      <c r="D404" s="6"/>
      <c r="F404" s="7"/>
    </row>
    <row r="405" spans="1:6" ht="23">
      <c r="A405" s="5" t="s">
        <v>5809</v>
      </c>
      <c r="B405" s="6">
        <v>6.2</v>
      </c>
      <c r="C405" s="6">
        <v>0</v>
      </c>
      <c r="D405" s="6"/>
      <c r="F405" s="7"/>
    </row>
    <row r="406" spans="1:6" ht="23">
      <c r="A406" s="5" t="s">
        <v>6978</v>
      </c>
      <c r="B406" s="6">
        <v>5.7</v>
      </c>
      <c r="C406" s="6">
        <v>0</v>
      </c>
      <c r="D406" s="6"/>
      <c r="F406" s="7"/>
    </row>
    <row r="407" spans="1:6" ht="23">
      <c r="A407" s="5" t="s">
        <v>6193</v>
      </c>
      <c r="B407" s="6">
        <v>5.4</v>
      </c>
      <c r="C407" s="6">
        <v>0</v>
      </c>
      <c r="D407" s="6"/>
      <c r="F407" s="7"/>
    </row>
    <row r="408" spans="1:6" ht="23">
      <c r="A408" s="5" t="s">
        <v>2441</v>
      </c>
      <c r="B408" s="6">
        <v>4.8</v>
      </c>
      <c r="C408" s="6">
        <v>0</v>
      </c>
      <c r="D408" s="6"/>
      <c r="F408" s="7"/>
    </row>
    <row r="409" spans="1:6" ht="23">
      <c r="A409" s="5" t="s">
        <v>3455</v>
      </c>
      <c r="B409" s="6">
        <v>6.5</v>
      </c>
      <c r="C409" s="6">
        <v>0</v>
      </c>
      <c r="D409" s="6"/>
      <c r="F409" s="7"/>
    </row>
    <row r="410" spans="1:6" ht="23">
      <c r="A410" s="5" t="s">
        <v>1488</v>
      </c>
      <c r="B410" s="6">
        <v>6.75</v>
      </c>
      <c r="C410" s="6">
        <v>0.55000000000000182</v>
      </c>
      <c r="D410" s="6"/>
      <c r="F410" s="7"/>
    </row>
    <row r="411" spans="1:6" ht="23">
      <c r="A411" s="5" t="s">
        <v>6479</v>
      </c>
      <c r="B411" s="6">
        <v>7.2</v>
      </c>
      <c r="C411" s="6">
        <v>0</v>
      </c>
      <c r="D411" s="6"/>
      <c r="F411" s="7"/>
    </row>
    <row r="412" spans="1:6" ht="23">
      <c r="A412" s="5" t="s">
        <v>3402</v>
      </c>
      <c r="B412" s="6">
        <v>4.7</v>
      </c>
      <c r="C412" s="6">
        <v>0.29999999999999383</v>
      </c>
      <c r="D412" s="6"/>
      <c r="F412" s="7"/>
    </row>
    <row r="413" spans="1:6" ht="23">
      <c r="A413" s="5" t="s">
        <v>4013</v>
      </c>
      <c r="B413" s="6">
        <v>6</v>
      </c>
      <c r="C413" s="6">
        <v>0</v>
      </c>
      <c r="D413" s="6"/>
      <c r="F413" s="7"/>
    </row>
    <row r="414" spans="1:6" ht="23">
      <c r="A414" s="5" t="s">
        <v>3778</v>
      </c>
      <c r="B414" s="6">
        <v>7.2</v>
      </c>
      <c r="C414" s="6">
        <v>0.19999999999999787</v>
      </c>
      <c r="D414" s="6"/>
      <c r="F414" s="7"/>
    </row>
    <row r="415" spans="1:6" ht="23">
      <c r="A415" s="5" t="s">
        <v>961</v>
      </c>
      <c r="B415" s="6">
        <v>6.9</v>
      </c>
      <c r="C415" s="6">
        <v>0.36055512754638275</v>
      </c>
      <c r="D415" s="6"/>
      <c r="F415" s="7"/>
    </row>
    <row r="416" spans="1:6" ht="23">
      <c r="A416" s="5" t="s">
        <v>6473</v>
      </c>
      <c r="B416" s="6">
        <v>6.8</v>
      </c>
      <c r="C416" s="6">
        <v>0</v>
      </c>
      <c r="D416" s="6"/>
      <c r="F416" s="7"/>
    </row>
    <row r="417" spans="1:6" ht="23">
      <c r="A417" s="5" t="s">
        <v>2099</v>
      </c>
      <c r="B417" s="6">
        <v>5.25</v>
      </c>
      <c r="C417" s="6">
        <v>0.75</v>
      </c>
      <c r="D417" s="6"/>
      <c r="F417" s="7"/>
    </row>
    <row r="418" spans="1:6" ht="23">
      <c r="A418" s="5" t="s">
        <v>5822</v>
      </c>
      <c r="B418" s="6">
        <v>2.6500000000000004</v>
      </c>
      <c r="C418" s="6">
        <v>4.9999999999986146E-2</v>
      </c>
      <c r="D418" s="6"/>
      <c r="F418" s="7"/>
    </row>
    <row r="419" spans="1:6" ht="23">
      <c r="A419" s="5" t="s">
        <v>2798</v>
      </c>
      <c r="B419" s="6">
        <v>5.5500000000000007</v>
      </c>
      <c r="C419" s="6">
        <v>0.34999999999999309</v>
      </c>
      <c r="D419" s="6"/>
      <c r="F419" s="7"/>
    </row>
    <row r="420" spans="1:6" ht="23">
      <c r="A420" s="5" t="s">
        <v>6941</v>
      </c>
      <c r="B420" s="6">
        <v>6.4</v>
      </c>
      <c r="C420" s="6">
        <v>0</v>
      </c>
      <c r="D420" s="6"/>
      <c r="F420" s="7"/>
    </row>
    <row r="421" spans="1:6" ht="23">
      <c r="A421" s="5" t="s">
        <v>6607</v>
      </c>
      <c r="B421" s="6">
        <v>7.9</v>
      </c>
      <c r="C421" s="6">
        <v>0</v>
      </c>
      <c r="D421" s="6"/>
      <c r="F421" s="7"/>
    </row>
    <row r="422" spans="1:6" ht="23">
      <c r="A422" s="5" t="s">
        <v>1330</v>
      </c>
      <c r="B422" s="6">
        <v>6.6166666666666663</v>
      </c>
      <c r="C422" s="6">
        <v>1.1186549463033302</v>
      </c>
      <c r="D422" s="6"/>
      <c r="F422" s="7"/>
    </row>
    <row r="423" spans="1:6" ht="23">
      <c r="A423" s="5" t="s">
        <v>3557</v>
      </c>
      <c r="B423" s="6">
        <v>5.4</v>
      </c>
      <c r="C423" s="6">
        <v>0</v>
      </c>
      <c r="D423" s="6"/>
      <c r="F423" s="7"/>
    </row>
    <row r="424" spans="1:6" ht="23">
      <c r="A424" s="5" t="s">
        <v>6586</v>
      </c>
      <c r="B424" s="6">
        <v>3.9</v>
      </c>
      <c r="C424" s="6">
        <v>0</v>
      </c>
      <c r="D424" s="6"/>
      <c r="F424" s="7"/>
    </row>
    <row r="425" spans="1:6" ht="23">
      <c r="A425" s="5" t="s">
        <v>705</v>
      </c>
      <c r="B425" s="6">
        <v>6.7</v>
      </c>
      <c r="C425" s="6">
        <v>0.40620192023179696</v>
      </c>
      <c r="D425" s="6"/>
      <c r="F425" s="7"/>
    </row>
    <row r="426" spans="1:6" ht="23">
      <c r="A426" s="5" t="s">
        <v>5606</v>
      </c>
      <c r="B426" s="6">
        <v>6.9</v>
      </c>
      <c r="C426" s="6">
        <v>0</v>
      </c>
      <c r="D426" s="6"/>
      <c r="F426" s="7"/>
    </row>
    <row r="427" spans="1:6" ht="23">
      <c r="A427" s="5" t="s">
        <v>4003</v>
      </c>
      <c r="B427" s="6">
        <v>4.5999999999999996</v>
      </c>
      <c r="C427" s="6">
        <v>0.8000000000000026</v>
      </c>
      <c r="D427" s="6"/>
      <c r="F427" s="7"/>
    </row>
    <row r="428" spans="1:6" ht="23">
      <c r="A428" s="5" t="s">
        <v>4982</v>
      </c>
      <c r="B428" s="6">
        <v>6.4</v>
      </c>
      <c r="C428" s="6">
        <v>0</v>
      </c>
      <c r="D428" s="6"/>
      <c r="F428" s="7"/>
    </row>
    <row r="429" spans="1:6" ht="23">
      <c r="A429" s="5" t="s">
        <v>5675</v>
      </c>
      <c r="B429" s="6">
        <v>8.5</v>
      </c>
      <c r="C429" s="6">
        <v>0</v>
      </c>
      <c r="D429" s="6"/>
      <c r="F429" s="7"/>
    </row>
    <row r="430" spans="1:6" ht="23">
      <c r="A430" s="5" t="s">
        <v>2723</v>
      </c>
      <c r="B430" s="6">
        <v>3.5</v>
      </c>
      <c r="C430" s="6">
        <v>0</v>
      </c>
      <c r="D430" s="6"/>
      <c r="F430" s="7"/>
    </row>
    <row r="431" spans="1:6" ht="23">
      <c r="A431" s="5" t="s">
        <v>5759</v>
      </c>
      <c r="B431" s="6">
        <v>6.9</v>
      </c>
      <c r="C431" s="6">
        <v>0</v>
      </c>
      <c r="D431" s="6"/>
      <c r="F431" s="7"/>
    </row>
    <row r="432" spans="1:6" ht="23">
      <c r="A432" s="5" t="s">
        <v>7186</v>
      </c>
      <c r="B432" s="6">
        <v>5.4</v>
      </c>
      <c r="C432" s="6">
        <v>0</v>
      </c>
      <c r="D432" s="6"/>
      <c r="F432" s="7"/>
    </row>
    <row r="433" spans="1:6" ht="23">
      <c r="A433" s="5" t="s">
        <v>3198</v>
      </c>
      <c r="B433" s="6">
        <v>6.1</v>
      </c>
      <c r="C433" s="6">
        <v>0</v>
      </c>
      <c r="D433" s="6"/>
      <c r="F433" s="7"/>
    </row>
    <row r="434" spans="1:6" ht="23">
      <c r="A434" s="5" t="s">
        <v>3787</v>
      </c>
      <c r="B434" s="6">
        <v>7.4</v>
      </c>
      <c r="C434" s="6">
        <v>0</v>
      </c>
      <c r="D434" s="6"/>
      <c r="F434" s="7"/>
    </row>
    <row r="435" spans="1:6" ht="23">
      <c r="A435" s="5" t="s">
        <v>4119</v>
      </c>
      <c r="B435" s="6">
        <v>5.9</v>
      </c>
      <c r="C435" s="6">
        <v>0</v>
      </c>
      <c r="D435" s="6"/>
      <c r="F435" s="7"/>
    </row>
    <row r="436" spans="1:6" ht="23">
      <c r="A436" s="5" t="s">
        <v>4456</v>
      </c>
      <c r="B436" s="6">
        <v>7.1</v>
      </c>
      <c r="C436" s="6">
        <v>0</v>
      </c>
      <c r="D436" s="6"/>
      <c r="F436" s="7"/>
    </row>
    <row r="437" spans="1:6" ht="23">
      <c r="A437" s="5" t="s">
        <v>4719</v>
      </c>
      <c r="B437" s="6">
        <v>7.9</v>
      </c>
      <c r="C437" s="6">
        <v>0</v>
      </c>
      <c r="D437" s="6"/>
      <c r="F437" s="7"/>
    </row>
    <row r="438" spans="1:6" ht="23">
      <c r="A438" s="5" t="s">
        <v>4513</v>
      </c>
      <c r="B438" s="6">
        <v>7.3</v>
      </c>
      <c r="C438" s="6">
        <v>0</v>
      </c>
      <c r="D438" s="6"/>
      <c r="F438" s="7"/>
    </row>
    <row r="439" spans="1:6" ht="23">
      <c r="A439" s="5" t="s">
        <v>5556</v>
      </c>
      <c r="B439" s="6">
        <v>5</v>
      </c>
      <c r="C439" s="6">
        <v>0</v>
      </c>
      <c r="D439" s="6"/>
      <c r="F439" s="7"/>
    </row>
    <row r="440" spans="1:6" ht="23">
      <c r="A440" s="5" t="s">
        <v>4230</v>
      </c>
      <c r="B440" s="6">
        <v>6</v>
      </c>
      <c r="C440" s="6">
        <v>0</v>
      </c>
      <c r="D440" s="6"/>
      <c r="F440" s="7"/>
    </row>
    <row r="441" spans="1:6" ht="23">
      <c r="A441" s="5" t="s">
        <v>5026</v>
      </c>
      <c r="B441" s="6">
        <v>7.3</v>
      </c>
      <c r="C441" s="6">
        <v>0</v>
      </c>
      <c r="D441" s="6"/>
      <c r="F441" s="7"/>
    </row>
    <row r="442" spans="1:6" ht="23">
      <c r="A442" s="5" t="s">
        <v>5995</v>
      </c>
      <c r="B442" s="6">
        <v>6.7</v>
      </c>
      <c r="C442" s="6">
        <v>0</v>
      </c>
      <c r="D442" s="6"/>
      <c r="F442" s="7"/>
    </row>
    <row r="443" spans="1:6" ht="23">
      <c r="A443" s="5" t="s">
        <v>7117</v>
      </c>
      <c r="B443" s="6">
        <v>5.6</v>
      </c>
      <c r="C443" s="6">
        <v>0</v>
      </c>
      <c r="D443" s="6"/>
      <c r="F443" s="7"/>
    </row>
    <row r="444" spans="1:6" ht="23">
      <c r="A444" s="5" t="s">
        <v>5319</v>
      </c>
      <c r="B444" s="6">
        <v>6.4</v>
      </c>
      <c r="C444" s="6">
        <v>0</v>
      </c>
      <c r="D444" s="6"/>
      <c r="F444" s="7"/>
    </row>
    <row r="445" spans="1:6" ht="23">
      <c r="A445" s="5" t="s">
        <v>72</v>
      </c>
      <c r="B445" s="6">
        <v>7.3</v>
      </c>
      <c r="C445" s="6">
        <v>0</v>
      </c>
      <c r="D445" s="6"/>
      <c r="F445" s="7"/>
    </row>
    <row r="446" spans="1:6" ht="23">
      <c r="A446" s="5" t="s">
        <v>5201</v>
      </c>
      <c r="B446" s="6">
        <v>7.3</v>
      </c>
      <c r="C446" s="6">
        <v>0</v>
      </c>
      <c r="D446" s="6"/>
      <c r="F446" s="7"/>
    </row>
    <row r="447" spans="1:6" ht="23">
      <c r="A447" s="5" t="s">
        <v>6537</v>
      </c>
      <c r="B447" s="6">
        <v>6.9</v>
      </c>
      <c r="C447" s="6">
        <v>0</v>
      </c>
      <c r="D447" s="6"/>
      <c r="F447" s="7"/>
    </row>
    <row r="448" spans="1:6" ht="23">
      <c r="A448" s="5" t="s">
        <v>3269</v>
      </c>
      <c r="B448" s="6">
        <v>5.5</v>
      </c>
      <c r="C448" s="6">
        <v>0</v>
      </c>
      <c r="D448" s="6"/>
      <c r="F448" s="7"/>
    </row>
    <row r="449" spans="1:6" ht="23">
      <c r="A449" s="5" t="s">
        <v>4870</v>
      </c>
      <c r="B449" s="6">
        <v>7.2</v>
      </c>
      <c r="C449" s="6">
        <v>0</v>
      </c>
      <c r="D449" s="6"/>
      <c r="F449" s="7"/>
    </row>
    <row r="450" spans="1:6" ht="23">
      <c r="A450" s="5" t="s">
        <v>3323</v>
      </c>
      <c r="B450" s="6">
        <v>6</v>
      </c>
      <c r="C450" s="6">
        <v>0.40000000000000463</v>
      </c>
      <c r="D450" s="6"/>
      <c r="F450" s="7"/>
    </row>
    <row r="451" spans="1:6" ht="23">
      <c r="A451" s="5" t="s">
        <v>6953</v>
      </c>
      <c r="B451" s="6">
        <v>4.3</v>
      </c>
      <c r="C451" s="6">
        <v>0</v>
      </c>
      <c r="D451" s="6"/>
      <c r="F451" s="7"/>
    </row>
    <row r="452" spans="1:6" ht="23">
      <c r="A452" s="5" t="s">
        <v>6646</v>
      </c>
      <c r="B452" s="6">
        <v>7.4</v>
      </c>
      <c r="C452" s="6">
        <v>0</v>
      </c>
      <c r="D452" s="6"/>
      <c r="F452" s="7"/>
    </row>
    <row r="453" spans="1:6" ht="23">
      <c r="A453" s="5" t="s">
        <v>629</v>
      </c>
      <c r="B453" s="6">
        <v>6.6333333333333329</v>
      </c>
      <c r="C453" s="6">
        <v>0.16996731711977511</v>
      </c>
      <c r="D453" s="6"/>
      <c r="F453" s="7"/>
    </row>
    <row r="454" spans="1:6" ht="23">
      <c r="A454" s="5" t="s">
        <v>7240</v>
      </c>
      <c r="B454" s="6">
        <v>6.3</v>
      </c>
      <c r="C454" s="6">
        <v>0</v>
      </c>
      <c r="D454" s="6"/>
      <c r="F454" s="7"/>
    </row>
    <row r="455" spans="1:6" ht="23">
      <c r="A455" s="5" t="s">
        <v>1039</v>
      </c>
      <c r="B455" s="6">
        <v>6.15</v>
      </c>
      <c r="C455" s="6">
        <v>4.9999999999977264E-2</v>
      </c>
      <c r="D455" s="6"/>
      <c r="F455" s="7"/>
    </row>
    <row r="456" spans="1:6" ht="23">
      <c r="A456" s="5" t="s">
        <v>6709</v>
      </c>
      <c r="B456" s="6">
        <v>6.4</v>
      </c>
      <c r="C456" s="6">
        <v>0</v>
      </c>
      <c r="D456" s="6"/>
      <c r="F456" s="7"/>
    </row>
    <row r="457" spans="1:6" ht="23">
      <c r="A457" s="5" t="s">
        <v>5663</v>
      </c>
      <c r="B457" s="6">
        <v>4.8</v>
      </c>
      <c r="C457" s="6">
        <v>0</v>
      </c>
      <c r="D457" s="6"/>
      <c r="F457" s="7"/>
    </row>
    <row r="458" spans="1:6" ht="23">
      <c r="A458" s="5" t="s">
        <v>2951</v>
      </c>
      <c r="B458" s="6">
        <v>5.8</v>
      </c>
      <c r="C458" s="6">
        <v>0</v>
      </c>
      <c r="D458" s="6"/>
      <c r="F458" s="7"/>
    </row>
    <row r="459" spans="1:6" ht="23">
      <c r="A459" s="5" t="s">
        <v>7144</v>
      </c>
      <c r="B459" s="6">
        <v>6.3</v>
      </c>
      <c r="C459" s="6">
        <v>0</v>
      </c>
      <c r="D459" s="6"/>
      <c r="F459" s="7"/>
    </row>
    <row r="460" spans="1:6" ht="23">
      <c r="A460" s="5" t="s">
        <v>6161</v>
      </c>
      <c r="B460" s="6">
        <v>5.6</v>
      </c>
      <c r="C460" s="6">
        <v>0</v>
      </c>
      <c r="D460" s="6"/>
      <c r="F460" s="7"/>
    </row>
    <row r="461" spans="1:6" ht="23">
      <c r="A461" s="5" t="s">
        <v>4624</v>
      </c>
      <c r="B461" s="6">
        <v>5.5</v>
      </c>
      <c r="C461" s="6">
        <v>0</v>
      </c>
      <c r="D461" s="6"/>
      <c r="F461" s="7"/>
    </row>
    <row r="462" spans="1:6" ht="23">
      <c r="A462" s="5" t="s">
        <v>3857</v>
      </c>
      <c r="B462" s="6">
        <v>5.7</v>
      </c>
      <c r="C462" s="6">
        <v>0</v>
      </c>
      <c r="D462" s="6"/>
      <c r="F462" s="7"/>
    </row>
    <row r="463" spans="1:6" ht="23">
      <c r="A463" s="5" t="s">
        <v>1450</v>
      </c>
      <c r="B463" s="6">
        <v>7.4375</v>
      </c>
      <c r="C463" s="6">
        <v>0.48973845060399185</v>
      </c>
      <c r="D463" s="6"/>
      <c r="F463" s="7"/>
    </row>
    <row r="464" spans="1:6" ht="23">
      <c r="A464" s="5" t="s">
        <v>2181</v>
      </c>
      <c r="B464" s="6">
        <v>5.6999999999999993</v>
      </c>
      <c r="C464" s="6">
        <v>1.1000000000000003</v>
      </c>
      <c r="D464" s="6"/>
      <c r="F464" s="7"/>
    </row>
    <row r="465" spans="1:6" ht="23">
      <c r="A465" s="5" t="s">
        <v>1499</v>
      </c>
      <c r="B465" s="6">
        <v>6.2666666666666657</v>
      </c>
      <c r="C465" s="6">
        <v>0.3399346342395409</v>
      </c>
      <c r="D465" s="6"/>
      <c r="F465" s="7"/>
    </row>
    <row r="466" spans="1:6" ht="23">
      <c r="A466" s="5" t="s">
        <v>3965</v>
      </c>
      <c r="B466" s="6">
        <v>6.3</v>
      </c>
      <c r="C466" s="6">
        <v>0.80000000000000038</v>
      </c>
      <c r="D466" s="6"/>
      <c r="F466" s="7"/>
    </row>
    <row r="467" spans="1:6" ht="23">
      <c r="A467" s="5" t="s">
        <v>1639</v>
      </c>
      <c r="B467" s="6">
        <v>5.5500000000000007</v>
      </c>
      <c r="C467" s="6">
        <v>0.14999999999997915</v>
      </c>
      <c r="D467" s="6"/>
      <c r="F467" s="7"/>
    </row>
    <row r="468" spans="1:6" ht="23">
      <c r="A468" s="5" t="s">
        <v>5943</v>
      </c>
      <c r="B468" s="6">
        <v>6.3</v>
      </c>
      <c r="C468" s="6">
        <v>0</v>
      </c>
      <c r="D468" s="6"/>
      <c r="F468" s="7"/>
    </row>
    <row r="469" spans="1:6" ht="23">
      <c r="A469" s="5" t="s">
        <v>6082</v>
      </c>
      <c r="B469" s="6">
        <v>5.4</v>
      </c>
      <c r="C469" s="6">
        <v>0</v>
      </c>
      <c r="D469" s="6"/>
      <c r="F469" s="7"/>
    </row>
    <row r="470" spans="1:6" ht="23">
      <c r="A470" s="5" t="s">
        <v>5968</v>
      </c>
      <c r="B470" s="6">
        <v>4.7</v>
      </c>
      <c r="C470" s="6">
        <v>0</v>
      </c>
      <c r="D470" s="6"/>
      <c r="F470" s="7"/>
    </row>
    <row r="471" spans="1:6" ht="23">
      <c r="A471" s="5" t="s">
        <v>3612</v>
      </c>
      <c r="B471" s="6">
        <v>7.1</v>
      </c>
      <c r="C471" s="6">
        <v>0</v>
      </c>
      <c r="D471" s="6"/>
      <c r="F471" s="7"/>
    </row>
    <row r="472" spans="1:6" ht="23">
      <c r="A472" s="5" t="s">
        <v>5831</v>
      </c>
      <c r="B472" s="6">
        <v>4.8</v>
      </c>
      <c r="C472" s="6">
        <v>0</v>
      </c>
      <c r="D472" s="6"/>
      <c r="F472" s="7"/>
    </row>
    <row r="473" spans="1:6" ht="23">
      <c r="A473" s="5" t="s">
        <v>4647</v>
      </c>
      <c r="B473" s="6">
        <v>6.1</v>
      </c>
      <c r="C473" s="6">
        <v>0</v>
      </c>
      <c r="D473" s="6"/>
      <c r="F473" s="7"/>
    </row>
    <row r="474" spans="1:6" ht="23">
      <c r="A474" s="5" t="s">
        <v>4157</v>
      </c>
      <c r="B474" s="6">
        <v>7</v>
      </c>
      <c r="C474" s="6">
        <v>0</v>
      </c>
      <c r="D474" s="6"/>
      <c r="F474" s="7"/>
    </row>
    <row r="475" spans="1:6" ht="23">
      <c r="A475" s="5" t="s">
        <v>3841</v>
      </c>
      <c r="B475" s="6">
        <v>6</v>
      </c>
      <c r="C475" s="6">
        <v>0</v>
      </c>
      <c r="D475" s="6"/>
      <c r="F475" s="7"/>
    </row>
    <row r="476" spans="1:6" ht="23">
      <c r="A476" s="5" t="s">
        <v>325</v>
      </c>
      <c r="B476" s="6">
        <v>7.4833333333333334</v>
      </c>
      <c r="C476" s="6">
        <v>0.83149797888442978</v>
      </c>
      <c r="D476" s="6"/>
      <c r="F476" s="7"/>
    </row>
    <row r="477" spans="1:6" ht="23">
      <c r="A477" s="5" t="s">
        <v>5155</v>
      </c>
      <c r="B477" s="6">
        <v>5.6</v>
      </c>
      <c r="C477" s="6">
        <v>0</v>
      </c>
      <c r="D477" s="6"/>
      <c r="F477" s="7"/>
    </row>
    <row r="478" spans="1:6" ht="23">
      <c r="A478" s="5" t="s">
        <v>4324</v>
      </c>
      <c r="B478" s="6">
        <v>6.56</v>
      </c>
      <c r="C478" s="6">
        <v>0.50833060108555483</v>
      </c>
      <c r="D478" s="6"/>
      <c r="F478" s="7"/>
    </row>
    <row r="479" spans="1:6" ht="23">
      <c r="A479" s="5" t="s">
        <v>5774</v>
      </c>
      <c r="B479" s="6">
        <v>5.5</v>
      </c>
      <c r="C479" s="6">
        <v>9.9999999999990055E-2</v>
      </c>
      <c r="D479" s="6"/>
      <c r="F479" s="7"/>
    </row>
    <row r="480" spans="1:6" ht="23">
      <c r="A480" s="5" t="s">
        <v>7210</v>
      </c>
      <c r="B480" s="6">
        <v>6.2</v>
      </c>
      <c r="C480" s="6">
        <v>0</v>
      </c>
      <c r="D480" s="6"/>
      <c r="F480" s="7"/>
    </row>
    <row r="481" spans="1:6" ht="23">
      <c r="A481" s="5" t="s">
        <v>6804</v>
      </c>
      <c r="B481" s="6">
        <v>5.8</v>
      </c>
      <c r="C481" s="6">
        <v>0</v>
      </c>
      <c r="D481" s="6"/>
      <c r="F481" s="7"/>
    </row>
    <row r="482" spans="1:6" ht="23">
      <c r="A482" s="5" t="s">
        <v>3212</v>
      </c>
      <c r="B482" s="6">
        <v>2.8</v>
      </c>
      <c r="C482" s="6">
        <v>0</v>
      </c>
      <c r="D482" s="6"/>
      <c r="F482" s="7"/>
    </row>
    <row r="483" spans="1:6" ht="23">
      <c r="A483" s="5" t="s">
        <v>7160</v>
      </c>
      <c r="B483" s="6">
        <v>7.9</v>
      </c>
      <c r="C483" s="6">
        <v>0</v>
      </c>
      <c r="D483" s="6"/>
      <c r="F483" s="7"/>
    </row>
    <row r="484" spans="1:6" ht="23">
      <c r="A484" s="5" t="s">
        <v>403</v>
      </c>
      <c r="B484" s="6">
        <v>6.05</v>
      </c>
      <c r="C484" s="6">
        <v>0.25</v>
      </c>
      <c r="D484" s="6"/>
      <c r="F484" s="7"/>
    </row>
    <row r="485" spans="1:6" ht="23">
      <c r="A485" s="5" t="s">
        <v>5530</v>
      </c>
      <c r="B485" s="6">
        <v>6.9</v>
      </c>
      <c r="C485" s="6">
        <v>0</v>
      </c>
      <c r="D485" s="6"/>
      <c r="F485" s="7"/>
    </row>
    <row r="486" spans="1:6" ht="23">
      <c r="A486" s="5" t="s">
        <v>6219</v>
      </c>
      <c r="B486" s="6">
        <v>4.3</v>
      </c>
      <c r="C486" s="6">
        <v>0</v>
      </c>
      <c r="D486" s="6"/>
      <c r="F486" s="7"/>
    </row>
    <row r="487" spans="1:6" ht="23">
      <c r="A487" s="5" t="s">
        <v>6120</v>
      </c>
      <c r="B487" s="6">
        <v>4.9000000000000004</v>
      </c>
      <c r="C487" s="6">
        <v>0</v>
      </c>
      <c r="D487" s="6"/>
      <c r="F487" s="7"/>
    </row>
    <row r="488" spans="1:6" ht="23">
      <c r="A488" s="5" t="s">
        <v>6294</v>
      </c>
      <c r="B488" s="6">
        <v>6.3</v>
      </c>
      <c r="C488" s="6">
        <v>0</v>
      </c>
      <c r="D488" s="6"/>
      <c r="F488" s="7"/>
    </row>
    <row r="489" spans="1:6" ht="23">
      <c r="A489" s="5" t="s">
        <v>3261</v>
      </c>
      <c r="B489" s="6">
        <v>6.2</v>
      </c>
      <c r="C489" s="6">
        <v>0</v>
      </c>
      <c r="D489" s="6"/>
      <c r="F489" s="7"/>
    </row>
    <row r="490" spans="1:6" ht="23">
      <c r="A490" s="5" t="s">
        <v>5095</v>
      </c>
      <c r="B490" s="6">
        <v>5.8</v>
      </c>
      <c r="C490" s="6">
        <v>0</v>
      </c>
      <c r="D490" s="6"/>
      <c r="F490" s="7"/>
    </row>
    <row r="491" spans="1:6" ht="23">
      <c r="A491" s="5" t="s">
        <v>135</v>
      </c>
      <c r="B491" s="6">
        <v>6.95</v>
      </c>
      <c r="C491" s="6">
        <v>0.65510813356778097</v>
      </c>
      <c r="D491" s="6"/>
      <c r="F491" s="7"/>
    </row>
    <row r="492" spans="1:6" ht="23">
      <c r="A492" s="5" t="s">
        <v>253</v>
      </c>
      <c r="B492" s="6">
        <v>6.5</v>
      </c>
      <c r="C492" s="6">
        <v>0.15811388300841447</v>
      </c>
      <c r="D492" s="6"/>
      <c r="F492" s="7"/>
    </row>
    <row r="493" spans="1:6" ht="23">
      <c r="A493" s="5" t="s">
        <v>6373</v>
      </c>
      <c r="B493" s="6">
        <v>6</v>
      </c>
      <c r="C493" s="6">
        <v>0</v>
      </c>
      <c r="D493" s="6"/>
      <c r="F493" s="7"/>
    </row>
    <row r="494" spans="1:6" ht="23">
      <c r="A494" s="5" t="s">
        <v>6391</v>
      </c>
      <c r="B494" s="6">
        <v>6.1</v>
      </c>
      <c r="C494" s="6">
        <v>0</v>
      </c>
      <c r="D494" s="6"/>
      <c r="F494" s="7"/>
    </row>
    <row r="495" spans="1:6" ht="23">
      <c r="A495" s="5" t="s">
        <v>1926</v>
      </c>
      <c r="B495" s="6">
        <v>6.6</v>
      </c>
      <c r="C495" s="6">
        <v>0</v>
      </c>
      <c r="D495" s="6"/>
      <c r="F495" s="7"/>
    </row>
    <row r="496" spans="1:6" ht="23">
      <c r="A496" s="5" t="s">
        <v>1479</v>
      </c>
      <c r="B496" s="6">
        <v>7.1142857142857139</v>
      </c>
      <c r="C496" s="6">
        <v>0.39795395077670637</v>
      </c>
      <c r="D496" s="6"/>
      <c r="F496" s="7"/>
    </row>
    <row r="497" spans="1:6" ht="23">
      <c r="A497" s="5" t="s">
        <v>6558</v>
      </c>
      <c r="B497" s="6">
        <v>5.8</v>
      </c>
      <c r="C497" s="6">
        <v>0</v>
      </c>
      <c r="D497" s="6"/>
      <c r="F497" s="7"/>
    </row>
    <row r="498" spans="1:6" ht="23">
      <c r="A498" s="5" t="s">
        <v>6573</v>
      </c>
      <c r="B498" s="6">
        <v>3</v>
      </c>
      <c r="C498" s="6">
        <v>0.80000000000000038</v>
      </c>
      <c r="D498" s="6"/>
      <c r="F498" s="7"/>
    </row>
    <row r="499" spans="1:6" ht="23">
      <c r="A499" s="5" t="s">
        <v>1342</v>
      </c>
      <c r="B499" s="6">
        <v>6.65</v>
      </c>
      <c r="C499" s="6">
        <v>0.4555216789572184</v>
      </c>
      <c r="D499" s="6"/>
      <c r="F499" s="7"/>
    </row>
    <row r="500" spans="1:6" ht="23">
      <c r="A500" s="5" t="s">
        <v>6069</v>
      </c>
      <c r="B500" s="6">
        <v>7</v>
      </c>
      <c r="C500" s="6">
        <v>0</v>
      </c>
      <c r="D500" s="6"/>
      <c r="F500" s="7"/>
    </row>
    <row r="501" spans="1:6" ht="23">
      <c r="A501" s="5" t="s">
        <v>4683</v>
      </c>
      <c r="B501" s="6">
        <v>5</v>
      </c>
      <c r="C501" s="6">
        <v>0</v>
      </c>
      <c r="D501" s="6"/>
      <c r="F501" s="7"/>
    </row>
    <row r="502" spans="1:6" ht="23">
      <c r="A502" s="5" t="s">
        <v>5204</v>
      </c>
      <c r="B502" s="6">
        <v>6.9</v>
      </c>
      <c r="C502" s="6">
        <v>0</v>
      </c>
      <c r="D502" s="6"/>
      <c r="F502" s="7"/>
    </row>
    <row r="503" spans="1:6" ht="23">
      <c r="A503" s="5" t="s">
        <v>183</v>
      </c>
      <c r="B503" s="6">
        <v>7.7499999999999982</v>
      </c>
      <c r="C503" s="6">
        <v>0.68447059834592006</v>
      </c>
      <c r="D503" s="6"/>
      <c r="F503" s="7"/>
    </row>
    <row r="504" spans="1:6" ht="23">
      <c r="A504" s="5" t="s">
        <v>1057</v>
      </c>
      <c r="B504" s="6">
        <v>6.6000000000000005</v>
      </c>
      <c r="C504" s="6">
        <v>0.36742346141745469</v>
      </c>
      <c r="D504" s="6"/>
      <c r="F504" s="7"/>
    </row>
    <row r="505" spans="1:6" ht="23">
      <c r="A505" s="5" t="s">
        <v>7017</v>
      </c>
      <c r="B505" s="6">
        <v>6.4</v>
      </c>
      <c r="C505" s="6">
        <v>0</v>
      </c>
      <c r="D505" s="6"/>
      <c r="F505" s="7"/>
    </row>
    <row r="506" spans="1:6" ht="23">
      <c r="A506" s="5" t="s">
        <v>5224</v>
      </c>
      <c r="B506" s="6">
        <v>5.2</v>
      </c>
      <c r="C506" s="6">
        <v>0</v>
      </c>
      <c r="D506" s="6"/>
      <c r="F506" s="7"/>
    </row>
    <row r="507" spans="1:6" ht="23">
      <c r="A507" s="5" t="s">
        <v>1484</v>
      </c>
      <c r="B507" s="6">
        <v>6.5749999999999993</v>
      </c>
      <c r="C507" s="6">
        <v>0.64177488264968441</v>
      </c>
      <c r="D507" s="6"/>
      <c r="F507" s="7"/>
    </row>
    <row r="508" spans="1:6" ht="23">
      <c r="A508" s="5" t="s">
        <v>4292</v>
      </c>
      <c r="B508" s="6">
        <v>5.55</v>
      </c>
      <c r="C508" s="6">
        <v>0.25000000000000711</v>
      </c>
      <c r="D508" s="6"/>
      <c r="F508" s="7"/>
    </row>
    <row r="509" spans="1:6" ht="23">
      <c r="A509" s="5" t="s">
        <v>3452</v>
      </c>
      <c r="B509" s="6">
        <v>5.3</v>
      </c>
      <c r="C509" s="6">
        <v>0</v>
      </c>
      <c r="D509" s="6"/>
      <c r="F509" s="7"/>
    </row>
    <row r="510" spans="1:6" ht="23">
      <c r="A510" s="5" t="s">
        <v>7093</v>
      </c>
      <c r="B510" s="6">
        <v>7</v>
      </c>
      <c r="C510" s="6">
        <v>0</v>
      </c>
      <c r="D510" s="6"/>
      <c r="F510" s="7"/>
    </row>
    <row r="511" spans="1:6" ht="23">
      <c r="A511" s="5" t="s">
        <v>6200</v>
      </c>
      <c r="B511" s="6">
        <v>6.3</v>
      </c>
      <c r="C511" s="6">
        <v>0</v>
      </c>
      <c r="D511" s="6"/>
      <c r="F511" s="7"/>
    </row>
    <row r="512" spans="1:6" ht="23">
      <c r="A512" s="5" t="s">
        <v>4793</v>
      </c>
      <c r="B512" s="6">
        <v>6.5</v>
      </c>
      <c r="C512" s="6">
        <v>0</v>
      </c>
      <c r="D512" s="6"/>
      <c r="F512" s="7"/>
    </row>
    <row r="513" spans="1:6" ht="23">
      <c r="A513" s="5" t="s">
        <v>812</v>
      </c>
      <c r="B513" s="6">
        <v>4.0999999999999996</v>
      </c>
      <c r="C513" s="6">
        <v>0</v>
      </c>
      <c r="D513" s="6"/>
      <c r="F513" s="7"/>
    </row>
    <row r="514" spans="1:6" ht="23">
      <c r="A514" s="5" t="s">
        <v>1193</v>
      </c>
      <c r="B514" s="6">
        <v>6.4599999999999991</v>
      </c>
      <c r="C514" s="6">
        <v>0.50833060108556372</v>
      </c>
      <c r="D514" s="6"/>
      <c r="F514" s="7"/>
    </row>
    <row r="515" spans="1:6" ht="23">
      <c r="A515" s="5" t="s">
        <v>6680</v>
      </c>
      <c r="B515" s="6">
        <v>7.1</v>
      </c>
      <c r="C515" s="6">
        <v>0</v>
      </c>
      <c r="D515" s="6"/>
      <c r="F515" s="7"/>
    </row>
    <row r="516" spans="1:6" ht="23">
      <c r="A516" s="5" t="s">
        <v>4964</v>
      </c>
      <c r="B516" s="6">
        <v>5.3</v>
      </c>
      <c r="C516" s="6">
        <v>0</v>
      </c>
      <c r="D516" s="6"/>
      <c r="F516" s="7"/>
    </row>
    <row r="517" spans="1:6" ht="23">
      <c r="A517" s="5" t="s">
        <v>2544</v>
      </c>
      <c r="B517" s="6">
        <v>8</v>
      </c>
      <c r="C517" s="6">
        <v>0.37416573867739489</v>
      </c>
      <c r="D517" s="6"/>
      <c r="F517" s="7"/>
    </row>
    <row r="518" spans="1:6" ht="23">
      <c r="A518" s="5" t="s">
        <v>1957</v>
      </c>
      <c r="B518" s="6">
        <v>5.55</v>
      </c>
      <c r="C518" s="6">
        <v>0.75</v>
      </c>
      <c r="D518" s="6"/>
      <c r="F518" s="7"/>
    </row>
    <row r="519" spans="1:6" ht="23">
      <c r="A519" s="5" t="s">
        <v>4371</v>
      </c>
      <c r="B519" s="6">
        <v>7.3</v>
      </c>
      <c r="C519" s="6">
        <v>0</v>
      </c>
      <c r="D519" s="6"/>
      <c r="F519" s="7"/>
    </row>
    <row r="520" spans="1:6" ht="23">
      <c r="A520" s="5" t="s">
        <v>1613</v>
      </c>
      <c r="B520" s="6">
        <v>7.6400000000000006</v>
      </c>
      <c r="C520" s="6">
        <v>0.58514955353310205</v>
      </c>
      <c r="D520" s="6"/>
      <c r="F520" s="7"/>
    </row>
    <row r="521" spans="1:6" ht="23">
      <c r="A521" s="5" t="s">
        <v>516</v>
      </c>
      <c r="B521" s="6">
        <v>7.05</v>
      </c>
      <c r="C521" s="6">
        <v>0.25</v>
      </c>
      <c r="D521" s="6"/>
      <c r="F521" s="7"/>
    </row>
    <row r="522" spans="1:6" ht="23">
      <c r="A522" s="5" t="s">
        <v>1098</v>
      </c>
      <c r="B522" s="6">
        <v>5</v>
      </c>
      <c r="C522" s="6">
        <v>0.59999999999999953</v>
      </c>
      <c r="D522" s="6"/>
      <c r="F522" s="7"/>
    </row>
    <row r="523" spans="1:6" ht="23">
      <c r="A523" s="5" t="s">
        <v>1936</v>
      </c>
      <c r="B523" s="6">
        <v>6.2</v>
      </c>
      <c r="C523" s="6">
        <v>0</v>
      </c>
      <c r="D523" s="6"/>
      <c r="F523" s="7"/>
    </row>
    <row r="524" spans="1:6" ht="23">
      <c r="A524" s="5" t="s">
        <v>4111</v>
      </c>
      <c r="B524" s="6">
        <v>5.4</v>
      </c>
      <c r="C524" s="6">
        <v>0</v>
      </c>
      <c r="D524" s="6"/>
      <c r="F524" s="7"/>
    </row>
    <row r="525" spans="1:6" ht="23">
      <c r="A525" s="5" t="s">
        <v>5783</v>
      </c>
      <c r="B525" s="6">
        <v>6.3</v>
      </c>
      <c r="C525" s="6">
        <v>0</v>
      </c>
      <c r="D525" s="6"/>
      <c r="F525" s="7"/>
    </row>
    <row r="526" spans="1:6" ht="23">
      <c r="A526" s="5" t="s">
        <v>3734</v>
      </c>
      <c r="B526" s="6">
        <v>5.5</v>
      </c>
      <c r="C526" s="6">
        <v>0</v>
      </c>
      <c r="D526" s="6"/>
      <c r="F526" s="7"/>
    </row>
    <row r="527" spans="1:6" ht="23">
      <c r="A527" s="5" t="s">
        <v>1124</v>
      </c>
      <c r="B527" s="6">
        <v>6.7749999999999995</v>
      </c>
      <c r="C527" s="6">
        <v>1.1420923780500452</v>
      </c>
      <c r="D527" s="6"/>
      <c r="F527" s="7"/>
    </row>
    <row r="528" spans="1:6" ht="23">
      <c r="A528" s="5" t="s">
        <v>4836</v>
      </c>
      <c r="B528" s="6">
        <v>7.3</v>
      </c>
      <c r="C528" s="6">
        <v>0</v>
      </c>
      <c r="D528" s="6"/>
      <c r="F528" s="7"/>
    </row>
    <row r="529" spans="1:6" ht="23">
      <c r="A529" s="5" t="s">
        <v>2974</v>
      </c>
      <c r="B529" s="6">
        <v>6.1</v>
      </c>
      <c r="C529" s="6">
        <v>0</v>
      </c>
      <c r="D529" s="6"/>
      <c r="F529" s="7"/>
    </row>
    <row r="530" spans="1:6" ht="23">
      <c r="A530" s="5" t="s">
        <v>848</v>
      </c>
      <c r="B530" s="6">
        <v>6</v>
      </c>
      <c r="C530" s="6">
        <v>0</v>
      </c>
      <c r="D530" s="6"/>
      <c r="F530" s="7"/>
    </row>
    <row r="531" spans="1:6" ht="23">
      <c r="A531" s="5" t="s">
        <v>1607</v>
      </c>
      <c r="B531" s="6">
        <v>5.4999999999999991</v>
      </c>
      <c r="C531" s="6">
        <v>0.87635609200827203</v>
      </c>
      <c r="D531" s="6"/>
      <c r="F531" s="7"/>
    </row>
    <row r="532" spans="1:6" ht="23">
      <c r="A532" s="5" t="s">
        <v>6292</v>
      </c>
      <c r="B532" s="6">
        <v>6.8</v>
      </c>
      <c r="C532" s="6">
        <v>0</v>
      </c>
      <c r="D532" s="6"/>
      <c r="F532" s="7"/>
    </row>
    <row r="533" spans="1:6" ht="23">
      <c r="A533" s="5" t="s">
        <v>3782</v>
      </c>
      <c r="B533" s="6">
        <v>5.3666666666666671</v>
      </c>
      <c r="C533" s="6">
        <v>0.12472191289245864</v>
      </c>
      <c r="D533" s="6"/>
      <c r="F533" s="7"/>
    </row>
    <row r="534" spans="1:6" ht="23">
      <c r="A534" s="5" t="s">
        <v>6005</v>
      </c>
      <c r="B534" s="6">
        <v>6.9</v>
      </c>
      <c r="C534" s="6">
        <v>0</v>
      </c>
      <c r="D534" s="6"/>
      <c r="F534" s="7"/>
    </row>
    <row r="535" spans="1:6" ht="23">
      <c r="A535" s="5" t="s">
        <v>1008</v>
      </c>
      <c r="B535" s="6">
        <v>5.35</v>
      </c>
      <c r="C535" s="6">
        <v>0.55000000000000504</v>
      </c>
      <c r="D535" s="6"/>
      <c r="F535" s="7"/>
    </row>
    <row r="536" spans="1:6" ht="23">
      <c r="A536" s="5" t="s">
        <v>4242</v>
      </c>
      <c r="B536" s="6">
        <v>7.2</v>
      </c>
      <c r="C536" s="6">
        <v>0</v>
      </c>
      <c r="D536" s="6"/>
      <c r="F536" s="7"/>
    </row>
    <row r="537" spans="1:6" ht="23">
      <c r="A537" s="5" t="s">
        <v>4448</v>
      </c>
      <c r="B537" s="6">
        <v>6.8</v>
      </c>
      <c r="C537" s="6">
        <v>0.20000000000001564</v>
      </c>
      <c r="D537" s="6"/>
      <c r="F537" s="7"/>
    </row>
    <row r="538" spans="1:6" ht="23">
      <c r="A538" s="5" t="s">
        <v>871</v>
      </c>
      <c r="B538" s="6">
        <v>7.4</v>
      </c>
      <c r="C538" s="6">
        <v>0</v>
      </c>
      <c r="D538" s="6"/>
      <c r="F538" s="7"/>
    </row>
    <row r="539" spans="1:6" ht="23">
      <c r="A539" s="5" t="s">
        <v>6058</v>
      </c>
      <c r="B539" s="6">
        <v>8.1</v>
      </c>
      <c r="C539" s="6">
        <v>0</v>
      </c>
      <c r="D539" s="6"/>
      <c r="F539" s="7"/>
    </row>
    <row r="540" spans="1:6" ht="23">
      <c r="A540" s="5" t="s">
        <v>947</v>
      </c>
      <c r="B540" s="6">
        <v>6.2</v>
      </c>
      <c r="C540" s="6">
        <v>0.94162979278836334</v>
      </c>
      <c r="D540" s="6"/>
      <c r="F540" s="7"/>
    </row>
    <row r="541" spans="1:6" ht="23">
      <c r="A541" s="5" t="s">
        <v>307</v>
      </c>
      <c r="B541" s="6">
        <v>6.5</v>
      </c>
      <c r="C541" s="6">
        <v>0</v>
      </c>
      <c r="D541" s="6"/>
      <c r="F541" s="7"/>
    </row>
    <row r="542" spans="1:6" ht="23">
      <c r="A542" s="5" t="s">
        <v>375</v>
      </c>
      <c r="B542" s="6">
        <v>6.6750000000000007</v>
      </c>
      <c r="C542" s="6">
        <v>0.26809513236907428</v>
      </c>
      <c r="D542" s="6"/>
      <c r="F542" s="7"/>
    </row>
    <row r="543" spans="1:6" ht="23">
      <c r="A543" s="5" t="s">
        <v>2191</v>
      </c>
      <c r="B543" s="6">
        <v>5.75</v>
      </c>
      <c r="C543" s="6">
        <v>0.70178344238090973</v>
      </c>
      <c r="D543" s="6"/>
      <c r="F543" s="7"/>
    </row>
    <row r="544" spans="1:6" ht="23">
      <c r="A544" s="5" t="s">
        <v>4828</v>
      </c>
      <c r="B544" s="6">
        <v>6.5</v>
      </c>
      <c r="C544" s="6">
        <v>0</v>
      </c>
      <c r="D544" s="6"/>
      <c r="F544" s="7"/>
    </row>
    <row r="545" spans="1:6" ht="23">
      <c r="A545" s="5" t="s">
        <v>6298</v>
      </c>
      <c r="B545" s="6">
        <v>2.8</v>
      </c>
      <c r="C545" s="6">
        <v>0</v>
      </c>
      <c r="D545" s="6"/>
      <c r="F545" s="7"/>
    </row>
    <row r="546" spans="1:6" ht="23">
      <c r="A546" s="5" t="s">
        <v>4219</v>
      </c>
      <c r="B546" s="6">
        <v>2.8</v>
      </c>
      <c r="C546" s="6">
        <v>0</v>
      </c>
      <c r="D546" s="6"/>
      <c r="F546" s="7"/>
    </row>
    <row r="547" spans="1:6" ht="23">
      <c r="A547" s="5" t="s">
        <v>6321</v>
      </c>
      <c r="B547" s="6">
        <v>6.9</v>
      </c>
      <c r="C547" s="6">
        <v>0</v>
      </c>
      <c r="D547" s="6"/>
      <c r="F547" s="7"/>
    </row>
    <row r="548" spans="1:6" ht="23">
      <c r="A548" s="5" t="s">
        <v>28</v>
      </c>
      <c r="B548" s="6">
        <v>7.2</v>
      </c>
      <c r="C548" s="6">
        <v>0.42426406871192168</v>
      </c>
      <c r="D548" s="6"/>
      <c r="F548" s="7"/>
    </row>
    <row r="549" spans="1:6" ht="23">
      <c r="A549" s="5" t="s">
        <v>1564</v>
      </c>
      <c r="B549" s="6">
        <v>5.26</v>
      </c>
      <c r="C549" s="6">
        <v>0.87315519811772435</v>
      </c>
      <c r="D549" s="6"/>
      <c r="F549" s="7"/>
    </row>
    <row r="550" spans="1:6" ht="23">
      <c r="A550" s="5" t="s">
        <v>3925</v>
      </c>
      <c r="B550" s="6">
        <v>6.5333333333333341</v>
      </c>
      <c r="C550" s="6">
        <v>0.6944222218666487</v>
      </c>
      <c r="D550" s="6"/>
      <c r="F550" s="7"/>
    </row>
    <row r="551" spans="1:6" ht="23">
      <c r="A551" s="5" t="s">
        <v>170</v>
      </c>
      <c r="B551" s="6">
        <v>7.7666666666666666</v>
      </c>
      <c r="C551" s="6">
        <v>0.41899350299922322</v>
      </c>
      <c r="D551" s="6"/>
      <c r="F551" s="7"/>
    </row>
    <row r="552" spans="1:6" ht="23">
      <c r="A552" s="5" t="s">
        <v>4155</v>
      </c>
      <c r="B552" s="6">
        <v>6.4</v>
      </c>
      <c r="C552" s="6">
        <v>0</v>
      </c>
      <c r="D552" s="6"/>
      <c r="F552" s="7"/>
    </row>
    <row r="553" spans="1:6" ht="23">
      <c r="A553" s="5" t="s">
        <v>273</v>
      </c>
      <c r="B553" s="6">
        <v>6.2750000000000004</v>
      </c>
      <c r="C553" s="6">
        <v>0.8496322733983156</v>
      </c>
      <c r="D553" s="6"/>
      <c r="F553" s="7"/>
    </row>
    <row r="554" spans="1:6" ht="23">
      <c r="A554" s="5" t="s">
        <v>4317</v>
      </c>
      <c r="B554" s="6">
        <v>6.6</v>
      </c>
      <c r="C554" s="6">
        <v>0</v>
      </c>
      <c r="D554" s="6"/>
      <c r="F554" s="7"/>
    </row>
    <row r="555" spans="1:6" ht="23">
      <c r="A555" s="5" t="s">
        <v>5079</v>
      </c>
      <c r="B555" s="6">
        <v>4.5999999999999996</v>
      </c>
      <c r="C555" s="6">
        <v>0</v>
      </c>
      <c r="D555" s="6"/>
      <c r="F555" s="7"/>
    </row>
    <row r="556" spans="1:6" ht="23">
      <c r="A556" s="5" t="s">
        <v>7079</v>
      </c>
      <c r="B556" s="6">
        <v>5.3</v>
      </c>
      <c r="C556" s="6">
        <v>0</v>
      </c>
      <c r="D556" s="6"/>
      <c r="F556" s="7"/>
    </row>
    <row r="557" spans="1:6" ht="23">
      <c r="A557" s="5" t="s">
        <v>6033</v>
      </c>
      <c r="B557" s="6">
        <v>7.2</v>
      </c>
      <c r="C557" s="6">
        <v>0</v>
      </c>
      <c r="D557" s="6"/>
      <c r="F557" s="7"/>
    </row>
    <row r="558" spans="1:6" ht="23">
      <c r="A558" s="5" t="s">
        <v>1533</v>
      </c>
      <c r="B558" s="6">
        <v>7.8</v>
      </c>
      <c r="C558" s="6">
        <v>0</v>
      </c>
      <c r="D558" s="6"/>
      <c r="F558" s="7"/>
    </row>
    <row r="559" spans="1:6" ht="23">
      <c r="A559" s="5" t="s">
        <v>1048</v>
      </c>
      <c r="B559" s="6">
        <v>5.9</v>
      </c>
      <c r="C559" s="6">
        <v>0</v>
      </c>
      <c r="D559" s="6"/>
      <c r="F559" s="7"/>
    </row>
    <row r="560" spans="1:6" ht="23">
      <c r="A560" s="5" t="s">
        <v>7077</v>
      </c>
      <c r="B560" s="6">
        <v>7</v>
      </c>
      <c r="C560" s="6">
        <v>0</v>
      </c>
      <c r="D560" s="6"/>
      <c r="F560" s="7"/>
    </row>
    <row r="561" spans="1:6" ht="23">
      <c r="A561" s="5" t="s">
        <v>1574</v>
      </c>
      <c r="B561" s="6">
        <v>7.9666666666666659</v>
      </c>
      <c r="C561" s="6">
        <v>0.26246692913375208</v>
      </c>
      <c r="D561" s="6"/>
      <c r="F561" s="7"/>
    </row>
    <row r="562" spans="1:6" ht="23">
      <c r="A562" s="5" t="s">
        <v>1864</v>
      </c>
      <c r="B562" s="6">
        <v>5.4</v>
      </c>
      <c r="C562" s="6">
        <v>0.46368092477478118</v>
      </c>
      <c r="D562" s="6"/>
      <c r="F562" s="7"/>
    </row>
    <row r="563" spans="1:6" ht="23">
      <c r="A563" s="5" t="s">
        <v>584</v>
      </c>
      <c r="B563" s="6">
        <v>5.7333333333333325</v>
      </c>
      <c r="C563" s="6">
        <v>0.9556847457887665</v>
      </c>
      <c r="D563" s="6"/>
      <c r="F563" s="7"/>
    </row>
    <row r="564" spans="1:6" ht="23">
      <c r="A564" s="5" t="s">
        <v>4867</v>
      </c>
      <c r="B564" s="6">
        <v>7.6</v>
      </c>
      <c r="C564" s="6">
        <v>0</v>
      </c>
      <c r="D564" s="6"/>
      <c r="F564" s="7"/>
    </row>
    <row r="565" spans="1:6" ht="23">
      <c r="A565" s="5" t="s">
        <v>5341</v>
      </c>
      <c r="B565" s="6">
        <v>7.2</v>
      </c>
      <c r="C565" s="6">
        <v>0</v>
      </c>
      <c r="D565" s="6"/>
      <c r="F565" s="7"/>
    </row>
    <row r="566" spans="1:6" ht="23">
      <c r="A566" s="5" t="s">
        <v>3691</v>
      </c>
      <c r="B566" s="6">
        <v>6.6</v>
      </c>
      <c r="C566" s="6">
        <v>0</v>
      </c>
      <c r="D566" s="6"/>
      <c r="F566" s="7"/>
    </row>
    <row r="567" spans="1:6" ht="23">
      <c r="A567" s="5" t="s">
        <v>5293</v>
      </c>
      <c r="B567" s="6">
        <v>7.7</v>
      </c>
      <c r="C567" s="6">
        <v>0</v>
      </c>
      <c r="D567" s="6"/>
      <c r="F567" s="7"/>
    </row>
    <row r="568" spans="1:6" ht="23">
      <c r="A568" s="5" t="s">
        <v>3697</v>
      </c>
      <c r="B568" s="6">
        <v>7.4499999999999993</v>
      </c>
      <c r="C568" s="6">
        <v>0.15000000000002653</v>
      </c>
      <c r="D568" s="6"/>
      <c r="F568" s="7"/>
    </row>
    <row r="569" spans="1:6" ht="23">
      <c r="A569" s="5" t="s">
        <v>5804</v>
      </c>
      <c r="B569" s="6">
        <v>4.0999999999999996</v>
      </c>
      <c r="C569" s="6">
        <v>0</v>
      </c>
      <c r="D569" s="6"/>
      <c r="F569" s="7"/>
    </row>
    <row r="570" spans="1:6" ht="23">
      <c r="A570" s="5" t="s">
        <v>3736</v>
      </c>
      <c r="B570" s="6">
        <v>7.35</v>
      </c>
      <c r="C570" s="6">
        <v>5.0000000000119373E-2</v>
      </c>
      <c r="D570" s="6"/>
      <c r="F570" s="7"/>
    </row>
    <row r="571" spans="1:6" ht="23">
      <c r="A571" s="5" t="s">
        <v>6139</v>
      </c>
      <c r="B571" s="6">
        <v>4.5</v>
      </c>
      <c r="C571" s="6">
        <v>0</v>
      </c>
      <c r="D571" s="6"/>
      <c r="F571" s="7"/>
    </row>
    <row r="572" spans="1:6" ht="23">
      <c r="A572" s="5" t="s">
        <v>4491</v>
      </c>
      <c r="B572" s="6">
        <v>6.5</v>
      </c>
      <c r="C572" s="6">
        <v>0</v>
      </c>
      <c r="D572" s="6"/>
      <c r="F572" s="7"/>
    </row>
    <row r="573" spans="1:6" ht="23">
      <c r="A573" s="5" t="s">
        <v>6355</v>
      </c>
      <c r="B573" s="6">
        <v>3.7</v>
      </c>
      <c r="C573" s="6">
        <v>0</v>
      </c>
      <c r="D573" s="6"/>
      <c r="F573" s="7"/>
    </row>
    <row r="574" spans="1:6" ht="23">
      <c r="A574" s="5" t="s">
        <v>792</v>
      </c>
      <c r="B574" s="6">
        <v>4.0999999999999996</v>
      </c>
      <c r="C574" s="6">
        <v>0</v>
      </c>
      <c r="D574" s="6"/>
      <c r="F574" s="7"/>
    </row>
    <row r="575" spans="1:6" ht="23">
      <c r="A575" s="5" t="s">
        <v>4272</v>
      </c>
      <c r="B575" s="6">
        <v>5.3</v>
      </c>
      <c r="C575" s="6">
        <v>0</v>
      </c>
      <c r="D575" s="6"/>
      <c r="F575" s="7"/>
    </row>
    <row r="576" spans="1:6" ht="23">
      <c r="A576" s="5" t="s">
        <v>2735</v>
      </c>
      <c r="B576" s="6">
        <v>7.5</v>
      </c>
      <c r="C576" s="6">
        <v>0</v>
      </c>
      <c r="D576" s="6"/>
      <c r="F576" s="7"/>
    </row>
    <row r="577" spans="1:6" ht="23">
      <c r="A577" s="5" t="s">
        <v>3570</v>
      </c>
      <c r="B577" s="6">
        <v>4.9000000000000004</v>
      </c>
      <c r="C577" s="6">
        <v>0</v>
      </c>
      <c r="D577" s="6"/>
      <c r="F577" s="7"/>
    </row>
    <row r="578" spans="1:6" ht="23">
      <c r="A578" s="5" t="s">
        <v>1813</v>
      </c>
      <c r="B578" s="6">
        <v>4.7</v>
      </c>
      <c r="C578" s="6">
        <v>0</v>
      </c>
      <c r="D578" s="6"/>
      <c r="F578" s="7"/>
    </row>
    <row r="579" spans="1:6" ht="23">
      <c r="A579" s="5" t="s">
        <v>4940</v>
      </c>
      <c r="B579" s="6">
        <v>6.3</v>
      </c>
      <c r="C579" s="6">
        <v>0</v>
      </c>
      <c r="D579" s="6"/>
      <c r="F579" s="7"/>
    </row>
    <row r="580" spans="1:6" ht="23">
      <c r="A580" s="5" t="s">
        <v>5897</v>
      </c>
      <c r="B580" s="6">
        <v>5.0999999999999996</v>
      </c>
      <c r="C580" s="6">
        <v>0</v>
      </c>
      <c r="D580" s="6"/>
      <c r="F580" s="7"/>
    </row>
    <row r="581" spans="1:6" ht="23">
      <c r="A581" s="5" t="s">
        <v>3843</v>
      </c>
      <c r="B581" s="6">
        <v>5.0999999999999996</v>
      </c>
      <c r="C581" s="6">
        <v>0</v>
      </c>
      <c r="D581" s="6"/>
      <c r="F581" s="7"/>
    </row>
    <row r="582" spans="1:6" ht="23">
      <c r="A582" s="5" t="s">
        <v>5503</v>
      </c>
      <c r="B582" s="6">
        <v>4.3</v>
      </c>
      <c r="C582" s="6">
        <v>0.29999999999999977</v>
      </c>
      <c r="D582" s="6"/>
      <c r="F582" s="7"/>
    </row>
    <row r="583" spans="1:6" ht="23">
      <c r="A583" s="5" t="s">
        <v>5952</v>
      </c>
      <c r="B583" s="6">
        <v>3.1</v>
      </c>
      <c r="C583" s="6">
        <v>0</v>
      </c>
      <c r="D583" s="6"/>
      <c r="F583" s="7"/>
    </row>
    <row r="584" spans="1:6" ht="23">
      <c r="A584" s="5" t="s">
        <v>453</v>
      </c>
      <c r="B584" s="6">
        <v>6.166666666666667</v>
      </c>
      <c r="C584" s="6">
        <v>0.47140452079103168</v>
      </c>
      <c r="D584" s="6"/>
      <c r="F584" s="7"/>
    </row>
    <row r="585" spans="1:6" ht="23">
      <c r="A585" s="5" t="s">
        <v>5063</v>
      </c>
      <c r="B585" s="6">
        <v>5.2</v>
      </c>
      <c r="C585" s="6">
        <v>0</v>
      </c>
      <c r="D585" s="6"/>
      <c r="F585" s="7"/>
    </row>
    <row r="586" spans="1:6" ht="23">
      <c r="A586" s="5" t="s">
        <v>843</v>
      </c>
      <c r="B586" s="6">
        <v>7</v>
      </c>
      <c r="C586" s="6">
        <v>0.29439202887758975</v>
      </c>
      <c r="D586" s="6"/>
      <c r="F586" s="7"/>
    </row>
    <row r="587" spans="1:6" ht="23">
      <c r="A587" s="5" t="s">
        <v>5279</v>
      </c>
      <c r="B587" s="6">
        <v>6.6333333333333329</v>
      </c>
      <c r="C587" s="6">
        <v>0.41899350299923077</v>
      </c>
      <c r="D587" s="6"/>
      <c r="F587" s="7"/>
    </row>
    <row r="588" spans="1:6" ht="23">
      <c r="A588" s="5" t="s">
        <v>164</v>
      </c>
      <c r="B588" s="6">
        <v>7.9</v>
      </c>
      <c r="C588" s="6">
        <v>0</v>
      </c>
      <c r="D588" s="6"/>
      <c r="F588" s="7"/>
    </row>
    <row r="589" spans="1:6" ht="23">
      <c r="A589" s="5" t="s">
        <v>4898</v>
      </c>
      <c r="B589" s="6">
        <v>7.5</v>
      </c>
      <c r="C589" s="6">
        <v>0</v>
      </c>
      <c r="D589" s="6"/>
      <c r="F589" s="7"/>
    </row>
    <row r="590" spans="1:6" ht="23">
      <c r="A590" s="5" t="s">
        <v>2479</v>
      </c>
      <c r="B590" s="6">
        <v>4.9000000000000004</v>
      </c>
      <c r="C590" s="6">
        <v>0</v>
      </c>
      <c r="D590" s="6"/>
      <c r="F590" s="7"/>
    </row>
    <row r="591" spans="1:6" ht="23">
      <c r="A591" s="5" t="s">
        <v>2750</v>
      </c>
      <c r="B591" s="6">
        <v>3.3</v>
      </c>
      <c r="C591" s="6">
        <v>1.2999999999999998</v>
      </c>
      <c r="D591" s="6"/>
      <c r="F591" s="7"/>
    </row>
    <row r="592" spans="1:6" ht="23">
      <c r="A592" s="5" t="s">
        <v>2226</v>
      </c>
      <c r="B592" s="6">
        <v>5.9</v>
      </c>
      <c r="C592" s="6">
        <v>0</v>
      </c>
      <c r="D592" s="6"/>
      <c r="F592" s="7"/>
    </row>
    <row r="593" spans="1:6" ht="23">
      <c r="A593" s="5" t="s">
        <v>4730</v>
      </c>
      <c r="B593" s="6">
        <v>7.6</v>
      </c>
      <c r="C593" s="6">
        <v>0</v>
      </c>
      <c r="D593" s="6"/>
      <c r="F593" s="7"/>
    </row>
    <row r="594" spans="1:6" ht="23">
      <c r="A594" s="5" t="s">
        <v>5902</v>
      </c>
      <c r="B594" s="6">
        <v>6.3</v>
      </c>
      <c r="C594" s="6">
        <v>0</v>
      </c>
      <c r="D594" s="6"/>
      <c r="F594" s="7"/>
    </row>
    <row r="595" spans="1:6" ht="23">
      <c r="A595" s="5" t="s">
        <v>1147</v>
      </c>
      <c r="B595" s="6">
        <v>5.6625000000000005</v>
      </c>
      <c r="C595" s="6">
        <v>0.5383713866839468</v>
      </c>
      <c r="D595" s="6"/>
      <c r="F595" s="7"/>
    </row>
    <row r="596" spans="1:6" ht="23">
      <c r="A596" s="5" t="s">
        <v>4749</v>
      </c>
      <c r="B596" s="6">
        <v>7.5</v>
      </c>
      <c r="C596" s="6">
        <v>0</v>
      </c>
      <c r="D596" s="6"/>
      <c r="F596" s="7"/>
    </row>
    <row r="597" spans="1:6" ht="23">
      <c r="A597" s="5" t="s">
        <v>6889</v>
      </c>
      <c r="B597" s="6">
        <v>7.5</v>
      </c>
      <c r="C597" s="6">
        <v>0</v>
      </c>
      <c r="D597" s="6"/>
      <c r="F597" s="7"/>
    </row>
    <row r="598" spans="1:6" ht="23">
      <c r="A598" s="5" t="s">
        <v>969</v>
      </c>
      <c r="B598" s="6">
        <v>5.4</v>
      </c>
      <c r="C598" s="6">
        <v>0</v>
      </c>
      <c r="D598" s="6"/>
      <c r="F598" s="7"/>
    </row>
    <row r="599" spans="1:6" ht="23">
      <c r="A599" s="5" t="s">
        <v>140</v>
      </c>
      <c r="B599" s="6">
        <v>7.1285714285714272</v>
      </c>
      <c r="C599" s="6">
        <v>0.63855704681792214</v>
      </c>
      <c r="D599" s="6"/>
      <c r="F599" s="7"/>
    </row>
    <row r="600" spans="1:6" ht="23">
      <c r="A600" s="5" t="s">
        <v>3752</v>
      </c>
      <c r="B600" s="6">
        <v>4.5999999999999996</v>
      </c>
      <c r="C600" s="6">
        <v>0</v>
      </c>
      <c r="D600" s="6"/>
      <c r="F600" s="7"/>
    </row>
    <row r="601" spans="1:6" ht="23">
      <c r="A601" s="5" t="s">
        <v>6352</v>
      </c>
      <c r="B601" s="6">
        <v>5.5</v>
      </c>
      <c r="C601" s="6">
        <v>0</v>
      </c>
      <c r="D601" s="6"/>
      <c r="F601" s="7"/>
    </row>
    <row r="602" spans="1:6" ht="23">
      <c r="A602" s="5" t="s">
        <v>2872</v>
      </c>
      <c r="B602" s="6">
        <v>6.3999999999999995</v>
      </c>
      <c r="C602" s="6">
        <v>1.061445555206046</v>
      </c>
      <c r="D602" s="6"/>
      <c r="F602" s="7"/>
    </row>
    <row r="603" spans="1:6" ht="23">
      <c r="A603" s="5" t="s">
        <v>6432</v>
      </c>
      <c r="B603" s="6">
        <v>6.7</v>
      </c>
      <c r="C603" s="6">
        <v>0</v>
      </c>
      <c r="D603" s="6"/>
      <c r="F603" s="7"/>
    </row>
    <row r="604" spans="1:6" ht="23">
      <c r="A604" s="5" t="s">
        <v>6961</v>
      </c>
      <c r="B604" s="6">
        <v>6.7</v>
      </c>
      <c r="C604" s="6">
        <v>0</v>
      </c>
      <c r="D604" s="6"/>
      <c r="F604" s="7"/>
    </row>
    <row r="605" spans="1:6" ht="23">
      <c r="A605" s="5" t="s">
        <v>3758</v>
      </c>
      <c r="B605" s="6">
        <v>6.9</v>
      </c>
      <c r="C605" s="6">
        <v>0</v>
      </c>
      <c r="D605" s="6"/>
      <c r="F605" s="7"/>
    </row>
    <row r="606" spans="1:6" ht="23">
      <c r="A606" s="5" t="s">
        <v>2338</v>
      </c>
      <c r="B606" s="6">
        <v>7</v>
      </c>
      <c r="C606" s="6">
        <v>0</v>
      </c>
      <c r="D606" s="6"/>
      <c r="F606" s="7"/>
    </row>
    <row r="607" spans="1:6" ht="23">
      <c r="A607" s="5" t="s">
        <v>6251</v>
      </c>
      <c r="B607" s="6">
        <v>7.6</v>
      </c>
      <c r="C607" s="6">
        <v>0</v>
      </c>
      <c r="D607" s="6"/>
      <c r="F607" s="7"/>
    </row>
    <row r="608" spans="1:6" ht="23">
      <c r="A608" s="5" t="s">
        <v>5486</v>
      </c>
      <c r="B608" s="6">
        <v>4.3</v>
      </c>
      <c r="C608" s="6">
        <v>0</v>
      </c>
      <c r="D608" s="6"/>
      <c r="F608" s="7"/>
    </row>
    <row r="609" spans="1:6" ht="23">
      <c r="A609" s="5" t="s">
        <v>4774</v>
      </c>
      <c r="B609" s="6">
        <v>7.3</v>
      </c>
      <c r="C609" s="6">
        <v>0</v>
      </c>
      <c r="D609" s="6"/>
      <c r="F609" s="7"/>
    </row>
    <row r="610" spans="1:6" ht="23">
      <c r="A610" s="5" t="s">
        <v>197</v>
      </c>
      <c r="B610" s="6">
        <v>7.5666666666666673</v>
      </c>
      <c r="C610" s="6">
        <v>0.24944382578489196</v>
      </c>
      <c r="D610" s="6"/>
      <c r="F610" s="7"/>
    </row>
    <row r="611" spans="1:6" ht="23">
      <c r="A611" s="5" t="s">
        <v>6453</v>
      </c>
      <c r="B611" s="6">
        <v>7.4</v>
      </c>
      <c r="C611" s="6">
        <v>0</v>
      </c>
      <c r="D611" s="6"/>
      <c r="F611" s="7"/>
    </row>
    <row r="612" spans="1:6" ht="23">
      <c r="A612" s="5" t="s">
        <v>4263</v>
      </c>
      <c r="B612" s="6">
        <v>6.8</v>
      </c>
      <c r="C612" s="6">
        <v>0</v>
      </c>
      <c r="D612" s="6"/>
      <c r="F612" s="7"/>
    </row>
    <row r="613" spans="1:6" ht="23">
      <c r="A613" s="5" t="s">
        <v>2710</v>
      </c>
      <c r="B613" s="6">
        <v>5.25</v>
      </c>
      <c r="C613" s="6">
        <v>0.64999999999999958</v>
      </c>
      <c r="D613" s="6"/>
      <c r="F613" s="7"/>
    </row>
    <row r="614" spans="1:6" ht="23">
      <c r="A614" s="5" t="s">
        <v>6405</v>
      </c>
      <c r="B614" s="6">
        <v>4.2</v>
      </c>
      <c r="C614" s="6">
        <v>0</v>
      </c>
      <c r="D614" s="6"/>
      <c r="F614" s="7"/>
    </row>
    <row r="615" spans="1:6" ht="23">
      <c r="A615" s="5" t="s">
        <v>2574</v>
      </c>
      <c r="B615" s="6">
        <v>6.4</v>
      </c>
      <c r="C615" s="6">
        <v>0.5</v>
      </c>
      <c r="D615" s="6"/>
      <c r="F615" s="7"/>
    </row>
    <row r="616" spans="1:6" ht="23">
      <c r="A616" s="5" t="s">
        <v>7113</v>
      </c>
      <c r="B616" s="6">
        <v>6.8</v>
      </c>
      <c r="C616" s="6">
        <v>0</v>
      </c>
      <c r="D616" s="6"/>
      <c r="F616" s="7"/>
    </row>
    <row r="617" spans="1:6" ht="23">
      <c r="A617" s="5" t="s">
        <v>3973</v>
      </c>
      <c r="B617" s="6">
        <v>5.9</v>
      </c>
      <c r="C617" s="6">
        <v>0</v>
      </c>
      <c r="D617" s="6"/>
      <c r="F617" s="7"/>
    </row>
    <row r="618" spans="1:6" ht="23">
      <c r="A618" s="5" t="s">
        <v>5499</v>
      </c>
      <c r="B618" s="6">
        <v>4</v>
      </c>
      <c r="C618" s="6">
        <v>0</v>
      </c>
      <c r="D618" s="6"/>
      <c r="F618" s="7"/>
    </row>
    <row r="619" spans="1:6" ht="23">
      <c r="A619" s="5" t="s">
        <v>3132</v>
      </c>
      <c r="B619" s="6">
        <v>6.9</v>
      </c>
      <c r="C619" s="6">
        <v>9.9999999999954528E-2</v>
      </c>
      <c r="D619" s="6"/>
      <c r="F619" s="7"/>
    </row>
    <row r="620" spans="1:6" ht="23">
      <c r="A620" s="5" t="s">
        <v>6921</v>
      </c>
      <c r="B620" s="6">
        <v>6.6</v>
      </c>
      <c r="C620" s="6">
        <v>0</v>
      </c>
      <c r="D620" s="6"/>
      <c r="F620" s="7"/>
    </row>
    <row r="621" spans="1:6" ht="23">
      <c r="A621" s="5" t="s">
        <v>658</v>
      </c>
      <c r="B621" s="6">
        <v>7.6</v>
      </c>
      <c r="C621" s="6">
        <v>0.39370039370059201</v>
      </c>
      <c r="D621" s="6"/>
      <c r="F621" s="7"/>
    </row>
    <row r="622" spans="1:6" ht="23">
      <c r="A622" s="5" t="s">
        <v>5577</v>
      </c>
      <c r="B622" s="6">
        <v>6.4249999999999989</v>
      </c>
      <c r="C622" s="6">
        <v>0.20463381929683971</v>
      </c>
      <c r="D622" s="6"/>
      <c r="F622" s="7"/>
    </row>
    <row r="623" spans="1:6" ht="23">
      <c r="A623" s="5" t="s">
        <v>6312</v>
      </c>
      <c r="B623" s="6">
        <v>5.5</v>
      </c>
      <c r="C623" s="6">
        <v>0</v>
      </c>
      <c r="D623" s="6"/>
      <c r="F623" s="7"/>
    </row>
    <row r="624" spans="1:6" ht="23">
      <c r="A624" s="5" t="s">
        <v>4797</v>
      </c>
      <c r="B624" s="6">
        <v>7.2</v>
      </c>
      <c r="C624" s="6">
        <v>0</v>
      </c>
      <c r="D624" s="6"/>
      <c r="F624" s="7"/>
    </row>
    <row r="625" spans="1:6" ht="23">
      <c r="A625" s="5" t="s">
        <v>2468</v>
      </c>
      <c r="B625" s="6">
        <v>6.4</v>
      </c>
      <c r="C625" s="6">
        <v>0</v>
      </c>
      <c r="D625" s="6"/>
      <c r="F625" s="7"/>
    </row>
    <row r="626" spans="1:6" ht="23">
      <c r="A626" s="5" t="s">
        <v>275</v>
      </c>
      <c r="B626" s="6">
        <v>7.2428571428571429</v>
      </c>
      <c r="C626" s="6">
        <v>0.64110873349476583</v>
      </c>
      <c r="D626" s="6"/>
      <c r="F626" s="7"/>
    </row>
    <row r="627" spans="1:6" ht="23">
      <c r="A627" s="5" t="s">
        <v>6511</v>
      </c>
      <c r="B627" s="6">
        <v>6.1</v>
      </c>
      <c r="C627" s="6">
        <v>0</v>
      </c>
      <c r="D627" s="6"/>
      <c r="F627" s="7"/>
    </row>
    <row r="628" spans="1:6" ht="23">
      <c r="A628" s="5" t="s">
        <v>4677</v>
      </c>
      <c r="B628" s="6">
        <v>5.7</v>
      </c>
      <c r="C628" s="6">
        <v>0</v>
      </c>
      <c r="D628" s="6"/>
      <c r="F628" s="7"/>
    </row>
    <row r="629" spans="1:6" ht="23">
      <c r="A629" s="5" t="s">
        <v>1858</v>
      </c>
      <c r="B629" s="6">
        <v>4.2</v>
      </c>
      <c r="C629" s="6">
        <v>0</v>
      </c>
      <c r="D629" s="6"/>
      <c r="F629" s="7"/>
    </row>
    <row r="630" spans="1:6" ht="23">
      <c r="A630" s="5" t="s">
        <v>5671</v>
      </c>
      <c r="B630" s="6">
        <v>6.1</v>
      </c>
      <c r="C630" s="6">
        <v>0</v>
      </c>
      <c r="D630" s="6"/>
      <c r="F630" s="7"/>
    </row>
    <row r="631" spans="1:6" ht="23">
      <c r="A631" s="5" t="s">
        <v>5343</v>
      </c>
      <c r="B631" s="6">
        <v>7.6</v>
      </c>
      <c r="C631" s="6">
        <v>0</v>
      </c>
      <c r="D631" s="6"/>
      <c r="F631" s="7"/>
    </row>
    <row r="632" spans="1:6" ht="23">
      <c r="A632" s="5" t="s">
        <v>4839</v>
      </c>
      <c r="B632" s="6">
        <v>5.5666666666666673</v>
      </c>
      <c r="C632" s="6">
        <v>0.23570226039550243</v>
      </c>
      <c r="D632" s="6"/>
      <c r="F632" s="7"/>
    </row>
    <row r="633" spans="1:6" ht="23">
      <c r="A633" s="5" t="s">
        <v>6031</v>
      </c>
      <c r="B633" s="6">
        <v>7.8666666666666671</v>
      </c>
      <c r="C633" s="6">
        <v>0.33993463423951303</v>
      </c>
      <c r="D633" s="6"/>
      <c r="F633" s="7"/>
    </row>
    <row r="634" spans="1:6" ht="23">
      <c r="A634" s="5" t="s">
        <v>3717</v>
      </c>
      <c r="B634" s="6">
        <v>6</v>
      </c>
      <c r="C634" s="6">
        <v>0.7000000000000014</v>
      </c>
      <c r="D634" s="6"/>
      <c r="F634" s="7"/>
    </row>
    <row r="635" spans="1:6" ht="23">
      <c r="A635" s="5" t="s">
        <v>2465</v>
      </c>
      <c r="B635" s="6">
        <v>5.4</v>
      </c>
      <c r="C635" s="6">
        <v>1.0999999999999972</v>
      </c>
      <c r="D635" s="6"/>
      <c r="F635" s="7"/>
    </row>
    <row r="636" spans="1:6" ht="23">
      <c r="A636" s="5" t="s">
        <v>2391</v>
      </c>
      <c r="B636" s="6">
        <v>5.4</v>
      </c>
      <c r="C636" s="6">
        <v>0</v>
      </c>
      <c r="D636" s="6"/>
      <c r="F636" s="7"/>
    </row>
    <row r="637" spans="1:6" ht="23">
      <c r="A637" s="5" t="s">
        <v>3325</v>
      </c>
      <c r="B637" s="6">
        <v>5.7</v>
      </c>
      <c r="C637" s="6">
        <v>0</v>
      </c>
      <c r="D637" s="6"/>
      <c r="F637" s="7"/>
    </row>
    <row r="638" spans="1:6" ht="23">
      <c r="A638" s="5" t="s">
        <v>5167</v>
      </c>
      <c r="B638" s="6">
        <v>6.7</v>
      </c>
      <c r="C638" s="6">
        <v>0</v>
      </c>
      <c r="D638" s="6"/>
      <c r="F638" s="7"/>
    </row>
    <row r="639" spans="1:6" ht="23">
      <c r="A639" s="5" t="s">
        <v>3916</v>
      </c>
      <c r="B639" s="6">
        <v>7</v>
      </c>
      <c r="C639" s="6">
        <v>0</v>
      </c>
      <c r="D639" s="6"/>
      <c r="F639" s="7"/>
    </row>
    <row r="640" spans="1:6" ht="23">
      <c r="A640" s="5" t="s">
        <v>6685</v>
      </c>
      <c r="B640" s="6">
        <v>4</v>
      </c>
      <c r="C640" s="6">
        <v>0</v>
      </c>
      <c r="D640" s="6"/>
      <c r="F640" s="7"/>
    </row>
    <row r="641" spans="1:6" ht="23">
      <c r="A641" s="5" t="s">
        <v>4663</v>
      </c>
      <c r="B641" s="6">
        <v>6.5</v>
      </c>
      <c r="C641" s="6">
        <v>0</v>
      </c>
      <c r="D641" s="6"/>
      <c r="F641" s="7"/>
    </row>
    <row r="642" spans="1:6" ht="23">
      <c r="A642" s="5" t="s">
        <v>6956</v>
      </c>
      <c r="B642" s="6">
        <v>6.4</v>
      </c>
      <c r="C642" s="6">
        <v>0</v>
      </c>
      <c r="D642" s="6"/>
      <c r="F642" s="7"/>
    </row>
    <row r="643" spans="1:6" ht="23">
      <c r="A643" s="5" t="s">
        <v>5787</v>
      </c>
      <c r="B643" s="6">
        <v>5</v>
      </c>
      <c r="C643" s="6">
        <v>0</v>
      </c>
      <c r="D643" s="6"/>
      <c r="F643" s="7"/>
    </row>
    <row r="644" spans="1:6" ht="23">
      <c r="A644" s="5" t="s">
        <v>4483</v>
      </c>
      <c r="B644" s="6">
        <v>5.7</v>
      </c>
      <c r="C644" s="6">
        <v>0</v>
      </c>
      <c r="D644" s="6"/>
      <c r="F644" s="7"/>
    </row>
    <row r="645" spans="1:6" ht="23">
      <c r="A645" s="5" t="s">
        <v>3978</v>
      </c>
      <c r="B645" s="6">
        <v>7.7</v>
      </c>
      <c r="C645" s="6">
        <v>0</v>
      </c>
      <c r="D645" s="6"/>
      <c r="F645" s="7"/>
    </row>
    <row r="646" spans="1:6" ht="23">
      <c r="A646" s="5" t="s">
        <v>724</v>
      </c>
      <c r="B646" s="6">
        <v>5.1999999999999993</v>
      </c>
      <c r="C646" s="6">
        <v>0.60000000000000542</v>
      </c>
      <c r="D646" s="6"/>
      <c r="F646" s="7"/>
    </row>
    <row r="647" spans="1:6" ht="23">
      <c r="A647" s="5" t="s">
        <v>4453</v>
      </c>
      <c r="B647" s="6">
        <v>4.8</v>
      </c>
      <c r="C647" s="6">
        <v>0.7000000000000014</v>
      </c>
      <c r="D647" s="6"/>
      <c r="F647" s="7"/>
    </row>
    <row r="648" spans="1:6" ht="23">
      <c r="A648" s="5" t="s">
        <v>7073</v>
      </c>
      <c r="B648" s="6">
        <v>7.1</v>
      </c>
      <c r="C648" s="6">
        <v>0</v>
      </c>
      <c r="D648" s="6"/>
      <c r="F648" s="7"/>
    </row>
    <row r="649" spans="1:6" ht="23">
      <c r="A649" s="5" t="s">
        <v>214</v>
      </c>
      <c r="B649" s="6">
        <v>6.7600000000000007</v>
      </c>
      <c r="C649" s="6">
        <v>0.11999999999994543</v>
      </c>
      <c r="D649" s="6"/>
      <c r="F649" s="7"/>
    </row>
    <row r="650" spans="1:6" ht="23">
      <c r="A650" s="5" t="s">
        <v>7194</v>
      </c>
      <c r="B650" s="6">
        <v>7</v>
      </c>
      <c r="C650" s="6">
        <v>0</v>
      </c>
      <c r="D650" s="6"/>
      <c r="F650" s="7"/>
    </row>
    <row r="651" spans="1:6" ht="23">
      <c r="A651" s="5" t="s">
        <v>6848</v>
      </c>
      <c r="B651" s="6">
        <v>4.0999999999999996</v>
      </c>
      <c r="C651" s="6">
        <v>0</v>
      </c>
      <c r="D651" s="6"/>
      <c r="F651" s="7"/>
    </row>
    <row r="652" spans="1:6" ht="23">
      <c r="A652" s="5" t="s">
        <v>4319</v>
      </c>
      <c r="B652" s="6">
        <v>7.4</v>
      </c>
      <c r="C652" s="6">
        <v>0</v>
      </c>
      <c r="D652" s="6"/>
      <c r="F652" s="7"/>
    </row>
    <row r="653" spans="1:6" ht="23">
      <c r="A653" s="5" t="s">
        <v>4649</v>
      </c>
      <c r="B653" s="6">
        <v>6.1</v>
      </c>
      <c r="C653" s="6">
        <v>0</v>
      </c>
      <c r="D653" s="6"/>
      <c r="F653" s="7"/>
    </row>
    <row r="654" spans="1:6" ht="23">
      <c r="A654" s="5" t="s">
        <v>332</v>
      </c>
      <c r="B654" s="6">
        <v>6.5</v>
      </c>
      <c r="C654" s="6">
        <v>0</v>
      </c>
      <c r="D654" s="6"/>
      <c r="F654" s="7"/>
    </row>
    <row r="655" spans="1:6" ht="23">
      <c r="A655" s="5" t="s">
        <v>6911</v>
      </c>
      <c r="B655" s="6">
        <v>5.2</v>
      </c>
      <c r="C655" s="6">
        <v>0</v>
      </c>
      <c r="D655" s="6"/>
      <c r="F655" s="7"/>
    </row>
    <row r="656" spans="1:6" ht="23">
      <c r="A656" s="5" t="s">
        <v>6542</v>
      </c>
      <c r="B656" s="6">
        <v>6.1</v>
      </c>
      <c r="C656" s="6">
        <v>0</v>
      </c>
      <c r="D656" s="6"/>
      <c r="F656" s="7"/>
    </row>
    <row r="657" spans="1:6" ht="23">
      <c r="A657" s="5" t="s">
        <v>6771</v>
      </c>
      <c r="B657" s="6">
        <v>6</v>
      </c>
      <c r="C657" s="6">
        <v>0</v>
      </c>
      <c r="D657" s="6"/>
      <c r="F657" s="7"/>
    </row>
    <row r="658" spans="1:6" ht="23">
      <c r="A658" s="5" t="s">
        <v>5690</v>
      </c>
      <c r="B658" s="6">
        <v>6.4</v>
      </c>
      <c r="C658" s="6">
        <v>0</v>
      </c>
      <c r="D658" s="6"/>
      <c r="F658" s="7"/>
    </row>
    <row r="659" spans="1:6" ht="23">
      <c r="A659" s="5" t="s">
        <v>5910</v>
      </c>
      <c r="B659" s="6">
        <v>6.6</v>
      </c>
      <c r="C659" s="6">
        <v>0</v>
      </c>
      <c r="D659" s="6"/>
      <c r="F659" s="7"/>
    </row>
    <row r="660" spans="1:6" ht="23">
      <c r="A660" s="5" t="s">
        <v>3104</v>
      </c>
      <c r="B660" s="6">
        <v>3.9</v>
      </c>
      <c r="C660" s="6">
        <v>0</v>
      </c>
      <c r="D660" s="6"/>
      <c r="F660" s="7"/>
    </row>
    <row r="661" spans="1:6" ht="23">
      <c r="A661" s="5" t="s">
        <v>506</v>
      </c>
      <c r="B661" s="6">
        <v>5.3</v>
      </c>
      <c r="C661" s="6">
        <v>0</v>
      </c>
      <c r="D661" s="6"/>
      <c r="F661" s="7"/>
    </row>
    <row r="662" spans="1:6" ht="23">
      <c r="A662" s="5" t="s">
        <v>4757</v>
      </c>
      <c r="B662" s="6">
        <v>7</v>
      </c>
      <c r="C662" s="6">
        <v>0</v>
      </c>
      <c r="D662" s="6"/>
      <c r="F662" s="7"/>
    </row>
    <row r="663" spans="1:6" ht="23">
      <c r="A663" s="5" t="s">
        <v>3489</v>
      </c>
      <c r="B663" s="6">
        <v>4.9000000000000004</v>
      </c>
      <c r="C663" s="6">
        <v>0</v>
      </c>
      <c r="D663" s="6"/>
      <c r="F663" s="7"/>
    </row>
    <row r="664" spans="1:6" ht="23">
      <c r="A664" s="5" t="s">
        <v>4136</v>
      </c>
      <c r="B664" s="6">
        <v>6.7</v>
      </c>
      <c r="C664" s="6">
        <v>0</v>
      </c>
      <c r="D664" s="6"/>
      <c r="F664" s="7"/>
    </row>
    <row r="665" spans="1:6" ht="23">
      <c r="A665" s="5" t="s">
        <v>4875</v>
      </c>
      <c r="B665" s="6">
        <v>5.4499999999999993</v>
      </c>
      <c r="C665" s="6">
        <v>0.3500000000000083</v>
      </c>
      <c r="D665" s="6"/>
      <c r="F665" s="7"/>
    </row>
    <row r="666" spans="1:6" ht="23">
      <c r="A666" s="5" t="s">
        <v>5339</v>
      </c>
      <c r="B666" s="6">
        <v>7.5</v>
      </c>
      <c r="C666" s="6">
        <v>0</v>
      </c>
      <c r="D666" s="6"/>
      <c r="F666" s="7"/>
    </row>
    <row r="667" spans="1:6" ht="23">
      <c r="A667" s="5" t="s">
        <v>1742</v>
      </c>
      <c r="B667" s="6">
        <v>6</v>
      </c>
      <c r="C667" s="6">
        <v>0</v>
      </c>
      <c r="D667" s="6"/>
      <c r="F667" s="7"/>
    </row>
    <row r="668" spans="1:6" ht="23">
      <c r="A668" s="5" t="s">
        <v>1967</v>
      </c>
      <c r="B668" s="6">
        <v>7.1142857142857139</v>
      </c>
      <c r="C668" s="6">
        <v>0.62889602008730616</v>
      </c>
      <c r="D668" s="6"/>
      <c r="F668" s="7"/>
    </row>
    <row r="669" spans="1:6" ht="23">
      <c r="A669" s="5" t="s">
        <v>4070</v>
      </c>
      <c r="B669" s="6">
        <v>6.7</v>
      </c>
      <c r="C669" s="6">
        <v>0</v>
      </c>
      <c r="D669" s="6"/>
      <c r="F669" s="7"/>
    </row>
    <row r="670" spans="1:6" ht="23">
      <c r="A670" s="5" t="s">
        <v>6935</v>
      </c>
      <c r="B670" s="6">
        <v>4.3</v>
      </c>
      <c r="C670" s="6">
        <v>0</v>
      </c>
      <c r="D670" s="6"/>
      <c r="F670" s="7"/>
    </row>
    <row r="671" spans="1:6" ht="23">
      <c r="A671" s="5" t="s">
        <v>7008</v>
      </c>
      <c r="B671" s="6">
        <v>6.7</v>
      </c>
      <c r="C671" s="6">
        <v>0</v>
      </c>
      <c r="D671" s="6"/>
      <c r="F671" s="7"/>
    </row>
    <row r="672" spans="1:6" ht="23">
      <c r="A672" s="5" t="s">
        <v>5210</v>
      </c>
      <c r="B672" s="6">
        <v>7.6</v>
      </c>
      <c r="C672" s="6">
        <v>0</v>
      </c>
      <c r="D672" s="6"/>
      <c r="F672" s="7"/>
    </row>
    <row r="673" spans="1:6" ht="23">
      <c r="A673" s="5" t="s">
        <v>1703</v>
      </c>
      <c r="B673" s="6">
        <v>6.65</v>
      </c>
      <c r="C673" s="6">
        <v>4.999999999990621E-2</v>
      </c>
      <c r="D673" s="6"/>
      <c r="F673" s="7"/>
    </row>
    <row r="674" spans="1:6" ht="23">
      <c r="A674" s="5" t="s">
        <v>6225</v>
      </c>
      <c r="B674" s="6">
        <v>7.3</v>
      </c>
      <c r="C674" s="6">
        <v>0</v>
      </c>
      <c r="D674" s="6"/>
      <c r="F674" s="7"/>
    </row>
    <row r="675" spans="1:6" ht="23">
      <c r="A675" s="5" t="s">
        <v>823</v>
      </c>
      <c r="B675" s="6">
        <v>6.9374999999999991</v>
      </c>
      <c r="C675" s="6">
        <v>0.67627194973621452</v>
      </c>
      <c r="D675" s="6"/>
      <c r="F675" s="7"/>
    </row>
    <row r="676" spans="1:6" ht="23">
      <c r="A676" s="5" t="s">
        <v>6249</v>
      </c>
      <c r="B676" s="6">
        <v>7.9</v>
      </c>
      <c r="C676" s="6">
        <v>0</v>
      </c>
      <c r="D676" s="6"/>
      <c r="F676" s="7"/>
    </row>
    <row r="677" spans="1:6" ht="23">
      <c r="A677" s="5" t="s">
        <v>5384</v>
      </c>
      <c r="B677" s="6">
        <v>7.3</v>
      </c>
      <c r="C677" s="6">
        <v>0</v>
      </c>
      <c r="D677" s="6"/>
      <c r="F677" s="7"/>
    </row>
    <row r="678" spans="1:6" ht="23">
      <c r="A678" s="5" t="s">
        <v>3506</v>
      </c>
      <c r="B678" s="6">
        <v>6.5</v>
      </c>
      <c r="C678" s="6">
        <v>0</v>
      </c>
      <c r="D678" s="6"/>
      <c r="F678" s="7"/>
    </row>
    <row r="679" spans="1:6" ht="23">
      <c r="A679" s="5" t="s">
        <v>1983</v>
      </c>
      <c r="B679" s="6">
        <v>5.3</v>
      </c>
      <c r="C679" s="6">
        <v>0</v>
      </c>
      <c r="D679" s="6"/>
      <c r="F679" s="7"/>
    </row>
    <row r="680" spans="1:6" ht="23">
      <c r="A680" s="5" t="s">
        <v>5327</v>
      </c>
      <c r="B680" s="6">
        <v>6.55</v>
      </c>
      <c r="C680" s="6">
        <v>0.25</v>
      </c>
      <c r="D680" s="6"/>
      <c r="F680" s="7"/>
    </row>
    <row r="681" spans="1:6" ht="23">
      <c r="A681" s="5" t="s">
        <v>6817</v>
      </c>
      <c r="B681" s="6">
        <v>6.9</v>
      </c>
      <c r="C681" s="6">
        <v>0</v>
      </c>
      <c r="D681" s="6"/>
      <c r="F681" s="7"/>
    </row>
    <row r="682" spans="1:6" ht="23">
      <c r="A682" s="5" t="s">
        <v>5558</v>
      </c>
      <c r="B682" s="6">
        <v>7.7</v>
      </c>
      <c r="C682" s="6">
        <v>0</v>
      </c>
      <c r="D682" s="6"/>
      <c r="F682" s="7"/>
    </row>
    <row r="683" spans="1:6" ht="23">
      <c r="A683" s="5" t="s">
        <v>2626</v>
      </c>
      <c r="B683" s="6">
        <v>7.5999999999999988</v>
      </c>
      <c r="C683" s="6">
        <v>0.86023252670426797</v>
      </c>
      <c r="D683" s="6"/>
      <c r="F683" s="7"/>
    </row>
    <row r="684" spans="1:6" ht="23">
      <c r="A684" s="5" t="s">
        <v>5337</v>
      </c>
      <c r="B684" s="6">
        <v>7.4</v>
      </c>
      <c r="C684" s="6">
        <v>0</v>
      </c>
      <c r="D684" s="6"/>
      <c r="F684" s="7"/>
    </row>
    <row r="685" spans="1:6" ht="23">
      <c r="A685" s="5" t="s">
        <v>4609</v>
      </c>
      <c r="B685" s="6">
        <v>7.3</v>
      </c>
      <c r="C685" s="6">
        <v>0</v>
      </c>
      <c r="D685" s="6"/>
      <c r="F685" s="7"/>
    </row>
    <row r="686" spans="1:6" ht="23">
      <c r="A686" s="5" t="s">
        <v>4771</v>
      </c>
      <c r="B686" s="6">
        <v>5.3</v>
      </c>
      <c r="C686" s="6">
        <v>0</v>
      </c>
      <c r="D686" s="6"/>
      <c r="F686" s="7"/>
    </row>
    <row r="687" spans="1:6" ht="23">
      <c r="A687" s="5" t="s">
        <v>6498</v>
      </c>
      <c r="B687" s="6">
        <v>7</v>
      </c>
      <c r="C687" s="6">
        <v>0</v>
      </c>
      <c r="D687" s="6"/>
      <c r="F687" s="7"/>
    </row>
    <row r="688" spans="1:6" ht="23">
      <c r="A688" s="5" t="s">
        <v>6915</v>
      </c>
      <c r="B688" s="6">
        <v>7.5</v>
      </c>
      <c r="C688" s="6">
        <v>0</v>
      </c>
      <c r="D688" s="6"/>
      <c r="F688" s="7"/>
    </row>
    <row r="689" spans="1:6" ht="23">
      <c r="A689" s="5" t="s">
        <v>841</v>
      </c>
      <c r="B689" s="6">
        <v>6.6</v>
      </c>
      <c r="C689" s="6">
        <v>0</v>
      </c>
      <c r="D689" s="6"/>
      <c r="F689" s="7"/>
    </row>
    <row r="690" spans="1:6" ht="23">
      <c r="A690" s="5" t="s">
        <v>4604</v>
      </c>
      <c r="B690" s="6">
        <v>6.6</v>
      </c>
      <c r="C690" s="6">
        <v>0</v>
      </c>
      <c r="D690" s="6"/>
      <c r="F690" s="7"/>
    </row>
    <row r="691" spans="1:6" ht="23">
      <c r="A691" s="5" t="s">
        <v>487</v>
      </c>
      <c r="B691" s="6">
        <v>7.25</v>
      </c>
      <c r="C691" s="6">
        <v>1.25</v>
      </c>
      <c r="D691" s="6"/>
      <c r="F691" s="7"/>
    </row>
    <row r="692" spans="1:6" ht="23">
      <c r="A692" s="5" t="s">
        <v>4313</v>
      </c>
      <c r="B692" s="6">
        <v>6.4</v>
      </c>
      <c r="C692" s="6">
        <v>0</v>
      </c>
      <c r="D692" s="6"/>
      <c r="F692" s="7"/>
    </row>
    <row r="693" spans="1:6" ht="23">
      <c r="A693" s="5" t="s">
        <v>2299</v>
      </c>
      <c r="B693" s="6">
        <v>5.9</v>
      </c>
      <c r="C693" s="6">
        <v>0</v>
      </c>
      <c r="D693" s="6"/>
      <c r="F693" s="7"/>
    </row>
    <row r="694" spans="1:6" ht="23">
      <c r="A694" s="5" t="s">
        <v>5817</v>
      </c>
      <c r="B694" s="6">
        <v>5.9</v>
      </c>
      <c r="C694" s="6">
        <v>0</v>
      </c>
      <c r="D694" s="6"/>
      <c r="F694" s="7"/>
    </row>
    <row r="695" spans="1:6" ht="23">
      <c r="A695" s="5" t="s">
        <v>1311</v>
      </c>
      <c r="B695" s="6">
        <v>7.4181818181818189</v>
      </c>
      <c r="C695" s="6">
        <v>1.2141725067028311</v>
      </c>
      <c r="D695" s="6"/>
      <c r="F695" s="7"/>
    </row>
    <row r="696" spans="1:6" ht="23">
      <c r="A696" s="5" t="s">
        <v>187</v>
      </c>
      <c r="B696" s="6">
        <v>7</v>
      </c>
      <c r="C696" s="6">
        <v>0.36331804249170901</v>
      </c>
      <c r="D696" s="6"/>
      <c r="F696" s="7"/>
    </row>
    <row r="697" spans="1:6" ht="23">
      <c r="A697" s="5" t="s">
        <v>6881</v>
      </c>
      <c r="B697" s="6">
        <v>6.1</v>
      </c>
      <c r="C697" s="6">
        <v>0</v>
      </c>
      <c r="D697" s="6"/>
      <c r="F697" s="7"/>
    </row>
    <row r="698" spans="1:6" ht="23">
      <c r="A698" s="5" t="s">
        <v>3907</v>
      </c>
      <c r="B698" s="6">
        <v>6.9</v>
      </c>
      <c r="C698" s="6">
        <v>0</v>
      </c>
      <c r="D698" s="6"/>
      <c r="F698" s="7"/>
    </row>
    <row r="699" spans="1:6" ht="23">
      <c r="A699" s="5" t="s">
        <v>4441</v>
      </c>
      <c r="B699" s="6">
        <v>7.7</v>
      </c>
      <c r="C699" s="6">
        <v>0</v>
      </c>
      <c r="D699" s="6"/>
      <c r="F699" s="7"/>
    </row>
    <row r="700" spans="1:6" ht="23">
      <c r="A700" s="5" t="s">
        <v>4777</v>
      </c>
      <c r="B700" s="6">
        <v>6.9499999999999993</v>
      </c>
      <c r="C700" s="6">
        <v>0.15000000000002653</v>
      </c>
      <c r="D700" s="6"/>
      <c r="F700" s="7"/>
    </row>
    <row r="701" spans="1:6" ht="23">
      <c r="A701" s="5" t="s">
        <v>6228</v>
      </c>
      <c r="B701" s="6">
        <v>7.2</v>
      </c>
      <c r="C701" s="6">
        <v>0</v>
      </c>
      <c r="D701" s="6"/>
      <c r="F701" s="7"/>
    </row>
    <row r="702" spans="1:6" ht="23">
      <c r="A702" s="5" t="s">
        <v>5286</v>
      </c>
      <c r="B702" s="6">
        <v>6.6</v>
      </c>
      <c r="C702" s="6">
        <v>0</v>
      </c>
      <c r="D702" s="6"/>
      <c r="F702" s="7"/>
    </row>
    <row r="703" spans="1:6" ht="23">
      <c r="A703" s="5" t="s">
        <v>5708</v>
      </c>
      <c r="B703" s="6">
        <v>8.0599999999999987</v>
      </c>
      <c r="C703" s="6">
        <v>0.42708313008127119</v>
      </c>
      <c r="D703" s="6"/>
      <c r="F703" s="7"/>
    </row>
    <row r="704" spans="1:6" ht="23">
      <c r="A704" s="5" t="s">
        <v>438</v>
      </c>
      <c r="B704" s="6">
        <v>5.9142857142857137</v>
      </c>
      <c r="C704" s="6">
        <v>0.59863790970734476</v>
      </c>
      <c r="D704" s="6"/>
      <c r="F704" s="7"/>
    </row>
    <row r="705" spans="1:6" ht="23">
      <c r="A705" s="5" t="s">
        <v>873</v>
      </c>
      <c r="B705" s="6">
        <v>7.9750000000000005</v>
      </c>
      <c r="C705" s="6">
        <v>0.9730750228014311</v>
      </c>
      <c r="D705" s="6"/>
      <c r="F705" s="7"/>
    </row>
    <row r="706" spans="1:6" ht="23">
      <c r="A706" s="5" t="s">
        <v>5392</v>
      </c>
      <c r="B706" s="6">
        <v>6.7</v>
      </c>
      <c r="C706" s="6">
        <v>0</v>
      </c>
      <c r="D706" s="6"/>
      <c r="F706" s="7"/>
    </row>
    <row r="707" spans="1:6" ht="23">
      <c r="A707" s="5" t="s">
        <v>6300</v>
      </c>
      <c r="B707" s="6">
        <v>8.1999999999999993</v>
      </c>
      <c r="C707" s="6">
        <v>0</v>
      </c>
      <c r="D707" s="6"/>
      <c r="F707" s="7"/>
    </row>
    <row r="708" spans="1:6" ht="23">
      <c r="A708" s="5" t="s">
        <v>1384</v>
      </c>
      <c r="B708" s="6">
        <v>6.4249999999999998</v>
      </c>
      <c r="C708" s="6">
        <v>0.90381137412625867</v>
      </c>
      <c r="D708" s="6"/>
      <c r="F708" s="7"/>
    </row>
    <row r="709" spans="1:6" ht="23">
      <c r="A709" s="5" t="s">
        <v>1028</v>
      </c>
      <c r="B709" s="6">
        <v>6.4666666666666659</v>
      </c>
      <c r="C709" s="6">
        <v>1.3474255287605148</v>
      </c>
      <c r="D709" s="6"/>
      <c r="F709" s="7"/>
    </row>
    <row r="710" spans="1:6" ht="23">
      <c r="A710" s="5" t="s">
        <v>3152</v>
      </c>
      <c r="B710" s="6">
        <v>6.4</v>
      </c>
      <c r="C710" s="6">
        <v>0</v>
      </c>
      <c r="D710" s="6"/>
      <c r="F710" s="7"/>
    </row>
    <row r="711" spans="1:6" ht="23">
      <c r="A711" s="5" t="s">
        <v>525</v>
      </c>
      <c r="B711" s="6">
        <v>6.4142857142857137</v>
      </c>
      <c r="C711" s="6">
        <v>0.66639450226803765</v>
      </c>
      <c r="D711" s="6"/>
      <c r="F711" s="7"/>
    </row>
    <row r="712" spans="1:6" ht="23">
      <c r="A712" s="5" t="s">
        <v>5240</v>
      </c>
      <c r="B712" s="6">
        <v>6.7</v>
      </c>
      <c r="C712" s="6">
        <v>0</v>
      </c>
      <c r="D712" s="6"/>
      <c r="F712" s="7"/>
    </row>
    <row r="713" spans="1:6" ht="23">
      <c r="A713" s="5" t="s">
        <v>5882</v>
      </c>
      <c r="B713" s="6">
        <v>6</v>
      </c>
      <c r="C713" s="6">
        <v>0</v>
      </c>
      <c r="D713" s="6"/>
      <c r="F713" s="7"/>
    </row>
    <row r="714" spans="1:6" ht="23">
      <c r="A714" s="5" t="s">
        <v>6552</v>
      </c>
      <c r="B714" s="6">
        <v>5.4</v>
      </c>
      <c r="C714" s="6">
        <v>0</v>
      </c>
      <c r="D714" s="6"/>
      <c r="F714" s="7"/>
    </row>
    <row r="715" spans="1:6" ht="23">
      <c r="A715" s="5" t="s">
        <v>4106</v>
      </c>
      <c r="B715" s="6">
        <v>6.7333333333333334</v>
      </c>
      <c r="C715" s="6">
        <v>1.1585431464655198</v>
      </c>
      <c r="D715" s="6"/>
      <c r="F715" s="7"/>
    </row>
    <row r="716" spans="1:6" ht="23">
      <c r="A716" s="5" t="s">
        <v>2960</v>
      </c>
      <c r="B716" s="6">
        <v>3.9</v>
      </c>
      <c r="C716" s="6">
        <v>0</v>
      </c>
      <c r="D716" s="6"/>
      <c r="F716" s="7"/>
    </row>
    <row r="717" spans="1:6" ht="23">
      <c r="A717" s="5" t="s">
        <v>2906</v>
      </c>
      <c r="B717" s="6">
        <v>5.0999999999999996</v>
      </c>
      <c r="C717" s="6">
        <v>0</v>
      </c>
      <c r="D717" s="6"/>
      <c r="F717" s="7"/>
    </row>
    <row r="718" spans="1:6" ht="23">
      <c r="A718" s="5" t="s">
        <v>5053</v>
      </c>
      <c r="B718" s="6">
        <v>2.9</v>
      </c>
      <c r="C718" s="6">
        <v>0</v>
      </c>
      <c r="D718" s="6"/>
      <c r="F718" s="7"/>
    </row>
    <row r="719" spans="1:6" ht="23">
      <c r="A719" s="5" t="s">
        <v>4172</v>
      </c>
      <c r="B719" s="6">
        <v>7</v>
      </c>
      <c r="C719" s="6">
        <v>0</v>
      </c>
      <c r="D719" s="6"/>
      <c r="F719" s="7"/>
    </row>
    <row r="720" spans="1:6" ht="23">
      <c r="A720" s="5" t="s">
        <v>5269</v>
      </c>
      <c r="B720" s="6">
        <v>6.2</v>
      </c>
      <c r="C720" s="6">
        <v>0</v>
      </c>
      <c r="D720" s="6"/>
      <c r="F720" s="7"/>
    </row>
    <row r="721" spans="1:6" ht="23">
      <c r="A721" s="5" t="s">
        <v>2694</v>
      </c>
      <c r="B721" s="6">
        <v>5.4</v>
      </c>
      <c r="C721" s="6">
        <v>9.9999999999990055E-2</v>
      </c>
      <c r="D721" s="6"/>
      <c r="F721" s="7"/>
    </row>
    <row r="722" spans="1:6" ht="23">
      <c r="A722" s="5" t="s">
        <v>5115</v>
      </c>
      <c r="B722" s="6">
        <v>7.76</v>
      </c>
      <c r="C722" s="6">
        <v>0.24166091947191326</v>
      </c>
      <c r="D722" s="6"/>
      <c r="F722" s="7"/>
    </row>
    <row r="723" spans="1:6" ht="23">
      <c r="A723" s="5" t="s">
        <v>2455</v>
      </c>
      <c r="B723" s="6">
        <v>2</v>
      </c>
      <c r="C723" s="6">
        <v>0</v>
      </c>
      <c r="D723" s="6"/>
      <c r="F723" s="7"/>
    </row>
    <row r="724" spans="1:6" ht="23">
      <c r="A724" s="5" t="s">
        <v>393</v>
      </c>
      <c r="B724" s="6">
        <v>5.0999999999999996</v>
      </c>
      <c r="C724" s="6">
        <v>0</v>
      </c>
      <c r="D724" s="6"/>
      <c r="F724" s="7"/>
    </row>
    <row r="725" spans="1:6" ht="23">
      <c r="A725" s="5" t="s">
        <v>1842</v>
      </c>
      <c r="B725" s="6">
        <v>5.7</v>
      </c>
      <c r="C725" s="6">
        <v>0.5</v>
      </c>
      <c r="D725" s="6"/>
      <c r="F725" s="7"/>
    </row>
    <row r="726" spans="1:6" ht="23">
      <c r="A726" s="5" t="s">
        <v>3825</v>
      </c>
      <c r="B726" s="6">
        <v>8.3000000000000007</v>
      </c>
      <c r="C726" s="6">
        <v>0</v>
      </c>
      <c r="D726" s="6"/>
      <c r="F726" s="7"/>
    </row>
    <row r="727" spans="1:6" ht="23">
      <c r="A727" s="5" t="s">
        <v>3853</v>
      </c>
      <c r="B727" s="6">
        <v>6.1</v>
      </c>
      <c r="C727" s="6">
        <v>0</v>
      </c>
      <c r="D727" s="6"/>
      <c r="F727" s="7"/>
    </row>
    <row r="728" spans="1:6" ht="23">
      <c r="A728" s="5" t="s">
        <v>2666</v>
      </c>
      <c r="B728" s="6">
        <v>7.2</v>
      </c>
      <c r="C728" s="6">
        <v>0</v>
      </c>
      <c r="D728" s="6"/>
      <c r="F728" s="7"/>
    </row>
    <row r="729" spans="1:6" ht="23">
      <c r="A729" s="5" t="s">
        <v>5403</v>
      </c>
      <c r="B729" s="6">
        <v>3.2</v>
      </c>
      <c r="C729" s="6">
        <v>0</v>
      </c>
      <c r="D729" s="6"/>
      <c r="F729" s="7"/>
    </row>
    <row r="730" spans="1:6" ht="23">
      <c r="A730" s="5" t="s">
        <v>1251</v>
      </c>
      <c r="B730" s="6">
        <v>6.9749999999999996</v>
      </c>
      <c r="C730" s="6">
        <v>0.92567542907868217</v>
      </c>
      <c r="D730" s="6"/>
      <c r="F730" s="7"/>
    </row>
    <row r="731" spans="1:6" ht="23">
      <c r="A731" s="5" t="s">
        <v>6791</v>
      </c>
      <c r="B731" s="6">
        <v>6.4</v>
      </c>
      <c r="C731" s="6">
        <v>0</v>
      </c>
      <c r="D731" s="6"/>
      <c r="F731" s="7"/>
    </row>
    <row r="732" spans="1:6" ht="23">
      <c r="A732" s="5" t="s">
        <v>6420</v>
      </c>
      <c r="B732" s="6">
        <v>7.6</v>
      </c>
      <c r="C732" s="6">
        <v>0</v>
      </c>
      <c r="D732" s="6"/>
      <c r="F732" s="7"/>
    </row>
    <row r="733" spans="1:6" ht="23">
      <c r="A733" s="5" t="s">
        <v>883</v>
      </c>
      <c r="B733" s="6">
        <v>5.9499999999999993</v>
      </c>
      <c r="C733" s="6">
        <v>0.41231056256178533</v>
      </c>
      <c r="D733" s="6"/>
      <c r="F733" s="7"/>
    </row>
    <row r="734" spans="1:6" ht="23">
      <c r="A734" s="5" t="s">
        <v>1596</v>
      </c>
      <c r="B734" s="6">
        <v>6.8</v>
      </c>
      <c r="C734" s="6">
        <v>0</v>
      </c>
      <c r="D734" s="6"/>
      <c r="F734" s="7"/>
    </row>
    <row r="735" spans="1:6" ht="23">
      <c r="A735" s="5" t="s">
        <v>2096</v>
      </c>
      <c r="B735" s="6">
        <v>5.6</v>
      </c>
      <c r="C735" s="6">
        <v>0</v>
      </c>
      <c r="D735" s="6"/>
      <c r="F735" s="7"/>
    </row>
    <row r="736" spans="1:6" ht="23">
      <c r="A736" s="5" t="s">
        <v>2047</v>
      </c>
      <c r="B736" s="6">
        <v>5.9</v>
      </c>
      <c r="C736" s="6">
        <v>0</v>
      </c>
      <c r="D736" s="6"/>
      <c r="F736" s="7"/>
    </row>
    <row r="737" spans="1:6" ht="23">
      <c r="A737" s="5" t="s">
        <v>1410</v>
      </c>
      <c r="B737" s="6">
        <v>6.6166666666666663</v>
      </c>
      <c r="C737" s="6">
        <v>0.36247605284885975</v>
      </c>
      <c r="D737" s="6"/>
      <c r="F737" s="7"/>
    </row>
    <row r="738" spans="1:6" ht="23">
      <c r="A738" s="5" t="s">
        <v>3501</v>
      </c>
      <c r="B738" s="6">
        <v>5.8</v>
      </c>
      <c r="C738" s="6">
        <v>0</v>
      </c>
      <c r="D738" s="6"/>
      <c r="F738" s="7"/>
    </row>
    <row r="739" spans="1:6" ht="23">
      <c r="A739" s="5" t="s">
        <v>5041</v>
      </c>
      <c r="B739" s="6">
        <v>6.3</v>
      </c>
      <c r="C739" s="6">
        <v>0</v>
      </c>
      <c r="D739" s="6"/>
      <c r="F739" s="7"/>
    </row>
    <row r="740" spans="1:6" ht="23">
      <c r="A740" s="5" t="s">
        <v>927</v>
      </c>
      <c r="B740" s="6">
        <v>6.5</v>
      </c>
      <c r="C740" s="6">
        <v>0</v>
      </c>
      <c r="D740" s="6"/>
      <c r="F740" s="7"/>
    </row>
    <row r="741" spans="1:6" ht="23">
      <c r="A741" s="5" t="s">
        <v>3075</v>
      </c>
      <c r="B741" s="6">
        <v>5.9</v>
      </c>
      <c r="C741" s="6">
        <v>0</v>
      </c>
      <c r="D741" s="6"/>
      <c r="F741" s="7"/>
    </row>
    <row r="742" spans="1:6" ht="23">
      <c r="A742" s="5" t="s">
        <v>6053</v>
      </c>
      <c r="B742" s="6">
        <v>3.3</v>
      </c>
      <c r="C742" s="6">
        <v>0</v>
      </c>
      <c r="D742" s="6"/>
      <c r="F742" s="7"/>
    </row>
    <row r="743" spans="1:6" ht="23">
      <c r="A743" s="5" t="s">
        <v>615</v>
      </c>
      <c r="B743" s="6">
        <v>7.1000000000000005</v>
      </c>
      <c r="C743" s="6">
        <v>0.28284271247460202</v>
      </c>
      <c r="D743" s="6"/>
      <c r="F743" s="7"/>
    </row>
    <row r="744" spans="1:6" ht="23">
      <c r="A744" s="5" t="s">
        <v>4582</v>
      </c>
      <c r="B744" s="6">
        <v>4.5</v>
      </c>
      <c r="C744" s="6">
        <v>0</v>
      </c>
      <c r="D744" s="6"/>
      <c r="F744" s="7"/>
    </row>
    <row r="745" spans="1:6" ht="23">
      <c r="A745" s="5" t="s">
        <v>912</v>
      </c>
      <c r="B745" s="6">
        <v>6.3</v>
      </c>
      <c r="C745" s="6">
        <v>0</v>
      </c>
      <c r="D745" s="6"/>
      <c r="F745" s="7"/>
    </row>
    <row r="746" spans="1:6" ht="23">
      <c r="A746" s="5" t="s">
        <v>5144</v>
      </c>
      <c r="B746" s="6">
        <v>6.4</v>
      </c>
      <c r="C746" s="6">
        <v>0</v>
      </c>
      <c r="D746" s="6"/>
      <c r="F746" s="7"/>
    </row>
    <row r="747" spans="1:6" ht="23">
      <c r="A747" s="5" t="s">
        <v>474</v>
      </c>
      <c r="B747" s="6">
        <v>6.85</v>
      </c>
      <c r="C747" s="6">
        <v>5.0000000000048318E-2</v>
      </c>
      <c r="D747" s="6"/>
      <c r="F747" s="7"/>
    </row>
    <row r="748" spans="1:6" ht="23">
      <c r="A748" s="5" t="s">
        <v>685</v>
      </c>
      <c r="B748" s="6">
        <v>6.14</v>
      </c>
      <c r="C748" s="6">
        <v>0.39293765408776488</v>
      </c>
      <c r="D748" s="6"/>
      <c r="F748" s="7"/>
    </row>
    <row r="749" spans="1:6" ht="23">
      <c r="A749" s="5" t="s">
        <v>3616</v>
      </c>
      <c r="B749" s="6">
        <v>7.35</v>
      </c>
      <c r="C749" s="6">
        <v>5.0000000000119373E-2</v>
      </c>
      <c r="D749" s="6"/>
      <c r="F749" s="7"/>
    </row>
    <row r="750" spans="1:6" ht="23">
      <c r="A750" s="5" t="s">
        <v>218</v>
      </c>
      <c r="B750" s="6">
        <v>6.875</v>
      </c>
      <c r="C750" s="6">
        <v>0.24874685927664184</v>
      </c>
      <c r="D750" s="6"/>
      <c r="F750" s="7"/>
    </row>
    <row r="751" spans="1:6" ht="23">
      <c r="A751" s="5" t="s">
        <v>2402</v>
      </c>
      <c r="B751" s="6">
        <v>6.9799999999999995</v>
      </c>
      <c r="C751" s="6">
        <v>0.81338797630650372</v>
      </c>
      <c r="D751" s="6"/>
      <c r="F751" s="7"/>
    </row>
    <row r="752" spans="1:6" ht="23">
      <c r="A752" s="5" t="s">
        <v>5534</v>
      </c>
      <c r="B752" s="6">
        <v>6.6</v>
      </c>
      <c r="C752" s="6">
        <v>0</v>
      </c>
      <c r="D752" s="6"/>
      <c r="F752" s="7"/>
    </row>
    <row r="753" spans="1:6" ht="23">
      <c r="A753" s="5" t="s">
        <v>3975</v>
      </c>
      <c r="B753" s="6">
        <v>6.1</v>
      </c>
      <c r="C753" s="6">
        <v>0</v>
      </c>
      <c r="D753" s="6"/>
      <c r="F753" s="7"/>
    </row>
    <row r="754" spans="1:6" ht="23">
      <c r="A754" s="5" t="s">
        <v>6715</v>
      </c>
      <c r="B754" s="6">
        <v>5.6</v>
      </c>
      <c r="C754" s="6">
        <v>0</v>
      </c>
      <c r="D754" s="6"/>
      <c r="F754" s="7"/>
    </row>
    <row r="755" spans="1:6" ht="23">
      <c r="A755" s="5" t="s">
        <v>625</v>
      </c>
      <c r="B755" s="6">
        <v>6.9</v>
      </c>
      <c r="C755" s="6">
        <v>0.19999999999998011</v>
      </c>
      <c r="D755" s="6"/>
      <c r="F755" s="7"/>
    </row>
    <row r="756" spans="1:6" ht="23">
      <c r="A756" s="5" t="s">
        <v>1121</v>
      </c>
      <c r="B756" s="6">
        <v>5.4</v>
      </c>
      <c r="C756" s="6">
        <v>0</v>
      </c>
      <c r="D756" s="6"/>
      <c r="F756" s="7"/>
    </row>
    <row r="757" spans="1:6" ht="23">
      <c r="A757" s="5" t="s">
        <v>1892</v>
      </c>
      <c r="B757" s="6">
        <v>5.3</v>
      </c>
      <c r="C757" s="6">
        <v>0.19999999999999787</v>
      </c>
      <c r="D757" s="6"/>
      <c r="F757" s="7"/>
    </row>
    <row r="758" spans="1:6" ht="23">
      <c r="A758" s="5" t="s">
        <v>6644</v>
      </c>
      <c r="B758" s="6">
        <v>8</v>
      </c>
      <c r="C758" s="6">
        <v>0</v>
      </c>
      <c r="D758" s="6"/>
      <c r="F758" s="7"/>
    </row>
    <row r="759" spans="1:6" ht="23">
      <c r="A759" s="5" t="s">
        <v>668</v>
      </c>
      <c r="B759" s="6">
        <v>6.5</v>
      </c>
      <c r="C759" s="6">
        <v>0.98994949366116614</v>
      </c>
      <c r="D759" s="6"/>
      <c r="F759" s="7"/>
    </row>
    <row r="760" spans="1:6" ht="23">
      <c r="A760" s="5" t="s">
        <v>1502</v>
      </c>
      <c r="B760" s="6">
        <v>6.15</v>
      </c>
      <c r="C760" s="6">
        <v>1.25</v>
      </c>
      <c r="D760" s="6"/>
      <c r="F760" s="7"/>
    </row>
    <row r="761" spans="1:6" ht="23">
      <c r="A761" s="5" t="s">
        <v>908</v>
      </c>
      <c r="B761" s="6">
        <v>6.76</v>
      </c>
      <c r="C761" s="6">
        <v>0.59866518188383178</v>
      </c>
      <c r="D761" s="6"/>
      <c r="F761" s="7"/>
    </row>
    <row r="762" spans="1:6" ht="23">
      <c r="A762" s="5" t="s">
        <v>3469</v>
      </c>
      <c r="B762" s="6">
        <v>7.9</v>
      </c>
      <c r="C762" s="6">
        <v>0</v>
      </c>
      <c r="D762" s="6"/>
      <c r="F762" s="7"/>
    </row>
    <row r="763" spans="1:6" ht="23">
      <c r="A763" s="5" t="s">
        <v>2863</v>
      </c>
      <c r="B763" s="6">
        <v>5.9499999999999993</v>
      </c>
      <c r="C763" s="6">
        <v>0.65000000000000502</v>
      </c>
      <c r="D763" s="6"/>
      <c r="F763" s="7"/>
    </row>
    <row r="764" spans="1:6" ht="23">
      <c r="A764" s="5" t="s">
        <v>4072</v>
      </c>
      <c r="B764" s="6">
        <v>6.3000000000000007</v>
      </c>
      <c r="C764" s="6">
        <v>9.9999999999954528E-2</v>
      </c>
      <c r="D764" s="6"/>
      <c r="F764" s="7"/>
    </row>
    <row r="765" spans="1:6" ht="23">
      <c r="A765" s="5" t="s">
        <v>5233</v>
      </c>
      <c r="B765" s="6">
        <v>5.0999999999999996</v>
      </c>
      <c r="C765" s="6">
        <v>0</v>
      </c>
      <c r="D765" s="6"/>
      <c r="F765" s="7"/>
    </row>
    <row r="766" spans="1:6" ht="23">
      <c r="A766" s="5" t="s">
        <v>385</v>
      </c>
      <c r="B766" s="6">
        <v>7.4</v>
      </c>
      <c r="C766" s="6">
        <v>0.77974354758471243</v>
      </c>
      <c r="D766" s="6"/>
      <c r="F766" s="7"/>
    </row>
    <row r="767" spans="1:6" ht="23">
      <c r="A767" s="5" t="s">
        <v>225</v>
      </c>
      <c r="B767" s="6">
        <v>6.8</v>
      </c>
      <c r="C767" s="6">
        <v>0.78102496759066964</v>
      </c>
      <c r="D767" s="6"/>
      <c r="F767" s="7"/>
    </row>
    <row r="768" spans="1:6" ht="23">
      <c r="A768" s="5" t="s">
        <v>1358</v>
      </c>
      <c r="B768" s="6">
        <v>7.1</v>
      </c>
      <c r="C768" s="6">
        <v>0</v>
      </c>
      <c r="D768" s="6"/>
      <c r="F768" s="7"/>
    </row>
    <row r="769" spans="1:6" ht="23">
      <c r="A769" s="5" t="s">
        <v>1643</v>
      </c>
      <c r="B769" s="6">
        <v>6.3666666666666671</v>
      </c>
      <c r="C769" s="6">
        <v>1.1841546445554383</v>
      </c>
      <c r="D769" s="6"/>
      <c r="F769" s="7"/>
    </row>
    <row r="770" spans="1:6" ht="23">
      <c r="A770" s="5" t="s">
        <v>5183</v>
      </c>
      <c r="B770" s="6">
        <v>5.3</v>
      </c>
      <c r="C770" s="6">
        <v>0</v>
      </c>
      <c r="D770" s="6"/>
      <c r="F770" s="7"/>
    </row>
    <row r="771" spans="1:6" ht="23">
      <c r="A771" s="5" t="s">
        <v>5033</v>
      </c>
      <c r="B771" s="6">
        <v>8.1999999999999993</v>
      </c>
      <c r="C771" s="6">
        <v>0.10000000000002558</v>
      </c>
      <c r="D771" s="6"/>
      <c r="F771" s="7"/>
    </row>
    <row r="772" spans="1:6" ht="23">
      <c r="A772" s="5" t="s">
        <v>5596</v>
      </c>
      <c r="B772" s="6">
        <v>6.833333333333333</v>
      </c>
      <c r="C772" s="6">
        <v>0.23570226039551584</v>
      </c>
      <c r="D772" s="6"/>
      <c r="F772" s="7"/>
    </row>
    <row r="773" spans="1:6" ht="23">
      <c r="A773" s="5" t="s">
        <v>3170</v>
      </c>
      <c r="B773" s="6">
        <v>6.6</v>
      </c>
      <c r="C773" s="6">
        <v>0</v>
      </c>
      <c r="D773" s="6"/>
      <c r="F773" s="7"/>
    </row>
    <row r="774" spans="1:6" ht="23">
      <c r="A774" s="5" t="s">
        <v>2158</v>
      </c>
      <c r="B774" s="6">
        <v>6.9250000000000007</v>
      </c>
      <c r="C774" s="6">
        <v>0.26809513236907428</v>
      </c>
      <c r="D774" s="6"/>
      <c r="F774" s="7"/>
    </row>
    <row r="775" spans="1:6" ht="23">
      <c r="A775" s="5" t="s">
        <v>6813</v>
      </c>
      <c r="B775" s="6">
        <v>2.2000000000000002</v>
      </c>
      <c r="C775" s="6">
        <v>0</v>
      </c>
      <c r="D775" s="6"/>
      <c r="F775" s="7"/>
    </row>
    <row r="776" spans="1:6" ht="23">
      <c r="A776" s="5" t="s">
        <v>4590</v>
      </c>
      <c r="B776" s="6">
        <v>6.7</v>
      </c>
      <c r="C776" s="6">
        <v>0</v>
      </c>
      <c r="D776" s="6"/>
      <c r="F776" s="7"/>
    </row>
    <row r="777" spans="1:6" ht="23">
      <c r="A777" s="5" t="s">
        <v>6288</v>
      </c>
      <c r="B777" s="6">
        <v>6.8</v>
      </c>
      <c r="C777" s="6">
        <v>0</v>
      </c>
      <c r="D777" s="6"/>
      <c r="F777" s="7"/>
    </row>
    <row r="778" spans="1:6" ht="23">
      <c r="A778" s="5" t="s">
        <v>3631</v>
      </c>
      <c r="B778" s="6">
        <v>6.6</v>
      </c>
      <c r="C778" s="6">
        <v>0</v>
      </c>
      <c r="D778" s="6"/>
      <c r="F778" s="7"/>
    </row>
    <row r="779" spans="1:6" ht="23">
      <c r="A779" s="5" t="s">
        <v>3855</v>
      </c>
      <c r="B779" s="6">
        <v>4.9000000000000004</v>
      </c>
      <c r="C779" s="6">
        <v>0</v>
      </c>
      <c r="D779" s="6"/>
      <c r="F779" s="7"/>
    </row>
    <row r="780" spans="1:6" ht="23">
      <c r="A780" s="5" t="s">
        <v>6503</v>
      </c>
      <c r="B780" s="6">
        <v>6.3</v>
      </c>
      <c r="C780" s="6">
        <v>0</v>
      </c>
      <c r="D780" s="6"/>
      <c r="F780" s="7"/>
    </row>
    <row r="781" spans="1:6" ht="23">
      <c r="A781" s="5" t="s">
        <v>5632</v>
      </c>
      <c r="B781" s="6">
        <v>4.8</v>
      </c>
      <c r="C781" s="6">
        <v>0</v>
      </c>
      <c r="D781" s="6"/>
      <c r="F781" s="7"/>
    </row>
    <row r="782" spans="1:6" ht="23">
      <c r="A782" s="5" t="s">
        <v>2060</v>
      </c>
      <c r="B782" s="6">
        <v>6</v>
      </c>
      <c r="C782" s="6">
        <v>1.1999999999999991</v>
      </c>
      <c r="D782" s="6"/>
      <c r="F782" s="7"/>
    </row>
    <row r="783" spans="1:6" ht="23">
      <c r="A783" s="5" t="s">
        <v>832</v>
      </c>
      <c r="B783" s="6">
        <v>6.55</v>
      </c>
      <c r="C783" s="6">
        <v>5.0000000000048318E-2</v>
      </c>
      <c r="D783" s="6"/>
      <c r="F783" s="7"/>
    </row>
    <row r="784" spans="1:6" ht="23">
      <c r="A784" s="5" t="s">
        <v>3867</v>
      </c>
      <c r="B784" s="6">
        <v>7.5</v>
      </c>
      <c r="C784" s="6">
        <v>0</v>
      </c>
      <c r="D784" s="6"/>
      <c r="F784" s="7"/>
    </row>
    <row r="785" spans="1:6" ht="23">
      <c r="A785" s="5" t="s">
        <v>3661</v>
      </c>
      <c r="B785" s="6">
        <v>7</v>
      </c>
      <c r="C785" s="6">
        <v>0.30000000000000571</v>
      </c>
      <c r="D785" s="6"/>
      <c r="F785" s="7"/>
    </row>
    <row r="786" spans="1:6" ht="23">
      <c r="A786" s="5" t="s">
        <v>6477</v>
      </c>
      <c r="B786" s="6">
        <v>6.8</v>
      </c>
      <c r="C786" s="6">
        <v>0</v>
      </c>
      <c r="D786" s="6"/>
      <c r="F786" s="7"/>
    </row>
    <row r="787" spans="1:6" ht="23">
      <c r="A787" s="5" t="s">
        <v>3708</v>
      </c>
      <c r="B787" s="6">
        <v>7.1333333333333329</v>
      </c>
      <c r="C787" s="6">
        <v>0.16996731711979368</v>
      </c>
      <c r="D787" s="6"/>
      <c r="F787" s="7"/>
    </row>
    <row r="788" spans="1:6" ht="23">
      <c r="A788" s="5" t="s">
        <v>6364</v>
      </c>
      <c r="B788" s="6">
        <v>7.6</v>
      </c>
      <c r="C788" s="6">
        <v>0</v>
      </c>
      <c r="D788" s="6"/>
      <c r="F788" s="7"/>
    </row>
    <row r="789" spans="1:6" ht="23">
      <c r="A789" s="5" t="s">
        <v>4294</v>
      </c>
      <c r="B789" s="6">
        <v>6.2</v>
      </c>
      <c r="C789" s="6">
        <v>0</v>
      </c>
      <c r="D789" s="6"/>
      <c r="F789" s="7"/>
    </row>
    <row r="790" spans="1:6" ht="23">
      <c r="A790" s="5" t="s">
        <v>2821</v>
      </c>
      <c r="B790" s="6">
        <v>7.8</v>
      </c>
      <c r="C790" s="6">
        <v>0</v>
      </c>
      <c r="D790" s="6"/>
      <c r="F790" s="7"/>
    </row>
    <row r="791" spans="1:6" ht="23">
      <c r="A791" s="5" t="s">
        <v>3218</v>
      </c>
      <c r="B791" s="6">
        <v>5.35</v>
      </c>
      <c r="C791" s="6">
        <v>0.85000000000000431</v>
      </c>
      <c r="D791" s="6"/>
      <c r="F791" s="7"/>
    </row>
    <row r="792" spans="1:6" ht="23">
      <c r="A792" s="5" t="s">
        <v>1005</v>
      </c>
      <c r="B792" s="6">
        <v>6.8666666666666671</v>
      </c>
      <c r="C792" s="6">
        <v>0.37712361663281296</v>
      </c>
      <c r="D792" s="6"/>
      <c r="F792" s="7"/>
    </row>
    <row r="793" spans="1:6" ht="23">
      <c r="A793" s="5" t="s">
        <v>3280</v>
      </c>
      <c r="B793" s="6">
        <v>7</v>
      </c>
      <c r="C793" s="6">
        <v>0</v>
      </c>
      <c r="D793" s="6"/>
      <c r="F793" s="7"/>
    </row>
    <row r="794" spans="1:6" ht="23">
      <c r="A794" s="5" t="s">
        <v>5274</v>
      </c>
      <c r="B794" s="6">
        <v>5.2</v>
      </c>
      <c r="C794" s="6">
        <v>0</v>
      </c>
      <c r="D794" s="6"/>
      <c r="F794" s="7"/>
    </row>
    <row r="795" spans="1:6" ht="23">
      <c r="A795" s="5" t="s">
        <v>6507</v>
      </c>
      <c r="B795" s="6">
        <v>7.4</v>
      </c>
      <c r="C795" s="6">
        <v>0</v>
      </c>
      <c r="D795" s="6"/>
      <c r="F795" s="7"/>
    </row>
    <row r="796" spans="1:6" ht="23">
      <c r="A796" s="5" t="s">
        <v>1712</v>
      </c>
      <c r="B796" s="6">
        <v>5.2</v>
      </c>
      <c r="C796" s="6">
        <v>0</v>
      </c>
      <c r="D796" s="6"/>
      <c r="F796" s="7"/>
    </row>
    <row r="797" spans="1:6" ht="23">
      <c r="A797" s="5" t="s">
        <v>13</v>
      </c>
      <c r="B797" s="6">
        <v>6.9857142857142858</v>
      </c>
      <c r="C797" s="6">
        <v>0.60575471563182659</v>
      </c>
      <c r="D797" s="6"/>
      <c r="F797" s="7"/>
    </row>
    <row r="798" spans="1:6" ht="23">
      <c r="A798" s="5" t="s">
        <v>1131</v>
      </c>
      <c r="B798" s="6">
        <v>6.8</v>
      </c>
      <c r="C798" s="6">
        <v>0</v>
      </c>
      <c r="D798" s="6"/>
      <c r="F798" s="7"/>
    </row>
    <row r="799" spans="1:6" ht="23">
      <c r="A799" s="5" t="s">
        <v>2861</v>
      </c>
      <c r="B799" s="6">
        <v>6.2</v>
      </c>
      <c r="C799" s="6">
        <v>0</v>
      </c>
      <c r="D799" s="6"/>
      <c r="F799" s="7"/>
    </row>
    <row r="800" spans="1:6" ht="23">
      <c r="A800" s="5" t="s">
        <v>6487</v>
      </c>
      <c r="B800" s="6">
        <v>7</v>
      </c>
      <c r="C800" s="6">
        <v>0</v>
      </c>
      <c r="D800" s="6"/>
      <c r="F800" s="7"/>
    </row>
    <row r="801" spans="1:6" ht="23">
      <c r="A801" s="5" t="s">
        <v>4367</v>
      </c>
      <c r="B801" s="6">
        <v>5.5</v>
      </c>
      <c r="C801" s="6">
        <v>0</v>
      </c>
      <c r="D801" s="6"/>
      <c r="F801" s="7"/>
    </row>
    <row r="802" spans="1:6" ht="23">
      <c r="A802" s="5" t="s">
        <v>6764</v>
      </c>
      <c r="B802" s="6">
        <v>6</v>
      </c>
      <c r="C802" s="6">
        <v>0.5</v>
      </c>
      <c r="D802" s="6"/>
      <c r="F802" s="7"/>
    </row>
    <row r="803" spans="1:6" ht="23">
      <c r="A803" s="5" t="s">
        <v>5120</v>
      </c>
      <c r="B803" s="6">
        <v>7.2</v>
      </c>
      <c r="C803" s="6">
        <v>0</v>
      </c>
      <c r="D803" s="6"/>
      <c r="F803" s="7"/>
    </row>
    <row r="804" spans="1:6" ht="23">
      <c r="A804" s="5" t="s">
        <v>1805</v>
      </c>
      <c r="B804" s="6">
        <v>7.1333333333333329</v>
      </c>
      <c r="C804" s="6">
        <v>0.33993463423953163</v>
      </c>
      <c r="D804" s="6"/>
      <c r="F804" s="7"/>
    </row>
    <row r="805" spans="1:6" ht="23">
      <c r="A805" s="5" t="s">
        <v>2463</v>
      </c>
      <c r="B805" s="6">
        <v>7.5</v>
      </c>
      <c r="C805" s="6">
        <v>0</v>
      </c>
      <c r="D805" s="6"/>
      <c r="F805" s="7"/>
    </row>
    <row r="806" spans="1:6" ht="23">
      <c r="A806" s="5" t="s">
        <v>3437</v>
      </c>
      <c r="B806" s="6">
        <v>6</v>
      </c>
      <c r="C806" s="6">
        <v>0.90000000000000124</v>
      </c>
      <c r="D806" s="6"/>
      <c r="F806" s="7"/>
    </row>
    <row r="807" spans="1:6" ht="23">
      <c r="A807" s="5" t="s">
        <v>925</v>
      </c>
      <c r="B807" s="6">
        <v>6.6000000000000005</v>
      </c>
      <c r="C807" s="6">
        <v>0.49665548085837469</v>
      </c>
      <c r="D807" s="6"/>
      <c r="F807" s="7"/>
    </row>
    <row r="808" spans="1:6" ht="23">
      <c r="A808" s="5" t="s">
        <v>3864</v>
      </c>
      <c r="B808" s="6">
        <v>5.7</v>
      </c>
      <c r="C808" s="6">
        <v>0</v>
      </c>
      <c r="D808" s="6"/>
      <c r="F808" s="7"/>
    </row>
    <row r="809" spans="1:6" ht="23">
      <c r="A809" s="5" t="s">
        <v>3079</v>
      </c>
      <c r="B809" s="6">
        <v>6.7</v>
      </c>
      <c r="C809" s="6">
        <v>0</v>
      </c>
      <c r="D809" s="6"/>
      <c r="F809" s="7"/>
    </row>
    <row r="810" spans="1:6" ht="23">
      <c r="A810" s="5" t="s">
        <v>4265</v>
      </c>
      <c r="B810" s="6">
        <v>5.3</v>
      </c>
      <c r="C810" s="6">
        <v>0</v>
      </c>
      <c r="D810" s="6"/>
      <c r="F810" s="7"/>
    </row>
    <row r="811" spans="1:6" ht="23">
      <c r="A811" s="5" t="s">
        <v>6903</v>
      </c>
      <c r="B811" s="6">
        <v>6.6</v>
      </c>
      <c r="C811" s="6">
        <v>0</v>
      </c>
      <c r="D811" s="6"/>
      <c r="F811" s="7"/>
    </row>
    <row r="812" spans="1:6" ht="23">
      <c r="A812" s="5" t="s">
        <v>1133</v>
      </c>
      <c r="B812" s="6">
        <v>5.9</v>
      </c>
      <c r="C812" s="6">
        <v>0.19999999999998011</v>
      </c>
      <c r="D812" s="6"/>
      <c r="F812" s="7"/>
    </row>
    <row r="813" spans="1:6" ht="23">
      <c r="A813" s="5" t="s">
        <v>2712</v>
      </c>
      <c r="B813" s="6">
        <v>6.8</v>
      </c>
      <c r="C813" s="6">
        <v>0.30000000000000571</v>
      </c>
      <c r="D813" s="6"/>
      <c r="F813" s="7"/>
    </row>
    <row r="814" spans="1:6" ht="23">
      <c r="A814" s="5" t="s">
        <v>3527</v>
      </c>
      <c r="B814" s="6">
        <v>6.6</v>
      </c>
      <c r="C814" s="6">
        <v>0</v>
      </c>
      <c r="D814" s="6"/>
      <c r="F814" s="7"/>
    </row>
    <row r="815" spans="1:6" ht="23">
      <c r="A815" s="5" t="s">
        <v>100</v>
      </c>
      <c r="B815" s="6">
        <v>7.1400000000000006</v>
      </c>
      <c r="C815" s="6">
        <v>0.54258639865000935</v>
      </c>
      <c r="D815" s="6"/>
      <c r="F815" s="7"/>
    </row>
    <row r="816" spans="1:6" ht="23">
      <c r="A816" s="5" t="s">
        <v>4560</v>
      </c>
      <c r="B816" s="6">
        <v>6.1000000000000005</v>
      </c>
      <c r="C816" s="6">
        <v>0.535412613473632</v>
      </c>
      <c r="D816" s="6"/>
      <c r="F816" s="7"/>
    </row>
    <row r="817" spans="1:6" ht="23">
      <c r="A817" s="5" t="s">
        <v>1664</v>
      </c>
      <c r="B817" s="6">
        <v>7.1285714285714281</v>
      </c>
      <c r="C817" s="6">
        <v>0.6407903283430284</v>
      </c>
      <c r="D817" s="6"/>
      <c r="F817" s="7"/>
    </row>
    <row r="818" spans="1:6" ht="23">
      <c r="A818" s="5" t="s">
        <v>4877</v>
      </c>
      <c r="B818" s="6">
        <v>6.9499999999999993</v>
      </c>
      <c r="C818" s="6">
        <v>0.47871355387817566</v>
      </c>
      <c r="D818" s="6"/>
      <c r="F818" s="7"/>
    </row>
    <row r="819" spans="1:6" ht="23">
      <c r="A819" s="5" t="s">
        <v>6414</v>
      </c>
      <c r="B819" s="6">
        <v>7</v>
      </c>
      <c r="C819" s="6">
        <v>0</v>
      </c>
      <c r="D819" s="6"/>
      <c r="F819" s="7"/>
    </row>
    <row r="820" spans="1:6" ht="23">
      <c r="A820" s="5" t="s">
        <v>348</v>
      </c>
      <c r="B820" s="6">
        <v>7.1142857142857139</v>
      </c>
      <c r="C820" s="6">
        <v>1.4826892280376187</v>
      </c>
      <c r="D820" s="6"/>
      <c r="F820" s="7"/>
    </row>
    <row r="821" spans="1:6" ht="23">
      <c r="A821" s="5" t="s">
        <v>6693</v>
      </c>
      <c r="B821" s="6">
        <v>4.9000000000000004</v>
      </c>
      <c r="C821" s="6">
        <v>0</v>
      </c>
      <c r="D821" s="6"/>
      <c r="F821" s="7"/>
    </row>
    <row r="822" spans="1:6" ht="23">
      <c r="A822" s="5" t="s">
        <v>6546</v>
      </c>
      <c r="B822" s="6">
        <v>6.9</v>
      </c>
      <c r="C822" s="6">
        <v>0</v>
      </c>
      <c r="D822" s="6"/>
      <c r="F822" s="7"/>
    </row>
    <row r="823" spans="1:6" ht="23">
      <c r="A823" s="5" t="s">
        <v>3419</v>
      </c>
      <c r="B823" s="6">
        <v>3.5</v>
      </c>
      <c r="C823" s="6">
        <v>0</v>
      </c>
      <c r="D823" s="6"/>
      <c r="F823" s="7"/>
    </row>
    <row r="824" spans="1:6" ht="23">
      <c r="A824" s="5" t="s">
        <v>6331</v>
      </c>
      <c r="B824" s="6">
        <v>7.4</v>
      </c>
      <c r="C824" s="6">
        <v>0</v>
      </c>
      <c r="D824" s="6"/>
      <c r="F824" s="7"/>
    </row>
    <row r="825" spans="1:6" ht="23">
      <c r="A825" s="5" t="s">
        <v>5853</v>
      </c>
      <c r="B825" s="6">
        <v>4</v>
      </c>
      <c r="C825" s="6">
        <v>0</v>
      </c>
      <c r="D825" s="6"/>
      <c r="F825" s="7"/>
    </row>
    <row r="826" spans="1:6" ht="23">
      <c r="A826" s="5" t="s">
        <v>6835</v>
      </c>
      <c r="B826" s="6">
        <v>7.1</v>
      </c>
      <c r="C826" s="6">
        <v>0</v>
      </c>
      <c r="D826" s="6"/>
      <c r="F826" s="7"/>
    </row>
    <row r="827" spans="1:6" ht="23">
      <c r="A827" s="5" t="s">
        <v>5015</v>
      </c>
      <c r="B827" s="6">
        <v>7.3</v>
      </c>
      <c r="C827" s="6">
        <v>0</v>
      </c>
      <c r="D827" s="6"/>
      <c r="F827" s="7"/>
    </row>
    <row r="828" spans="1:6" ht="23">
      <c r="A828" s="5" t="s">
        <v>5888</v>
      </c>
      <c r="B828" s="6">
        <v>7.5500000000000007</v>
      </c>
      <c r="C828" s="6">
        <v>0.14999999999997915</v>
      </c>
      <c r="D828" s="6"/>
      <c r="F828" s="7"/>
    </row>
    <row r="829" spans="1:6" ht="23">
      <c r="A829" s="5" t="s">
        <v>6130</v>
      </c>
      <c r="B829" s="6">
        <v>6</v>
      </c>
      <c r="C829" s="6">
        <v>0</v>
      </c>
      <c r="D829" s="6"/>
      <c r="F829" s="7"/>
    </row>
    <row r="830" spans="1:6" ht="23">
      <c r="A830" s="5" t="s">
        <v>1184</v>
      </c>
      <c r="B830" s="6">
        <v>5.5</v>
      </c>
      <c r="C830" s="6">
        <v>0.5</v>
      </c>
      <c r="D830" s="6"/>
      <c r="F830" s="7"/>
    </row>
    <row r="831" spans="1:6" ht="23">
      <c r="A831" s="5" t="s">
        <v>2124</v>
      </c>
      <c r="B831" s="6">
        <v>4.8</v>
      </c>
      <c r="C831" s="6">
        <v>0</v>
      </c>
      <c r="D831" s="6"/>
      <c r="F831" s="7"/>
    </row>
    <row r="832" spans="1:6" ht="23">
      <c r="A832" s="5" t="s">
        <v>4470</v>
      </c>
      <c r="B832" s="6">
        <v>5.6</v>
      </c>
      <c r="C832" s="6">
        <v>0</v>
      </c>
      <c r="D832" s="6"/>
      <c r="F832" s="7"/>
    </row>
    <row r="833" spans="1:6" ht="23">
      <c r="A833" s="5" t="s">
        <v>5980</v>
      </c>
      <c r="B833" s="6">
        <v>5.8</v>
      </c>
      <c r="C833" s="6">
        <v>0</v>
      </c>
      <c r="D833" s="6"/>
      <c r="F833" s="7"/>
    </row>
    <row r="834" spans="1:6" ht="23">
      <c r="A834" s="5" t="s">
        <v>5259</v>
      </c>
      <c r="B834" s="6">
        <v>5.3</v>
      </c>
      <c r="C834" s="6">
        <v>0</v>
      </c>
      <c r="D834" s="6"/>
      <c r="F834" s="7"/>
    </row>
    <row r="835" spans="1:6" ht="23">
      <c r="A835" s="5" t="s">
        <v>1162</v>
      </c>
      <c r="B835" s="6">
        <v>6.15</v>
      </c>
      <c r="C835" s="6">
        <v>0.46097722286463511</v>
      </c>
      <c r="D835" s="6"/>
      <c r="F835" s="7"/>
    </row>
    <row r="836" spans="1:6" ht="23">
      <c r="A836" s="5" t="s">
        <v>6447</v>
      </c>
      <c r="B836" s="6">
        <v>3.4</v>
      </c>
      <c r="C836" s="6">
        <v>0</v>
      </c>
      <c r="D836" s="6"/>
      <c r="F836" s="7"/>
    </row>
    <row r="837" spans="1:6" ht="23">
      <c r="A837" s="5" t="s">
        <v>1141</v>
      </c>
      <c r="B837" s="6">
        <v>6.55</v>
      </c>
      <c r="C837" s="6">
        <v>0.97596106479715705</v>
      </c>
      <c r="D837" s="6"/>
      <c r="F837" s="7"/>
    </row>
    <row r="838" spans="1:6" ht="23">
      <c r="A838" s="5" t="s">
        <v>6878</v>
      </c>
      <c r="B838" s="6">
        <v>6.3</v>
      </c>
      <c r="C838" s="6">
        <v>0</v>
      </c>
      <c r="D838" s="6"/>
      <c r="F838" s="7"/>
    </row>
    <row r="839" spans="1:6" ht="23">
      <c r="A839" s="5" t="s">
        <v>2954</v>
      </c>
      <c r="B839" s="6">
        <v>5.9</v>
      </c>
      <c r="C839" s="6">
        <v>0.59999999999999953</v>
      </c>
      <c r="D839" s="6"/>
      <c r="F839" s="7"/>
    </row>
    <row r="840" spans="1:6" ht="23">
      <c r="A840" s="5" t="s">
        <v>6412</v>
      </c>
      <c r="B840" s="6">
        <v>4.7</v>
      </c>
      <c r="C840" s="6">
        <v>0</v>
      </c>
      <c r="D840" s="6"/>
      <c r="F840" s="7"/>
    </row>
    <row r="841" spans="1:6" ht="23">
      <c r="A841" s="5" t="s">
        <v>4633</v>
      </c>
      <c r="B841" s="6">
        <v>6.5</v>
      </c>
      <c r="C841" s="6">
        <v>0</v>
      </c>
      <c r="D841" s="6"/>
      <c r="F841" s="7"/>
    </row>
    <row r="842" spans="1:6" ht="23">
      <c r="A842" s="5" t="s">
        <v>2156</v>
      </c>
      <c r="B842" s="6">
        <v>8.2249999999999996</v>
      </c>
      <c r="C842" s="6">
        <v>0.33447720400650915</v>
      </c>
      <c r="D842" s="6"/>
      <c r="F842" s="7"/>
    </row>
    <row r="843" spans="1:6" ht="23">
      <c r="A843" s="5" t="s">
        <v>5974</v>
      </c>
      <c r="B843" s="6">
        <v>4.3</v>
      </c>
      <c r="C843" s="6">
        <v>0</v>
      </c>
      <c r="D843" s="6"/>
      <c r="F843" s="7"/>
    </row>
    <row r="844" spans="1:6" ht="23">
      <c r="A844" s="5" t="s">
        <v>5848</v>
      </c>
      <c r="B844" s="6">
        <v>6.4</v>
      </c>
      <c r="C844" s="6">
        <v>0</v>
      </c>
      <c r="D844" s="6"/>
      <c r="F844" s="7"/>
    </row>
    <row r="845" spans="1:6" ht="23">
      <c r="A845" s="5" t="s">
        <v>6885</v>
      </c>
      <c r="B845" s="6">
        <v>7.8</v>
      </c>
      <c r="C845" s="6">
        <v>0</v>
      </c>
      <c r="D845" s="6"/>
      <c r="F845" s="7"/>
    </row>
    <row r="846" spans="1:6" ht="23">
      <c r="A846" s="5" t="s">
        <v>6258</v>
      </c>
      <c r="B846" s="6">
        <v>7.2</v>
      </c>
      <c r="C846" s="6">
        <v>0</v>
      </c>
      <c r="D846" s="6"/>
      <c r="F846" s="7"/>
    </row>
    <row r="847" spans="1:6" ht="23">
      <c r="A847" s="5" t="s">
        <v>6357</v>
      </c>
      <c r="B847" s="6">
        <v>7.1</v>
      </c>
      <c r="C847" s="6">
        <v>0</v>
      </c>
      <c r="D847" s="6"/>
      <c r="F847" s="7"/>
    </row>
    <row r="848" spans="1:6" ht="23">
      <c r="A848" s="5" t="s">
        <v>5482</v>
      </c>
      <c r="B848" s="6">
        <v>5.6</v>
      </c>
      <c r="C848" s="6">
        <v>0</v>
      </c>
      <c r="D848" s="6"/>
      <c r="F848" s="7"/>
    </row>
    <row r="849" spans="1:6" ht="23">
      <c r="A849" s="5" t="s">
        <v>733</v>
      </c>
      <c r="B849" s="6">
        <v>7</v>
      </c>
      <c r="C849" s="6">
        <v>0</v>
      </c>
      <c r="D849" s="6"/>
      <c r="F849" s="7"/>
    </row>
    <row r="850" spans="1:6" ht="23">
      <c r="A850" s="5" t="s">
        <v>3130</v>
      </c>
      <c r="B850" s="6">
        <v>5.833333333333333</v>
      </c>
      <c r="C850" s="6">
        <v>1.02089285540757</v>
      </c>
      <c r="D850" s="6"/>
      <c r="F850" s="7"/>
    </row>
    <row r="851" spans="1:6" ht="23">
      <c r="A851" s="5" t="s">
        <v>6036</v>
      </c>
      <c r="B851" s="6">
        <v>7</v>
      </c>
      <c r="C851" s="6">
        <v>0</v>
      </c>
      <c r="D851" s="6"/>
      <c r="F851" s="7"/>
    </row>
    <row r="852" spans="1:6" ht="23">
      <c r="A852" s="5" t="s">
        <v>5213</v>
      </c>
      <c r="B852" s="6">
        <v>6.8</v>
      </c>
      <c r="C852" s="6">
        <v>0</v>
      </c>
      <c r="D852" s="6"/>
      <c r="F852" s="7"/>
    </row>
    <row r="853" spans="1:6" ht="23">
      <c r="A853" s="5" t="s">
        <v>850</v>
      </c>
      <c r="B853" s="6">
        <v>6.2</v>
      </c>
      <c r="C853" s="6">
        <v>1.5</v>
      </c>
      <c r="D853" s="6"/>
      <c r="F853" s="7"/>
    </row>
    <row r="854" spans="1:6" ht="23">
      <c r="A854" s="5" t="s">
        <v>6937</v>
      </c>
      <c r="B854" s="6">
        <v>4.5</v>
      </c>
      <c r="C854" s="6">
        <v>0</v>
      </c>
      <c r="D854" s="6"/>
      <c r="F854" s="7"/>
    </row>
    <row r="855" spans="1:6" ht="23">
      <c r="A855" s="5" t="s">
        <v>2851</v>
      </c>
      <c r="B855" s="6">
        <v>6.5</v>
      </c>
      <c r="C855" s="6">
        <v>0</v>
      </c>
      <c r="D855" s="6"/>
      <c r="F855" s="7"/>
    </row>
    <row r="856" spans="1:6" ht="23">
      <c r="A856" s="5" t="s">
        <v>178</v>
      </c>
      <c r="B856" s="6">
        <v>8.1999999999999993</v>
      </c>
      <c r="C856" s="6">
        <v>0</v>
      </c>
      <c r="D856" s="6"/>
      <c r="F856" s="7"/>
    </row>
    <row r="857" spans="1:6" ht="23">
      <c r="A857" s="5" t="s">
        <v>1389</v>
      </c>
      <c r="B857" s="6">
        <v>5.4</v>
      </c>
      <c r="C857" s="6">
        <v>0</v>
      </c>
      <c r="D857" s="6"/>
      <c r="F857" s="7"/>
    </row>
    <row r="858" spans="1:6" ht="23">
      <c r="A858" s="5" t="s">
        <v>6974</v>
      </c>
      <c r="B858" s="6">
        <v>6.3</v>
      </c>
      <c r="C858" s="6">
        <v>0</v>
      </c>
      <c r="D858" s="6"/>
      <c r="F858" s="7"/>
    </row>
    <row r="859" spans="1:6" ht="23">
      <c r="A859" s="5" t="s">
        <v>293</v>
      </c>
      <c r="B859" s="6">
        <v>6.4</v>
      </c>
      <c r="C859" s="6">
        <v>0</v>
      </c>
      <c r="D859" s="6"/>
      <c r="F859" s="7"/>
    </row>
    <row r="860" spans="1:6" ht="23">
      <c r="A860" s="5" t="s">
        <v>5177</v>
      </c>
      <c r="B860" s="6">
        <v>6.1</v>
      </c>
      <c r="C860" s="6">
        <v>0</v>
      </c>
      <c r="D860" s="6"/>
      <c r="F860" s="7"/>
    </row>
    <row r="861" spans="1:6" ht="23">
      <c r="A861" s="5" t="s">
        <v>4642</v>
      </c>
      <c r="B861" s="6">
        <v>7.7</v>
      </c>
      <c r="C861" s="6">
        <v>0</v>
      </c>
      <c r="D861" s="6"/>
      <c r="F861" s="7"/>
    </row>
    <row r="862" spans="1:6" ht="23">
      <c r="A862" s="5" t="s">
        <v>1429</v>
      </c>
      <c r="B862" s="6">
        <v>5.9666666666666659</v>
      </c>
      <c r="C862" s="6">
        <v>0.41096093353127033</v>
      </c>
      <c r="D862" s="6"/>
      <c r="F862" s="7"/>
    </row>
    <row r="863" spans="1:6" ht="23">
      <c r="A863" s="5" t="s">
        <v>5747</v>
      </c>
      <c r="B863" s="6">
        <v>7.8</v>
      </c>
      <c r="C863" s="6">
        <v>0</v>
      </c>
      <c r="D863" s="6"/>
      <c r="F863" s="7"/>
    </row>
    <row r="864" spans="1:6" ht="23">
      <c r="A864" s="5" t="s">
        <v>5575</v>
      </c>
      <c r="B864" s="6">
        <v>7.8</v>
      </c>
      <c r="C864" s="6">
        <v>0</v>
      </c>
      <c r="D864" s="6"/>
      <c r="F864" s="7"/>
    </row>
    <row r="865" spans="1:6" ht="23">
      <c r="A865" s="5" t="s">
        <v>3533</v>
      </c>
      <c r="B865" s="6">
        <v>6.4499999999999993</v>
      </c>
      <c r="C865" s="6">
        <v>0.35000000000000325</v>
      </c>
      <c r="D865" s="6"/>
      <c r="F865" s="7"/>
    </row>
    <row r="866" spans="1:6" ht="23">
      <c r="A866" s="5" t="s">
        <v>234</v>
      </c>
      <c r="B866" s="6">
        <v>5.0999999999999996</v>
      </c>
      <c r="C866" s="6">
        <v>0</v>
      </c>
      <c r="D866" s="6"/>
      <c r="F866" s="7"/>
    </row>
    <row r="867" spans="1:6" ht="23">
      <c r="A867" s="5" t="s">
        <v>3829</v>
      </c>
      <c r="B867" s="6">
        <v>6.4</v>
      </c>
      <c r="C867" s="6">
        <v>0</v>
      </c>
      <c r="D867" s="6"/>
      <c r="F867" s="7"/>
    </row>
    <row r="868" spans="1:6" ht="23">
      <c r="A868" s="5" t="s">
        <v>6066</v>
      </c>
      <c r="B868" s="6">
        <v>4.5999999999999996</v>
      </c>
      <c r="C868" s="6">
        <v>0</v>
      </c>
      <c r="D868" s="6"/>
      <c r="F868" s="7"/>
    </row>
    <row r="869" spans="1:6" ht="23">
      <c r="A869" s="5" t="s">
        <v>6076</v>
      </c>
      <c r="B869" s="6">
        <v>5.8</v>
      </c>
      <c r="C869" s="6">
        <v>0</v>
      </c>
      <c r="D869" s="6"/>
      <c r="F869" s="7"/>
    </row>
    <row r="870" spans="1:6" ht="23">
      <c r="A870" s="5" t="s">
        <v>2162</v>
      </c>
      <c r="B870" s="6">
        <v>6.4</v>
      </c>
      <c r="C870" s="6">
        <v>0.79999999999999594</v>
      </c>
      <c r="D870" s="6"/>
      <c r="F870" s="7"/>
    </row>
    <row r="871" spans="1:6" ht="23">
      <c r="A871" s="5" t="s">
        <v>2153</v>
      </c>
      <c r="B871" s="6">
        <v>5.2</v>
      </c>
      <c r="C871" s="6">
        <v>0</v>
      </c>
      <c r="D871" s="6"/>
      <c r="F871" s="7"/>
    </row>
    <row r="872" spans="1:6" ht="23">
      <c r="A872" s="5" t="s">
        <v>2077</v>
      </c>
      <c r="B872" s="6">
        <v>5.8250000000000002</v>
      </c>
      <c r="C872" s="6">
        <v>1.1840080236214605</v>
      </c>
      <c r="D872" s="6"/>
      <c r="F872" s="7"/>
    </row>
    <row r="873" spans="1:6" ht="23">
      <c r="A873" s="5" t="s">
        <v>6091</v>
      </c>
      <c r="B873" s="6">
        <v>6.6</v>
      </c>
      <c r="C873" s="6">
        <v>0</v>
      </c>
      <c r="D873" s="6"/>
      <c r="F873" s="7"/>
    </row>
    <row r="874" spans="1:6" ht="23">
      <c r="A874" s="5" t="s">
        <v>2223</v>
      </c>
      <c r="B874" s="6">
        <v>3.6</v>
      </c>
      <c r="C874" s="6">
        <v>0</v>
      </c>
      <c r="D874" s="6"/>
      <c r="F874" s="7"/>
    </row>
    <row r="875" spans="1:6" ht="23">
      <c r="A875" s="5" t="s">
        <v>1190</v>
      </c>
      <c r="B875" s="6">
        <v>6.55</v>
      </c>
      <c r="C875" s="6">
        <v>0.51234753829798274</v>
      </c>
      <c r="D875" s="6"/>
      <c r="F875" s="7"/>
    </row>
    <row r="876" spans="1:6" ht="23">
      <c r="A876" s="5" t="s">
        <v>4988</v>
      </c>
      <c r="B876" s="6">
        <v>6.4</v>
      </c>
      <c r="C876" s="6">
        <v>0</v>
      </c>
      <c r="D876" s="6"/>
      <c r="F876" s="7"/>
    </row>
    <row r="877" spans="1:6" ht="23">
      <c r="A877" s="5" t="s">
        <v>3512</v>
      </c>
      <c r="B877" s="6">
        <v>3.3</v>
      </c>
      <c r="C877" s="6">
        <v>0</v>
      </c>
      <c r="D877" s="6"/>
      <c r="F877" s="7"/>
    </row>
    <row r="878" spans="1:6" ht="23">
      <c r="A878" s="5" t="s">
        <v>5019</v>
      </c>
      <c r="B878" s="6">
        <v>6.5</v>
      </c>
      <c r="C878" s="6">
        <v>0</v>
      </c>
      <c r="D878" s="6"/>
      <c r="F878" s="7"/>
    </row>
    <row r="879" spans="1:6" ht="23">
      <c r="A879" s="5" t="s">
        <v>5245</v>
      </c>
      <c r="B879" s="6">
        <v>5.6</v>
      </c>
      <c r="C879" s="6">
        <v>0</v>
      </c>
      <c r="D879" s="6"/>
      <c r="F879" s="7"/>
    </row>
    <row r="880" spans="1:6" ht="23">
      <c r="A880" s="5" t="s">
        <v>2486</v>
      </c>
      <c r="B880" s="6">
        <v>5.9</v>
      </c>
      <c r="C880" s="6">
        <v>0</v>
      </c>
      <c r="D880" s="6"/>
      <c r="F880" s="7"/>
    </row>
    <row r="881" spans="1:6" ht="23">
      <c r="A881" s="5" t="s">
        <v>6874</v>
      </c>
      <c r="B881" s="6">
        <v>8.1999999999999993</v>
      </c>
      <c r="C881" s="6">
        <v>0</v>
      </c>
      <c r="D881" s="6"/>
      <c r="F881" s="7"/>
    </row>
    <row r="882" spans="1:6" ht="23">
      <c r="A882" s="5" t="s">
        <v>2831</v>
      </c>
      <c r="B882" s="6">
        <v>5.2</v>
      </c>
      <c r="C882" s="6">
        <v>0</v>
      </c>
      <c r="D882" s="6"/>
      <c r="F882" s="7"/>
    </row>
    <row r="883" spans="1:6" ht="23">
      <c r="A883" s="5" t="s">
        <v>4186</v>
      </c>
      <c r="B883" s="6">
        <v>6.15</v>
      </c>
      <c r="C883" s="6">
        <v>0.14999999999997915</v>
      </c>
      <c r="D883" s="6"/>
      <c r="F883" s="7"/>
    </row>
    <row r="884" spans="1:6" ht="23">
      <c r="A884" s="5" t="s">
        <v>1986</v>
      </c>
      <c r="B884" s="6">
        <v>7.5</v>
      </c>
      <c r="C884" s="6">
        <v>1.3000000000000045</v>
      </c>
      <c r="D884" s="6"/>
      <c r="F884" s="7"/>
    </row>
    <row r="885" spans="1:6" ht="23">
      <c r="A885" s="5" t="s">
        <v>1845</v>
      </c>
      <c r="B885" s="6">
        <v>6.4499999999999993</v>
      </c>
      <c r="C885" s="6">
        <v>0.68007352543677635</v>
      </c>
      <c r="D885" s="6"/>
      <c r="F885" s="7"/>
    </row>
    <row r="886" spans="1:6" ht="23">
      <c r="A886" s="5" t="s">
        <v>5843</v>
      </c>
      <c r="B886" s="6">
        <v>4.9000000000000004</v>
      </c>
      <c r="C886" s="6">
        <v>0</v>
      </c>
      <c r="D886" s="6"/>
      <c r="F886" s="7"/>
    </row>
    <row r="887" spans="1:6" ht="23">
      <c r="A887" s="5" t="s">
        <v>5919</v>
      </c>
      <c r="B887" s="6">
        <v>7.6</v>
      </c>
      <c r="C887" s="6">
        <v>0</v>
      </c>
      <c r="D887" s="6"/>
      <c r="F887" s="7"/>
    </row>
    <row r="888" spans="1:6" ht="23">
      <c r="A888" s="5" t="s">
        <v>3408</v>
      </c>
      <c r="B888" s="6">
        <v>7.1</v>
      </c>
      <c r="C888" s="6">
        <v>0</v>
      </c>
      <c r="D888" s="6"/>
      <c r="F888" s="7"/>
    </row>
    <row r="889" spans="1:6" ht="23">
      <c r="A889" s="5" t="s">
        <v>5468</v>
      </c>
      <c r="B889" s="6">
        <v>6.2</v>
      </c>
      <c r="C889" s="6">
        <v>0</v>
      </c>
      <c r="D889" s="6"/>
      <c r="F889" s="7"/>
    </row>
    <row r="890" spans="1:6" ht="23">
      <c r="A890" s="5" t="s">
        <v>7218</v>
      </c>
      <c r="B890" s="6">
        <v>6.7</v>
      </c>
      <c r="C890" s="6">
        <v>0</v>
      </c>
      <c r="D890" s="6"/>
      <c r="F890" s="7"/>
    </row>
    <row r="891" spans="1:6" ht="23">
      <c r="A891" s="5" t="s">
        <v>722</v>
      </c>
      <c r="B891" s="6">
        <v>6.0750000000000002</v>
      </c>
      <c r="C891" s="6">
        <v>0.54256336035526975</v>
      </c>
      <c r="D891" s="6"/>
      <c r="F891" s="7"/>
    </row>
    <row r="892" spans="1:6" ht="23">
      <c r="A892" s="5" t="s">
        <v>1960</v>
      </c>
      <c r="B892" s="6">
        <v>5.2</v>
      </c>
      <c r="C892" s="6">
        <v>0</v>
      </c>
      <c r="D892" s="6"/>
      <c r="F892" s="7"/>
    </row>
    <row r="893" spans="1:6" ht="23">
      <c r="A893" s="5" t="s">
        <v>6170</v>
      </c>
      <c r="B893" s="6">
        <v>5.8</v>
      </c>
      <c r="C893" s="6">
        <v>0.29999999999999383</v>
      </c>
      <c r="D893" s="6"/>
      <c r="F893" s="7"/>
    </row>
    <row r="894" spans="1:6" ht="23">
      <c r="A894" s="5" t="s">
        <v>1856</v>
      </c>
      <c r="B894" s="6">
        <v>7.55</v>
      </c>
      <c r="C894" s="6">
        <v>4.9999999999977264E-2</v>
      </c>
      <c r="D894" s="6"/>
      <c r="F894" s="7"/>
    </row>
    <row r="895" spans="1:6" ht="23">
      <c r="A895" s="5" t="s">
        <v>2253</v>
      </c>
      <c r="B895" s="6">
        <v>5.65</v>
      </c>
      <c r="C895" s="6">
        <v>0.75000000000000233</v>
      </c>
      <c r="D895" s="6"/>
      <c r="F895" s="7"/>
    </row>
    <row r="896" spans="1:6" ht="23">
      <c r="A896" s="5" t="s">
        <v>3232</v>
      </c>
      <c r="B896" s="6">
        <v>7</v>
      </c>
      <c r="C896" s="6">
        <v>8.1649658092812827E-2</v>
      </c>
      <c r="D896" s="6"/>
      <c r="F896" s="7"/>
    </row>
    <row r="897" spans="1:6" ht="23">
      <c r="A897" s="5" t="s">
        <v>93</v>
      </c>
      <c r="B897" s="6">
        <v>7.4499999999999993</v>
      </c>
      <c r="C897" s="6">
        <v>0.46097722286465054</v>
      </c>
      <c r="D897" s="6"/>
      <c r="F897" s="7"/>
    </row>
    <row r="898" spans="1:6" ht="23">
      <c r="A898" s="5" t="s">
        <v>5296</v>
      </c>
      <c r="B898" s="6">
        <v>5.3</v>
      </c>
      <c r="C898" s="6">
        <v>0</v>
      </c>
      <c r="D898" s="6"/>
      <c r="F898" s="7"/>
    </row>
    <row r="899" spans="1:6" ht="23">
      <c r="A899" s="5" t="s">
        <v>6021</v>
      </c>
      <c r="B899" s="6">
        <v>7.1</v>
      </c>
      <c r="C899" s="6">
        <v>0</v>
      </c>
      <c r="D899" s="6"/>
      <c r="F899" s="7"/>
    </row>
    <row r="900" spans="1:6" ht="23">
      <c r="A900" s="5" t="s">
        <v>6815</v>
      </c>
      <c r="B900" s="6">
        <v>6.6</v>
      </c>
      <c r="C900" s="6">
        <v>0</v>
      </c>
      <c r="D900" s="6"/>
      <c r="F900" s="7"/>
    </row>
    <row r="901" spans="1:6" ht="23">
      <c r="A901" s="5" t="s">
        <v>6939</v>
      </c>
      <c r="B901" s="6">
        <v>6.4</v>
      </c>
      <c r="C901" s="6">
        <v>0</v>
      </c>
      <c r="D901" s="6"/>
      <c r="F901" s="7"/>
    </row>
    <row r="902" spans="1:6" ht="23">
      <c r="A902" s="5" t="s">
        <v>5717</v>
      </c>
      <c r="B902" s="6">
        <v>5.4</v>
      </c>
      <c r="C902" s="6">
        <v>0</v>
      </c>
      <c r="D902" s="6"/>
      <c r="F902" s="7"/>
    </row>
    <row r="903" spans="1:6" ht="23">
      <c r="A903" s="5" t="s">
        <v>3529</v>
      </c>
      <c r="B903" s="6">
        <v>6.1</v>
      </c>
      <c r="C903" s="6">
        <v>0.90000000000000524</v>
      </c>
      <c r="D903" s="6"/>
      <c r="F903" s="7"/>
    </row>
    <row r="904" spans="1:6" ht="23">
      <c r="A904" s="5" t="s">
        <v>4976</v>
      </c>
      <c r="B904" s="6">
        <v>5.8</v>
      </c>
      <c r="C904" s="6">
        <v>0</v>
      </c>
      <c r="D904" s="6"/>
      <c r="F904" s="7"/>
    </row>
    <row r="905" spans="1:6" ht="23">
      <c r="A905" s="5" t="s">
        <v>5965</v>
      </c>
      <c r="B905" s="6">
        <v>6.9</v>
      </c>
      <c r="C905" s="6">
        <v>0</v>
      </c>
      <c r="D905" s="6"/>
      <c r="F905" s="7"/>
    </row>
    <row r="906" spans="1:6" ht="23">
      <c r="A906" s="5" t="s">
        <v>6768</v>
      </c>
      <c r="B906" s="6">
        <v>7.3</v>
      </c>
      <c r="C906" s="6">
        <v>0</v>
      </c>
      <c r="D906" s="6"/>
      <c r="F906" s="7"/>
    </row>
    <row r="907" spans="1:6" ht="23">
      <c r="A907" s="5" t="s">
        <v>771</v>
      </c>
      <c r="B907" s="6">
        <v>7.9</v>
      </c>
      <c r="C907" s="6">
        <v>9.9999999999990055E-2</v>
      </c>
      <c r="D907" s="6"/>
      <c r="F907" s="7"/>
    </row>
    <row r="908" spans="1:6" ht="23">
      <c r="A908" s="5" t="s">
        <v>7216</v>
      </c>
      <c r="B908" s="6">
        <v>7.5</v>
      </c>
      <c r="C908" s="6">
        <v>0</v>
      </c>
      <c r="D908" s="6"/>
      <c r="F908" s="7"/>
    </row>
    <row r="909" spans="1:6" ht="23">
      <c r="A909" s="5" t="s">
        <v>6285</v>
      </c>
      <c r="B909" s="6">
        <v>7.6</v>
      </c>
      <c r="C909" s="6">
        <v>0</v>
      </c>
      <c r="D909" s="6"/>
      <c r="F909" s="7"/>
    </row>
    <row r="910" spans="1:6" ht="23">
      <c r="A910" s="5" t="s">
        <v>5124</v>
      </c>
      <c r="B910" s="6">
        <v>5.9</v>
      </c>
      <c r="C910" s="6">
        <v>0</v>
      </c>
      <c r="D910" s="6"/>
      <c r="F910" s="7"/>
    </row>
    <row r="911" spans="1:6" ht="23">
      <c r="A911" s="5" t="s">
        <v>1811</v>
      </c>
      <c r="B911" s="6">
        <v>6.125</v>
      </c>
      <c r="C911" s="6">
        <v>0.7628073151196203</v>
      </c>
      <c r="D911" s="6"/>
      <c r="F911" s="7"/>
    </row>
    <row r="912" spans="1:6" ht="23">
      <c r="A912" s="5" t="s">
        <v>3847</v>
      </c>
      <c r="B912" s="6">
        <v>5.9</v>
      </c>
      <c r="C912" s="6">
        <v>0</v>
      </c>
      <c r="D912" s="6"/>
      <c r="F912" s="7"/>
    </row>
    <row r="913" spans="1:6" ht="23">
      <c r="A913" s="5" t="s">
        <v>4131</v>
      </c>
      <c r="B913" s="6">
        <v>6.75</v>
      </c>
      <c r="C913" s="6">
        <v>0.35000000000000325</v>
      </c>
      <c r="D913" s="6"/>
      <c r="F913" s="7"/>
    </row>
    <row r="914" spans="1:6" ht="23">
      <c r="A914" s="5" t="s">
        <v>4521</v>
      </c>
      <c r="B914" s="6">
        <v>7</v>
      </c>
      <c r="C914" s="6">
        <v>0</v>
      </c>
      <c r="D914" s="6"/>
      <c r="F914" s="7"/>
    </row>
    <row r="915" spans="1:6" ht="23">
      <c r="A915" s="5" t="s">
        <v>7107</v>
      </c>
      <c r="B915" s="6">
        <v>5.8</v>
      </c>
      <c r="C915" s="6">
        <v>0</v>
      </c>
      <c r="D915" s="6"/>
      <c r="F915" s="7"/>
    </row>
    <row r="916" spans="1:6" ht="23">
      <c r="A916" s="5" t="s">
        <v>6159</v>
      </c>
      <c r="B916" s="6">
        <v>7.2</v>
      </c>
      <c r="C916" s="6">
        <v>0</v>
      </c>
      <c r="D916" s="6"/>
      <c r="F916" s="7"/>
    </row>
    <row r="917" spans="1:6" ht="23">
      <c r="A917" s="5" t="s">
        <v>1709</v>
      </c>
      <c r="B917" s="6">
        <v>4.9000000000000004</v>
      </c>
      <c r="C917" s="6">
        <v>0</v>
      </c>
      <c r="D917" s="6"/>
      <c r="F917" s="7"/>
    </row>
    <row r="918" spans="1:6" ht="23">
      <c r="A918" s="5" t="s">
        <v>736</v>
      </c>
      <c r="B918" s="6">
        <v>7.5</v>
      </c>
      <c r="C918" s="6">
        <v>0.21602468994691815</v>
      </c>
      <c r="D918" s="6"/>
      <c r="F918" s="7"/>
    </row>
    <row r="919" spans="1:6" ht="23">
      <c r="A919" s="5" t="s">
        <v>7190</v>
      </c>
      <c r="B919" s="6">
        <v>6.7</v>
      </c>
      <c r="C919" s="6">
        <v>0</v>
      </c>
      <c r="D919" s="6"/>
      <c r="F919" s="7"/>
    </row>
    <row r="920" spans="1:6" ht="23">
      <c r="A920" s="5" t="s">
        <v>193</v>
      </c>
      <c r="B920" s="6">
        <v>6.6333333333333329</v>
      </c>
      <c r="C920" s="6">
        <v>0.32998316455373483</v>
      </c>
      <c r="D920" s="6"/>
      <c r="F920" s="7"/>
    </row>
    <row r="921" spans="1:6" ht="23">
      <c r="A921" s="5" t="s">
        <v>2753</v>
      </c>
      <c r="B921" s="6">
        <v>5.6</v>
      </c>
      <c r="C921" s="6">
        <v>0</v>
      </c>
      <c r="D921" s="6"/>
      <c r="F921" s="7"/>
    </row>
    <row r="922" spans="1:6" ht="23">
      <c r="A922" s="5" t="s">
        <v>9</v>
      </c>
      <c r="B922" s="6">
        <v>7.9142857142857137</v>
      </c>
      <c r="C922" s="6">
        <v>0.42570469787861231</v>
      </c>
      <c r="D922" s="6"/>
      <c r="F922" s="7"/>
    </row>
    <row r="923" spans="1:6" ht="23">
      <c r="A923" s="5" t="s">
        <v>5169</v>
      </c>
      <c r="B923" s="6">
        <v>6.1999999999999993</v>
      </c>
      <c r="C923" s="6">
        <v>0.37416573867740965</v>
      </c>
      <c r="D923" s="6"/>
      <c r="F923" s="7"/>
    </row>
    <row r="924" spans="1:6" ht="23">
      <c r="A924" s="5" t="s">
        <v>6385</v>
      </c>
      <c r="B924" s="6">
        <v>6.2</v>
      </c>
      <c r="C924" s="6">
        <v>0</v>
      </c>
      <c r="D924" s="6"/>
      <c r="F924" s="7"/>
    </row>
    <row r="925" spans="1:6" ht="23">
      <c r="A925" s="5" t="s">
        <v>4328</v>
      </c>
      <c r="B925" s="6">
        <v>6.1000000000000005</v>
      </c>
      <c r="C925" s="6">
        <v>0.32659863237107728</v>
      </c>
      <c r="D925" s="6"/>
      <c r="F925" s="7"/>
    </row>
    <row r="926" spans="1:6" ht="23">
      <c r="A926" s="5" t="s">
        <v>5933</v>
      </c>
      <c r="B926" s="6">
        <v>6.2</v>
      </c>
      <c r="C926" s="6">
        <v>0</v>
      </c>
      <c r="D926" s="6"/>
      <c r="F926" s="7"/>
    </row>
    <row r="927" spans="1:6" ht="23">
      <c r="A927" s="5" t="s">
        <v>3933</v>
      </c>
      <c r="B927" s="6">
        <v>6.5</v>
      </c>
      <c r="C927" s="6">
        <v>0</v>
      </c>
      <c r="D927" s="6"/>
      <c r="F927" s="7"/>
    </row>
    <row r="928" spans="1:6" ht="23">
      <c r="A928" s="5" t="s">
        <v>3762</v>
      </c>
      <c r="B928" s="6">
        <v>6.833333333333333</v>
      </c>
      <c r="C928" s="6">
        <v>0.74087035902975784</v>
      </c>
      <c r="D928" s="6"/>
      <c r="F928" s="7"/>
    </row>
    <row r="929" spans="1:6" ht="23">
      <c r="A929" s="5" t="s">
        <v>4717</v>
      </c>
      <c r="B929" s="6">
        <v>7.7</v>
      </c>
      <c r="C929" s="6">
        <v>0</v>
      </c>
      <c r="D929" s="6"/>
      <c r="F929" s="7"/>
    </row>
    <row r="930" spans="1:6" ht="23">
      <c r="A930" s="5" t="s">
        <v>2325</v>
      </c>
      <c r="B930" s="6">
        <v>7.2</v>
      </c>
      <c r="C930" s="6">
        <v>0</v>
      </c>
      <c r="D930" s="6"/>
      <c r="F930" s="7"/>
    </row>
    <row r="931" spans="1:6" ht="23">
      <c r="A931" s="5" t="s">
        <v>2519</v>
      </c>
      <c r="B931" s="6">
        <v>6.75</v>
      </c>
      <c r="C931" s="6">
        <v>0.26925824035673468</v>
      </c>
      <c r="D931" s="6"/>
      <c r="F931" s="7"/>
    </row>
    <row r="932" spans="1:6" ht="23">
      <c r="A932" s="5" t="s">
        <v>174</v>
      </c>
      <c r="B932" s="6">
        <v>7.1333333333333329</v>
      </c>
      <c r="C932" s="6">
        <v>0.69442222186665781</v>
      </c>
      <c r="D932" s="6"/>
      <c r="F932" s="7"/>
    </row>
    <row r="933" spans="1:6" ht="23">
      <c r="A933" s="5" t="s">
        <v>3914</v>
      </c>
      <c r="B933" s="6">
        <v>4.4000000000000004</v>
      </c>
      <c r="C933" s="6">
        <v>0</v>
      </c>
      <c r="D933" s="6"/>
      <c r="F933" s="7"/>
    </row>
    <row r="934" spans="1:6" ht="23">
      <c r="A934" s="5" t="s">
        <v>3607</v>
      </c>
      <c r="B934" s="6">
        <v>7.0571428571428569</v>
      </c>
      <c r="C934" s="6">
        <v>0.7537660547584607</v>
      </c>
      <c r="D934" s="6"/>
      <c r="F934" s="7"/>
    </row>
    <row r="935" spans="1:6" ht="23">
      <c r="A935" s="5" t="s">
        <v>7043</v>
      </c>
      <c r="B935" s="6">
        <v>5.4</v>
      </c>
      <c r="C935" s="6">
        <v>0</v>
      </c>
      <c r="D935" s="6"/>
      <c r="F935" s="7"/>
    </row>
    <row r="936" spans="1:6" ht="23">
      <c r="A936" s="5" t="s">
        <v>380</v>
      </c>
      <c r="B936" s="6">
        <v>6.5</v>
      </c>
      <c r="C936" s="6">
        <v>0.97979589711327053</v>
      </c>
      <c r="D936" s="6"/>
      <c r="F936" s="7"/>
    </row>
    <row r="937" spans="1:6" ht="23">
      <c r="A937" s="5" t="s">
        <v>5333</v>
      </c>
      <c r="B937" s="6">
        <v>4.4000000000000004</v>
      </c>
      <c r="C937" s="6">
        <v>0</v>
      </c>
      <c r="D937" s="6"/>
      <c r="F937" s="7"/>
    </row>
    <row r="938" spans="1:6" ht="23">
      <c r="A938" s="5" t="s">
        <v>382</v>
      </c>
      <c r="B938" s="6">
        <v>7.0749999999999993</v>
      </c>
      <c r="C938" s="6">
        <v>0.56291651245989416</v>
      </c>
      <c r="D938" s="6"/>
      <c r="F938" s="7"/>
    </row>
    <row r="939" spans="1:6" ht="23">
      <c r="A939" s="5" t="s">
        <v>3682</v>
      </c>
      <c r="B939" s="6">
        <v>7.75</v>
      </c>
      <c r="C939" s="6">
        <v>4.9999999999977264E-2</v>
      </c>
      <c r="D939" s="6"/>
      <c r="F939" s="7"/>
    </row>
    <row r="940" spans="1:6" ht="23">
      <c r="A940" s="5" t="s">
        <v>3179</v>
      </c>
      <c r="B940" s="6">
        <v>6.1</v>
      </c>
      <c r="C940" s="6">
        <v>0</v>
      </c>
      <c r="D940" s="6"/>
      <c r="F940" s="7"/>
    </row>
    <row r="941" spans="1:6" ht="23">
      <c r="A941" s="5" t="s">
        <v>1403</v>
      </c>
      <c r="B941" s="6">
        <v>6.65</v>
      </c>
      <c r="C941" s="6">
        <v>0.95262794416288188</v>
      </c>
      <c r="D941" s="6"/>
      <c r="F941" s="7"/>
    </row>
    <row r="942" spans="1:6" ht="23">
      <c r="A942" s="5" t="s">
        <v>5509</v>
      </c>
      <c r="B942" s="6">
        <v>4.5999999999999996</v>
      </c>
      <c r="C942" s="6">
        <v>0</v>
      </c>
      <c r="D942" s="6"/>
      <c r="F942" s="7"/>
    </row>
    <row r="943" spans="1:6" ht="23">
      <c r="A943" s="5" t="s">
        <v>6283</v>
      </c>
      <c r="B943" s="6">
        <v>6.7</v>
      </c>
      <c r="C943" s="6">
        <v>0</v>
      </c>
      <c r="D943" s="6"/>
      <c r="F943" s="7"/>
    </row>
    <row r="944" spans="1:6" ht="23">
      <c r="A944" s="5" t="s">
        <v>4826</v>
      </c>
      <c r="B944" s="6">
        <v>5.4</v>
      </c>
      <c r="C944" s="6">
        <v>0</v>
      </c>
      <c r="D944" s="6"/>
      <c r="F944" s="7"/>
    </row>
    <row r="945" spans="1:6" ht="23">
      <c r="A945" s="5" t="s">
        <v>7000</v>
      </c>
      <c r="B945" s="6">
        <v>4</v>
      </c>
      <c r="C945" s="6">
        <v>0</v>
      </c>
      <c r="D945" s="6"/>
      <c r="F945" s="7"/>
    </row>
    <row r="946" spans="1:6" ht="23">
      <c r="A946" s="5" t="s">
        <v>5921</v>
      </c>
      <c r="B946" s="6">
        <v>7.1</v>
      </c>
      <c r="C946" s="6">
        <v>0</v>
      </c>
      <c r="D946" s="6"/>
      <c r="F946" s="7"/>
    </row>
    <row r="947" spans="1:6" ht="23">
      <c r="A947" s="5" t="s">
        <v>3330</v>
      </c>
      <c r="B947" s="6">
        <v>7.8</v>
      </c>
      <c r="C947" s="6">
        <v>0</v>
      </c>
      <c r="D947" s="6"/>
      <c r="F947" s="7"/>
    </row>
    <row r="948" spans="1:6" ht="23">
      <c r="A948" s="5" t="s">
        <v>5172</v>
      </c>
      <c r="B948" s="6">
        <v>5.25</v>
      </c>
      <c r="C948" s="6">
        <v>0.35000000000000325</v>
      </c>
      <c r="D948" s="6"/>
      <c r="F948" s="7"/>
    </row>
    <row r="949" spans="1:6" ht="23">
      <c r="A949" s="5" t="s">
        <v>89</v>
      </c>
      <c r="B949" s="6">
        <v>7.2</v>
      </c>
      <c r="C949" s="6">
        <v>0.44400772194058002</v>
      </c>
      <c r="D949" s="6"/>
      <c r="F949" s="7"/>
    </row>
    <row r="950" spans="1:6" ht="23">
      <c r="A950" s="5" t="s">
        <v>3663</v>
      </c>
      <c r="B950" s="6">
        <v>6.6</v>
      </c>
      <c r="C950" s="6">
        <v>0.20000000000001564</v>
      </c>
      <c r="D950" s="6"/>
      <c r="F950" s="7"/>
    </row>
    <row r="951" spans="1:6" ht="23">
      <c r="A951" s="5" t="s">
        <v>1508</v>
      </c>
      <c r="B951" s="6">
        <v>5.2750000000000004</v>
      </c>
      <c r="C951" s="6">
        <v>1.5270478054075451</v>
      </c>
      <c r="D951" s="6"/>
      <c r="F951" s="7"/>
    </row>
    <row r="952" spans="1:6" ht="23">
      <c r="A952" s="5" t="s">
        <v>6371</v>
      </c>
      <c r="B952" s="6">
        <v>6.5</v>
      </c>
      <c r="C952" s="6">
        <v>0.10000000000002558</v>
      </c>
      <c r="D952" s="6"/>
      <c r="F952" s="7"/>
    </row>
    <row r="953" spans="1:6" ht="23">
      <c r="A953" s="5" t="s">
        <v>3888</v>
      </c>
      <c r="B953" s="6">
        <v>5.0999999999999996</v>
      </c>
      <c r="C953" s="6">
        <v>0.40000000000000463</v>
      </c>
      <c r="D953" s="6"/>
      <c r="F953" s="7"/>
    </row>
    <row r="954" spans="1:6" ht="23">
      <c r="A954" s="5" t="s">
        <v>4224</v>
      </c>
      <c r="B954" s="6">
        <v>6</v>
      </c>
      <c r="C954" s="6">
        <v>0</v>
      </c>
      <c r="D954" s="6"/>
      <c r="F954" s="7"/>
    </row>
    <row r="955" spans="1:6" ht="23">
      <c r="A955" s="5" t="s">
        <v>6628</v>
      </c>
      <c r="B955" s="6">
        <v>6</v>
      </c>
      <c r="C955" s="6">
        <v>0</v>
      </c>
      <c r="D955" s="6"/>
      <c r="F955" s="7"/>
    </row>
    <row r="956" spans="1:6" ht="23">
      <c r="A956" s="5" t="s">
        <v>6980</v>
      </c>
      <c r="B956" s="6">
        <v>7</v>
      </c>
      <c r="C956" s="6">
        <v>0</v>
      </c>
      <c r="D956" s="6"/>
      <c r="F956" s="7"/>
    </row>
    <row r="957" spans="1:6" ht="23">
      <c r="A957" s="5" t="s">
        <v>432</v>
      </c>
      <c r="B957" s="6">
        <v>5.52</v>
      </c>
      <c r="C957" s="6">
        <v>1.1939849245279475</v>
      </c>
      <c r="D957" s="6"/>
      <c r="F957" s="7"/>
    </row>
    <row r="958" spans="1:6" ht="23">
      <c r="A958" s="5" t="s">
        <v>4169</v>
      </c>
      <c r="B958" s="6">
        <v>6.6333333333333329</v>
      </c>
      <c r="C958" s="6">
        <v>0.97410927974683159</v>
      </c>
      <c r="D958" s="6"/>
      <c r="F958" s="7"/>
    </row>
    <row r="959" spans="1:6" ht="23">
      <c r="A959" s="5" t="s">
        <v>3273</v>
      </c>
      <c r="B959" s="6">
        <v>5.2</v>
      </c>
      <c r="C959" s="6">
        <v>0</v>
      </c>
      <c r="D959" s="6"/>
      <c r="F959" s="7"/>
    </row>
    <row r="960" spans="1:6" ht="23">
      <c r="A960" s="5" t="s">
        <v>2521</v>
      </c>
      <c r="B960" s="6">
        <v>4.8</v>
      </c>
      <c r="C960" s="6">
        <v>0</v>
      </c>
      <c r="D960" s="6"/>
      <c r="F960" s="7"/>
    </row>
    <row r="961" spans="1:6" ht="23">
      <c r="A961" s="5" t="s">
        <v>2197</v>
      </c>
      <c r="B961" s="6">
        <v>6.2333333333333343</v>
      </c>
      <c r="C961" s="6">
        <v>0.49888765156984721</v>
      </c>
      <c r="D961" s="6"/>
      <c r="F961" s="7"/>
    </row>
    <row r="962" spans="1:6" ht="23">
      <c r="A962" s="5" t="s">
        <v>5806</v>
      </c>
      <c r="B962" s="6">
        <v>6.7</v>
      </c>
      <c r="C962" s="6">
        <v>0</v>
      </c>
      <c r="D962" s="6"/>
      <c r="F962" s="7"/>
    </row>
    <row r="963" spans="1:6" ht="23">
      <c r="A963" s="5" t="s">
        <v>4446</v>
      </c>
      <c r="B963" s="6">
        <v>6.7</v>
      </c>
      <c r="C963" s="6">
        <v>0</v>
      </c>
      <c r="D963" s="6"/>
      <c r="F963" s="7"/>
    </row>
    <row r="964" spans="1:6" ht="23">
      <c r="A964" s="5" t="s">
        <v>4562</v>
      </c>
      <c r="B964" s="6">
        <v>3.8</v>
      </c>
      <c r="C964" s="6">
        <v>0</v>
      </c>
      <c r="D964" s="6"/>
      <c r="F964" s="7"/>
    </row>
    <row r="965" spans="1:6" ht="23">
      <c r="A965" s="5" t="s">
        <v>5785</v>
      </c>
      <c r="B965" s="6">
        <v>6.1</v>
      </c>
      <c r="C965" s="6">
        <v>0</v>
      </c>
      <c r="D965" s="6"/>
      <c r="F965" s="7"/>
    </row>
    <row r="966" spans="1:6" ht="23">
      <c r="A966" s="5" t="s">
        <v>2340</v>
      </c>
      <c r="B966" s="6">
        <v>2.6</v>
      </c>
      <c r="C966" s="6">
        <v>0.59160797830996059</v>
      </c>
      <c r="D966" s="6"/>
      <c r="F966" s="7"/>
    </row>
    <row r="967" spans="1:6" ht="23">
      <c r="A967" s="5" t="s">
        <v>7125</v>
      </c>
      <c r="B967" s="6">
        <v>7.6</v>
      </c>
      <c r="C967" s="6">
        <v>0</v>
      </c>
      <c r="D967" s="6"/>
      <c r="F967" s="7"/>
    </row>
    <row r="968" spans="1:6" ht="23">
      <c r="A968" s="5" t="s">
        <v>3493</v>
      </c>
      <c r="B968" s="6">
        <v>7.2</v>
      </c>
      <c r="C968" s="6">
        <v>0</v>
      </c>
      <c r="D968" s="6"/>
      <c r="F968" s="7"/>
    </row>
    <row r="969" spans="1:6" ht="23">
      <c r="A969" s="5" t="s">
        <v>6984</v>
      </c>
      <c r="B969" s="6">
        <v>6.9</v>
      </c>
      <c r="C969" s="6">
        <v>0</v>
      </c>
      <c r="D969" s="6"/>
      <c r="F969" s="7"/>
    </row>
    <row r="970" spans="1:6" ht="23">
      <c r="A970" s="5" t="s">
        <v>2283</v>
      </c>
      <c r="B970" s="6">
        <v>7.1400000000000006</v>
      </c>
      <c r="C970" s="6">
        <v>0.48414873747639464</v>
      </c>
      <c r="D970" s="6"/>
      <c r="F970" s="7"/>
    </row>
    <row r="971" spans="1:6" ht="23">
      <c r="A971" s="5" t="s">
        <v>5960</v>
      </c>
      <c r="B971" s="6">
        <v>5.8</v>
      </c>
      <c r="C971" s="6">
        <v>0</v>
      </c>
      <c r="D971" s="6"/>
      <c r="F971" s="7"/>
    </row>
    <row r="972" spans="1:6" ht="23">
      <c r="A972" s="5" t="s">
        <v>7212</v>
      </c>
      <c r="B972" s="6">
        <v>4</v>
      </c>
      <c r="C972" s="6">
        <v>0</v>
      </c>
      <c r="D972" s="6"/>
      <c r="F972" s="7"/>
    </row>
    <row r="973" spans="1:6" ht="23">
      <c r="A973" s="5" t="s">
        <v>4476</v>
      </c>
      <c r="B973" s="6">
        <v>4.8</v>
      </c>
      <c r="C973" s="6">
        <v>0</v>
      </c>
      <c r="D973" s="6"/>
      <c r="F973" s="7"/>
    </row>
    <row r="974" spans="1:6" ht="23">
      <c r="A974" s="5" t="s">
        <v>4305</v>
      </c>
      <c r="B974" s="6">
        <v>6.6749999999999998</v>
      </c>
      <c r="C974" s="6">
        <v>0.80428539710727154</v>
      </c>
      <c r="D974" s="6"/>
      <c r="F974" s="7"/>
    </row>
    <row r="975" spans="1:6" ht="23">
      <c r="A975" s="5" t="s">
        <v>1399</v>
      </c>
      <c r="B975" s="6">
        <v>6.5999999999999988</v>
      </c>
      <c r="C975" s="6">
        <v>0.59721576223897255</v>
      </c>
      <c r="D975" s="6"/>
      <c r="F975" s="7"/>
    </row>
    <row r="976" spans="1:6" ht="23">
      <c r="A976" s="5" t="s">
        <v>6403</v>
      </c>
      <c r="B976" s="6">
        <v>4.5999999999999996</v>
      </c>
      <c r="C976" s="6">
        <v>0</v>
      </c>
      <c r="D976" s="6"/>
      <c r="F976" s="7"/>
    </row>
    <row r="977" spans="1:6" ht="23">
      <c r="A977" s="5" t="s">
        <v>1338</v>
      </c>
      <c r="B977" s="6">
        <v>6.0250000000000004</v>
      </c>
      <c r="C977" s="6">
        <v>0.75291101731877252</v>
      </c>
      <c r="D977" s="6"/>
      <c r="F977" s="7"/>
    </row>
    <row r="978" spans="1:6" ht="23">
      <c r="A978" s="5" t="s">
        <v>4458</v>
      </c>
      <c r="B978" s="6">
        <v>6.35</v>
      </c>
      <c r="C978" s="6">
        <v>0.22912878474779635</v>
      </c>
      <c r="D978" s="6"/>
      <c r="F978" s="7"/>
    </row>
    <row r="979" spans="1:6" ht="23">
      <c r="A979" s="5" t="s">
        <v>5299</v>
      </c>
      <c r="B979" s="6">
        <v>7</v>
      </c>
      <c r="C979" s="6">
        <v>0</v>
      </c>
      <c r="D979" s="6"/>
      <c r="F979" s="7"/>
    </row>
    <row r="980" spans="1:6" ht="23">
      <c r="A980" s="5" t="s">
        <v>5656</v>
      </c>
      <c r="B980" s="6">
        <v>8.4</v>
      </c>
      <c r="C980" s="6">
        <v>0</v>
      </c>
      <c r="D980" s="6"/>
      <c r="F980" s="7"/>
    </row>
    <row r="981" spans="1:6" ht="23">
      <c r="A981" s="5" t="s">
        <v>528</v>
      </c>
      <c r="B981" s="6">
        <v>6.4875000000000007</v>
      </c>
      <c r="C981" s="6">
        <v>0.37562448003290322</v>
      </c>
      <c r="D981" s="6"/>
      <c r="F981" s="7"/>
    </row>
    <row r="982" spans="1:6" ht="23">
      <c r="A982" s="5" t="s">
        <v>1091</v>
      </c>
      <c r="B982" s="6">
        <v>6.7333333333333334</v>
      </c>
      <c r="C982" s="6">
        <v>0.20548046676563131</v>
      </c>
      <c r="D982" s="6"/>
      <c r="F982" s="7"/>
    </row>
    <row r="983" spans="1:6" ht="23">
      <c r="A983" s="5" t="s">
        <v>4075</v>
      </c>
      <c r="B983" s="6">
        <v>8.1</v>
      </c>
      <c r="C983" s="6">
        <v>0</v>
      </c>
      <c r="D983" s="6"/>
      <c r="F983" s="7"/>
    </row>
    <row r="984" spans="1:6" ht="23">
      <c r="A984" s="5" t="s">
        <v>2386</v>
      </c>
      <c r="B984" s="6">
        <v>6.3</v>
      </c>
      <c r="C984" s="6">
        <v>0</v>
      </c>
      <c r="D984" s="6"/>
      <c r="F984" s="7"/>
    </row>
    <row r="985" spans="1:6" ht="23">
      <c r="A985" s="5" t="s">
        <v>642</v>
      </c>
      <c r="B985" s="6">
        <v>7.2333333333333334</v>
      </c>
      <c r="C985" s="6">
        <v>0.26246692913372799</v>
      </c>
      <c r="D985" s="6"/>
      <c r="F985" s="7"/>
    </row>
    <row r="986" spans="1:6" ht="23">
      <c r="A986" s="5" t="s">
        <v>5066</v>
      </c>
      <c r="B986" s="6">
        <v>6.5</v>
      </c>
      <c r="C986" s="6">
        <v>0</v>
      </c>
      <c r="D986" s="6"/>
      <c r="F986" s="7"/>
    </row>
    <row r="987" spans="1:6" ht="23">
      <c r="A987" s="5" t="s">
        <v>6913</v>
      </c>
      <c r="B987" s="6">
        <v>7.5500000000000007</v>
      </c>
      <c r="C987" s="6">
        <v>0.14999999999997915</v>
      </c>
      <c r="D987" s="6"/>
      <c r="F987" s="7"/>
    </row>
    <row r="988" spans="1:6" ht="23">
      <c r="A988" s="5" t="s">
        <v>2120</v>
      </c>
      <c r="B988" s="6">
        <v>7.4666666666666659</v>
      </c>
      <c r="C988" s="6">
        <v>0.3858612300930121</v>
      </c>
      <c r="D988" s="6"/>
      <c r="F988" s="7"/>
    </row>
    <row r="989" spans="1:6" ht="23">
      <c r="A989" s="5" t="s">
        <v>1885</v>
      </c>
      <c r="B989" s="6">
        <v>6.2666666666666666</v>
      </c>
      <c r="C989" s="6">
        <v>0.52493385826744998</v>
      </c>
      <c r="D989" s="6"/>
      <c r="F989" s="7"/>
    </row>
    <row r="990" spans="1:6" ht="23">
      <c r="A990" s="5" t="s">
        <v>2142</v>
      </c>
      <c r="B990" s="6">
        <v>7</v>
      </c>
      <c r="C990" s="6">
        <v>0.10000000000002558</v>
      </c>
      <c r="D990" s="6"/>
      <c r="F990" s="7"/>
    </row>
    <row r="991" spans="1:6" ht="23">
      <c r="A991" s="5" t="s">
        <v>1128</v>
      </c>
      <c r="B991" s="6">
        <v>7.3400000000000007</v>
      </c>
      <c r="C991" s="6">
        <v>0.69455021416740537</v>
      </c>
      <c r="D991" s="6"/>
      <c r="F991" s="7"/>
    </row>
    <row r="992" spans="1:6" ht="23">
      <c r="A992" s="5" t="s">
        <v>3028</v>
      </c>
      <c r="B992" s="6">
        <v>6.5</v>
      </c>
      <c r="C992" s="6">
        <v>0.80000000000000038</v>
      </c>
      <c r="D992" s="6"/>
      <c r="F992" s="7"/>
    </row>
    <row r="993" spans="1:6" ht="23">
      <c r="A993" s="5" t="s">
        <v>1950</v>
      </c>
      <c r="B993" s="6">
        <v>6.5500000000000007</v>
      </c>
      <c r="C993" s="6">
        <v>0.14999999999997915</v>
      </c>
      <c r="D993" s="6"/>
      <c r="F993" s="7"/>
    </row>
    <row r="994" spans="1:6" ht="23">
      <c r="A994" s="5" t="s">
        <v>2414</v>
      </c>
      <c r="B994" s="6">
        <v>6.85</v>
      </c>
      <c r="C994" s="6">
        <v>0.4500000000000085</v>
      </c>
      <c r="D994" s="6"/>
      <c r="F994" s="7"/>
    </row>
    <row r="995" spans="1:6" ht="23">
      <c r="A995" s="5" t="s">
        <v>6410</v>
      </c>
      <c r="B995" s="6">
        <v>5.9</v>
      </c>
      <c r="C995" s="6">
        <v>0</v>
      </c>
      <c r="D995" s="6"/>
      <c r="F995" s="7"/>
    </row>
    <row r="996" spans="1:6" ht="23">
      <c r="A996" s="5" t="s">
        <v>6116</v>
      </c>
      <c r="B996" s="6">
        <v>4.5999999999999996</v>
      </c>
      <c r="C996" s="6">
        <v>0</v>
      </c>
      <c r="D996" s="6"/>
      <c r="F996" s="7"/>
    </row>
    <row r="997" spans="1:6" ht="23">
      <c r="A997" s="5" t="s">
        <v>5524</v>
      </c>
      <c r="B997" s="6">
        <v>5.8</v>
      </c>
      <c r="C997" s="6">
        <v>0</v>
      </c>
      <c r="D997" s="6"/>
      <c r="F997" s="7"/>
    </row>
    <row r="998" spans="1:6" ht="23">
      <c r="A998" s="5" t="s">
        <v>6264</v>
      </c>
      <c r="B998" s="6">
        <v>6.2</v>
      </c>
      <c r="C998" s="6">
        <v>0</v>
      </c>
      <c r="D998" s="6"/>
      <c r="F998" s="7"/>
    </row>
    <row r="999" spans="1:6" ht="23">
      <c r="A999" s="5" t="s">
        <v>3406</v>
      </c>
      <c r="B999" s="6">
        <v>5.5</v>
      </c>
      <c r="C999" s="6">
        <v>0</v>
      </c>
      <c r="D999" s="6"/>
      <c r="F999" s="7"/>
    </row>
    <row r="1000" spans="1:6" ht="23">
      <c r="A1000" s="5" t="s">
        <v>4430</v>
      </c>
      <c r="B1000" s="6">
        <v>5.2</v>
      </c>
      <c r="C1000" s="6">
        <v>0</v>
      </c>
      <c r="D1000" s="6"/>
      <c r="F1000" s="7"/>
    </row>
    <row r="1001" spans="1:6" ht="23">
      <c r="A1001" s="5" t="s">
        <v>1906</v>
      </c>
      <c r="B1001" s="6">
        <v>5.7</v>
      </c>
      <c r="C1001" s="6">
        <v>0</v>
      </c>
      <c r="D1001" s="6"/>
      <c r="F1001" s="7"/>
    </row>
    <row r="1002" spans="1:6" ht="23">
      <c r="A1002" s="5" t="s">
        <v>3423</v>
      </c>
      <c r="B1002" s="6">
        <v>7.2</v>
      </c>
      <c r="C1002" s="6">
        <v>0.29154759474226649</v>
      </c>
      <c r="D1002" s="6"/>
      <c r="F1002" s="7"/>
    </row>
    <row r="1003" spans="1:6" ht="23">
      <c r="A1003" s="5" t="s">
        <v>2748</v>
      </c>
      <c r="B1003" s="6">
        <v>6.6</v>
      </c>
      <c r="C1003" s="6">
        <v>0</v>
      </c>
      <c r="D1003" s="6"/>
      <c r="F1003" s="7"/>
    </row>
    <row r="1004" spans="1:6" ht="23">
      <c r="A1004" s="5" t="s">
        <v>3026</v>
      </c>
      <c r="B1004" s="6">
        <v>6.85</v>
      </c>
      <c r="C1004" s="6">
        <v>0.25000000000001421</v>
      </c>
      <c r="D1004" s="6"/>
      <c r="F1004" s="7"/>
    </row>
    <row r="1005" spans="1:6" ht="23">
      <c r="A1005" s="5" t="s">
        <v>2534</v>
      </c>
      <c r="B1005" s="6">
        <v>6.3666666666666671</v>
      </c>
      <c r="C1005" s="6">
        <v>0.32998316455370608</v>
      </c>
      <c r="D1005" s="6"/>
      <c r="F1005" s="7"/>
    </row>
    <row r="1006" spans="1:6" ht="23">
      <c r="A1006" s="5" t="s">
        <v>6588</v>
      </c>
      <c r="B1006" s="6">
        <v>5.4</v>
      </c>
      <c r="C1006" s="6">
        <v>0</v>
      </c>
      <c r="D1006" s="6"/>
      <c r="F1006" s="7"/>
    </row>
    <row r="1007" spans="1:6" ht="23">
      <c r="A1007" s="5" t="s">
        <v>2810</v>
      </c>
      <c r="B1007" s="6">
        <v>4.0999999999999996</v>
      </c>
      <c r="C1007" s="6">
        <v>0</v>
      </c>
      <c r="D1007" s="6"/>
      <c r="F1007" s="7"/>
    </row>
    <row r="1008" spans="1:6" ht="23">
      <c r="A1008" s="5" t="s">
        <v>6150</v>
      </c>
      <c r="B1008" s="6">
        <v>8.1</v>
      </c>
      <c r="C1008" s="6">
        <v>0</v>
      </c>
      <c r="D1008" s="6"/>
      <c r="F1008" s="7"/>
    </row>
    <row r="1009" spans="1:6" ht="23">
      <c r="A1009" s="5" t="s">
        <v>7156</v>
      </c>
      <c r="B1009" s="6">
        <v>6</v>
      </c>
      <c r="C1009" s="6">
        <v>0</v>
      </c>
      <c r="D1009" s="6"/>
      <c r="F1009" s="7"/>
    </row>
    <row r="1010" spans="1:6" ht="23">
      <c r="A1010" s="5" t="s">
        <v>5688</v>
      </c>
      <c r="B1010" s="6">
        <v>4.5</v>
      </c>
      <c r="C1010" s="6">
        <v>0</v>
      </c>
      <c r="D1010" s="6"/>
      <c r="F1010" s="7"/>
    </row>
    <row r="1011" spans="1:6" ht="23">
      <c r="A1011" s="5" t="s">
        <v>1969</v>
      </c>
      <c r="B1011" s="6">
        <v>6</v>
      </c>
      <c r="C1011" s="6">
        <v>0</v>
      </c>
      <c r="D1011" s="6"/>
      <c r="F1011" s="7"/>
    </row>
    <row r="1012" spans="1:6" ht="23">
      <c r="A1012" s="5" t="s">
        <v>6689</v>
      </c>
      <c r="B1012" s="6">
        <v>6.5</v>
      </c>
      <c r="C1012" s="6">
        <v>0</v>
      </c>
      <c r="D1012" s="6"/>
      <c r="F1012" s="7"/>
    </row>
    <row r="1013" spans="1:6" ht="23">
      <c r="A1013" s="5" t="s">
        <v>245</v>
      </c>
      <c r="B1013" s="6">
        <v>7.3</v>
      </c>
      <c r="C1013" s="6">
        <v>0</v>
      </c>
      <c r="D1013" s="6"/>
      <c r="F1013" s="7"/>
    </row>
    <row r="1014" spans="1:6" ht="23">
      <c r="A1014" s="5" t="s">
        <v>5394</v>
      </c>
      <c r="B1014" s="6">
        <v>6.8</v>
      </c>
      <c r="C1014" s="6">
        <v>0</v>
      </c>
      <c r="D1014" s="6"/>
      <c r="F1014" s="7"/>
    </row>
    <row r="1015" spans="1:6" ht="23">
      <c r="A1015" s="5" t="s">
        <v>2170</v>
      </c>
      <c r="B1015" s="6">
        <v>6.3</v>
      </c>
      <c r="C1015" s="6">
        <v>0</v>
      </c>
      <c r="D1015" s="6"/>
      <c r="F1015" s="7"/>
    </row>
    <row r="1016" spans="1:6" ht="23">
      <c r="A1016" s="5" t="s">
        <v>2738</v>
      </c>
      <c r="B1016" s="6">
        <v>6.8</v>
      </c>
      <c r="C1016" s="6">
        <v>0</v>
      </c>
      <c r="D1016" s="6"/>
      <c r="F1016" s="7"/>
    </row>
    <row r="1017" spans="1:6" ht="23">
      <c r="A1017" s="5" t="s">
        <v>5329</v>
      </c>
      <c r="B1017" s="6">
        <v>7.1</v>
      </c>
      <c r="C1017" s="6">
        <v>0</v>
      </c>
      <c r="D1017" s="6"/>
      <c r="F1017" s="7"/>
    </row>
    <row r="1018" spans="1:6" ht="23">
      <c r="A1018" s="5" t="s">
        <v>4671</v>
      </c>
      <c r="B1018" s="6">
        <v>7.1</v>
      </c>
      <c r="C1018" s="6">
        <v>0</v>
      </c>
      <c r="D1018" s="6"/>
      <c r="F1018" s="7"/>
    </row>
    <row r="1019" spans="1:6" ht="23">
      <c r="A1019" s="5" t="s">
        <v>2829</v>
      </c>
      <c r="B1019" s="6">
        <v>2.9</v>
      </c>
      <c r="C1019" s="6">
        <v>0</v>
      </c>
      <c r="D1019" s="6"/>
      <c r="F1019" s="7"/>
    </row>
    <row r="1020" spans="1:6" ht="23">
      <c r="A1020" s="5" t="s">
        <v>6933</v>
      </c>
      <c r="B1020" s="6">
        <v>7.2</v>
      </c>
      <c r="C1020" s="6">
        <v>0</v>
      </c>
      <c r="D1020" s="6"/>
      <c r="F1020" s="7"/>
    </row>
    <row r="1021" spans="1:6" ht="23">
      <c r="A1021" s="5" t="s">
        <v>5038</v>
      </c>
      <c r="B1021" s="6">
        <v>7.6</v>
      </c>
      <c r="C1021" s="6">
        <v>0</v>
      </c>
      <c r="D1021" s="6"/>
      <c r="F1021" s="7"/>
    </row>
    <row r="1022" spans="1:6" ht="23">
      <c r="A1022" s="5" t="s">
        <v>3620</v>
      </c>
      <c r="B1022" s="6">
        <v>6.7</v>
      </c>
      <c r="C1022" s="6">
        <v>0</v>
      </c>
      <c r="D1022" s="6"/>
      <c r="F1022" s="7"/>
    </row>
    <row r="1023" spans="1:6" ht="23">
      <c r="A1023" s="5" t="s">
        <v>5315</v>
      </c>
      <c r="B1023" s="6">
        <v>6.2</v>
      </c>
      <c r="C1023" s="6">
        <v>0</v>
      </c>
      <c r="D1023" s="6"/>
      <c r="F1023" s="7"/>
    </row>
    <row r="1024" spans="1:6" ht="23">
      <c r="A1024" s="5" t="s">
        <v>6141</v>
      </c>
      <c r="B1024" s="6">
        <v>3.4</v>
      </c>
      <c r="C1024" s="6">
        <v>0</v>
      </c>
      <c r="D1024" s="6"/>
      <c r="F1024" s="7"/>
    </row>
    <row r="1025" spans="1:6" ht="23">
      <c r="A1025" s="5" t="s">
        <v>1877</v>
      </c>
      <c r="B1025" s="6">
        <v>5</v>
      </c>
      <c r="C1025" s="6">
        <v>0.30000000000000571</v>
      </c>
      <c r="D1025" s="6"/>
      <c r="F1025" s="7"/>
    </row>
    <row r="1026" spans="1:6" ht="23">
      <c r="A1026" s="5" t="s">
        <v>5962</v>
      </c>
      <c r="B1026" s="6">
        <v>7.3</v>
      </c>
      <c r="C1026" s="6">
        <v>0</v>
      </c>
      <c r="D1026" s="6"/>
      <c r="F1026" s="7"/>
    </row>
    <row r="1027" spans="1:6" ht="23">
      <c r="A1027" s="5" t="s">
        <v>2904</v>
      </c>
      <c r="B1027" s="6">
        <v>6.7</v>
      </c>
      <c r="C1027" s="6">
        <v>0</v>
      </c>
      <c r="D1027" s="6"/>
      <c r="F1027" s="7"/>
    </row>
    <row r="1028" spans="1:6" ht="23">
      <c r="A1028" s="5" t="s">
        <v>836</v>
      </c>
      <c r="B1028" s="6">
        <v>6.4333333333333336</v>
      </c>
      <c r="C1028" s="6">
        <v>0.44969125210774086</v>
      </c>
      <c r="D1028" s="6"/>
      <c r="F1028" s="7"/>
    </row>
    <row r="1029" spans="1:6" ht="23">
      <c r="A1029" s="5" t="s">
        <v>1242</v>
      </c>
      <c r="B1029" s="6">
        <v>6.0333333333333323</v>
      </c>
      <c r="C1029" s="6">
        <v>0.30912061651654632</v>
      </c>
      <c r="D1029" s="6"/>
      <c r="F1029" s="7"/>
    </row>
    <row r="1030" spans="1:6" ht="23">
      <c r="A1030" s="5" t="s">
        <v>5242</v>
      </c>
      <c r="B1030" s="6">
        <v>5.95</v>
      </c>
      <c r="C1030" s="6">
        <v>0.45000000000000062</v>
      </c>
      <c r="D1030" s="6"/>
      <c r="F1030" s="7"/>
    </row>
    <row r="1031" spans="1:6" ht="23">
      <c r="A1031" s="5" t="s">
        <v>3624</v>
      </c>
      <c r="B1031" s="6">
        <v>4.5</v>
      </c>
      <c r="C1031" s="6">
        <v>0</v>
      </c>
      <c r="D1031" s="6"/>
      <c r="F1031" s="7"/>
    </row>
    <row r="1032" spans="1:6" ht="23">
      <c r="A1032" s="5" t="s">
        <v>3126</v>
      </c>
      <c r="B1032" s="6">
        <v>6.4</v>
      </c>
      <c r="C1032" s="6">
        <v>0</v>
      </c>
      <c r="D1032" s="6"/>
      <c r="F1032" s="7"/>
    </row>
    <row r="1033" spans="1:6" ht="23">
      <c r="A1033" s="5" t="s">
        <v>2934</v>
      </c>
      <c r="B1033" s="6">
        <v>6.65</v>
      </c>
      <c r="C1033" s="6">
        <v>0.94999999999999807</v>
      </c>
      <c r="D1033" s="6"/>
      <c r="F1033" s="7"/>
    </row>
    <row r="1034" spans="1:6" ht="23">
      <c r="A1034" s="5" t="s">
        <v>3610</v>
      </c>
      <c r="B1034" s="6">
        <v>4.4000000000000004</v>
      </c>
      <c r="C1034" s="6">
        <v>0</v>
      </c>
      <c r="D1034" s="6"/>
      <c r="F1034" s="7"/>
    </row>
    <row r="1035" spans="1:6" ht="23">
      <c r="A1035" s="5" t="s">
        <v>4860</v>
      </c>
      <c r="B1035" s="6">
        <v>5.6</v>
      </c>
      <c r="C1035" s="6">
        <v>0</v>
      </c>
      <c r="D1035" s="6"/>
      <c r="F1035" s="7"/>
    </row>
    <row r="1036" spans="1:6" ht="23">
      <c r="A1036" s="5" t="s">
        <v>4019</v>
      </c>
      <c r="B1036" s="6">
        <v>6.1</v>
      </c>
      <c r="C1036" s="6">
        <v>0</v>
      </c>
      <c r="D1036" s="6"/>
      <c r="F1036" s="7"/>
    </row>
    <row r="1037" spans="1:6" ht="23">
      <c r="A1037" s="5" t="s">
        <v>5772</v>
      </c>
      <c r="B1037" s="6">
        <v>6.75</v>
      </c>
      <c r="C1037" s="6">
        <v>0.35000000000000325</v>
      </c>
      <c r="D1037" s="6"/>
      <c r="F1037" s="7"/>
    </row>
    <row r="1038" spans="1:6" ht="23">
      <c r="A1038" s="5" t="s">
        <v>5611</v>
      </c>
      <c r="B1038" s="6">
        <v>7.8</v>
      </c>
      <c r="C1038" s="6">
        <v>0</v>
      </c>
      <c r="D1038" s="6"/>
      <c r="F1038" s="7"/>
    </row>
    <row r="1039" spans="1:6" ht="23">
      <c r="A1039" s="5" t="s">
        <v>5364</v>
      </c>
      <c r="B1039" s="6">
        <v>4.5</v>
      </c>
      <c r="C1039" s="6">
        <v>0</v>
      </c>
      <c r="D1039" s="6"/>
      <c r="F1039" s="7"/>
    </row>
    <row r="1040" spans="1:6" ht="23">
      <c r="A1040" s="5" t="s">
        <v>7207</v>
      </c>
      <c r="B1040" s="6">
        <v>7.4</v>
      </c>
      <c r="C1040" s="6">
        <v>0</v>
      </c>
      <c r="D1040" s="6"/>
      <c r="F1040" s="7"/>
    </row>
    <row r="1041" spans="1:6" ht="23">
      <c r="A1041" s="5" t="s">
        <v>3669</v>
      </c>
      <c r="B1041" s="6">
        <v>5.3</v>
      </c>
      <c r="C1041" s="6">
        <v>0</v>
      </c>
      <c r="D1041" s="6"/>
      <c r="F1041" s="7"/>
    </row>
    <row r="1042" spans="1:6" ht="23">
      <c r="A1042" s="5" t="s">
        <v>3116</v>
      </c>
      <c r="B1042" s="6">
        <v>6.4</v>
      </c>
      <c r="C1042" s="6">
        <v>0</v>
      </c>
      <c r="D1042" s="6"/>
      <c r="F1042" s="7"/>
    </row>
    <row r="1043" spans="1:6" ht="23">
      <c r="A1043" s="5" t="s">
        <v>1306</v>
      </c>
      <c r="B1043" s="6">
        <v>5.4499999999999993</v>
      </c>
      <c r="C1043" s="6">
        <v>0.15000000000001468</v>
      </c>
      <c r="D1043" s="6"/>
      <c r="F1043" s="7"/>
    </row>
    <row r="1044" spans="1:6" ht="23">
      <c r="A1044" s="5" t="s">
        <v>3518</v>
      </c>
      <c r="B1044" s="6">
        <v>3</v>
      </c>
      <c r="C1044" s="6">
        <v>0</v>
      </c>
      <c r="D1044" s="6"/>
      <c r="F1044" s="7"/>
    </row>
    <row r="1045" spans="1:6" ht="23">
      <c r="A1045" s="5" t="s">
        <v>4416</v>
      </c>
      <c r="B1045" s="6">
        <v>7</v>
      </c>
      <c r="C1045" s="6">
        <v>0</v>
      </c>
      <c r="D1045" s="6"/>
      <c r="F1045" s="7"/>
    </row>
    <row r="1046" spans="1:6" ht="23">
      <c r="A1046" s="5" t="s">
        <v>4566</v>
      </c>
      <c r="B1046" s="6">
        <v>5.2</v>
      </c>
      <c r="C1046" s="6">
        <v>0</v>
      </c>
      <c r="D1046" s="6"/>
      <c r="F1046" s="7"/>
    </row>
    <row r="1047" spans="1:6" ht="23">
      <c r="A1047" s="5" t="s">
        <v>6043</v>
      </c>
      <c r="B1047" s="6">
        <v>7.5</v>
      </c>
      <c r="C1047" s="6">
        <v>0</v>
      </c>
      <c r="D1047" s="6"/>
      <c r="F1047" s="7"/>
    </row>
    <row r="1048" spans="1:6" ht="23">
      <c r="A1048" s="5" t="s">
        <v>5560</v>
      </c>
      <c r="B1048" s="6">
        <v>6.5</v>
      </c>
      <c r="C1048" s="6">
        <v>0</v>
      </c>
      <c r="D1048" s="6"/>
      <c r="F1048" s="7"/>
    </row>
    <row r="1049" spans="1:6" ht="23">
      <c r="A1049" s="5" t="s">
        <v>1486</v>
      </c>
      <c r="B1049" s="6">
        <v>6.0333333333333341</v>
      </c>
      <c r="C1049" s="6">
        <v>0.85764535535123709</v>
      </c>
      <c r="D1049" s="6"/>
      <c r="F1049" s="7"/>
    </row>
    <row r="1050" spans="1:6" ht="23">
      <c r="A1050" s="5" t="s">
        <v>3019</v>
      </c>
      <c r="B1050" s="6">
        <v>4.7</v>
      </c>
      <c r="C1050" s="6">
        <v>0</v>
      </c>
      <c r="D1050" s="6"/>
      <c r="F1050" s="7"/>
    </row>
    <row r="1051" spans="1:6" ht="23">
      <c r="A1051" s="5" t="s">
        <v>1266</v>
      </c>
      <c r="B1051" s="6">
        <v>5.3000000000000007</v>
      </c>
      <c r="C1051" s="6">
        <v>0.59999999999999654</v>
      </c>
      <c r="D1051" s="6"/>
      <c r="F1051" s="7"/>
    </row>
    <row r="1052" spans="1:6" ht="23">
      <c r="A1052" s="5" t="s">
        <v>5381</v>
      </c>
      <c r="B1052" s="6">
        <v>7.4</v>
      </c>
      <c r="C1052" s="6">
        <v>0</v>
      </c>
      <c r="D1052" s="6"/>
      <c r="F1052" s="7"/>
    </row>
    <row r="1053" spans="1:6" ht="23">
      <c r="A1053" s="5" t="s">
        <v>3646</v>
      </c>
      <c r="B1053" s="6">
        <v>5.7</v>
      </c>
      <c r="C1053" s="6">
        <v>0</v>
      </c>
      <c r="D1053" s="6"/>
      <c r="F1053" s="7"/>
    </row>
    <row r="1054" spans="1:6" ht="23">
      <c r="A1054" s="5" t="s">
        <v>2146</v>
      </c>
      <c r="B1054" s="6">
        <v>5.7</v>
      </c>
      <c r="C1054" s="6">
        <v>0</v>
      </c>
      <c r="D1054" s="6"/>
      <c r="F1054" s="7"/>
    </row>
    <row r="1055" spans="1:6" ht="23">
      <c r="A1055" s="5" t="s">
        <v>1802</v>
      </c>
      <c r="B1055" s="6">
        <v>5.5</v>
      </c>
      <c r="C1055" s="6">
        <v>0</v>
      </c>
      <c r="D1055" s="6"/>
      <c r="F1055" s="7"/>
    </row>
    <row r="1056" spans="1:6" ht="23">
      <c r="A1056" s="5" t="s">
        <v>4675</v>
      </c>
      <c r="B1056" s="6">
        <v>6.5</v>
      </c>
      <c r="C1056" s="6">
        <v>0</v>
      </c>
      <c r="D1056" s="6"/>
      <c r="F1056" s="7"/>
    </row>
    <row r="1057" spans="1:6" ht="23">
      <c r="A1057" s="5" t="s">
        <v>2579</v>
      </c>
      <c r="B1057" s="6">
        <v>6.666666666666667</v>
      </c>
      <c r="C1057" s="6">
        <v>4.7140452079081734E-2</v>
      </c>
      <c r="D1057" s="6"/>
      <c r="F1057" s="7"/>
    </row>
    <row r="1058" spans="1:6" ht="23">
      <c r="A1058" s="5" t="s">
        <v>3377</v>
      </c>
      <c r="B1058" s="6">
        <v>5.8</v>
      </c>
      <c r="C1058" s="6">
        <v>0</v>
      </c>
      <c r="D1058" s="6"/>
      <c r="F1058" s="7"/>
    </row>
    <row r="1059" spans="1:6" ht="23">
      <c r="A1059" s="5" t="s">
        <v>3713</v>
      </c>
      <c r="B1059" s="6">
        <v>4</v>
      </c>
      <c r="C1059" s="6">
        <v>0</v>
      </c>
      <c r="D1059" s="6"/>
      <c r="F1059" s="7"/>
    </row>
    <row r="1060" spans="1:6" ht="23">
      <c r="A1060" s="5" t="s">
        <v>6742</v>
      </c>
      <c r="B1060" s="6">
        <v>6.1</v>
      </c>
      <c r="C1060" s="6">
        <v>0</v>
      </c>
      <c r="D1060" s="6"/>
      <c r="F1060" s="7"/>
    </row>
    <row r="1061" spans="1:6" ht="23">
      <c r="A1061" s="5" t="s">
        <v>2671</v>
      </c>
      <c r="B1061" s="6">
        <v>6.8999999999999995</v>
      </c>
      <c r="C1061" s="6">
        <v>0.21602468994693277</v>
      </c>
      <c r="D1061" s="6"/>
      <c r="F1061" s="7"/>
    </row>
    <row r="1062" spans="1:6" ht="23">
      <c r="A1062" s="5" t="s">
        <v>5261</v>
      </c>
      <c r="B1062" s="6">
        <v>4.9000000000000004</v>
      </c>
      <c r="C1062" s="6">
        <v>0</v>
      </c>
      <c r="D1062" s="6"/>
      <c r="F1062" s="7"/>
    </row>
    <row r="1063" spans="1:6" ht="23">
      <c r="A1063" s="5" t="s">
        <v>2177</v>
      </c>
      <c r="B1063" s="6">
        <v>5.3</v>
      </c>
      <c r="C1063" s="6">
        <v>0</v>
      </c>
      <c r="D1063" s="6"/>
      <c r="F1063" s="7"/>
    </row>
    <row r="1064" spans="1:6" ht="23">
      <c r="A1064" s="5" t="s">
        <v>4039</v>
      </c>
      <c r="B1064" s="6">
        <v>6.6</v>
      </c>
      <c r="C1064" s="6">
        <v>0</v>
      </c>
      <c r="D1064" s="6"/>
      <c r="F1064" s="7"/>
    </row>
    <row r="1065" spans="1:6" ht="23">
      <c r="A1065" s="5" t="s">
        <v>5894</v>
      </c>
      <c r="B1065" s="6">
        <v>7.6</v>
      </c>
      <c r="C1065" s="6">
        <v>0</v>
      </c>
      <c r="D1065" s="6"/>
      <c r="F1065" s="7"/>
    </row>
    <row r="1066" spans="1:6" ht="23">
      <c r="A1066" s="5" t="s">
        <v>760</v>
      </c>
      <c r="B1066" s="6">
        <v>6.3</v>
      </c>
      <c r="C1066" s="6">
        <v>0.49280538030458304</v>
      </c>
      <c r="D1066" s="6"/>
      <c r="F1066" s="7"/>
    </row>
    <row r="1067" spans="1:6" ht="23">
      <c r="A1067" s="5" t="s">
        <v>241</v>
      </c>
      <c r="B1067" s="6">
        <v>6.3250000000000002</v>
      </c>
      <c r="C1067" s="6">
        <v>0.48153400710645056</v>
      </c>
      <c r="D1067" s="6"/>
      <c r="F1067" s="7"/>
    </row>
    <row r="1068" spans="1:6" ht="23">
      <c r="A1068" s="5" t="s">
        <v>6843</v>
      </c>
      <c r="B1068" s="6">
        <v>8.1999999999999993</v>
      </c>
      <c r="C1068" s="6">
        <v>0</v>
      </c>
      <c r="D1068" s="6"/>
      <c r="F1068" s="7"/>
    </row>
    <row r="1069" spans="1:6" ht="23">
      <c r="A1069" s="5" t="s">
        <v>6425</v>
      </c>
      <c r="B1069" s="6">
        <v>2.6</v>
      </c>
      <c r="C1069" s="6">
        <v>0</v>
      </c>
      <c r="D1069" s="6"/>
      <c r="F1069" s="7"/>
    </row>
    <row r="1070" spans="1:6" ht="23">
      <c r="A1070" s="5" t="s">
        <v>3541</v>
      </c>
      <c r="B1070" s="6">
        <v>5.666666666666667</v>
      </c>
      <c r="C1070" s="6">
        <v>0.44969125210773386</v>
      </c>
      <c r="D1070" s="6"/>
      <c r="F1070" s="7"/>
    </row>
    <row r="1071" spans="1:6" ht="23">
      <c r="A1071" s="5" t="s">
        <v>715</v>
      </c>
      <c r="B1071" s="6">
        <v>6.3</v>
      </c>
      <c r="C1071" s="6">
        <v>0</v>
      </c>
      <c r="D1071" s="6"/>
      <c r="F1071" s="7"/>
    </row>
    <row r="1072" spans="1:6" ht="23">
      <c r="A1072" s="5" t="s">
        <v>1394</v>
      </c>
      <c r="B1072" s="6">
        <v>5.45</v>
      </c>
      <c r="C1072" s="6">
        <v>0.25</v>
      </c>
      <c r="D1072" s="6"/>
      <c r="F1072" s="7"/>
    </row>
    <row r="1073" spans="1:6" ht="23">
      <c r="A1073" s="5" t="s">
        <v>6776</v>
      </c>
      <c r="B1073" s="6">
        <v>5.85</v>
      </c>
      <c r="C1073" s="6">
        <v>0.25</v>
      </c>
      <c r="D1073" s="6"/>
      <c r="F1073" s="7"/>
    </row>
    <row r="1074" spans="1:6" ht="23">
      <c r="A1074" s="5" t="s">
        <v>255</v>
      </c>
      <c r="B1074" s="6">
        <v>6.916666666666667</v>
      </c>
      <c r="C1074" s="6">
        <v>0.70336492820030538</v>
      </c>
      <c r="D1074" s="6"/>
      <c r="F1074" s="7"/>
    </row>
    <row r="1075" spans="1:6" ht="23">
      <c r="A1075" s="5" t="s">
        <v>6428</v>
      </c>
      <c r="B1075" s="6">
        <v>6.1</v>
      </c>
      <c r="C1075" s="6">
        <v>0</v>
      </c>
      <c r="D1075" s="6"/>
      <c r="F1075" s="7"/>
    </row>
    <row r="1076" spans="1:6" ht="23">
      <c r="A1076" s="5" t="s">
        <v>1154</v>
      </c>
      <c r="B1076" s="6">
        <v>7.3999999999999995</v>
      </c>
      <c r="C1076" s="6">
        <v>0.71063352017760162</v>
      </c>
      <c r="D1076" s="6"/>
      <c r="F1076" s="7"/>
    </row>
    <row r="1077" spans="1:6" ht="23">
      <c r="A1077" s="5" t="s">
        <v>4414</v>
      </c>
      <c r="B1077" s="6">
        <v>7.1</v>
      </c>
      <c r="C1077" s="6">
        <v>0</v>
      </c>
      <c r="D1077" s="6"/>
      <c r="F1077" s="7"/>
    </row>
    <row r="1078" spans="1:6" ht="23">
      <c r="A1078" s="5" t="s">
        <v>3678</v>
      </c>
      <c r="B1078" s="6">
        <v>5.7</v>
      </c>
      <c r="C1078" s="6">
        <v>0</v>
      </c>
      <c r="D1078" s="6"/>
      <c r="F1078" s="7"/>
    </row>
    <row r="1079" spans="1:6" ht="23">
      <c r="A1079" s="5" t="s">
        <v>6824</v>
      </c>
      <c r="B1079" s="6">
        <v>6.15</v>
      </c>
      <c r="C1079" s="6">
        <v>0.44999999999999274</v>
      </c>
      <c r="D1079" s="6"/>
      <c r="F1079" s="7"/>
    </row>
    <row r="1080" spans="1:6" ht="23">
      <c r="A1080" s="5" t="s">
        <v>357</v>
      </c>
      <c r="B1080" s="6">
        <v>6.4076923076923071</v>
      </c>
      <c r="C1080" s="6">
        <v>0.97858731654088571</v>
      </c>
      <c r="D1080" s="6"/>
      <c r="F1080" s="7"/>
    </row>
    <row r="1081" spans="1:6" ht="23">
      <c r="A1081" s="5" t="s">
        <v>1598</v>
      </c>
      <c r="B1081" s="6">
        <v>5.4499999999999993</v>
      </c>
      <c r="C1081" s="6">
        <v>1.1500000000000021</v>
      </c>
      <c r="D1081" s="6"/>
      <c r="F1081" s="7"/>
    </row>
    <row r="1082" spans="1:6" ht="23">
      <c r="A1082" s="5" t="s">
        <v>5112</v>
      </c>
      <c r="B1082" s="6">
        <v>6.2</v>
      </c>
      <c r="C1082" s="6">
        <v>0</v>
      </c>
      <c r="D1082" s="6"/>
      <c r="F1082" s="7"/>
    </row>
    <row r="1083" spans="1:6" ht="23">
      <c r="A1083" s="5" t="s">
        <v>6721</v>
      </c>
      <c r="B1083" s="6">
        <v>7.7</v>
      </c>
      <c r="C1083" s="6">
        <v>0</v>
      </c>
      <c r="D1083" s="6"/>
      <c r="F1083" s="7"/>
    </row>
    <row r="1084" spans="1:6" ht="23">
      <c r="A1084" s="5" t="s">
        <v>6747</v>
      </c>
      <c r="B1084" s="6">
        <v>5.9</v>
      </c>
      <c r="C1084" s="6">
        <v>0</v>
      </c>
      <c r="D1084" s="6"/>
      <c r="F1084" s="7"/>
    </row>
    <row r="1085" spans="1:6" ht="23">
      <c r="A1085" s="5" t="s">
        <v>1611</v>
      </c>
      <c r="B1085" s="6">
        <v>5.95</v>
      </c>
      <c r="C1085" s="6">
        <v>4.9999999999977264E-2</v>
      </c>
      <c r="D1085" s="6"/>
      <c r="F1085" s="7"/>
    </row>
    <row r="1086" spans="1:6" ht="23">
      <c r="A1086" s="5" t="s">
        <v>4089</v>
      </c>
      <c r="B1086" s="6">
        <v>7.1</v>
      </c>
      <c r="C1086" s="6">
        <v>0</v>
      </c>
      <c r="D1086" s="6"/>
      <c r="F1086" s="7"/>
    </row>
    <row r="1087" spans="1:6" ht="23">
      <c r="A1087" s="5" t="s">
        <v>3877</v>
      </c>
      <c r="B1087" s="6">
        <v>9.5</v>
      </c>
      <c r="C1087" s="6">
        <v>0</v>
      </c>
      <c r="D1087" s="6"/>
      <c r="F1087" s="7"/>
    </row>
    <row r="1088" spans="1:6" ht="23">
      <c r="A1088" s="5" t="s">
        <v>3729</v>
      </c>
      <c r="B1088" s="6">
        <v>4.7</v>
      </c>
      <c r="C1088" s="6">
        <v>0</v>
      </c>
      <c r="D1088" s="6"/>
      <c r="F1088" s="7"/>
    </row>
    <row r="1089" spans="1:6" ht="23">
      <c r="A1089" s="5" t="s">
        <v>3399</v>
      </c>
      <c r="B1089" s="6">
        <v>5.7333333333333343</v>
      </c>
      <c r="C1089" s="6">
        <v>1.5326085243430174</v>
      </c>
      <c r="D1089" s="6"/>
      <c r="F1089" s="7"/>
    </row>
    <row r="1090" spans="1:6" ht="23">
      <c r="A1090" s="5" t="s">
        <v>5089</v>
      </c>
      <c r="B1090" s="6">
        <v>7.1000000000000005</v>
      </c>
      <c r="C1090" s="6">
        <v>0.53541261347362612</v>
      </c>
      <c r="D1090" s="6"/>
      <c r="F1090" s="7"/>
    </row>
    <row r="1091" spans="1:6" ht="23">
      <c r="A1091" s="5" t="s">
        <v>5857</v>
      </c>
      <c r="B1091" s="6">
        <v>5.3</v>
      </c>
      <c r="C1091" s="6">
        <v>0</v>
      </c>
      <c r="D1091" s="6"/>
      <c r="F1091" s="7"/>
    </row>
    <row r="1092" spans="1:6" ht="23">
      <c r="A1092" s="5" t="s">
        <v>4791</v>
      </c>
      <c r="B1092" s="6">
        <v>7.65</v>
      </c>
      <c r="C1092" s="6">
        <v>0.25</v>
      </c>
      <c r="D1092" s="6"/>
      <c r="F1092" s="7"/>
    </row>
    <row r="1093" spans="1:6" ht="23">
      <c r="A1093" s="5" t="s">
        <v>1470</v>
      </c>
      <c r="B1093" s="6">
        <v>6.7299999999999995</v>
      </c>
      <c r="C1093" s="6">
        <v>0.99503768772846557</v>
      </c>
      <c r="D1093" s="6"/>
      <c r="F1093" s="7"/>
    </row>
    <row r="1094" spans="1:6" ht="23">
      <c r="A1094" s="5" t="s">
        <v>3879</v>
      </c>
      <c r="B1094" s="6">
        <v>5.5</v>
      </c>
      <c r="C1094" s="6">
        <v>0</v>
      </c>
      <c r="D1094" s="6"/>
      <c r="F1094" s="7"/>
    </row>
    <row r="1095" spans="1:6" ht="23">
      <c r="A1095" s="5" t="s">
        <v>4060</v>
      </c>
      <c r="B1095" s="6">
        <v>7.8</v>
      </c>
      <c r="C1095" s="6">
        <v>0</v>
      </c>
      <c r="D1095" s="6"/>
      <c r="F1095" s="7"/>
    </row>
    <row r="1096" spans="1:6" ht="23">
      <c r="A1096" s="5" t="s">
        <v>4257</v>
      </c>
      <c r="B1096" s="6">
        <v>7.5</v>
      </c>
      <c r="C1096" s="6">
        <v>0</v>
      </c>
      <c r="D1096" s="6"/>
      <c r="F1096" s="7"/>
    </row>
    <row r="1097" spans="1:6" ht="23">
      <c r="A1097" s="5" t="s">
        <v>2980</v>
      </c>
      <c r="B1097" s="6">
        <v>6.45</v>
      </c>
      <c r="C1097" s="6">
        <v>1.0499999999999996</v>
      </c>
      <c r="D1097" s="6"/>
      <c r="F1097" s="7"/>
    </row>
    <row r="1098" spans="1:6" ht="23">
      <c r="A1098" s="5" t="s">
        <v>6925</v>
      </c>
      <c r="B1098" s="6">
        <v>6.6</v>
      </c>
      <c r="C1098" s="6">
        <v>0</v>
      </c>
      <c r="D1098" s="6"/>
      <c r="F1098" s="7"/>
    </row>
    <row r="1099" spans="1:6" ht="23">
      <c r="A1099" s="5" t="s">
        <v>1200</v>
      </c>
      <c r="B1099" s="6">
        <v>6.8000000000000007</v>
      </c>
      <c r="C1099" s="6">
        <v>0.35355339059325369</v>
      </c>
      <c r="D1099" s="6"/>
      <c r="F1099" s="7"/>
    </row>
    <row r="1100" spans="1:6" ht="23">
      <c r="A1100" s="5" t="s">
        <v>3010</v>
      </c>
      <c r="B1100" s="6">
        <v>5.8</v>
      </c>
      <c r="C1100" s="6">
        <v>0</v>
      </c>
      <c r="D1100" s="6"/>
      <c r="F1100" s="7"/>
    </row>
    <row r="1101" spans="1:6" ht="23">
      <c r="A1101" s="5" t="s">
        <v>2688</v>
      </c>
      <c r="B1101" s="6">
        <v>5.6</v>
      </c>
      <c r="C1101" s="6">
        <v>0</v>
      </c>
      <c r="D1101" s="6"/>
      <c r="F1101" s="7"/>
    </row>
    <row r="1102" spans="1:6" ht="23">
      <c r="A1102" s="5" t="s">
        <v>4109</v>
      </c>
      <c r="B1102" s="6">
        <v>6.3</v>
      </c>
      <c r="C1102" s="6">
        <v>0.30822070014844699</v>
      </c>
      <c r="D1102" s="6"/>
      <c r="F1102" s="7"/>
    </row>
    <row r="1103" spans="1:6" ht="23">
      <c r="A1103" s="5" t="s">
        <v>5695</v>
      </c>
      <c r="B1103" s="6">
        <v>7.55</v>
      </c>
      <c r="C1103" s="6">
        <v>0.4500000000000085</v>
      </c>
      <c r="D1103" s="6"/>
      <c r="F1103" s="7"/>
    </row>
    <row r="1104" spans="1:6" ht="23">
      <c r="A1104" s="5" t="s">
        <v>3483</v>
      </c>
      <c r="B1104" s="6">
        <v>6.2</v>
      </c>
      <c r="C1104" s="6">
        <v>0</v>
      </c>
      <c r="D1104" s="6"/>
      <c r="F1104" s="7"/>
    </row>
    <row r="1105" spans="1:6" ht="23">
      <c r="A1105" s="5" t="s">
        <v>2248</v>
      </c>
      <c r="B1105" s="6">
        <v>6.1</v>
      </c>
      <c r="C1105" s="6">
        <v>0</v>
      </c>
      <c r="D1105" s="6"/>
      <c r="F1105" s="7"/>
    </row>
    <row r="1106" spans="1:6" ht="23">
      <c r="A1106" s="5" t="s">
        <v>1271</v>
      </c>
      <c r="B1106" s="6">
        <v>6.1399999999999988</v>
      </c>
      <c r="C1106" s="6">
        <v>1.2815615474880679</v>
      </c>
      <c r="D1106" s="6"/>
      <c r="F1106" s="7"/>
    </row>
    <row r="1107" spans="1:6" ht="23">
      <c r="A1107" s="5" t="s">
        <v>1718</v>
      </c>
      <c r="B1107" s="6">
        <v>7.65</v>
      </c>
      <c r="C1107" s="6">
        <v>0.44999999999999274</v>
      </c>
      <c r="D1107" s="6"/>
      <c r="F1107" s="7"/>
    </row>
    <row r="1108" spans="1:6" ht="23">
      <c r="A1108" s="5" t="s">
        <v>2214</v>
      </c>
      <c r="B1108" s="6">
        <v>6.9</v>
      </c>
      <c r="C1108" s="6">
        <v>0</v>
      </c>
      <c r="D1108" s="6"/>
      <c r="F1108" s="7"/>
    </row>
    <row r="1109" spans="1:6" ht="23">
      <c r="A1109" s="5" t="s">
        <v>1691</v>
      </c>
      <c r="B1109" s="6">
        <v>6.6</v>
      </c>
      <c r="C1109" s="6">
        <v>0.16733200530682055</v>
      </c>
      <c r="D1109" s="6"/>
      <c r="F1109" s="7"/>
    </row>
    <row r="1110" spans="1:6" ht="23">
      <c r="A1110" s="5" t="s">
        <v>1621</v>
      </c>
      <c r="B1110" s="6">
        <v>5.3</v>
      </c>
      <c r="C1110" s="6">
        <v>0</v>
      </c>
      <c r="D1110" s="6"/>
      <c r="F1110" s="7"/>
    </row>
    <row r="1111" spans="1:6" ht="23">
      <c r="A1111" s="5" t="s">
        <v>2802</v>
      </c>
      <c r="B1111" s="6">
        <v>4.8</v>
      </c>
      <c r="C1111" s="6">
        <v>0</v>
      </c>
      <c r="D1111" s="6"/>
      <c r="F1111" s="7"/>
    </row>
    <row r="1112" spans="1:6" ht="23">
      <c r="A1112" s="5" t="s">
        <v>5702</v>
      </c>
      <c r="B1112" s="6">
        <v>6.4</v>
      </c>
      <c r="C1112" s="6">
        <v>0</v>
      </c>
      <c r="D1112" s="6"/>
      <c r="F1112" s="7"/>
    </row>
    <row r="1113" spans="1:6" ht="23">
      <c r="A1113" s="5" t="s">
        <v>4044</v>
      </c>
      <c r="B1113" s="6">
        <v>6.8</v>
      </c>
      <c r="C1113" s="6">
        <v>0</v>
      </c>
      <c r="D1113" s="6"/>
      <c r="F1113" s="7"/>
    </row>
    <row r="1114" spans="1:6" ht="23">
      <c r="A1114" s="5" t="s">
        <v>1677</v>
      </c>
      <c r="B1114" s="6">
        <v>6.3666666666666671</v>
      </c>
      <c r="C1114" s="6">
        <v>0.52493385826744399</v>
      </c>
      <c r="D1114" s="6"/>
      <c r="F1114" s="7"/>
    </row>
    <row r="1115" spans="1:6" ht="23">
      <c r="A1115" s="5" t="s">
        <v>1695</v>
      </c>
      <c r="B1115" s="6">
        <v>6</v>
      </c>
      <c r="C1115" s="6">
        <v>9.9999999999990055E-2</v>
      </c>
      <c r="D1115" s="6"/>
      <c r="F1115" s="7"/>
    </row>
    <row r="1116" spans="1:6" ht="23">
      <c r="A1116" s="5" t="s">
        <v>2800</v>
      </c>
      <c r="B1116" s="6">
        <v>7</v>
      </c>
      <c r="C1116" s="6">
        <v>0.49665548085838102</v>
      </c>
      <c r="D1116" s="6"/>
      <c r="F1116" s="7"/>
    </row>
    <row r="1117" spans="1:6" ht="23">
      <c r="A1117" s="5" t="s">
        <v>3476</v>
      </c>
      <c r="B1117" s="6">
        <v>5.0999999999999996</v>
      </c>
      <c r="C1117" s="6">
        <v>0</v>
      </c>
      <c r="D1117" s="6"/>
      <c r="F1117" s="7"/>
    </row>
    <row r="1118" spans="1:6" ht="23">
      <c r="A1118" s="5" t="s">
        <v>5419</v>
      </c>
      <c r="B1118" s="6">
        <v>7.4</v>
      </c>
      <c r="C1118" s="6">
        <v>0</v>
      </c>
      <c r="D1118" s="6"/>
      <c r="F1118" s="7"/>
    </row>
    <row r="1119" spans="1:6" ht="23">
      <c r="A1119" s="5" t="s">
        <v>3988</v>
      </c>
      <c r="B1119" s="6">
        <v>5.7</v>
      </c>
      <c r="C1119" s="6">
        <v>0</v>
      </c>
      <c r="D1119" s="6"/>
      <c r="F1119" s="7"/>
    </row>
    <row r="1120" spans="1:6" ht="23">
      <c r="A1120" s="5" t="s">
        <v>6157</v>
      </c>
      <c r="B1120" s="6">
        <v>6.3</v>
      </c>
      <c r="C1120" s="6">
        <v>0</v>
      </c>
      <c r="D1120" s="6"/>
      <c r="F1120" s="7"/>
    </row>
    <row r="1121" spans="1:6" ht="23">
      <c r="A1121" s="5" t="s">
        <v>1436</v>
      </c>
      <c r="B1121" s="6">
        <v>7</v>
      </c>
      <c r="C1121" s="6">
        <v>0.88543774484714421</v>
      </c>
      <c r="D1121" s="6"/>
      <c r="F1121" s="7"/>
    </row>
    <row r="1122" spans="1:6" ht="23">
      <c r="A1122" s="5" t="s">
        <v>81</v>
      </c>
      <c r="B1122" s="6">
        <v>7.38</v>
      </c>
      <c r="C1122" s="6">
        <v>0.6852736679604795</v>
      </c>
      <c r="D1122" s="6"/>
      <c r="F1122" s="7"/>
    </row>
    <row r="1123" spans="1:6" ht="23">
      <c r="A1123" s="5" t="s">
        <v>554</v>
      </c>
      <c r="B1123" s="6">
        <v>7.05</v>
      </c>
      <c r="C1123" s="6">
        <v>0.65764732189829878</v>
      </c>
      <c r="D1123" s="6"/>
      <c r="F1123" s="7"/>
    </row>
    <row r="1124" spans="1:6" ht="23">
      <c r="A1124" s="5" t="s">
        <v>2204</v>
      </c>
      <c r="B1124" s="6">
        <v>5.5</v>
      </c>
      <c r="C1124" s="6">
        <v>0.7000000000000014</v>
      </c>
      <c r="D1124" s="6"/>
      <c r="F1124" s="7"/>
    </row>
    <row r="1125" spans="1:6" ht="23">
      <c r="A1125" s="5" t="s">
        <v>5739</v>
      </c>
      <c r="B1125" s="6">
        <v>6.9</v>
      </c>
      <c r="C1125" s="6">
        <v>0</v>
      </c>
      <c r="D1125" s="6"/>
      <c r="F1125" s="7"/>
    </row>
    <row r="1126" spans="1:6" ht="23">
      <c r="A1126" s="5" t="s">
        <v>1227</v>
      </c>
      <c r="B1126" s="6">
        <v>6.7799999999999994</v>
      </c>
      <c r="C1126" s="6">
        <v>0.50358713248058173</v>
      </c>
      <c r="D1126" s="6"/>
      <c r="F1126" s="7"/>
    </row>
    <row r="1127" spans="1:6" ht="23">
      <c r="A1127" s="5" t="s">
        <v>2481</v>
      </c>
      <c r="B1127" s="6">
        <v>7.1</v>
      </c>
      <c r="C1127" s="6">
        <v>0</v>
      </c>
      <c r="D1127" s="6"/>
      <c r="F1127" s="7"/>
    </row>
    <row r="1128" spans="1:6" ht="23">
      <c r="A1128" s="5" t="s">
        <v>3098</v>
      </c>
      <c r="B1128" s="6">
        <v>6.5</v>
      </c>
      <c r="C1128" s="6">
        <v>0</v>
      </c>
      <c r="D1128" s="6"/>
      <c r="F1128" s="7"/>
    </row>
    <row r="1129" spans="1:6" ht="23">
      <c r="A1129" s="5" t="s">
        <v>353</v>
      </c>
      <c r="B1129" s="6">
        <v>6.63</v>
      </c>
      <c r="C1129" s="6">
        <v>1.3971757226634023</v>
      </c>
      <c r="D1129" s="6"/>
      <c r="F1129" s="7"/>
    </row>
    <row r="1130" spans="1:6" ht="23">
      <c r="A1130" s="5" t="s">
        <v>5077</v>
      </c>
      <c r="B1130" s="6">
        <v>7.3</v>
      </c>
      <c r="C1130" s="6">
        <v>0</v>
      </c>
      <c r="D1130" s="6"/>
      <c r="F1130" s="7"/>
    </row>
    <row r="1131" spans="1:6" ht="23">
      <c r="A1131" s="5" t="s">
        <v>610</v>
      </c>
      <c r="B1131" s="6">
        <v>6.333333333333333</v>
      </c>
      <c r="C1131" s="6">
        <v>0.49216076867445391</v>
      </c>
      <c r="D1131" s="6"/>
      <c r="F1131" s="7"/>
    </row>
    <row r="1132" spans="1:6" ht="23">
      <c r="A1132" s="5" t="s">
        <v>552</v>
      </c>
      <c r="B1132" s="6">
        <v>5.7999999999999989</v>
      </c>
      <c r="C1132" s="6">
        <v>0.46368092477480422</v>
      </c>
      <c r="D1132" s="6"/>
      <c r="F1132" s="7"/>
    </row>
    <row r="1133" spans="1:6" ht="23">
      <c r="A1133" s="5" t="s">
        <v>5939</v>
      </c>
      <c r="B1133" s="6">
        <v>5.8</v>
      </c>
      <c r="C1133" s="6">
        <v>0</v>
      </c>
      <c r="D1133" s="6"/>
      <c r="F1133" s="7"/>
    </row>
    <row r="1134" spans="1:6" ht="23">
      <c r="A1134" s="5" t="s">
        <v>3726</v>
      </c>
      <c r="B1134" s="6">
        <v>4.0999999999999996</v>
      </c>
      <c r="C1134" s="6">
        <v>0</v>
      </c>
      <c r="D1134" s="6"/>
      <c r="F1134" s="7"/>
    </row>
    <row r="1135" spans="1:6" ht="23">
      <c r="A1135" s="5" t="s">
        <v>1136</v>
      </c>
      <c r="B1135" s="6">
        <v>5.6333333333333329</v>
      </c>
      <c r="C1135" s="6">
        <v>0.57927157323276257</v>
      </c>
      <c r="D1135" s="6"/>
      <c r="F1135" s="7"/>
    </row>
    <row r="1136" spans="1:6" ht="23">
      <c r="A1136" s="5" t="s">
        <v>3084</v>
      </c>
      <c r="B1136" s="6">
        <v>7.5</v>
      </c>
      <c r="C1136" s="6">
        <v>0</v>
      </c>
      <c r="D1136" s="6"/>
      <c r="F1136" s="7"/>
    </row>
    <row r="1137" spans="1:6" ht="23">
      <c r="A1137" s="5" t="s">
        <v>2673</v>
      </c>
      <c r="B1137" s="6">
        <v>5.45</v>
      </c>
      <c r="C1137" s="6">
        <v>0.45000000000000062</v>
      </c>
      <c r="D1137" s="6"/>
      <c r="F1137" s="7"/>
    </row>
    <row r="1138" spans="1:6" ht="23">
      <c r="A1138" s="5" t="s">
        <v>4462</v>
      </c>
      <c r="B1138" s="6">
        <v>5.5</v>
      </c>
      <c r="C1138" s="6">
        <v>0</v>
      </c>
      <c r="D1138" s="6"/>
      <c r="F1138" s="7"/>
    </row>
    <row r="1139" spans="1:6" ht="23">
      <c r="A1139" s="5" t="s">
        <v>2347</v>
      </c>
      <c r="B1139" s="6">
        <v>4.5500000000000007</v>
      </c>
      <c r="C1139" s="6">
        <v>0.84999999999999798</v>
      </c>
      <c r="D1139" s="6"/>
      <c r="F1139" s="7"/>
    </row>
    <row r="1140" spans="1:6" ht="23">
      <c r="A1140" s="5" t="s">
        <v>7119</v>
      </c>
      <c r="B1140" s="6">
        <v>7.1</v>
      </c>
      <c r="C1140" s="6">
        <v>0</v>
      </c>
      <c r="D1140" s="6"/>
      <c r="F1140" s="7"/>
    </row>
    <row r="1141" spans="1:6" ht="23">
      <c r="A1141" s="5" t="s">
        <v>4702</v>
      </c>
      <c r="B1141" s="6">
        <v>6.8500000000000005</v>
      </c>
      <c r="C1141" s="6">
        <v>0.65764732189829334</v>
      </c>
      <c r="D1141" s="6"/>
      <c r="F1141" s="7"/>
    </row>
    <row r="1142" spans="1:6" ht="23">
      <c r="A1142" s="5" t="s">
        <v>2764</v>
      </c>
      <c r="B1142" s="6">
        <v>6.2333333333333343</v>
      </c>
      <c r="C1142" s="6">
        <v>1.3097921802925618</v>
      </c>
      <c r="D1142" s="6"/>
      <c r="F1142" s="7"/>
    </row>
    <row r="1143" spans="1:6" ht="23">
      <c r="A1143" s="5" t="s">
        <v>1624</v>
      </c>
      <c r="B1143" s="6">
        <v>5.3999999999999995</v>
      </c>
      <c r="C1143" s="6">
        <v>0.24494897427832246</v>
      </c>
      <c r="D1143" s="6"/>
      <c r="F1143" s="7"/>
    </row>
    <row r="1144" spans="1:6" ht="23">
      <c r="A1144" s="5" t="s">
        <v>6103</v>
      </c>
      <c r="B1144" s="6">
        <v>6.4</v>
      </c>
      <c r="C1144" s="6">
        <v>0</v>
      </c>
      <c r="D1144" s="6"/>
      <c r="F1144" s="7"/>
    </row>
    <row r="1145" spans="1:6" ht="23">
      <c r="A1145" s="5" t="s">
        <v>786</v>
      </c>
      <c r="B1145" s="6">
        <v>6.2571428571428571</v>
      </c>
      <c r="C1145" s="6">
        <v>0.8261047025600583</v>
      </c>
      <c r="D1145" s="6"/>
      <c r="F1145" s="7"/>
    </row>
    <row r="1146" spans="1:6" ht="23">
      <c r="A1146" s="5" t="s">
        <v>4046</v>
      </c>
      <c r="B1146" s="6">
        <v>5.4</v>
      </c>
      <c r="C1146" s="6">
        <v>0</v>
      </c>
      <c r="D1146" s="6"/>
      <c r="F1146" s="7"/>
    </row>
    <row r="1147" spans="1:6" ht="23">
      <c r="A1147" s="5" t="s">
        <v>4934</v>
      </c>
      <c r="B1147" s="6">
        <v>5.8</v>
      </c>
      <c r="C1147" s="6">
        <v>0</v>
      </c>
      <c r="D1147" s="6"/>
      <c r="F1147" s="7"/>
    </row>
    <row r="1148" spans="1:6" ht="23">
      <c r="A1148" s="5" t="s">
        <v>1481</v>
      </c>
      <c r="B1148" s="6">
        <v>5.9666666666666659</v>
      </c>
      <c r="C1148" s="6">
        <v>0.3858612300930121</v>
      </c>
      <c r="D1148" s="6"/>
      <c r="F1148" s="7"/>
    </row>
    <row r="1149" spans="1:6" ht="23">
      <c r="A1149" s="5" t="s">
        <v>5495</v>
      </c>
      <c r="B1149" s="6">
        <v>8.3000000000000007</v>
      </c>
      <c r="C1149" s="6">
        <v>0</v>
      </c>
      <c r="D1149" s="6"/>
      <c r="F1149" s="7"/>
    </row>
    <row r="1150" spans="1:6" ht="23">
      <c r="A1150" s="5" t="s">
        <v>4287</v>
      </c>
      <c r="B1150" s="6">
        <v>6.25</v>
      </c>
      <c r="C1150" s="6">
        <v>4.9999999999977264E-2</v>
      </c>
      <c r="D1150" s="6"/>
      <c r="F1150" s="7"/>
    </row>
    <row r="1151" spans="1:6" ht="23">
      <c r="A1151" s="5" t="s">
        <v>4009</v>
      </c>
      <c r="B1151" s="6">
        <v>6.333333333333333</v>
      </c>
      <c r="C1151" s="6">
        <v>0.26246692913372799</v>
      </c>
      <c r="D1151" s="6"/>
      <c r="F1151" s="7"/>
    </row>
    <row r="1152" spans="1:6" ht="23">
      <c r="A1152" s="5" t="s">
        <v>2729</v>
      </c>
      <c r="B1152" s="6">
        <v>6.9499999999999993</v>
      </c>
      <c r="C1152" s="6">
        <v>0.35000000000001341</v>
      </c>
      <c r="D1152" s="6"/>
      <c r="F1152" s="7"/>
    </row>
    <row r="1153" spans="1:6" ht="23">
      <c r="A1153" s="5" t="s">
        <v>1354</v>
      </c>
      <c r="B1153" s="6">
        <v>4.88</v>
      </c>
      <c r="C1153" s="6">
        <v>0.35440090293339266</v>
      </c>
      <c r="D1153" s="6"/>
      <c r="F1153" s="7"/>
    </row>
    <row r="1154" spans="1:6" ht="23">
      <c r="A1154" s="5" t="s">
        <v>361</v>
      </c>
      <c r="B1154" s="6">
        <v>6.5166666666666666</v>
      </c>
      <c r="C1154" s="6">
        <v>0.59837743570053314</v>
      </c>
      <c r="D1154" s="6"/>
      <c r="F1154" s="7"/>
    </row>
    <row r="1155" spans="1:6" ht="23">
      <c r="A1155" s="5" t="s">
        <v>5445</v>
      </c>
      <c r="B1155" s="6">
        <v>7.3</v>
      </c>
      <c r="C1155" s="6">
        <v>0</v>
      </c>
      <c r="D1155" s="6"/>
      <c r="F1155" s="7"/>
    </row>
    <row r="1156" spans="1:6" ht="23">
      <c r="A1156" s="5" t="s">
        <v>6526</v>
      </c>
      <c r="B1156" s="6">
        <v>5.6</v>
      </c>
      <c r="C1156" s="6">
        <v>0</v>
      </c>
      <c r="D1156" s="6"/>
      <c r="F1156" s="7"/>
    </row>
    <row r="1157" spans="1:6" ht="23">
      <c r="A1157" s="5" t="s">
        <v>660</v>
      </c>
      <c r="B1157" s="6">
        <v>6.2000000000000011</v>
      </c>
      <c r="C1157" s="6">
        <v>0.48989794855662316</v>
      </c>
      <c r="D1157" s="6"/>
      <c r="F1157" s="7"/>
    </row>
    <row r="1158" spans="1:6" ht="23">
      <c r="A1158" s="5" t="s">
        <v>1115</v>
      </c>
      <c r="B1158" s="6">
        <v>6</v>
      </c>
      <c r="C1158" s="6">
        <v>8.1649658092774149E-2</v>
      </c>
      <c r="D1158" s="6"/>
      <c r="F1158" s="7"/>
    </row>
    <row r="1159" spans="1:6" ht="23">
      <c r="A1159" s="5" t="s">
        <v>2913</v>
      </c>
      <c r="B1159" s="6">
        <v>6.3</v>
      </c>
      <c r="C1159" s="6">
        <v>0</v>
      </c>
      <c r="D1159" s="6"/>
      <c r="F1159" s="7"/>
    </row>
    <row r="1160" spans="1:6" ht="23">
      <c r="A1160" s="5" t="s">
        <v>128</v>
      </c>
      <c r="B1160" s="6">
        <v>7.0166666666666657</v>
      </c>
      <c r="C1160" s="6">
        <v>0.6618576550554971</v>
      </c>
      <c r="D1160" s="6"/>
      <c r="F1160" s="7"/>
    </row>
    <row r="1161" spans="1:6" ht="23">
      <c r="A1161" s="5" t="s">
        <v>5972</v>
      </c>
      <c r="B1161" s="6">
        <v>6.0333333333333341</v>
      </c>
      <c r="C1161" s="6">
        <v>0.41899350299920063</v>
      </c>
      <c r="D1161" s="6"/>
      <c r="F1161" s="7"/>
    </row>
    <row r="1162" spans="1:6" ht="23">
      <c r="A1162" s="5" t="s">
        <v>4034</v>
      </c>
      <c r="B1162" s="6">
        <v>5.0999999999999996</v>
      </c>
      <c r="C1162" s="6">
        <v>0</v>
      </c>
      <c r="D1162" s="6"/>
      <c r="F1162" s="7"/>
    </row>
    <row r="1163" spans="1:6" ht="23">
      <c r="A1163" s="5" t="s">
        <v>1431</v>
      </c>
      <c r="B1163" s="6">
        <v>6.65</v>
      </c>
      <c r="C1163" s="6">
        <v>4.999999999990621E-2</v>
      </c>
      <c r="D1163" s="6"/>
      <c r="F1163" s="7"/>
    </row>
    <row r="1164" spans="1:6" ht="23">
      <c r="A1164" s="5" t="s">
        <v>4309</v>
      </c>
      <c r="B1164" s="6">
        <v>6.5</v>
      </c>
      <c r="C1164" s="6">
        <v>0</v>
      </c>
      <c r="D1164" s="6"/>
      <c r="F1164" s="7"/>
    </row>
    <row r="1165" spans="1:6" ht="23">
      <c r="A1165" s="5" t="s">
        <v>5092</v>
      </c>
      <c r="B1165" s="6">
        <v>5.6333333333333329</v>
      </c>
      <c r="C1165" s="6">
        <v>0.26246692913374003</v>
      </c>
      <c r="D1165" s="6"/>
      <c r="F1165" s="7"/>
    </row>
    <row r="1166" spans="1:6" ht="23">
      <c r="A1166" s="5" t="s">
        <v>3049</v>
      </c>
      <c r="B1166" s="6">
        <v>6.3000000000000007</v>
      </c>
      <c r="C1166" s="6">
        <v>0.39999999999998687</v>
      </c>
      <c r="D1166" s="6"/>
      <c r="F1166" s="7"/>
    </row>
    <row r="1167" spans="1:6" ht="23">
      <c r="A1167" s="5" t="s">
        <v>289</v>
      </c>
      <c r="B1167" s="6">
        <v>5.34</v>
      </c>
      <c r="C1167" s="6">
        <v>1.9032603605392517</v>
      </c>
      <c r="D1167" s="6"/>
      <c r="F1167" s="7"/>
    </row>
    <row r="1168" spans="1:6" ht="23">
      <c r="A1168" s="5" t="s">
        <v>4177</v>
      </c>
      <c r="B1168" s="6">
        <v>7</v>
      </c>
      <c r="C1168" s="6">
        <v>0</v>
      </c>
      <c r="D1168" s="6"/>
      <c r="F1168" s="7"/>
    </row>
    <row r="1169" spans="1:6" ht="23">
      <c r="A1169" s="5" t="s">
        <v>7004</v>
      </c>
      <c r="B1169" s="6">
        <v>7</v>
      </c>
      <c r="C1169" s="6">
        <v>0</v>
      </c>
      <c r="D1169" s="6"/>
      <c r="F1169" s="7"/>
    </row>
    <row r="1170" spans="1:6" ht="23">
      <c r="A1170" s="5" t="s">
        <v>4507</v>
      </c>
      <c r="B1170" s="6">
        <v>6.6</v>
      </c>
      <c r="C1170" s="6">
        <v>0</v>
      </c>
      <c r="D1170" s="6"/>
      <c r="F1170" s="7"/>
    </row>
    <row r="1171" spans="1:6" ht="23">
      <c r="A1171" s="5" t="s">
        <v>189</v>
      </c>
      <c r="B1171" s="6">
        <v>6.5</v>
      </c>
      <c r="C1171" s="6">
        <v>0.30705978943149176</v>
      </c>
      <c r="D1171" s="6"/>
      <c r="F1171" s="7"/>
    </row>
    <row r="1172" spans="1:6" ht="23">
      <c r="A1172" s="5" t="s">
        <v>5190</v>
      </c>
      <c r="B1172" s="6">
        <v>6.3</v>
      </c>
      <c r="C1172" s="6">
        <v>0</v>
      </c>
      <c r="D1172" s="6"/>
      <c r="F1172" s="7"/>
    </row>
    <row r="1173" spans="1:6" ht="23">
      <c r="A1173" s="5" t="s">
        <v>5436</v>
      </c>
      <c r="B1173" s="6">
        <v>6.4499999999999993</v>
      </c>
      <c r="C1173" s="6">
        <v>0.35000000000000325</v>
      </c>
      <c r="D1173" s="6"/>
      <c r="F1173" s="7"/>
    </row>
    <row r="1174" spans="1:6" ht="23">
      <c r="A1174" s="5" t="s">
        <v>4752</v>
      </c>
      <c r="B1174" s="6">
        <v>5.6</v>
      </c>
      <c r="C1174" s="6">
        <v>0</v>
      </c>
      <c r="D1174" s="6"/>
      <c r="F1174" s="7"/>
    </row>
    <row r="1175" spans="1:6" ht="23">
      <c r="A1175" s="5" t="s">
        <v>6858</v>
      </c>
      <c r="B1175" s="6">
        <v>7.2</v>
      </c>
      <c r="C1175" s="6">
        <v>0</v>
      </c>
      <c r="D1175" s="6"/>
      <c r="F1175" s="7"/>
    </row>
    <row r="1176" spans="1:6" ht="23">
      <c r="A1176" s="5" t="s">
        <v>4724</v>
      </c>
      <c r="B1176" s="6">
        <v>7.9</v>
      </c>
      <c r="C1176" s="6">
        <v>0</v>
      </c>
      <c r="D1176" s="6"/>
      <c r="F1176" s="7"/>
    </row>
    <row r="1177" spans="1:6" ht="23">
      <c r="A1177" s="5" t="s">
        <v>731</v>
      </c>
      <c r="B1177" s="6">
        <v>7.1</v>
      </c>
      <c r="C1177" s="6">
        <v>0.94445751624940655</v>
      </c>
      <c r="D1177" s="6"/>
      <c r="F1177" s="7"/>
    </row>
    <row r="1178" spans="1:6" ht="23">
      <c r="A1178" s="5" t="s">
        <v>2834</v>
      </c>
      <c r="B1178" s="6">
        <v>6.2</v>
      </c>
      <c r="C1178" s="6">
        <v>0</v>
      </c>
      <c r="D1178" s="6"/>
      <c r="F1178" s="7"/>
    </row>
    <row r="1179" spans="1:6" ht="23">
      <c r="A1179" s="5" t="s">
        <v>902</v>
      </c>
      <c r="B1179" s="6">
        <v>5.8500000000000005</v>
      </c>
      <c r="C1179" s="6">
        <v>1.2757350822173066</v>
      </c>
      <c r="D1179" s="6"/>
      <c r="F1179" s="7"/>
    </row>
    <row r="1180" spans="1:6" ht="23">
      <c r="A1180" s="5" t="s">
        <v>3230</v>
      </c>
      <c r="B1180" s="6">
        <v>6.5666666666666664</v>
      </c>
      <c r="C1180" s="6">
        <v>0.52493385826745598</v>
      </c>
      <c r="D1180" s="6"/>
      <c r="F1180" s="7"/>
    </row>
    <row r="1181" spans="1:6" ht="23">
      <c r="A1181" s="5" t="s">
        <v>2179</v>
      </c>
      <c r="B1181" s="6">
        <v>6.5</v>
      </c>
      <c r="C1181" s="6">
        <v>0</v>
      </c>
      <c r="D1181" s="6"/>
      <c r="F1181" s="7"/>
    </row>
    <row r="1182" spans="1:6" ht="23">
      <c r="A1182" s="5" t="s">
        <v>3284</v>
      </c>
      <c r="B1182" s="6">
        <v>7.2</v>
      </c>
      <c r="C1182" s="6">
        <v>0</v>
      </c>
      <c r="D1182" s="6"/>
      <c r="F1182" s="7"/>
    </row>
    <row r="1183" spans="1:6" ht="23">
      <c r="A1183" s="5" t="s">
        <v>2790</v>
      </c>
      <c r="B1183" s="6">
        <v>6.4</v>
      </c>
      <c r="C1183" s="6">
        <v>0</v>
      </c>
      <c r="D1183" s="6"/>
      <c r="F1183" s="7"/>
    </row>
    <row r="1184" spans="1:6" ht="23">
      <c r="A1184" s="5" t="s">
        <v>6342</v>
      </c>
      <c r="B1184" s="6">
        <v>6.2</v>
      </c>
      <c r="C1184" s="6">
        <v>0</v>
      </c>
      <c r="D1184" s="6"/>
      <c r="F1184" s="7"/>
    </row>
    <row r="1185" spans="1:6" ht="23">
      <c r="A1185" s="5" t="s">
        <v>2287</v>
      </c>
      <c r="B1185" s="6">
        <v>6.8000000000000007</v>
      </c>
      <c r="C1185" s="6">
        <v>0.75828754440514756</v>
      </c>
      <c r="D1185" s="6"/>
      <c r="F1185" s="7"/>
    </row>
    <row r="1186" spans="1:6" ht="23">
      <c r="A1186" s="5" t="s">
        <v>236</v>
      </c>
      <c r="B1186" s="6">
        <v>5.6599999999999993</v>
      </c>
      <c r="C1186" s="6">
        <v>0.382622529394196</v>
      </c>
      <c r="D1186" s="6"/>
      <c r="F1186" s="7"/>
    </row>
    <row r="1187" spans="1:6" ht="23">
      <c r="A1187" s="5" t="s">
        <v>1923</v>
      </c>
      <c r="B1187" s="6">
        <v>6.6999999999999993</v>
      </c>
      <c r="C1187" s="6">
        <v>0.64807406984079285</v>
      </c>
      <c r="D1187" s="6"/>
      <c r="F1187" s="7"/>
    </row>
    <row r="1188" spans="1:6" ht="23">
      <c r="A1188" s="5" t="s">
        <v>172</v>
      </c>
      <c r="B1188" s="6">
        <v>6.5499999999999989</v>
      </c>
      <c r="C1188" s="6">
        <v>0.22912878474782736</v>
      </c>
      <c r="D1188" s="6"/>
      <c r="F1188" s="7"/>
    </row>
    <row r="1189" spans="1:6" ht="23">
      <c r="A1189" s="5" t="s">
        <v>2896</v>
      </c>
      <c r="B1189" s="6">
        <v>5.4</v>
      </c>
      <c r="C1189" s="6">
        <v>0</v>
      </c>
      <c r="D1189" s="6"/>
      <c r="F1189" s="7"/>
    </row>
    <row r="1190" spans="1:6" ht="23">
      <c r="A1190" s="5" t="s">
        <v>6793</v>
      </c>
      <c r="B1190" s="6">
        <v>5</v>
      </c>
      <c r="C1190" s="6">
        <v>0</v>
      </c>
      <c r="D1190" s="6"/>
      <c r="F1190" s="7"/>
    </row>
    <row r="1191" spans="1:6" ht="23">
      <c r="A1191" s="5" t="s">
        <v>3426</v>
      </c>
      <c r="B1191" s="6">
        <v>7.1</v>
      </c>
      <c r="C1191" s="6">
        <v>0</v>
      </c>
      <c r="D1191" s="6"/>
      <c r="F1191" s="7"/>
    </row>
    <row r="1192" spans="1:6" ht="23">
      <c r="A1192" s="5" t="s">
        <v>6180</v>
      </c>
      <c r="B1192" s="6">
        <v>6.1</v>
      </c>
      <c r="C1192" s="6">
        <v>0</v>
      </c>
      <c r="D1192" s="6"/>
      <c r="F1192" s="7"/>
    </row>
    <row r="1193" spans="1:6" ht="23">
      <c r="A1193" s="5" t="s">
        <v>1903</v>
      </c>
      <c r="B1193" s="6">
        <v>7</v>
      </c>
      <c r="C1193" s="6">
        <v>0</v>
      </c>
      <c r="D1193" s="6"/>
      <c r="F1193" s="7"/>
    </row>
    <row r="1194" spans="1:6" ht="23">
      <c r="A1194" s="5" t="s">
        <v>1150</v>
      </c>
      <c r="B1194" s="6">
        <v>6.1</v>
      </c>
      <c r="C1194" s="6">
        <v>0</v>
      </c>
      <c r="D1194" s="6"/>
      <c r="F1194" s="7"/>
    </row>
    <row r="1195" spans="1:6" ht="23">
      <c r="A1195" s="5" t="s">
        <v>6648</v>
      </c>
      <c r="B1195" s="6">
        <v>7.2</v>
      </c>
      <c r="C1195" s="6">
        <v>0</v>
      </c>
      <c r="D1195" s="6"/>
      <c r="F1195" s="7"/>
    </row>
    <row r="1196" spans="1:6" ht="23">
      <c r="A1196" s="5" t="s">
        <v>1420</v>
      </c>
      <c r="B1196" s="6">
        <v>7.3</v>
      </c>
      <c r="C1196" s="6">
        <v>0</v>
      </c>
      <c r="D1196" s="6"/>
      <c r="F1196" s="7"/>
    </row>
    <row r="1197" spans="1:6" ht="23">
      <c r="A1197" s="5" t="s">
        <v>5550</v>
      </c>
      <c r="B1197" s="6">
        <v>7.7</v>
      </c>
      <c r="C1197" s="6">
        <v>0</v>
      </c>
      <c r="D1197" s="6"/>
      <c r="F1197" s="7"/>
    </row>
    <row r="1198" spans="1:6" ht="23">
      <c r="A1198" s="5" t="s">
        <v>4426</v>
      </c>
      <c r="B1198" s="6">
        <v>5.5</v>
      </c>
      <c r="C1198" s="6">
        <v>0</v>
      </c>
      <c r="D1198" s="6"/>
      <c r="F1198" s="7"/>
    </row>
    <row r="1199" spans="1:6" ht="23">
      <c r="A1199" s="5" t="s">
        <v>6501</v>
      </c>
      <c r="B1199" s="6">
        <v>3.6</v>
      </c>
      <c r="C1199" s="6">
        <v>0</v>
      </c>
      <c r="D1199" s="6"/>
      <c r="F1199" s="7"/>
    </row>
    <row r="1200" spans="1:6" ht="23">
      <c r="A1200" s="5" t="s">
        <v>377</v>
      </c>
      <c r="B1200" s="6">
        <v>7.15</v>
      </c>
      <c r="C1200" s="6">
        <v>0.95000000000000184</v>
      </c>
      <c r="D1200" s="6"/>
      <c r="F1200" s="7"/>
    </row>
    <row r="1201" spans="1:6" ht="23">
      <c r="A1201" s="5" t="s">
        <v>3590</v>
      </c>
      <c r="B1201" s="6">
        <v>7</v>
      </c>
      <c r="C1201" s="6">
        <v>0</v>
      </c>
      <c r="D1201" s="6"/>
      <c r="F1201" s="7"/>
    </row>
    <row r="1202" spans="1:6" ht="23">
      <c r="A1202" s="5" t="s">
        <v>6762</v>
      </c>
      <c r="B1202" s="6">
        <v>6.8</v>
      </c>
      <c r="C1202" s="6">
        <v>0</v>
      </c>
      <c r="D1202" s="6"/>
      <c r="F1202" s="7"/>
    </row>
    <row r="1203" spans="1:6" ht="23">
      <c r="A1203" s="5" t="s">
        <v>5158</v>
      </c>
      <c r="B1203" s="6">
        <v>6.6</v>
      </c>
      <c r="C1203" s="6">
        <v>0</v>
      </c>
      <c r="D1203" s="6"/>
      <c r="F1203" s="7"/>
    </row>
    <row r="1204" spans="1:6" ht="23">
      <c r="A1204" s="5" t="s">
        <v>7140</v>
      </c>
      <c r="B1204" s="6">
        <v>4.0999999999999996</v>
      </c>
      <c r="C1204" s="6">
        <v>0</v>
      </c>
      <c r="D1204" s="6"/>
      <c r="F1204" s="7"/>
    </row>
    <row r="1205" spans="1:6" ht="23">
      <c r="A1205" s="5" t="s">
        <v>1847</v>
      </c>
      <c r="B1205" s="6">
        <v>4.9000000000000004</v>
      </c>
      <c r="C1205" s="6">
        <v>0.89999999999999736</v>
      </c>
      <c r="D1205" s="6"/>
      <c r="F1205" s="7"/>
    </row>
    <row r="1206" spans="1:6" ht="23">
      <c r="A1206" s="5" t="s">
        <v>79</v>
      </c>
      <c r="B1206" s="6">
        <v>6.9</v>
      </c>
      <c r="C1206" s="6">
        <v>9.9999999999954528E-2</v>
      </c>
      <c r="D1206" s="6"/>
      <c r="F1206" s="7"/>
    </row>
    <row r="1207" spans="1:6" ht="23">
      <c r="A1207" s="5" t="s">
        <v>1682</v>
      </c>
      <c r="B1207" s="6">
        <v>7</v>
      </c>
      <c r="C1207" s="6">
        <v>0</v>
      </c>
      <c r="D1207" s="6"/>
      <c r="F1207" s="7"/>
    </row>
    <row r="1208" spans="1:6" ht="23">
      <c r="A1208" s="5" t="s">
        <v>7198</v>
      </c>
      <c r="B1208" s="6">
        <v>4.8</v>
      </c>
      <c r="C1208" s="6">
        <v>0</v>
      </c>
      <c r="D1208" s="6"/>
      <c r="F1208" s="7"/>
    </row>
    <row r="1209" spans="1:6" ht="23">
      <c r="A1209" s="5" t="s">
        <v>951</v>
      </c>
      <c r="B1209" s="6">
        <v>5.6</v>
      </c>
      <c r="C1209" s="6">
        <v>0</v>
      </c>
      <c r="D1209" s="6"/>
      <c r="F1209" s="7"/>
    </row>
    <row r="1210" spans="1:6" ht="23">
      <c r="A1210" s="5" t="s">
        <v>2902</v>
      </c>
      <c r="B1210" s="6">
        <v>2.8</v>
      </c>
      <c r="C1210" s="6">
        <v>0</v>
      </c>
      <c r="D1210" s="6"/>
      <c r="F1210" s="7"/>
    </row>
    <row r="1211" spans="1:6" ht="23">
      <c r="A1211" s="5" t="s">
        <v>4384</v>
      </c>
      <c r="B1211" s="6">
        <v>5.6</v>
      </c>
      <c r="C1211" s="6">
        <v>0.30000000000001159</v>
      </c>
      <c r="D1211" s="6"/>
      <c r="F1211" s="7"/>
    </row>
    <row r="1212" spans="1:6" ht="23">
      <c r="A1212" s="5" t="s">
        <v>4121</v>
      </c>
      <c r="B1212" s="6">
        <v>7.8</v>
      </c>
      <c r="C1212" s="6">
        <v>0</v>
      </c>
      <c r="D1212" s="6"/>
      <c r="F1212" s="7"/>
    </row>
    <row r="1213" spans="1:6" ht="23">
      <c r="A1213" s="5" t="s">
        <v>1051</v>
      </c>
      <c r="B1213" s="6">
        <v>6.1999999999999993</v>
      </c>
      <c r="C1213" s="6">
        <v>0.10000000000002558</v>
      </c>
      <c r="D1213" s="6"/>
      <c r="F1213" s="7"/>
    </row>
    <row r="1214" spans="1:6" ht="23">
      <c r="A1214" s="5" t="s">
        <v>3919</v>
      </c>
      <c r="B1214" s="6">
        <v>5.4</v>
      </c>
      <c r="C1214" s="6">
        <v>0</v>
      </c>
      <c r="D1214" s="6"/>
      <c r="F1214" s="7"/>
    </row>
    <row r="1215" spans="1:6" ht="23">
      <c r="A1215" s="5" t="s">
        <v>405</v>
      </c>
      <c r="B1215" s="6">
        <v>5.6999999999999993</v>
      </c>
      <c r="C1215" s="6">
        <v>1.4000000000000004</v>
      </c>
      <c r="D1215" s="6"/>
      <c r="F1215" s="7"/>
    </row>
    <row r="1216" spans="1:6" ht="23">
      <c r="A1216" s="5" t="s">
        <v>3090</v>
      </c>
      <c r="B1216" s="6">
        <v>6.7</v>
      </c>
      <c r="C1216" s="6">
        <v>0</v>
      </c>
      <c r="D1216" s="6"/>
      <c r="F1216" s="7"/>
    </row>
    <row r="1217" spans="1:6" ht="23">
      <c r="A1217" s="5" t="s">
        <v>5699</v>
      </c>
      <c r="B1217" s="6">
        <v>7.5</v>
      </c>
      <c r="C1217" s="6">
        <v>0</v>
      </c>
      <c r="D1217" s="6"/>
      <c r="F1217" s="7"/>
    </row>
    <row r="1218" spans="1:6" ht="23">
      <c r="A1218" s="5" t="s">
        <v>3005</v>
      </c>
      <c r="B1218" s="6">
        <v>6.1</v>
      </c>
      <c r="C1218" s="6">
        <v>0</v>
      </c>
      <c r="D1218" s="6"/>
      <c r="F1218" s="7"/>
    </row>
    <row r="1219" spans="1:6" ht="23">
      <c r="A1219" s="5" t="s">
        <v>6513</v>
      </c>
      <c r="B1219" s="6">
        <v>8.1999999999999993</v>
      </c>
      <c r="C1219" s="6">
        <v>0</v>
      </c>
      <c r="D1219" s="6"/>
      <c r="F1219" s="7"/>
    </row>
    <row r="1220" spans="1:6" ht="23">
      <c r="A1220" s="5" t="s">
        <v>4500</v>
      </c>
      <c r="B1220" s="6">
        <v>5.7</v>
      </c>
      <c r="C1220" s="6">
        <v>0</v>
      </c>
      <c r="D1220" s="6"/>
      <c r="F1220" s="7"/>
    </row>
    <row r="1221" spans="1:6" ht="23">
      <c r="A1221" s="5" t="s">
        <v>5925</v>
      </c>
      <c r="B1221" s="6">
        <v>7.6</v>
      </c>
      <c r="C1221" s="6">
        <v>0</v>
      </c>
      <c r="D1221" s="6"/>
      <c r="F1221" s="7"/>
    </row>
    <row r="1222" spans="1:6" ht="23">
      <c r="A1222" s="5" t="s">
        <v>26</v>
      </c>
      <c r="B1222" s="6">
        <v>7.8666666666666671</v>
      </c>
      <c r="C1222" s="6">
        <v>0.26246692913372799</v>
      </c>
      <c r="D1222" s="6"/>
      <c r="F1222" s="7"/>
    </row>
    <row r="1223" spans="1:6" ht="23">
      <c r="A1223" s="5" t="s">
        <v>3704</v>
      </c>
      <c r="B1223" s="6">
        <v>7</v>
      </c>
      <c r="C1223" s="6">
        <v>0</v>
      </c>
      <c r="D1223" s="6"/>
      <c r="F1223" s="7"/>
    </row>
    <row r="1224" spans="1:6" ht="23">
      <c r="A1224" s="5" t="s">
        <v>2987</v>
      </c>
      <c r="B1224" s="6">
        <v>7.4499999999999993</v>
      </c>
      <c r="C1224" s="6">
        <v>0.75000000000000477</v>
      </c>
      <c r="D1224" s="6"/>
      <c r="F1224" s="7"/>
    </row>
    <row r="1225" spans="1:6" ht="23">
      <c r="A1225" s="5" t="s">
        <v>862</v>
      </c>
      <c r="B1225" s="6">
        <v>6.6</v>
      </c>
      <c r="C1225" s="6">
        <v>0.37416573867739417</v>
      </c>
      <c r="D1225" s="6"/>
      <c r="F1225" s="7"/>
    </row>
    <row r="1226" spans="1:6" ht="23">
      <c r="A1226" s="5" t="s">
        <v>6080</v>
      </c>
      <c r="B1226" s="6">
        <v>5.3</v>
      </c>
      <c r="C1226" s="6">
        <v>0</v>
      </c>
      <c r="D1226" s="6"/>
      <c r="F1226" s="7"/>
    </row>
    <row r="1227" spans="1:6" ht="23">
      <c r="A1227" s="5" t="s">
        <v>4579</v>
      </c>
      <c r="B1227" s="6">
        <v>6.15</v>
      </c>
      <c r="C1227" s="6">
        <v>0.14999999999997915</v>
      </c>
      <c r="D1227" s="6"/>
      <c r="F1227" s="7"/>
    </row>
    <row r="1228" spans="1:6" ht="23">
      <c r="A1228" s="5" t="s">
        <v>3539</v>
      </c>
      <c r="B1228" s="6">
        <v>7.1</v>
      </c>
      <c r="C1228" s="6">
        <v>0</v>
      </c>
      <c r="D1228" s="6"/>
      <c r="F1228" s="7"/>
    </row>
    <row r="1229" spans="1:6" ht="23">
      <c r="A1229" s="5" t="s">
        <v>3921</v>
      </c>
      <c r="B1229" s="6">
        <v>7.45</v>
      </c>
      <c r="C1229" s="6">
        <v>0.55000000000000182</v>
      </c>
      <c r="D1229" s="6"/>
      <c r="F1229" s="7"/>
    </row>
    <row r="1230" spans="1:6" ht="23">
      <c r="A1230" s="5" t="s">
        <v>1701</v>
      </c>
      <c r="B1230" s="6">
        <v>5.55</v>
      </c>
      <c r="C1230" s="6">
        <v>0.25000000000000711</v>
      </c>
      <c r="D1230" s="6"/>
      <c r="F1230" s="7"/>
    </row>
    <row r="1231" spans="1:6" ht="23">
      <c r="A1231" s="5" t="s">
        <v>7130</v>
      </c>
      <c r="B1231" s="6">
        <v>5.4</v>
      </c>
      <c r="C1231" s="6">
        <v>0</v>
      </c>
      <c r="D1231" s="6"/>
      <c r="F1231" s="7"/>
    </row>
    <row r="1232" spans="1:6" ht="23">
      <c r="A1232" s="5" t="s">
        <v>1615</v>
      </c>
      <c r="B1232" s="6">
        <v>6.7333333333333343</v>
      </c>
      <c r="C1232" s="6">
        <v>0.94280904158205669</v>
      </c>
      <c r="D1232" s="6"/>
      <c r="F1232" s="7"/>
    </row>
    <row r="1233" spans="1:6" ht="23">
      <c r="A1233" s="5" t="s">
        <v>3861</v>
      </c>
      <c r="B1233" s="6">
        <v>6.6</v>
      </c>
      <c r="C1233" s="6">
        <v>0</v>
      </c>
      <c r="D1233" s="6"/>
      <c r="F1233" s="7"/>
    </row>
    <row r="1234" spans="1:6" ht="23">
      <c r="A1234" s="5" t="s">
        <v>4533</v>
      </c>
      <c r="B1234" s="6">
        <v>5.9</v>
      </c>
      <c r="C1234" s="6">
        <v>0</v>
      </c>
      <c r="D1234" s="6"/>
      <c r="F1234" s="7"/>
    </row>
    <row r="1235" spans="1:6" ht="23">
      <c r="A1235" s="5" t="s">
        <v>3062</v>
      </c>
      <c r="B1235" s="6">
        <v>6.3</v>
      </c>
      <c r="C1235" s="6">
        <v>0</v>
      </c>
      <c r="D1235" s="6"/>
      <c r="F1235" s="7"/>
    </row>
    <row r="1236" spans="1:6" ht="23">
      <c r="A1236" s="5" t="s">
        <v>3849</v>
      </c>
      <c r="B1236" s="6">
        <v>6</v>
      </c>
      <c r="C1236" s="6">
        <v>0</v>
      </c>
      <c r="D1236" s="6"/>
      <c r="F1236" s="7"/>
    </row>
    <row r="1237" spans="1:6" ht="23">
      <c r="A1237" s="5" t="s">
        <v>1834</v>
      </c>
      <c r="B1237" s="6">
        <v>6.9</v>
      </c>
      <c r="C1237" s="6">
        <v>0.19999999999998011</v>
      </c>
      <c r="D1237" s="6"/>
      <c r="F1237" s="7"/>
    </row>
    <row r="1238" spans="1:6" ht="23">
      <c r="A1238" s="5" t="s">
        <v>7023</v>
      </c>
      <c r="B1238" s="6">
        <v>7.5</v>
      </c>
      <c r="C1238" s="6">
        <v>0</v>
      </c>
      <c r="D1238" s="6"/>
      <c r="F1238" s="7"/>
    </row>
    <row r="1239" spans="1:6" ht="23">
      <c r="A1239" s="5" t="s">
        <v>5678</v>
      </c>
      <c r="B1239" s="6">
        <v>7.1</v>
      </c>
      <c r="C1239" s="6">
        <v>0</v>
      </c>
      <c r="D1239" s="6"/>
      <c r="F1239" s="7"/>
    </row>
    <row r="1240" spans="1:6" ht="23">
      <c r="A1240" s="5" t="s">
        <v>109</v>
      </c>
      <c r="B1240" s="6">
        <v>6.8400000000000007</v>
      </c>
      <c r="C1240" s="6">
        <v>0.6151422599691817</v>
      </c>
      <c r="D1240" s="6"/>
      <c r="F1240" s="7"/>
    </row>
    <row r="1241" spans="1:6" ht="23">
      <c r="A1241" s="5" t="s">
        <v>6639</v>
      </c>
      <c r="B1241" s="6">
        <v>6.9</v>
      </c>
      <c r="C1241" s="6">
        <v>0</v>
      </c>
      <c r="D1241" s="6"/>
      <c r="F1241" s="7"/>
    </row>
    <row r="1242" spans="1:6" ht="23">
      <c r="A1242" s="5" t="s">
        <v>6822</v>
      </c>
      <c r="B1242" s="6">
        <v>8.3000000000000007</v>
      </c>
      <c r="C1242" s="6">
        <v>0</v>
      </c>
      <c r="D1242" s="6"/>
      <c r="F1242" s="7"/>
    </row>
    <row r="1243" spans="1:6" ht="23">
      <c r="A1243" s="5" t="s">
        <v>6396</v>
      </c>
      <c r="B1243" s="6">
        <v>4.5</v>
      </c>
      <c r="C1243" s="6">
        <v>0</v>
      </c>
      <c r="D1243" s="6"/>
      <c r="F1243" s="7"/>
    </row>
    <row r="1244" spans="1:6" ht="23">
      <c r="A1244" s="5" t="s">
        <v>4742</v>
      </c>
      <c r="B1244" s="6">
        <v>7.8</v>
      </c>
      <c r="C1244" s="6">
        <v>0</v>
      </c>
      <c r="D1244" s="6"/>
      <c r="F1244" s="7"/>
    </row>
    <row r="1245" spans="1:6" ht="23">
      <c r="A1245" s="5" t="s">
        <v>2206</v>
      </c>
      <c r="B1245" s="6">
        <v>5.6</v>
      </c>
      <c r="C1245" s="6">
        <v>0</v>
      </c>
      <c r="D1245" s="6"/>
      <c r="F1245" s="7"/>
    </row>
    <row r="1246" spans="1:6" ht="23">
      <c r="A1246" s="5" t="s">
        <v>6592</v>
      </c>
      <c r="B1246" s="6">
        <v>3.5</v>
      </c>
      <c r="C1246" s="6">
        <v>0</v>
      </c>
      <c r="D1246" s="6"/>
      <c r="F1246" s="7"/>
    </row>
    <row r="1247" spans="1:6" ht="23">
      <c r="A1247" s="5" t="s">
        <v>5453</v>
      </c>
      <c r="B1247" s="6">
        <v>4.7</v>
      </c>
      <c r="C1247" s="6">
        <v>0</v>
      </c>
      <c r="D1247" s="6"/>
      <c r="F1247" s="7"/>
    </row>
    <row r="1248" spans="1:6" ht="23">
      <c r="A1248" s="5" t="s">
        <v>2439</v>
      </c>
      <c r="B1248" s="6">
        <v>5.6</v>
      </c>
      <c r="C1248" s="6">
        <v>0</v>
      </c>
      <c r="D1248" s="6"/>
      <c r="F1248" s="7"/>
    </row>
    <row r="1249" spans="1:6" ht="23">
      <c r="A1249" s="5" t="s">
        <v>1928</v>
      </c>
      <c r="B1249" s="6">
        <v>6.8999999999999995</v>
      </c>
      <c r="C1249" s="6">
        <v>0.43204937989385822</v>
      </c>
      <c r="D1249" s="6"/>
      <c r="F1249" s="7"/>
    </row>
    <row r="1250" spans="1:6" ht="23">
      <c r="A1250" s="5" t="s">
        <v>4300</v>
      </c>
      <c r="B1250" s="6">
        <v>7</v>
      </c>
      <c r="C1250" s="6">
        <v>1</v>
      </c>
      <c r="D1250" s="6"/>
      <c r="F1250" s="7"/>
    </row>
    <row r="1251" spans="1:6" ht="23">
      <c r="A1251" s="5" t="s">
        <v>5682</v>
      </c>
      <c r="B1251" s="6">
        <v>6.7</v>
      </c>
      <c r="C1251" s="6">
        <v>0</v>
      </c>
      <c r="D1251" s="6"/>
      <c r="F1251" s="7"/>
    </row>
    <row r="1252" spans="1:6" ht="23">
      <c r="A1252" s="5" t="s">
        <v>1298</v>
      </c>
      <c r="B1252" s="6">
        <v>5.6</v>
      </c>
      <c r="C1252" s="6">
        <v>0</v>
      </c>
      <c r="D1252" s="6"/>
      <c r="F1252" s="7"/>
    </row>
    <row r="1253" spans="1:6" ht="23">
      <c r="A1253" s="5" t="s">
        <v>4552</v>
      </c>
      <c r="B1253" s="6">
        <v>6.9</v>
      </c>
      <c r="C1253" s="6">
        <v>0</v>
      </c>
      <c r="D1253" s="6"/>
      <c r="F1253" s="7"/>
    </row>
    <row r="1254" spans="1:6" ht="23">
      <c r="A1254" s="5" t="s">
        <v>5563</v>
      </c>
      <c r="B1254" s="6">
        <v>6.1</v>
      </c>
      <c r="C1254" s="6">
        <v>0</v>
      </c>
      <c r="D1254" s="6"/>
      <c r="F1254" s="7"/>
    </row>
    <row r="1255" spans="1:6" ht="23">
      <c r="A1255" s="5" t="s">
        <v>1292</v>
      </c>
      <c r="B1255" s="6">
        <v>5.3</v>
      </c>
      <c r="C1255" s="6">
        <v>0.19999999999999787</v>
      </c>
      <c r="D1255" s="6"/>
      <c r="F1255" s="7"/>
    </row>
    <row r="1256" spans="1:6" ht="23">
      <c r="A1256" s="5" t="s">
        <v>3461</v>
      </c>
      <c r="B1256" s="6">
        <v>5.8999999999999995</v>
      </c>
      <c r="C1256" s="6">
        <v>1.1860297916438169</v>
      </c>
      <c r="D1256" s="6"/>
      <c r="F1256" s="7"/>
    </row>
    <row r="1257" spans="1:6" ht="23">
      <c r="A1257" s="5" t="s">
        <v>6605</v>
      </c>
      <c r="B1257" s="6">
        <v>5.7</v>
      </c>
      <c r="C1257" s="6">
        <v>0</v>
      </c>
      <c r="D1257" s="6"/>
      <c r="F1257" s="7"/>
    </row>
    <row r="1258" spans="1:6" ht="23">
      <c r="A1258" s="5" t="s">
        <v>5133</v>
      </c>
      <c r="B1258" s="6">
        <v>5.8</v>
      </c>
      <c r="C1258" s="6">
        <v>0</v>
      </c>
      <c r="D1258" s="6"/>
      <c r="F1258" s="7"/>
    </row>
    <row r="1259" spans="1:6" ht="23">
      <c r="A1259" s="5" t="s">
        <v>5802</v>
      </c>
      <c r="B1259" s="6">
        <v>5.9</v>
      </c>
      <c r="C1259" s="6">
        <v>0</v>
      </c>
      <c r="D1259" s="6"/>
      <c r="F1259" s="7"/>
    </row>
    <row r="1260" spans="1:6" ht="23">
      <c r="A1260" s="5" t="s">
        <v>6556</v>
      </c>
      <c r="B1260" s="6">
        <v>6.7</v>
      </c>
      <c r="C1260" s="6">
        <v>0</v>
      </c>
      <c r="D1260" s="6"/>
      <c r="F1260" s="7"/>
    </row>
    <row r="1261" spans="1:6" ht="23">
      <c r="A1261" s="5" t="s">
        <v>4535</v>
      </c>
      <c r="B1261" s="6">
        <v>4.7</v>
      </c>
      <c r="C1261" s="6">
        <v>0</v>
      </c>
      <c r="D1261" s="6"/>
      <c r="F1261" s="7"/>
    </row>
    <row r="1262" spans="1:6" ht="23">
      <c r="A1262" s="5" t="s">
        <v>608</v>
      </c>
      <c r="B1262" s="6">
        <v>7.2333333333333343</v>
      </c>
      <c r="C1262" s="6">
        <v>0.38586123009299572</v>
      </c>
      <c r="D1262" s="6"/>
      <c r="F1262" s="7"/>
    </row>
    <row r="1263" spans="1:6" ht="23">
      <c r="A1263" s="5" t="s">
        <v>6582</v>
      </c>
      <c r="B1263" s="6">
        <v>4.7</v>
      </c>
      <c r="C1263" s="6">
        <v>0</v>
      </c>
      <c r="D1263" s="6"/>
      <c r="F1263" s="7"/>
    </row>
    <row r="1264" spans="1:6" ht="23">
      <c r="A1264" s="5" t="s">
        <v>3810</v>
      </c>
      <c r="B1264" s="6">
        <v>5.5</v>
      </c>
      <c r="C1264" s="6">
        <v>0</v>
      </c>
      <c r="D1264" s="6"/>
      <c r="F1264" s="7"/>
    </row>
    <row r="1265" spans="1:6" ht="23">
      <c r="A1265" s="5" t="s">
        <v>3259</v>
      </c>
      <c r="B1265" s="6">
        <v>7.5</v>
      </c>
      <c r="C1265" s="6">
        <v>0.59999999999999953</v>
      </c>
      <c r="D1265" s="6"/>
      <c r="F1265" s="7"/>
    </row>
    <row r="1266" spans="1:6" ht="23">
      <c r="A1266" s="5" t="s">
        <v>3002</v>
      </c>
      <c r="B1266" s="6">
        <v>4.5999999999999996</v>
      </c>
      <c r="C1266" s="6">
        <v>0</v>
      </c>
      <c r="D1266" s="6"/>
      <c r="F1266" s="7"/>
    </row>
    <row r="1267" spans="1:6" ht="23">
      <c r="A1267" s="5" t="s">
        <v>6846</v>
      </c>
      <c r="B1267" s="6">
        <v>7.6</v>
      </c>
      <c r="C1267" s="6">
        <v>0</v>
      </c>
      <c r="D1267" s="6"/>
      <c r="F1267" s="7"/>
    </row>
    <row r="1268" spans="1:6" ht="23">
      <c r="A1268" s="5" t="s">
        <v>1041</v>
      </c>
      <c r="B1268" s="6">
        <v>5.1749999999999998</v>
      </c>
      <c r="C1268" s="6">
        <v>0.54943152439590004</v>
      </c>
      <c r="D1268" s="6"/>
      <c r="F1268" s="7"/>
    </row>
    <row r="1269" spans="1:6" ht="23">
      <c r="A1269" s="5" t="s">
        <v>4799</v>
      </c>
      <c r="B1269" s="6">
        <v>5.6</v>
      </c>
      <c r="C1269" s="6">
        <v>0</v>
      </c>
      <c r="D1269" s="6"/>
      <c r="F1269" s="7"/>
    </row>
    <row r="1270" spans="1:6" ht="23">
      <c r="A1270" s="5" t="s">
        <v>4819</v>
      </c>
      <c r="B1270" s="6">
        <v>4.5999999999999996</v>
      </c>
      <c r="C1270" s="6">
        <v>0</v>
      </c>
      <c r="D1270" s="6"/>
      <c r="F1270" s="7"/>
    </row>
    <row r="1271" spans="1:6" ht="23">
      <c r="A1271" s="5" t="s">
        <v>726</v>
      </c>
      <c r="B1271" s="6">
        <v>7</v>
      </c>
      <c r="C1271" s="6">
        <v>0</v>
      </c>
      <c r="D1271" s="6"/>
      <c r="F1271" s="7"/>
    </row>
    <row r="1272" spans="1:6" ht="23">
      <c r="A1272" s="5" t="s">
        <v>1816</v>
      </c>
      <c r="B1272" s="6">
        <v>5.8</v>
      </c>
      <c r="C1272" s="6">
        <v>0</v>
      </c>
      <c r="D1272" s="6"/>
      <c r="F1272" s="7"/>
    </row>
    <row r="1273" spans="1:6" ht="23">
      <c r="A1273" s="5" t="s">
        <v>6060</v>
      </c>
      <c r="B1273" s="6">
        <v>6.7666666666666657</v>
      </c>
      <c r="C1273" s="6">
        <v>0.2494438257849679</v>
      </c>
      <c r="D1273" s="6"/>
      <c r="F1273" s="7"/>
    </row>
    <row r="1274" spans="1:6" ht="23">
      <c r="A1274" s="5" t="s">
        <v>4335</v>
      </c>
      <c r="B1274" s="6">
        <v>7.8</v>
      </c>
      <c r="C1274" s="6">
        <v>0</v>
      </c>
      <c r="D1274" s="6"/>
      <c r="F1274" s="7"/>
    </row>
    <row r="1275" spans="1:6" ht="23">
      <c r="A1275" s="5" t="s">
        <v>6945</v>
      </c>
      <c r="B1275" s="6">
        <v>4.3</v>
      </c>
      <c r="C1275" s="6">
        <v>0</v>
      </c>
      <c r="D1275" s="6"/>
      <c r="F1275" s="7"/>
    </row>
    <row r="1276" spans="1:6" ht="23">
      <c r="A1276" s="5" t="s">
        <v>1736</v>
      </c>
      <c r="B1276" s="6">
        <v>6.1999999999999993</v>
      </c>
      <c r="C1276" s="6">
        <v>0.52440442408508792</v>
      </c>
      <c r="D1276" s="6"/>
      <c r="F1276" s="7"/>
    </row>
    <row r="1277" spans="1:6" ht="23">
      <c r="A1277" s="5" t="s">
        <v>4706</v>
      </c>
      <c r="B1277" s="6">
        <v>7.5</v>
      </c>
      <c r="C1277" s="6">
        <v>0</v>
      </c>
      <c r="D1277" s="6"/>
      <c r="F1277" s="7"/>
    </row>
    <row r="1278" spans="1:6" ht="23">
      <c r="A1278" s="5" t="s">
        <v>7063</v>
      </c>
      <c r="B1278" s="6">
        <v>7</v>
      </c>
      <c r="C1278" s="6">
        <v>0</v>
      </c>
      <c r="D1278" s="6"/>
      <c r="F1278" s="7"/>
    </row>
    <row r="1279" spans="1:6" ht="23">
      <c r="A1279" s="5" t="s">
        <v>2149</v>
      </c>
      <c r="B1279" s="6">
        <v>5.9</v>
      </c>
      <c r="C1279" s="6">
        <v>0.5</v>
      </c>
      <c r="D1279" s="6"/>
      <c r="F1279" s="7"/>
    </row>
    <row r="1280" spans="1:6" ht="23">
      <c r="A1280" s="5" t="s">
        <v>4740</v>
      </c>
      <c r="B1280" s="6">
        <v>5</v>
      </c>
      <c r="C1280" s="6">
        <v>0</v>
      </c>
      <c r="D1280" s="6"/>
      <c r="F1280" s="7"/>
    </row>
    <row r="1281" spans="1:6" ht="23">
      <c r="A1281" s="5" t="s">
        <v>230</v>
      </c>
      <c r="B1281" s="6">
        <v>7.1</v>
      </c>
      <c r="C1281" s="6">
        <v>0.5371884479132395</v>
      </c>
      <c r="D1281" s="6"/>
      <c r="F1281" s="7"/>
    </row>
    <row r="1282" spans="1:6" ht="23">
      <c r="A1282" s="5" t="s">
        <v>3604</v>
      </c>
      <c r="B1282" s="6">
        <v>2.8</v>
      </c>
      <c r="C1282" s="6">
        <v>0</v>
      </c>
      <c r="D1282" s="6"/>
      <c r="F1282" s="7"/>
    </row>
    <row r="1283" spans="1:6" ht="23">
      <c r="A1283" s="5" t="s">
        <v>3942</v>
      </c>
      <c r="B1283" s="6">
        <v>7.1</v>
      </c>
      <c r="C1283" s="6">
        <v>0.60000000000000542</v>
      </c>
      <c r="D1283" s="6"/>
      <c r="F1283" s="7"/>
    </row>
    <row r="1284" spans="1:6" ht="23">
      <c r="A1284" s="5" t="s">
        <v>1095</v>
      </c>
      <c r="B1284" s="6">
        <v>5.7</v>
      </c>
      <c r="C1284" s="6">
        <v>1.10090871556183</v>
      </c>
      <c r="D1284" s="6"/>
      <c r="F1284" s="7"/>
    </row>
    <row r="1285" spans="1:6" ht="23">
      <c r="A1285" s="5" t="s">
        <v>1282</v>
      </c>
      <c r="B1285" s="6">
        <v>5.8</v>
      </c>
      <c r="C1285" s="6">
        <v>0</v>
      </c>
      <c r="D1285" s="6"/>
      <c r="F1285" s="7"/>
    </row>
    <row r="1286" spans="1:6" ht="23">
      <c r="A1286" s="5" t="s">
        <v>938</v>
      </c>
      <c r="B1286" s="6">
        <v>6.1</v>
      </c>
      <c r="C1286" s="6">
        <v>0</v>
      </c>
      <c r="D1286" s="6"/>
      <c r="F1286" s="7"/>
    </row>
    <row r="1287" spans="1:6" ht="23">
      <c r="A1287" s="5" t="s">
        <v>2608</v>
      </c>
      <c r="B1287" s="6">
        <v>5.4</v>
      </c>
      <c r="C1287" s="6">
        <v>0.89999999999999736</v>
      </c>
      <c r="D1287" s="6"/>
      <c r="F1287" s="7"/>
    </row>
    <row r="1288" spans="1:6" ht="23">
      <c r="A1288" s="5" t="s">
        <v>1230</v>
      </c>
      <c r="B1288" s="6">
        <v>5.95</v>
      </c>
      <c r="C1288" s="6">
        <v>0.25</v>
      </c>
      <c r="D1288" s="6"/>
      <c r="F1288" s="7"/>
    </row>
    <row r="1289" spans="1:6" ht="23">
      <c r="A1289" s="5" t="s">
        <v>4928</v>
      </c>
      <c r="B1289" s="6">
        <v>6.3</v>
      </c>
      <c r="C1289" s="6">
        <v>0</v>
      </c>
      <c r="D1289" s="6"/>
      <c r="F1289" s="7"/>
    </row>
    <row r="1290" spans="1:6" ht="23">
      <c r="A1290" s="5" t="s">
        <v>5613</v>
      </c>
      <c r="B1290" s="6">
        <v>3.5</v>
      </c>
      <c r="C1290" s="6">
        <v>0</v>
      </c>
      <c r="D1290" s="6"/>
      <c r="F1290" s="7"/>
    </row>
    <row r="1291" spans="1:6" ht="23">
      <c r="A1291" s="5" t="s">
        <v>764</v>
      </c>
      <c r="B1291" s="6">
        <v>7.166666666666667</v>
      </c>
      <c r="C1291" s="6">
        <v>0.84983658559879749</v>
      </c>
      <c r="D1291" s="6"/>
      <c r="F1291" s="7"/>
    </row>
    <row r="1292" spans="1:6" ht="23">
      <c r="A1292" s="5" t="s">
        <v>1119</v>
      </c>
      <c r="B1292" s="6">
        <v>5.3</v>
      </c>
      <c r="C1292" s="6">
        <v>0</v>
      </c>
      <c r="D1292" s="6"/>
      <c r="F1292" s="7"/>
    </row>
    <row r="1293" spans="1:6" ht="23">
      <c r="A1293" s="5" t="s">
        <v>3480</v>
      </c>
      <c r="B1293" s="6">
        <v>5.8</v>
      </c>
      <c r="C1293" s="6">
        <v>0.19999999999999787</v>
      </c>
      <c r="D1293" s="6"/>
      <c r="F1293" s="7"/>
    </row>
    <row r="1294" spans="1:6" ht="23">
      <c r="A1294" s="5" t="s">
        <v>6571</v>
      </c>
      <c r="B1294" s="6">
        <v>5.0999999999999996</v>
      </c>
      <c r="C1294" s="6">
        <v>0</v>
      </c>
      <c r="D1294" s="6"/>
      <c r="F1294" s="7"/>
    </row>
    <row r="1295" spans="1:6" ht="23">
      <c r="A1295" s="5" t="s">
        <v>2389</v>
      </c>
      <c r="B1295" s="6">
        <v>5.3</v>
      </c>
      <c r="C1295" s="6">
        <v>0</v>
      </c>
      <c r="D1295" s="6"/>
      <c r="F1295" s="7"/>
    </row>
    <row r="1296" spans="1:6" ht="23">
      <c r="A1296" s="5" t="s">
        <v>7171</v>
      </c>
      <c r="B1296" s="6">
        <v>7.6</v>
      </c>
      <c r="C1296" s="6">
        <v>0</v>
      </c>
      <c r="D1296" s="6"/>
      <c r="F1296" s="7"/>
    </row>
    <row r="1297" spans="1:6" ht="23">
      <c r="A1297" s="5" t="s">
        <v>627</v>
      </c>
      <c r="B1297" s="6">
        <v>5.9499999999999993</v>
      </c>
      <c r="C1297" s="6">
        <v>1.1500000000000021</v>
      </c>
      <c r="D1297" s="6"/>
      <c r="F1297" s="7"/>
    </row>
    <row r="1298" spans="1:6" ht="23">
      <c r="A1298" s="5" t="s">
        <v>1144</v>
      </c>
      <c r="B1298" s="6">
        <v>7.6333333333333329</v>
      </c>
      <c r="C1298" s="6">
        <v>0.41096093353127799</v>
      </c>
      <c r="D1298" s="6"/>
      <c r="F1298" s="7"/>
    </row>
    <row r="1299" spans="1:6" ht="23">
      <c r="A1299" s="5" t="s">
        <v>2033</v>
      </c>
      <c r="B1299" s="6">
        <v>5.6999999999999993</v>
      </c>
      <c r="C1299" s="6">
        <v>0.59999999999999953</v>
      </c>
      <c r="D1299" s="6"/>
      <c r="F1299" s="7"/>
    </row>
    <row r="1300" spans="1:6" ht="23">
      <c r="A1300" s="5" t="s">
        <v>142</v>
      </c>
      <c r="B1300" s="6">
        <v>6.68</v>
      </c>
      <c r="C1300" s="6">
        <v>0.57410800377630122</v>
      </c>
      <c r="D1300" s="6"/>
      <c r="F1300" s="7"/>
    </row>
    <row r="1301" spans="1:6" ht="23">
      <c r="A1301" s="5" t="s">
        <v>2022</v>
      </c>
      <c r="B1301" s="6">
        <v>5.7</v>
      </c>
      <c r="C1301" s="6">
        <v>0.1632993161855483</v>
      </c>
      <c r="D1301" s="6"/>
      <c r="F1301" s="7"/>
    </row>
    <row r="1302" spans="1:6" ht="23">
      <c r="A1302" s="5" t="s">
        <v>1973</v>
      </c>
      <c r="B1302" s="6">
        <v>6.5666666666666664</v>
      </c>
      <c r="C1302" s="6">
        <v>0.89659851042085892</v>
      </c>
      <c r="D1302" s="6"/>
      <c r="F1302" s="7"/>
    </row>
    <row r="1303" spans="1:6" ht="23">
      <c r="A1303" s="5" t="s">
        <v>2875</v>
      </c>
      <c r="B1303" s="6">
        <v>6.4</v>
      </c>
      <c r="C1303" s="6">
        <v>0.299999999999982</v>
      </c>
      <c r="D1303" s="6"/>
      <c r="F1303" s="7"/>
    </row>
    <row r="1304" spans="1:6" ht="23">
      <c r="A1304" s="5" t="s">
        <v>3384</v>
      </c>
      <c r="B1304" s="6">
        <v>5.2</v>
      </c>
      <c r="C1304" s="6">
        <v>0.19999999999999787</v>
      </c>
      <c r="D1304" s="6"/>
      <c r="F1304" s="7"/>
    </row>
    <row r="1305" spans="1:6" ht="23">
      <c r="A1305" s="5" t="s">
        <v>6048</v>
      </c>
      <c r="B1305" s="6">
        <v>5.7</v>
      </c>
      <c r="C1305" s="6">
        <v>0</v>
      </c>
      <c r="D1305" s="6"/>
      <c r="F1305" s="7"/>
    </row>
    <row r="1306" spans="1:6" ht="23">
      <c r="A1306" s="5" t="s">
        <v>6494</v>
      </c>
      <c r="B1306" s="6">
        <v>6.2</v>
      </c>
      <c r="C1306" s="6">
        <v>0</v>
      </c>
      <c r="D1306" s="6"/>
      <c r="F1306" s="7"/>
    </row>
    <row r="1307" spans="1:6" ht="23">
      <c r="A1307" s="5" t="s">
        <v>3822</v>
      </c>
      <c r="B1307" s="6">
        <v>5.6</v>
      </c>
      <c r="C1307" s="6">
        <v>0</v>
      </c>
      <c r="D1307" s="6"/>
      <c r="F1307" s="7"/>
    </row>
    <row r="1308" spans="1:6" ht="23">
      <c r="A1308" s="5" t="s">
        <v>6182</v>
      </c>
      <c r="B1308" s="6">
        <v>7.5</v>
      </c>
      <c r="C1308" s="6">
        <v>0</v>
      </c>
      <c r="D1308" s="6"/>
      <c r="F1308" s="7"/>
    </row>
    <row r="1309" spans="1:6" ht="23">
      <c r="A1309" s="5" t="s">
        <v>6524</v>
      </c>
      <c r="B1309" s="6">
        <v>6.8</v>
      </c>
      <c r="C1309" s="6">
        <v>0</v>
      </c>
      <c r="D1309" s="6"/>
      <c r="F1309" s="7"/>
    </row>
    <row r="1310" spans="1:6" ht="23">
      <c r="A1310" s="5" t="s">
        <v>4538</v>
      </c>
      <c r="B1310" s="6">
        <v>5.2</v>
      </c>
      <c r="C1310" s="6">
        <v>0</v>
      </c>
      <c r="D1310" s="6"/>
      <c r="F1310" s="7"/>
    </row>
    <row r="1311" spans="1:6" ht="23">
      <c r="A1311" s="5" t="s">
        <v>4974</v>
      </c>
      <c r="B1311" s="6">
        <v>7.2</v>
      </c>
      <c r="C1311" s="6">
        <v>0</v>
      </c>
      <c r="D1311" s="6"/>
      <c r="F1311" s="7"/>
    </row>
    <row r="1312" spans="1:6" ht="23">
      <c r="A1312" s="5" t="s">
        <v>2351</v>
      </c>
      <c r="B1312" s="6">
        <v>6.666666666666667</v>
      </c>
      <c r="C1312" s="6">
        <v>0.70395706939809422</v>
      </c>
      <c r="D1312" s="6"/>
      <c r="F1312" s="7"/>
    </row>
    <row r="1313" spans="1:6" ht="23">
      <c r="A1313" s="5" t="s">
        <v>2110</v>
      </c>
      <c r="B1313" s="6">
        <v>5.2</v>
      </c>
      <c r="C1313" s="6">
        <v>0</v>
      </c>
      <c r="D1313" s="6"/>
      <c r="F1313" s="7"/>
    </row>
    <row r="1314" spans="1:6" ht="23">
      <c r="A1314" s="5" t="s">
        <v>5048</v>
      </c>
      <c r="B1314" s="6">
        <v>6.5500000000000007</v>
      </c>
      <c r="C1314" s="6">
        <v>0.34999999999999309</v>
      </c>
      <c r="D1314" s="6"/>
      <c r="F1314" s="7"/>
    </row>
    <row r="1315" spans="1:6" ht="23">
      <c r="A1315" s="5" t="s">
        <v>957</v>
      </c>
      <c r="B1315" s="6">
        <v>6</v>
      </c>
      <c r="C1315" s="6">
        <v>0</v>
      </c>
      <c r="D1315" s="6"/>
      <c r="F1315" s="7"/>
    </row>
    <row r="1316" spans="1:6" ht="23">
      <c r="A1316" s="5" t="s">
        <v>391</v>
      </c>
      <c r="B1316" s="6">
        <v>5.9</v>
      </c>
      <c r="C1316" s="6">
        <v>1.3999999999999977</v>
      </c>
      <c r="D1316" s="6"/>
      <c r="F1316" s="7"/>
    </row>
    <row r="1317" spans="1:6" ht="23">
      <c r="A1317" s="5" t="s">
        <v>1965</v>
      </c>
      <c r="B1317" s="6">
        <v>6.6</v>
      </c>
      <c r="C1317" s="6">
        <v>0.64187226143525411</v>
      </c>
      <c r="D1317" s="6"/>
      <c r="F1317" s="7"/>
    </row>
    <row r="1318" spans="1:6" ht="23">
      <c r="A1318" s="5" t="s">
        <v>7173</v>
      </c>
      <c r="B1318" s="6">
        <v>5</v>
      </c>
      <c r="C1318" s="6">
        <v>0</v>
      </c>
      <c r="D1318" s="6"/>
      <c r="F1318" s="7"/>
    </row>
    <row r="1319" spans="1:6" ht="23">
      <c r="A1319" s="5" t="s">
        <v>3984</v>
      </c>
      <c r="B1319" s="6">
        <v>6.1</v>
      </c>
      <c r="C1319" s="6">
        <v>0</v>
      </c>
      <c r="D1319" s="6"/>
      <c r="F1319" s="7"/>
    </row>
    <row r="1320" spans="1:6" ht="23">
      <c r="A1320" s="5" t="s">
        <v>2714</v>
      </c>
      <c r="B1320" s="6">
        <v>7.5</v>
      </c>
      <c r="C1320" s="6">
        <v>0</v>
      </c>
      <c r="D1320" s="6"/>
      <c r="F1320" s="7"/>
    </row>
    <row r="1321" spans="1:6" ht="23">
      <c r="A1321" s="5" t="s">
        <v>7220</v>
      </c>
      <c r="B1321" s="6">
        <v>7.4</v>
      </c>
      <c r="C1321" s="6">
        <v>0</v>
      </c>
      <c r="D1321" s="6"/>
      <c r="F1321" s="7"/>
    </row>
    <row r="1322" spans="1:6" ht="23">
      <c r="A1322" s="5" t="s">
        <v>5355</v>
      </c>
      <c r="B1322" s="6">
        <v>3.3</v>
      </c>
      <c r="C1322" s="6">
        <v>0</v>
      </c>
      <c r="D1322" s="6"/>
      <c r="F1322" s="7"/>
    </row>
    <row r="1323" spans="1:6" ht="23">
      <c r="A1323" s="5" t="s">
        <v>4616</v>
      </c>
      <c r="B1323" s="6">
        <v>4.9000000000000004</v>
      </c>
      <c r="C1323" s="6">
        <v>0</v>
      </c>
      <c r="D1323" s="6"/>
      <c r="F1323" s="7"/>
    </row>
    <row r="1324" spans="1:6" ht="23">
      <c r="A1324" s="5" t="s">
        <v>6993</v>
      </c>
      <c r="B1324" s="6">
        <v>8</v>
      </c>
      <c r="C1324" s="6">
        <v>0</v>
      </c>
      <c r="D1324" s="6"/>
      <c r="F1324" s="7"/>
    </row>
    <row r="1325" spans="1:6" ht="23">
      <c r="A1325" s="5" t="s">
        <v>4598</v>
      </c>
      <c r="B1325" s="6">
        <v>7.5</v>
      </c>
      <c r="C1325" s="6">
        <v>0</v>
      </c>
      <c r="D1325" s="6"/>
      <c r="F1325" s="7"/>
    </row>
    <row r="1326" spans="1:6" ht="23">
      <c r="A1326" s="5" t="s">
        <v>5727</v>
      </c>
      <c r="B1326" s="6">
        <v>5.6</v>
      </c>
      <c r="C1326" s="6">
        <v>0</v>
      </c>
      <c r="D1326" s="6"/>
      <c r="F1326" s="7"/>
    </row>
    <row r="1327" spans="1:6" ht="23">
      <c r="A1327" s="5" t="s">
        <v>6758</v>
      </c>
      <c r="B1327" s="6">
        <v>6.2</v>
      </c>
      <c r="C1327" s="6">
        <v>0.19999999999999787</v>
      </c>
      <c r="D1327" s="6"/>
      <c r="F1327" s="7"/>
    </row>
    <row r="1328" spans="1:6" ht="23">
      <c r="A1328" s="5" t="s">
        <v>6382</v>
      </c>
      <c r="B1328" s="6">
        <v>6.1</v>
      </c>
      <c r="C1328" s="6">
        <v>0</v>
      </c>
      <c r="D1328" s="6"/>
      <c r="F1328" s="7"/>
    </row>
    <row r="1329" spans="1:6" ht="23">
      <c r="A1329" s="5" t="s">
        <v>2384</v>
      </c>
      <c r="B1329" s="6">
        <v>5.95</v>
      </c>
      <c r="C1329" s="6">
        <v>1.5499999999999987</v>
      </c>
      <c r="D1329" s="6"/>
      <c r="F1329" s="7"/>
    </row>
    <row r="1330" spans="1:6" ht="23">
      <c r="A1330" s="5" t="s">
        <v>854</v>
      </c>
      <c r="B1330" s="6">
        <v>6.4</v>
      </c>
      <c r="C1330" s="6">
        <v>0</v>
      </c>
      <c r="D1330" s="6"/>
      <c r="F1330" s="7"/>
    </row>
    <row r="1331" spans="1:6" ht="23">
      <c r="A1331" s="5" t="s">
        <v>4199</v>
      </c>
      <c r="B1331" s="6">
        <v>7.1</v>
      </c>
      <c r="C1331" s="6">
        <v>0</v>
      </c>
      <c r="D1331" s="6"/>
      <c r="F1331" s="7"/>
    </row>
    <row r="1332" spans="1:6" ht="23">
      <c r="A1332" s="5" t="s">
        <v>118</v>
      </c>
      <c r="B1332" s="6">
        <v>6.9166666666666652</v>
      </c>
      <c r="C1332" s="6">
        <v>1.0414999866645445</v>
      </c>
      <c r="D1332" s="6"/>
      <c r="F1332" s="7"/>
    </row>
    <row r="1333" spans="1:6" ht="23">
      <c r="A1333" s="5" t="s">
        <v>3441</v>
      </c>
      <c r="B1333" s="6">
        <v>6.2</v>
      </c>
      <c r="C1333" s="6">
        <v>0</v>
      </c>
      <c r="D1333" s="6"/>
      <c r="F1333" s="7"/>
    </row>
    <row r="1334" spans="1:6" ht="23">
      <c r="A1334" s="5" t="s">
        <v>5815</v>
      </c>
      <c r="B1334" s="6">
        <v>6.2</v>
      </c>
      <c r="C1334" s="6">
        <v>0</v>
      </c>
      <c r="D1334" s="6"/>
      <c r="F1334" s="7"/>
    </row>
    <row r="1335" spans="1:6" ht="23">
      <c r="A1335" s="5" t="s">
        <v>6725</v>
      </c>
      <c r="B1335" s="6">
        <v>8</v>
      </c>
      <c r="C1335" s="6">
        <v>0</v>
      </c>
      <c r="D1335" s="6"/>
      <c r="F1335" s="7"/>
    </row>
    <row r="1336" spans="1:6" ht="23">
      <c r="A1336" s="5" t="s">
        <v>6073</v>
      </c>
      <c r="B1336" s="6">
        <v>6.7</v>
      </c>
      <c r="C1336" s="6">
        <v>0</v>
      </c>
      <c r="D1336" s="6"/>
      <c r="F1336" s="7"/>
    </row>
    <row r="1337" spans="1:6" ht="23">
      <c r="A1337" s="5" t="s">
        <v>3592</v>
      </c>
      <c r="B1337" s="6">
        <v>3.6</v>
      </c>
      <c r="C1337" s="6">
        <v>0</v>
      </c>
      <c r="D1337" s="6"/>
      <c r="F1337" s="7"/>
    </row>
    <row r="1338" spans="1:6" ht="23">
      <c r="A1338" s="5" t="s">
        <v>7109</v>
      </c>
      <c r="B1338" s="6">
        <v>7</v>
      </c>
      <c r="C1338" s="6">
        <v>0</v>
      </c>
      <c r="D1338" s="6"/>
      <c r="F1338" s="7"/>
    </row>
    <row r="1339" spans="1:6" ht="23">
      <c r="A1339" s="5" t="s">
        <v>999</v>
      </c>
      <c r="B1339" s="6">
        <v>6.5400000000000009</v>
      </c>
      <c r="C1339" s="6">
        <v>0.84522186436461522</v>
      </c>
      <c r="D1339" s="6"/>
      <c r="F1339" s="7"/>
    </row>
    <row r="1340" spans="1:6" ht="23">
      <c r="A1340" s="5" t="s">
        <v>5987</v>
      </c>
      <c r="B1340" s="6">
        <v>7</v>
      </c>
      <c r="C1340" s="6">
        <v>0</v>
      </c>
      <c r="D1340" s="6"/>
      <c r="F1340" s="7"/>
    </row>
    <row r="1341" spans="1:6" ht="23">
      <c r="A1341" s="5" t="s">
        <v>3872</v>
      </c>
      <c r="B1341" s="6">
        <v>7.5</v>
      </c>
      <c r="C1341" s="6">
        <v>0.37416573867740122</v>
      </c>
      <c r="D1341" s="6"/>
      <c r="F1341" s="7"/>
    </row>
    <row r="1342" spans="1:6" ht="23">
      <c r="A1342" s="5" t="s">
        <v>7123</v>
      </c>
      <c r="B1342" s="6">
        <v>6.8</v>
      </c>
      <c r="C1342" s="6">
        <v>0</v>
      </c>
      <c r="D1342" s="6"/>
      <c r="F1342" s="7"/>
    </row>
    <row r="1343" spans="1:6" ht="23">
      <c r="A1343" s="5" t="s">
        <v>2117</v>
      </c>
      <c r="B1343" s="6">
        <v>7.1111111111111107</v>
      </c>
      <c r="C1343" s="6">
        <v>0.54046162253401209</v>
      </c>
      <c r="D1343" s="6"/>
      <c r="F1343" s="7"/>
    </row>
    <row r="1344" spans="1:6" ht="23">
      <c r="A1344" s="5" t="s">
        <v>6900</v>
      </c>
      <c r="B1344" s="6">
        <v>8</v>
      </c>
      <c r="C1344" s="6">
        <v>0</v>
      </c>
      <c r="D1344" s="6"/>
      <c r="F1344" s="7"/>
    </row>
    <row r="1345" spans="1:6" ht="23">
      <c r="A1345" s="5" t="s">
        <v>2968</v>
      </c>
      <c r="B1345" s="6">
        <v>6.4</v>
      </c>
      <c r="C1345" s="6">
        <v>0</v>
      </c>
      <c r="D1345" s="6"/>
      <c r="F1345" s="7"/>
    </row>
    <row r="1346" spans="1:6" ht="23">
      <c r="A1346" s="5" t="s">
        <v>6387</v>
      </c>
      <c r="B1346" s="6">
        <v>5.6</v>
      </c>
      <c r="C1346" s="6">
        <v>0</v>
      </c>
      <c r="D1346" s="6"/>
      <c r="F1346" s="7"/>
    </row>
    <row r="1347" spans="1:6" ht="23">
      <c r="A1347" s="5" t="s">
        <v>5692</v>
      </c>
      <c r="B1347" s="6">
        <v>7.5</v>
      </c>
      <c r="C1347" s="6">
        <v>0</v>
      </c>
      <c r="D1347" s="6"/>
      <c r="F1347" s="7"/>
    </row>
    <row r="1348" spans="1:6" ht="23">
      <c r="A1348" s="5" t="s">
        <v>2447</v>
      </c>
      <c r="B1348" s="6">
        <v>7.25</v>
      </c>
      <c r="C1348" s="6">
        <v>4.9999999999977264E-2</v>
      </c>
      <c r="D1348" s="6"/>
      <c r="F1348" s="7"/>
    </row>
    <row r="1349" spans="1:6" ht="23">
      <c r="A1349" s="5" t="s">
        <v>6093</v>
      </c>
      <c r="B1349" s="6">
        <v>6.6</v>
      </c>
      <c r="C1349" s="6">
        <v>0</v>
      </c>
      <c r="D1349" s="6"/>
      <c r="F1349" s="7"/>
    </row>
    <row r="1350" spans="1:6" ht="23">
      <c r="A1350" s="5" t="s">
        <v>508</v>
      </c>
      <c r="B1350" s="6">
        <v>3.7</v>
      </c>
      <c r="C1350" s="6">
        <v>1.5</v>
      </c>
      <c r="D1350" s="6"/>
      <c r="F1350" s="7"/>
    </row>
    <row r="1351" spans="1:6" ht="23">
      <c r="A1351" s="5" t="s">
        <v>1647</v>
      </c>
      <c r="B1351" s="6">
        <v>1.7</v>
      </c>
      <c r="C1351" s="6">
        <v>0</v>
      </c>
      <c r="D1351" s="6"/>
      <c r="F1351" s="7"/>
    </row>
    <row r="1352" spans="1:6" ht="23">
      <c r="A1352" s="5" t="s">
        <v>976</v>
      </c>
      <c r="B1352" s="6">
        <v>6.26</v>
      </c>
      <c r="C1352" s="6">
        <v>0.81633326527834693</v>
      </c>
      <c r="D1352" s="6"/>
      <c r="F1352" s="7"/>
    </row>
    <row r="1353" spans="1:6" ht="23">
      <c r="A1353" s="5" t="s">
        <v>4311</v>
      </c>
      <c r="B1353" s="6">
        <v>6.85</v>
      </c>
      <c r="C1353" s="6">
        <v>0.55000000000000826</v>
      </c>
      <c r="D1353" s="6"/>
      <c r="F1353" s="7"/>
    </row>
    <row r="1354" spans="1:6" ht="23">
      <c r="A1354" s="5" t="s">
        <v>1945</v>
      </c>
      <c r="B1354" s="6">
        <v>7.25</v>
      </c>
      <c r="C1354" s="6">
        <v>4.9999999999977264E-2</v>
      </c>
      <c r="D1354" s="6"/>
      <c r="F1354" s="7"/>
    </row>
    <row r="1355" spans="1:6" ht="23">
      <c r="A1355" s="5" t="s">
        <v>261</v>
      </c>
      <c r="B1355" s="6">
        <v>6.1400000000000006</v>
      </c>
      <c r="C1355" s="6">
        <v>0.991160935469106</v>
      </c>
      <c r="D1355" s="6"/>
      <c r="F1355" s="7"/>
    </row>
    <row r="1356" spans="1:6" ht="23">
      <c r="A1356" s="5" t="s">
        <v>2330</v>
      </c>
      <c r="B1356" s="6">
        <v>6.95</v>
      </c>
      <c r="C1356" s="6">
        <v>0.25</v>
      </c>
      <c r="D1356" s="6"/>
      <c r="F1356" s="7"/>
    </row>
    <row r="1357" spans="1:6" ht="23">
      <c r="A1357" s="5" t="s">
        <v>85</v>
      </c>
      <c r="B1357" s="6">
        <v>8.3000000000000007</v>
      </c>
      <c r="C1357" s="6">
        <v>0</v>
      </c>
      <c r="D1357" s="6"/>
      <c r="F1357" s="7"/>
    </row>
    <row r="1358" spans="1:6" ht="23">
      <c r="A1358" s="5" t="s">
        <v>4353</v>
      </c>
      <c r="B1358" s="6">
        <v>6.1</v>
      </c>
      <c r="C1358" s="6">
        <v>0</v>
      </c>
      <c r="D1358" s="6"/>
      <c r="F1358" s="7"/>
    </row>
    <row r="1359" spans="1:6" ht="23">
      <c r="A1359" s="5" t="s">
        <v>435</v>
      </c>
      <c r="B1359" s="6">
        <v>7</v>
      </c>
      <c r="C1359" s="6">
        <v>0.16329931618552895</v>
      </c>
      <c r="D1359" s="6"/>
      <c r="F1359" s="7"/>
    </row>
    <row r="1360" spans="1:6" ht="23">
      <c r="A1360" s="5" t="s">
        <v>7152</v>
      </c>
      <c r="B1360" s="6">
        <v>6.3</v>
      </c>
      <c r="C1360" s="6">
        <v>0</v>
      </c>
      <c r="D1360" s="6"/>
      <c r="F1360" s="7"/>
    </row>
    <row r="1361" spans="1:6" ht="23">
      <c r="A1361" s="5" t="s">
        <v>4005</v>
      </c>
      <c r="B1361" s="6">
        <v>8.3000000000000007</v>
      </c>
      <c r="C1361" s="6">
        <v>0</v>
      </c>
      <c r="D1361" s="6"/>
      <c r="F1361" s="7"/>
    </row>
    <row r="1362" spans="1:6" ht="23">
      <c r="A1362" s="5" t="s">
        <v>5851</v>
      </c>
      <c r="B1362" s="6">
        <v>6.1</v>
      </c>
      <c r="C1362" s="6">
        <v>0</v>
      </c>
      <c r="D1362" s="6"/>
      <c r="F1362" s="7"/>
    </row>
    <row r="1363" spans="1:6" ht="23">
      <c r="A1363" s="5" t="s">
        <v>4382</v>
      </c>
      <c r="B1363" s="6">
        <v>5.9</v>
      </c>
      <c r="C1363" s="6">
        <v>0</v>
      </c>
      <c r="D1363" s="6"/>
      <c r="F1363" s="7"/>
    </row>
    <row r="1364" spans="1:6" ht="23">
      <c r="A1364" s="5" t="s">
        <v>5407</v>
      </c>
      <c r="B1364" s="6">
        <v>5.3</v>
      </c>
      <c r="C1364" s="6">
        <v>0</v>
      </c>
      <c r="D1364" s="6"/>
      <c r="F1364" s="7"/>
    </row>
    <row r="1365" spans="1:6" ht="23">
      <c r="A1365" s="5" t="s">
        <v>2844</v>
      </c>
      <c r="B1365" s="6">
        <v>6.5999999999999988</v>
      </c>
      <c r="C1365" s="6">
        <v>0.57154760664941906</v>
      </c>
      <c r="D1365" s="6"/>
      <c r="F1365" s="7"/>
    </row>
    <row r="1366" spans="1:6" ht="23">
      <c r="A1366" s="5" t="s">
        <v>5541</v>
      </c>
      <c r="B1366" s="6">
        <v>7.1</v>
      </c>
      <c r="C1366" s="6">
        <v>0</v>
      </c>
      <c r="D1366" s="6"/>
      <c r="F1366" s="7"/>
    </row>
    <row r="1367" spans="1:6" ht="23">
      <c r="A1367" s="5" t="s">
        <v>711</v>
      </c>
      <c r="B1367" s="6">
        <v>5.5</v>
      </c>
      <c r="C1367" s="6">
        <v>0.62928530890209378</v>
      </c>
      <c r="D1367" s="6"/>
      <c r="F1367" s="7"/>
    </row>
    <row r="1368" spans="1:6" ht="23">
      <c r="A1368" s="5" t="s">
        <v>6323</v>
      </c>
      <c r="B1368" s="6">
        <v>6.5</v>
      </c>
      <c r="C1368" s="6">
        <v>0</v>
      </c>
      <c r="D1368" s="6"/>
      <c r="F1368" s="7"/>
    </row>
    <row r="1369" spans="1:6" ht="23">
      <c r="A1369" s="5" t="s">
        <v>5905</v>
      </c>
      <c r="B1369" s="6">
        <v>7.1</v>
      </c>
      <c r="C1369" s="6">
        <v>0.40000000000000463</v>
      </c>
      <c r="D1369" s="6"/>
      <c r="F1369" s="7"/>
    </row>
    <row r="1370" spans="1:6" ht="23">
      <c r="A1370" s="5" t="s">
        <v>5795</v>
      </c>
      <c r="B1370" s="6">
        <v>5.3</v>
      </c>
      <c r="C1370" s="6">
        <v>0</v>
      </c>
      <c r="D1370" s="6"/>
      <c r="F1370" s="7"/>
    </row>
    <row r="1371" spans="1:6" ht="23">
      <c r="A1371" s="5" t="s">
        <v>6438</v>
      </c>
      <c r="B1371" s="6">
        <v>5.7</v>
      </c>
      <c r="C1371" s="6">
        <v>0</v>
      </c>
      <c r="D1371" s="6"/>
      <c r="F1371" s="7"/>
    </row>
    <row r="1372" spans="1:6" ht="23">
      <c r="A1372" s="5" t="s">
        <v>2242</v>
      </c>
      <c r="B1372" s="6">
        <v>6.7666666666666657</v>
      </c>
      <c r="C1372" s="6">
        <v>0.3399346342395409</v>
      </c>
      <c r="D1372" s="6"/>
      <c r="F1372" s="7"/>
    </row>
    <row r="1373" spans="1:6" ht="23">
      <c r="A1373" s="5" t="s">
        <v>2128</v>
      </c>
      <c r="B1373" s="6">
        <v>6</v>
      </c>
      <c r="C1373" s="6">
        <v>0</v>
      </c>
      <c r="D1373" s="6"/>
      <c r="F1373" s="7"/>
    </row>
    <row r="1374" spans="1:6" ht="23">
      <c r="A1374" s="5" t="s">
        <v>2445</v>
      </c>
      <c r="B1374" s="6">
        <v>6</v>
      </c>
      <c r="C1374" s="6">
        <v>0</v>
      </c>
      <c r="D1374" s="6"/>
      <c r="F1374" s="7"/>
    </row>
    <row r="1375" spans="1:6" ht="23">
      <c r="A1375" s="5" t="s">
        <v>4208</v>
      </c>
      <c r="B1375" s="6">
        <v>3.2</v>
      </c>
      <c r="C1375" s="6">
        <v>0</v>
      </c>
      <c r="D1375" s="6"/>
      <c r="F1375" s="7"/>
    </row>
    <row r="1376" spans="1:6" ht="23">
      <c r="A1376" s="5" t="s">
        <v>2461</v>
      </c>
      <c r="B1376" s="6">
        <v>6.7</v>
      </c>
      <c r="C1376" s="6">
        <v>0</v>
      </c>
      <c r="D1376" s="6"/>
      <c r="F1376" s="7"/>
    </row>
    <row r="1377" spans="1:6" ht="23">
      <c r="A1377" s="5" t="s">
        <v>4629</v>
      </c>
      <c r="B1377" s="6">
        <v>4.8</v>
      </c>
      <c r="C1377" s="6">
        <v>0</v>
      </c>
      <c r="D1377" s="6"/>
      <c r="F1377" s="7"/>
    </row>
    <row r="1378" spans="1:6" ht="23">
      <c r="A1378" s="5" t="s">
        <v>4141</v>
      </c>
      <c r="B1378" s="6">
        <v>5.3</v>
      </c>
      <c r="C1378" s="6">
        <v>0</v>
      </c>
      <c r="D1378" s="6"/>
      <c r="F1378" s="7"/>
    </row>
    <row r="1379" spans="1:6" ht="23">
      <c r="A1379" s="5" t="s">
        <v>4296</v>
      </c>
      <c r="B1379" s="6">
        <v>4.3</v>
      </c>
      <c r="C1379" s="6">
        <v>0</v>
      </c>
      <c r="D1379" s="6"/>
      <c r="F1379" s="7"/>
    </row>
    <row r="1380" spans="1:6" ht="23">
      <c r="A1380" s="5" t="s">
        <v>5492</v>
      </c>
      <c r="B1380" s="6">
        <v>7.1</v>
      </c>
      <c r="C1380" s="6">
        <v>0</v>
      </c>
      <c r="D1380" s="6"/>
      <c r="F1380" s="7"/>
    </row>
    <row r="1381" spans="1:6" ht="23">
      <c r="A1381" s="5" t="s">
        <v>7115</v>
      </c>
      <c r="B1381" s="6">
        <v>7.7</v>
      </c>
      <c r="C1381" s="6">
        <v>0</v>
      </c>
      <c r="D1381" s="6"/>
      <c r="F1381" s="7"/>
    </row>
    <row r="1382" spans="1:6" ht="23">
      <c r="A1382" s="5" t="s">
        <v>5194</v>
      </c>
      <c r="B1382" s="6">
        <v>5.6</v>
      </c>
      <c r="C1382" s="6">
        <v>0</v>
      </c>
      <c r="D1382" s="6"/>
      <c r="F1382" s="7"/>
    </row>
    <row r="1383" spans="1:6" ht="23">
      <c r="A1383" s="5" t="s">
        <v>7030</v>
      </c>
      <c r="B1383" s="6">
        <v>6.8</v>
      </c>
      <c r="C1383" s="6">
        <v>0</v>
      </c>
      <c r="D1383" s="6"/>
      <c r="F1383" s="7"/>
    </row>
    <row r="1384" spans="1:6" ht="23">
      <c r="A1384" s="5" t="s">
        <v>2353</v>
      </c>
      <c r="B1384" s="6">
        <v>6.7</v>
      </c>
      <c r="C1384" s="6">
        <v>0</v>
      </c>
      <c r="D1384" s="6"/>
      <c r="F1384" s="7"/>
    </row>
    <row r="1385" spans="1:6" ht="23">
      <c r="A1385" s="5" t="s">
        <v>6841</v>
      </c>
      <c r="B1385" s="6">
        <v>7.7</v>
      </c>
      <c r="C1385" s="6">
        <v>0</v>
      </c>
      <c r="D1385" s="6"/>
      <c r="F1385" s="7"/>
    </row>
    <row r="1386" spans="1:6" ht="23">
      <c r="A1386" s="5" t="s">
        <v>6837</v>
      </c>
      <c r="B1386" s="6">
        <v>6.2</v>
      </c>
      <c r="C1386" s="6">
        <v>0</v>
      </c>
      <c r="D1386" s="6"/>
      <c r="F1386" s="7"/>
    </row>
    <row r="1387" spans="1:6" ht="23">
      <c r="A1387" s="5" t="s">
        <v>6223</v>
      </c>
      <c r="B1387" s="6">
        <v>4.7</v>
      </c>
      <c r="C1387" s="6">
        <v>0</v>
      </c>
      <c r="D1387" s="6"/>
      <c r="F1387" s="7"/>
    </row>
    <row r="1388" spans="1:6" ht="23">
      <c r="A1388" s="5" t="s">
        <v>3756</v>
      </c>
      <c r="B1388" s="6">
        <v>7.15</v>
      </c>
      <c r="C1388" s="6">
        <v>0.14999999999997915</v>
      </c>
      <c r="D1388" s="6"/>
      <c r="F1388" s="7"/>
    </row>
    <row r="1389" spans="1:6" ht="23">
      <c r="A1389" s="5" t="s">
        <v>4432</v>
      </c>
      <c r="B1389" s="6">
        <v>6.7</v>
      </c>
      <c r="C1389" s="6">
        <v>0</v>
      </c>
      <c r="D1389" s="6"/>
      <c r="F1389" s="7"/>
    </row>
    <row r="1390" spans="1:6" ht="23">
      <c r="A1390" s="5" t="s">
        <v>6567</v>
      </c>
      <c r="B1390" s="6">
        <v>6.5</v>
      </c>
      <c r="C1390" s="6">
        <v>0</v>
      </c>
      <c r="D1390" s="6"/>
      <c r="F1390" s="7"/>
    </row>
    <row r="1391" spans="1:6" ht="23">
      <c r="A1391" s="5" t="s">
        <v>6969</v>
      </c>
      <c r="B1391" s="6">
        <v>6.9</v>
      </c>
      <c r="C1391" s="6">
        <v>0</v>
      </c>
      <c r="D1391" s="6"/>
      <c r="F1391" s="7"/>
    </row>
    <row r="1392" spans="1:6" ht="23">
      <c r="A1392" s="5" t="s">
        <v>5635</v>
      </c>
      <c r="B1392" s="6">
        <v>5.2</v>
      </c>
      <c r="C1392" s="6">
        <v>0</v>
      </c>
      <c r="D1392" s="6"/>
      <c r="F1392" s="7"/>
    </row>
    <row r="1393" spans="1:6" ht="23">
      <c r="A1393" s="5" t="s">
        <v>302</v>
      </c>
      <c r="B1393" s="6">
        <v>6.6666666666666652</v>
      </c>
      <c r="C1393" s="6">
        <v>0.48876260995384968</v>
      </c>
      <c r="D1393" s="6"/>
      <c r="F1393" s="7"/>
    </row>
    <row r="1394" spans="1:6" ht="23">
      <c r="A1394" s="5" t="s">
        <v>5004</v>
      </c>
      <c r="B1394" s="6">
        <v>3.6</v>
      </c>
      <c r="C1394" s="6">
        <v>0</v>
      </c>
      <c r="D1394" s="6"/>
      <c r="F1394" s="7"/>
    </row>
    <row r="1395" spans="1:6" ht="23">
      <c r="A1395" s="5" t="s">
        <v>7013</v>
      </c>
      <c r="B1395" s="6">
        <v>6.5</v>
      </c>
      <c r="C1395" s="6">
        <v>0</v>
      </c>
      <c r="D1395" s="6"/>
      <c r="F1395" s="7"/>
    </row>
    <row r="1396" spans="1:6" ht="23">
      <c r="A1396" s="5" t="s">
        <v>530</v>
      </c>
      <c r="B1396" s="6">
        <v>6.6</v>
      </c>
      <c r="C1396" s="6">
        <v>0.57619441163551577</v>
      </c>
      <c r="D1396" s="6"/>
      <c r="F1396" s="7"/>
    </row>
    <row r="1397" spans="1:6" ht="23">
      <c r="A1397" s="5" t="s">
        <v>5668</v>
      </c>
      <c r="B1397" s="6">
        <v>7.6</v>
      </c>
      <c r="C1397" s="6">
        <v>0</v>
      </c>
      <c r="D1397" s="6"/>
      <c r="F1397" s="7"/>
    </row>
    <row r="1398" spans="1:6" ht="23">
      <c r="A1398" s="5" t="s">
        <v>4460</v>
      </c>
      <c r="B1398" s="6">
        <v>7</v>
      </c>
      <c r="C1398" s="6">
        <v>0</v>
      </c>
      <c r="D1398" s="6"/>
      <c r="F1398" s="7"/>
    </row>
    <row r="1399" spans="1:6" ht="23">
      <c r="A1399" s="5" t="s">
        <v>750</v>
      </c>
      <c r="B1399" s="6">
        <v>6.4</v>
      </c>
      <c r="C1399" s="6">
        <v>0</v>
      </c>
      <c r="D1399" s="6"/>
      <c r="F1399" s="7"/>
    </row>
    <row r="1400" spans="1:6" ht="23">
      <c r="A1400" s="5" t="s">
        <v>6864</v>
      </c>
      <c r="B1400" s="6">
        <v>6.9</v>
      </c>
      <c r="C1400" s="6">
        <v>0</v>
      </c>
      <c r="D1400" s="6"/>
      <c r="F1400" s="7"/>
    </row>
    <row r="1401" spans="1:6" ht="23">
      <c r="A1401" s="5" t="s">
        <v>6196</v>
      </c>
      <c r="B1401" s="6">
        <v>6.7</v>
      </c>
      <c r="C1401" s="6">
        <v>0</v>
      </c>
      <c r="D1401" s="6"/>
      <c r="F1401" s="7"/>
    </row>
    <row r="1402" spans="1:6" ht="23">
      <c r="A1402" s="5" t="s">
        <v>6310</v>
      </c>
      <c r="B1402" s="6">
        <v>6.7</v>
      </c>
      <c r="C1402" s="6">
        <v>0</v>
      </c>
      <c r="D1402" s="6"/>
      <c r="F1402" s="7"/>
    </row>
    <row r="1403" spans="1:6" ht="23">
      <c r="A1403" s="5" t="s">
        <v>1585</v>
      </c>
      <c r="B1403" s="6">
        <v>5</v>
      </c>
      <c r="C1403" s="6">
        <v>0.40000000000000019</v>
      </c>
      <c r="D1403" s="6"/>
      <c r="F1403" s="7"/>
    </row>
    <row r="1404" spans="1:6" ht="23">
      <c r="A1404" s="5" t="s">
        <v>1939</v>
      </c>
      <c r="B1404" s="6">
        <v>5.85</v>
      </c>
      <c r="C1404" s="6">
        <v>0.25</v>
      </c>
      <c r="D1404" s="6"/>
      <c r="F1404" s="7"/>
    </row>
    <row r="1405" spans="1:6" ht="23">
      <c r="A1405" s="5" t="s">
        <v>4995</v>
      </c>
      <c r="B1405" s="6">
        <v>6.8</v>
      </c>
      <c r="C1405" s="6">
        <v>0</v>
      </c>
      <c r="D1405" s="6"/>
      <c r="F1405" s="7"/>
    </row>
    <row r="1406" spans="1:6" ht="23">
      <c r="A1406" s="5" t="s">
        <v>5449</v>
      </c>
      <c r="B1406" s="6">
        <v>7.9</v>
      </c>
      <c r="C1406" s="6">
        <v>0</v>
      </c>
      <c r="D1406" s="6"/>
      <c r="F1406" s="7"/>
    </row>
    <row r="1407" spans="1:6" ht="23">
      <c r="A1407" s="5" t="s">
        <v>6828</v>
      </c>
      <c r="B1407" s="6">
        <v>5.2</v>
      </c>
      <c r="C1407" s="6">
        <v>0</v>
      </c>
      <c r="D1407" s="6"/>
      <c r="F1407" s="7"/>
    </row>
    <row r="1408" spans="1:6" ht="23">
      <c r="A1408" s="5" t="s">
        <v>2058</v>
      </c>
      <c r="B1408" s="6">
        <v>6</v>
      </c>
      <c r="C1408" s="6">
        <v>0.76485292703891827</v>
      </c>
      <c r="D1408" s="6"/>
      <c r="F1408" s="7"/>
    </row>
    <row r="1409" spans="1:6" ht="23">
      <c r="A1409" s="5" t="s">
        <v>7091</v>
      </c>
      <c r="B1409" s="6">
        <v>6.7</v>
      </c>
      <c r="C1409" s="6">
        <v>0</v>
      </c>
      <c r="D1409" s="6"/>
      <c r="F1409" s="7"/>
    </row>
    <row r="1410" spans="1:6" ht="23">
      <c r="A1410" s="5" t="s">
        <v>4932</v>
      </c>
      <c r="B1410" s="6">
        <v>7.1</v>
      </c>
      <c r="C1410" s="6">
        <v>0.40000000000000463</v>
      </c>
      <c r="D1410" s="6"/>
      <c r="F1410" s="7"/>
    </row>
    <row r="1411" spans="1:6" ht="23">
      <c r="A1411" s="5" t="s">
        <v>247</v>
      </c>
      <c r="B1411" s="6">
        <v>6.0444444444444452</v>
      </c>
      <c r="C1411" s="6">
        <v>1.1653431646334969</v>
      </c>
      <c r="D1411" s="6"/>
      <c r="F1411" s="7"/>
    </row>
    <row r="1412" spans="1:6" ht="23">
      <c r="A1412" s="5" t="s">
        <v>4226</v>
      </c>
      <c r="B1412" s="6">
        <v>6.2</v>
      </c>
      <c r="C1412" s="6">
        <v>0</v>
      </c>
      <c r="D1412" s="6"/>
      <c r="F1412" s="7"/>
    </row>
    <row r="1413" spans="1:6" ht="23">
      <c r="A1413" s="5" t="s">
        <v>3240</v>
      </c>
      <c r="B1413" s="6">
        <v>4.9000000000000004</v>
      </c>
      <c r="C1413" s="6">
        <v>0</v>
      </c>
      <c r="D1413" s="6"/>
      <c r="F1413" s="7"/>
    </row>
    <row r="1414" spans="1:6" ht="23">
      <c r="A1414" s="5" t="s">
        <v>6255</v>
      </c>
      <c r="B1414" s="6">
        <v>5.8</v>
      </c>
      <c r="C1414" s="6">
        <v>0</v>
      </c>
      <c r="D1414" s="6"/>
      <c r="F1414" s="7"/>
    </row>
    <row r="1415" spans="1:6" ht="23">
      <c r="A1415" s="5" t="s">
        <v>6172</v>
      </c>
      <c r="B1415" s="6">
        <v>7.3</v>
      </c>
      <c r="C1415" s="6">
        <v>0</v>
      </c>
      <c r="D1415" s="6"/>
      <c r="F1415" s="7"/>
    </row>
    <row r="1416" spans="1:6" ht="23">
      <c r="A1416" s="5" t="s">
        <v>4673</v>
      </c>
      <c r="B1416" s="6">
        <v>7.3</v>
      </c>
      <c r="C1416" s="6">
        <v>0</v>
      </c>
      <c r="D1416" s="6"/>
      <c r="F1416" s="7"/>
    </row>
    <row r="1417" spans="1:6" ht="23">
      <c r="A1417" s="5" t="s">
        <v>7051</v>
      </c>
      <c r="B1417" s="6">
        <v>8.5</v>
      </c>
      <c r="C1417" s="6">
        <v>0</v>
      </c>
      <c r="D1417" s="6"/>
      <c r="F1417" s="7"/>
    </row>
    <row r="1418" spans="1:6" ht="23">
      <c r="A1418" s="5" t="s">
        <v>2459</v>
      </c>
      <c r="B1418" s="6">
        <v>4.0999999999999996</v>
      </c>
      <c r="C1418" s="6">
        <v>0</v>
      </c>
      <c r="D1418" s="6"/>
      <c r="F1418" s="7"/>
    </row>
    <row r="1419" spans="1:6" ht="23">
      <c r="A1419" s="5" t="s">
        <v>1875</v>
      </c>
      <c r="B1419" s="6">
        <v>5.7857142857142856</v>
      </c>
      <c r="C1419" s="6">
        <v>1.0480302223403553</v>
      </c>
      <c r="D1419" s="6"/>
      <c r="F1419" s="7"/>
    </row>
    <row r="1420" spans="1:6" ht="23">
      <c r="A1420" s="5" t="s">
        <v>7168</v>
      </c>
      <c r="B1420" s="6">
        <v>5.5</v>
      </c>
      <c r="C1420" s="6">
        <v>0</v>
      </c>
      <c r="D1420" s="6"/>
      <c r="F1420" s="7"/>
    </row>
    <row r="1421" spans="1:6" ht="23">
      <c r="A1421" s="5" t="s">
        <v>5289</v>
      </c>
      <c r="B1421" s="6">
        <v>5.9</v>
      </c>
      <c r="C1421" s="6">
        <v>0</v>
      </c>
      <c r="D1421" s="6"/>
      <c r="F1421" s="7"/>
    </row>
    <row r="1422" spans="1:6" ht="23">
      <c r="A1422" s="5" t="s">
        <v>922</v>
      </c>
      <c r="B1422" s="6">
        <v>6.4</v>
      </c>
      <c r="C1422" s="6">
        <v>0</v>
      </c>
      <c r="D1422" s="6"/>
      <c r="F1422" s="7"/>
    </row>
    <row r="1423" spans="1:6" ht="23">
      <c r="A1423" s="5" t="s">
        <v>3236</v>
      </c>
      <c r="B1423" s="6">
        <v>7</v>
      </c>
      <c r="C1423" s="6">
        <v>0</v>
      </c>
      <c r="D1423" s="6"/>
      <c r="F1423" s="7"/>
    </row>
    <row r="1424" spans="1:6" ht="23">
      <c r="A1424" s="5" t="s">
        <v>1889</v>
      </c>
      <c r="B1424" s="6">
        <v>4.4000000000000004</v>
      </c>
      <c r="C1424" s="6">
        <v>0</v>
      </c>
      <c r="D1424" s="6"/>
      <c r="F1424" s="7"/>
    </row>
    <row r="1425" spans="1:6" ht="23">
      <c r="A1425" s="5" t="s">
        <v>4652</v>
      </c>
      <c r="B1425" s="6">
        <v>6.2</v>
      </c>
      <c r="C1425" s="6">
        <v>0</v>
      </c>
      <c r="D1425" s="6"/>
      <c r="F1425" s="7"/>
    </row>
    <row r="1426" spans="1:6" ht="23">
      <c r="A1426" s="5" t="s">
        <v>34</v>
      </c>
      <c r="B1426" s="6">
        <v>7.15</v>
      </c>
      <c r="C1426" s="6">
        <v>0.43011626335212572</v>
      </c>
      <c r="D1426" s="6"/>
      <c r="F1426" s="7"/>
    </row>
    <row r="1427" spans="1:6" ht="23">
      <c r="A1427" s="5" t="s">
        <v>1073</v>
      </c>
      <c r="B1427" s="6">
        <v>5.7666666666666666</v>
      </c>
      <c r="C1427" s="6">
        <v>0.77172246018601187</v>
      </c>
      <c r="D1427" s="6"/>
      <c r="F1427" s="7"/>
    </row>
    <row r="1428" spans="1:6" ht="23">
      <c r="A1428" s="5" t="s">
        <v>6490</v>
      </c>
      <c r="B1428" s="6">
        <v>7.2</v>
      </c>
      <c r="C1428" s="6">
        <v>0</v>
      </c>
      <c r="D1428" s="6"/>
      <c r="F1428" s="7"/>
    </row>
    <row r="1429" spans="1:6" ht="23">
      <c r="A1429" s="5" t="s">
        <v>4807</v>
      </c>
      <c r="B1429" s="6">
        <v>6</v>
      </c>
      <c r="C1429" s="6">
        <v>0</v>
      </c>
      <c r="D1429" s="6"/>
      <c r="F1429" s="7"/>
    </row>
    <row r="1430" spans="1:6" ht="23">
      <c r="A1430" s="5" t="s">
        <v>48</v>
      </c>
      <c r="B1430" s="6">
        <v>7.1333333333333329</v>
      </c>
      <c r="C1430" s="6">
        <v>0.41899350299923077</v>
      </c>
      <c r="D1430" s="6"/>
      <c r="F1430" s="7"/>
    </row>
    <row r="1431" spans="1:6" ht="23">
      <c r="A1431" s="5" t="s">
        <v>5819</v>
      </c>
      <c r="B1431" s="6">
        <v>5.5</v>
      </c>
      <c r="C1431" s="6">
        <v>0</v>
      </c>
      <c r="D1431" s="6"/>
      <c r="F1431" s="7"/>
    </row>
    <row r="1432" spans="1:6" ht="23">
      <c r="A1432" s="5" t="s">
        <v>4197</v>
      </c>
      <c r="B1432" s="6">
        <v>7.45</v>
      </c>
      <c r="C1432" s="6">
        <v>4.9999999999977264E-2</v>
      </c>
      <c r="D1432" s="6"/>
      <c r="F1432" s="7"/>
    </row>
    <row r="1433" spans="1:6" ht="23">
      <c r="A1433" s="5" t="s">
        <v>1046</v>
      </c>
      <c r="B1433" s="6">
        <v>3.8</v>
      </c>
      <c r="C1433" s="6">
        <v>0</v>
      </c>
      <c r="D1433" s="6"/>
      <c r="F1433" s="7"/>
    </row>
    <row r="1434" spans="1:6" ht="23">
      <c r="A1434" s="5" t="s">
        <v>2804</v>
      </c>
      <c r="B1434" s="6">
        <v>4.0999999999999996</v>
      </c>
      <c r="C1434" s="6">
        <v>0</v>
      </c>
      <c r="D1434" s="6"/>
      <c r="F1434" s="7"/>
    </row>
    <row r="1435" spans="1:6" ht="23">
      <c r="A1435" s="5" t="s">
        <v>4437</v>
      </c>
      <c r="B1435" s="6">
        <v>6.1</v>
      </c>
      <c r="C1435" s="6">
        <v>0</v>
      </c>
      <c r="D1435" s="6"/>
      <c r="F1435" s="7"/>
    </row>
    <row r="1436" spans="1:6" ht="23">
      <c r="A1436" s="5" t="s">
        <v>7202</v>
      </c>
      <c r="B1436" s="6">
        <v>4.5999999999999996</v>
      </c>
      <c r="C1436" s="6">
        <v>0</v>
      </c>
      <c r="D1436" s="6"/>
      <c r="F1436" s="7"/>
    </row>
    <row r="1437" spans="1:6" ht="23">
      <c r="A1437" s="5" t="s">
        <v>4351</v>
      </c>
      <c r="B1437" s="6">
        <v>5.5</v>
      </c>
      <c r="C1437" s="6">
        <v>0.30000000000000571</v>
      </c>
      <c r="D1437" s="6"/>
      <c r="F1437" s="7"/>
    </row>
    <row r="1438" spans="1:6" ht="23">
      <c r="A1438" s="5" t="s">
        <v>6948</v>
      </c>
      <c r="B1438" s="6">
        <v>6.5</v>
      </c>
      <c r="C1438" s="6">
        <v>0</v>
      </c>
      <c r="D1438" s="6"/>
      <c r="F1438" s="7"/>
    </row>
    <row r="1439" spans="1:6" ht="23">
      <c r="A1439" s="5" t="s">
        <v>7036</v>
      </c>
      <c r="B1439" s="6">
        <v>6.5</v>
      </c>
      <c r="C1439" s="6">
        <v>0</v>
      </c>
      <c r="D1439" s="6"/>
      <c r="F1439" s="7"/>
    </row>
    <row r="1440" spans="1:6" ht="23">
      <c r="A1440" s="5" t="s">
        <v>6056</v>
      </c>
      <c r="B1440" s="6">
        <v>6.9</v>
      </c>
      <c r="C1440" s="6">
        <v>0</v>
      </c>
      <c r="D1440" s="6"/>
      <c r="F1440" s="7"/>
    </row>
    <row r="1441" spans="1:6" ht="23">
      <c r="A1441" s="5" t="s">
        <v>6624</v>
      </c>
      <c r="B1441" s="6">
        <v>6.7</v>
      </c>
      <c r="C1441" s="6">
        <v>0</v>
      </c>
      <c r="D1441" s="6"/>
      <c r="F1441" s="7"/>
    </row>
    <row r="1442" spans="1:6" ht="23">
      <c r="A1442" s="5" t="s">
        <v>6749</v>
      </c>
      <c r="B1442" s="6">
        <v>7.5</v>
      </c>
      <c r="C1442" s="6">
        <v>0</v>
      </c>
      <c r="D1442" s="6"/>
      <c r="F1442" s="7"/>
    </row>
    <row r="1443" spans="1:6" ht="23">
      <c r="A1443" s="5" t="s">
        <v>2840</v>
      </c>
      <c r="B1443" s="6">
        <v>5</v>
      </c>
      <c r="C1443" s="6">
        <v>0.90000000000000124</v>
      </c>
      <c r="D1443" s="6"/>
      <c r="F1443" s="7"/>
    </row>
    <row r="1444" spans="1:6" ht="23">
      <c r="A1444" s="5" t="s">
        <v>6781</v>
      </c>
      <c r="B1444" s="6">
        <v>8.4</v>
      </c>
      <c r="C1444" s="6">
        <v>0</v>
      </c>
      <c r="D1444" s="6"/>
      <c r="F1444" s="7"/>
    </row>
    <row r="1445" spans="1:6" ht="23">
      <c r="A1445" s="5" t="s">
        <v>1771</v>
      </c>
      <c r="B1445" s="6">
        <v>5.2</v>
      </c>
      <c r="C1445" s="6">
        <v>0</v>
      </c>
      <c r="D1445" s="6"/>
      <c r="F1445" s="7"/>
    </row>
    <row r="1446" spans="1:6" ht="23">
      <c r="A1446" s="5" t="s">
        <v>107</v>
      </c>
      <c r="B1446" s="6">
        <v>7.2</v>
      </c>
      <c r="C1446" s="6">
        <v>0</v>
      </c>
      <c r="D1446" s="6"/>
      <c r="F1446" s="7"/>
    </row>
    <row r="1447" spans="1:6" ht="23">
      <c r="A1447" s="5" t="s">
        <v>3996</v>
      </c>
      <c r="B1447" s="6">
        <v>5.1999999999999993</v>
      </c>
      <c r="C1447" s="6">
        <v>0.90000000000000124</v>
      </c>
      <c r="D1447" s="6"/>
      <c r="F1447" s="7"/>
    </row>
    <row r="1448" spans="1:6" ht="23">
      <c r="A1448" s="5" t="s">
        <v>4015</v>
      </c>
      <c r="B1448" s="6">
        <v>5.8</v>
      </c>
      <c r="C1448" s="6">
        <v>0</v>
      </c>
      <c r="D1448" s="6"/>
      <c r="F1448" s="7"/>
    </row>
    <row r="1449" spans="1:6" ht="23">
      <c r="A1449" s="5" t="s">
        <v>476</v>
      </c>
      <c r="B1449" s="6">
        <v>6.666666666666667</v>
      </c>
      <c r="C1449" s="6">
        <v>0.63420991968135365</v>
      </c>
      <c r="D1449" s="6"/>
      <c r="F1449" s="7"/>
    </row>
    <row r="1450" spans="1:6" ht="23">
      <c r="A1450" s="5" t="s">
        <v>5583</v>
      </c>
      <c r="B1450" s="6">
        <v>6.3</v>
      </c>
      <c r="C1450" s="6">
        <v>0</v>
      </c>
      <c r="D1450" s="6"/>
      <c r="F1450" s="7"/>
    </row>
    <row r="1451" spans="1:6" ht="23">
      <c r="A1451" s="5" t="s">
        <v>2703</v>
      </c>
      <c r="B1451" s="6">
        <v>5.6</v>
      </c>
      <c r="C1451" s="6">
        <v>0</v>
      </c>
      <c r="D1451" s="6"/>
      <c r="F1451" s="7"/>
    </row>
    <row r="1452" spans="1:6" ht="23">
      <c r="A1452" s="5" t="s">
        <v>4063</v>
      </c>
      <c r="B1452" s="6">
        <v>7.4</v>
      </c>
      <c r="C1452" s="6">
        <v>0.39999999999999575</v>
      </c>
      <c r="D1452" s="6"/>
      <c r="F1452" s="7"/>
    </row>
    <row r="1453" spans="1:6" ht="23">
      <c r="A1453" s="5" t="s">
        <v>6207</v>
      </c>
      <c r="B1453" s="6">
        <v>6.3</v>
      </c>
      <c r="C1453" s="6">
        <v>0</v>
      </c>
      <c r="D1453" s="6"/>
      <c r="F1453" s="7"/>
    </row>
    <row r="1454" spans="1:6" ht="23">
      <c r="A1454" s="5" t="s">
        <v>3742</v>
      </c>
      <c r="B1454" s="6">
        <v>6.3249999999999993</v>
      </c>
      <c r="C1454" s="6">
        <v>0.32691742076556485</v>
      </c>
      <c r="D1454" s="6"/>
      <c r="F1454" s="7"/>
    </row>
    <row r="1455" spans="1:6" ht="23">
      <c r="A1455" s="5" t="s">
        <v>3177</v>
      </c>
      <c r="B1455" s="6">
        <v>6</v>
      </c>
      <c r="C1455" s="6">
        <v>0</v>
      </c>
      <c r="D1455" s="6"/>
      <c r="F1455" s="7"/>
    </row>
    <row r="1456" spans="1:6" ht="23">
      <c r="A1456" s="5" t="s">
        <v>1225</v>
      </c>
      <c r="B1456" s="6">
        <v>5.5600000000000005</v>
      </c>
      <c r="C1456" s="6">
        <v>1.0248902380255143</v>
      </c>
      <c r="D1456" s="6"/>
      <c r="F1456" s="7"/>
    </row>
    <row r="1457" spans="1:6" ht="23">
      <c r="A1457" s="5" t="s">
        <v>313</v>
      </c>
      <c r="B1457" s="6">
        <v>7.6999999999999993</v>
      </c>
      <c r="C1457" s="6">
        <v>0.10000000000002558</v>
      </c>
      <c r="D1457" s="6"/>
      <c r="F1457" s="7"/>
    </row>
    <row r="1458" spans="1:6" ht="23">
      <c r="A1458" s="5" t="s">
        <v>1688</v>
      </c>
      <c r="B1458" s="6">
        <v>6.85</v>
      </c>
      <c r="C1458" s="6">
        <v>0.35000000000001341</v>
      </c>
      <c r="D1458" s="6"/>
      <c r="F1458" s="7"/>
    </row>
    <row r="1459" spans="1:6" ht="23">
      <c r="A1459" s="5" t="s">
        <v>3773</v>
      </c>
      <c r="B1459" s="6">
        <v>5.0999999999999996</v>
      </c>
      <c r="C1459" s="6">
        <v>0</v>
      </c>
      <c r="D1459" s="6"/>
      <c r="F1459" s="7"/>
    </row>
    <row r="1460" spans="1:6" ht="23">
      <c r="A1460" s="5" t="s">
        <v>3813</v>
      </c>
      <c r="B1460" s="6">
        <v>7</v>
      </c>
      <c r="C1460" s="6">
        <v>0.19999999999999787</v>
      </c>
      <c r="D1460" s="6"/>
      <c r="F1460" s="7"/>
    </row>
    <row r="1461" spans="1:6" ht="23">
      <c r="A1461" s="5" t="s">
        <v>3294</v>
      </c>
      <c r="B1461" s="6">
        <v>5.7</v>
      </c>
      <c r="C1461" s="6">
        <v>0.19999999999999787</v>
      </c>
      <c r="D1461" s="6"/>
      <c r="F1461" s="7"/>
    </row>
    <row r="1462" spans="1:6" ht="23">
      <c r="A1462" s="5" t="s">
        <v>4681</v>
      </c>
      <c r="B1462" s="6">
        <v>6.9</v>
      </c>
      <c r="C1462" s="6">
        <v>0</v>
      </c>
      <c r="D1462" s="6"/>
      <c r="F1462" s="7"/>
    </row>
    <row r="1463" spans="1:6" ht="23">
      <c r="A1463" s="5" t="s">
        <v>6707</v>
      </c>
      <c r="B1463" s="6">
        <v>7.8</v>
      </c>
      <c r="C1463" s="6">
        <v>0</v>
      </c>
      <c r="D1463" s="6"/>
      <c r="F1463" s="7"/>
    </row>
    <row r="1464" spans="1:6" ht="23">
      <c r="A1464" s="5" t="s">
        <v>367</v>
      </c>
      <c r="B1464" s="6">
        <v>6.0500000000000007</v>
      </c>
      <c r="C1464" s="6">
        <v>0.84999999999999798</v>
      </c>
      <c r="D1464" s="6"/>
      <c r="F1464" s="7"/>
    </row>
    <row r="1465" spans="1:6" ht="23">
      <c r="A1465" s="5" t="s">
        <v>5087</v>
      </c>
      <c r="B1465" s="6">
        <v>5.3</v>
      </c>
      <c r="C1465" s="6">
        <v>0</v>
      </c>
      <c r="D1465" s="6"/>
      <c r="F1465" s="7"/>
    </row>
    <row r="1466" spans="1:6" ht="23">
      <c r="A1466" s="5" t="s">
        <v>4984</v>
      </c>
      <c r="B1466" s="6">
        <v>5.6</v>
      </c>
      <c r="C1466" s="6">
        <v>0</v>
      </c>
      <c r="D1466" s="6"/>
      <c r="F1466" s="7"/>
    </row>
    <row r="1467" spans="1:6" ht="23">
      <c r="A1467" s="5" t="s">
        <v>550</v>
      </c>
      <c r="B1467" s="6">
        <v>6.3</v>
      </c>
      <c r="C1467" s="6">
        <v>0.52915026221292216</v>
      </c>
      <c r="D1467" s="6"/>
      <c r="F1467" s="7"/>
    </row>
    <row r="1468" spans="1:6" ht="23">
      <c r="A1468" s="5" t="s">
        <v>5661</v>
      </c>
      <c r="B1468" s="6">
        <v>5.4</v>
      </c>
      <c r="C1468" s="6">
        <v>0</v>
      </c>
      <c r="D1468" s="6"/>
      <c r="F1468" s="7"/>
    </row>
    <row r="1469" spans="1:6" ht="23">
      <c r="A1469" s="5" t="s">
        <v>5538</v>
      </c>
      <c r="B1469" s="6">
        <v>7</v>
      </c>
      <c r="C1469" s="6">
        <v>0</v>
      </c>
      <c r="D1469" s="6"/>
      <c r="F1469" s="7"/>
    </row>
    <row r="1470" spans="1:6" ht="23">
      <c r="A1470" s="5" t="s">
        <v>2361</v>
      </c>
      <c r="B1470" s="6">
        <v>5.9</v>
      </c>
      <c r="C1470" s="6">
        <v>0</v>
      </c>
      <c r="D1470" s="6"/>
      <c r="F1470" s="7"/>
    </row>
    <row r="1471" spans="1:6" ht="23">
      <c r="A1471" s="5" t="s">
        <v>650</v>
      </c>
      <c r="B1471" s="6">
        <v>6.1000000000000005</v>
      </c>
      <c r="C1471" s="6">
        <v>2.1435951110225999</v>
      </c>
      <c r="D1471" s="6"/>
      <c r="F1471" s="7"/>
    </row>
    <row r="1472" spans="1:6" ht="23">
      <c r="A1472" s="5" t="s">
        <v>83</v>
      </c>
      <c r="B1472" s="6">
        <v>6.5500000000000007</v>
      </c>
      <c r="C1472" s="6">
        <v>0.73314391493075515</v>
      </c>
      <c r="D1472" s="6"/>
      <c r="F1472" s="7"/>
    </row>
    <row r="1473" spans="1:6" ht="23">
      <c r="A1473" s="5" t="s">
        <v>5135</v>
      </c>
      <c r="B1473" s="6">
        <v>7.1</v>
      </c>
      <c r="C1473" s="6">
        <v>0</v>
      </c>
      <c r="D1473" s="6"/>
      <c r="F1473" s="7"/>
    </row>
    <row r="1474" spans="1:6" ht="23">
      <c r="A1474" s="5" t="s">
        <v>4733</v>
      </c>
      <c r="B1474" s="6">
        <v>5.6</v>
      </c>
      <c r="C1474" s="6">
        <v>0</v>
      </c>
      <c r="D1474" s="6"/>
      <c r="F1474" s="7"/>
    </row>
    <row r="1475" spans="1:6" ht="23">
      <c r="A1475" s="5" t="s">
        <v>3791</v>
      </c>
      <c r="B1475" s="6">
        <v>7.6</v>
      </c>
      <c r="C1475" s="6">
        <v>0.40000000000000463</v>
      </c>
      <c r="D1475" s="6"/>
      <c r="F1475" s="7"/>
    </row>
    <row r="1476" spans="1:6" ht="23">
      <c r="A1476" s="5" t="s">
        <v>4285</v>
      </c>
      <c r="B1476" s="6">
        <v>7.4</v>
      </c>
      <c r="C1476" s="6">
        <v>0.5</v>
      </c>
      <c r="D1476" s="6"/>
      <c r="F1476" s="7"/>
    </row>
    <row r="1477" spans="1:6" ht="23">
      <c r="A1477" s="5" t="s">
        <v>130</v>
      </c>
      <c r="B1477" s="6">
        <v>7.6599999999999993</v>
      </c>
      <c r="C1477" s="6">
        <v>0.58770741019660422</v>
      </c>
      <c r="D1477" s="6"/>
      <c r="F1477" s="7"/>
    </row>
    <row r="1478" spans="1:6" ht="23">
      <c r="A1478" s="5" t="s">
        <v>3724</v>
      </c>
      <c r="B1478" s="6">
        <v>5.0999999999999996</v>
      </c>
      <c r="C1478" s="6">
        <v>0</v>
      </c>
      <c r="D1478" s="6"/>
      <c r="F1478" s="7"/>
    </row>
    <row r="1479" spans="1:6" ht="23">
      <c r="A1479" s="5" t="s">
        <v>4667</v>
      </c>
      <c r="B1479" s="6">
        <v>5.7</v>
      </c>
      <c r="C1479" s="6">
        <v>0</v>
      </c>
      <c r="D1479" s="6"/>
      <c r="F1479" s="7"/>
    </row>
    <row r="1480" spans="1:6" ht="23">
      <c r="A1480" s="5" t="s">
        <v>4754</v>
      </c>
      <c r="B1480" s="6">
        <v>7.6</v>
      </c>
      <c r="C1480" s="6">
        <v>0</v>
      </c>
      <c r="D1480" s="6"/>
      <c r="F1480" s="7"/>
    </row>
    <row r="1481" spans="1:6" ht="23">
      <c r="A1481" s="5" t="s">
        <v>3801</v>
      </c>
      <c r="B1481" s="6">
        <v>5.6</v>
      </c>
      <c r="C1481" s="6">
        <v>1.0000000000000018</v>
      </c>
      <c r="D1481" s="6"/>
      <c r="F1481" s="7"/>
    </row>
    <row r="1482" spans="1:6" ht="23">
      <c r="A1482" s="5" t="s">
        <v>2880</v>
      </c>
      <c r="B1482" s="6">
        <v>5.0999999999999996</v>
      </c>
      <c r="C1482" s="6">
        <v>0</v>
      </c>
      <c r="D1482" s="6"/>
      <c r="F1482" s="7"/>
    </row>
    <row r="1483" spans="1:6" ht="23">
      <c r="A1483" s="5" t="s">
        <v>6565</v>
      </c>
      <c r="B1483" s="6">
        <v>5.8</v>
      </c>
      <c r="C1483" s="6">
        <v>0</v>
      </c>
      <c r="D1483" s="6"/>
      <c r="F1483" s="7"/>
    </row>
    <row r="1484" spans="1:6" ht="23">
      <c r="A1484" s="5" t="s">
        <v>6614</v>
      </c>
      <c r="B1484" s="6">
        <v>5.9</v>
      </c>
      <c r="C1484" s="6">
        <v>0</v>
      </c>
      <c r="D1484" s="6"/>
      <c r="F1484" s="7"/>
    </row>
    <row r="1485" spans="1:6" ht="23">
      <c r="A1485" s="5" t="s">
        <v>4736</v>
      </c>
      <c r="B1485" s="6">
        <v>5.2</v>
      </c>
      <c r="C1485" s="6">
        <v>0</v>
      </c>
      <c r="D1485" s="6"/>
      <c r="F1485" s="7"/>
    </row>
    <row r="1486" spans="1:6" ht="23">
      <c r="A1486" s="5" t="s">
        <v>5447</v>
      </c>
      <c r="B1486" s="6">
        <v>6.6</v>
      </c>
      <c r="C1486" s="6">
        <v>0</v>
      </c>
      <c r="D1486" s="6"/>
      <c r="F1486" s="7"/>
    </row>
    <row r="1487" spans="1:6" ht="23">
      <c r="A1487" s="5" t="s">
        <v>6319</v>
      </c>
      <c r="B1487" s="6">
        <v>6.3</v>
      </c>
      <c r="C1487" s="6">
        <v>0</v>
      </c>
      <c r="D1487" s="6"/>
      <c r="F1487" s="7"/>
    </row>
    <row r="1488" spans="1:6" ht="23">
      <c r="A1488" s="5" t="s">
        <v>1619</v>
      </c>
      <c r="B1488" s="6">
        <v>5.6999999999999993</v>
      </c>
      <c r="C1488" s="6">
        <v>0.10000000000002558</v>
      </c>
      <c r="D1488" s="6"/>
      <c r="F1488" s="7"/>
    </row>
    <row r="1489" spans="1:6" ht="23">
      <c r="A1489" s="5" t="s">
        <v>4900</v>
      </c>
      <c r="B1489" s="6">
        <v>4</v>
      </c>
      <c r="C1489" s="6">
        <v>0</v>
      </c>
      <c r="D1489" s="6"/>
      <c r="F1489" s="7"/>
    </row>
    <row r="1490" spans="1:6" ht="23">
      <c r="A1490" s="5" t="s">
        <v>6986</v>
      </c>
      <c r="B1490" s="6">
        <v>4.5</v>
      </c>
      <c r="C1490" s="6">
        <v>0</v>
      </c>
      <c r="D1490" s="6"/>
      <c r="F1490" s="7"/>
    </row>
    <row r="1491" spans="1:6" ht="23">
      <c r="A1491" s="5" t="s">
        <v>3465</v>
      </c>
      <c r="B1491" s="6">
        <v>6</v>
      </c>
      <c r="C1491" s="6">
        <v>0</v>
      </c>
      <c r="D1491" s="6"/>
      <c r="F1491" s="7"/>
    </row>
    <row r="1492" spans="1:6" ht="23">
      <c r="A1492" s="5" t="s">
        <v>6862</v>
      </c>
      <c r="B1492" s="6">
        <v>5.4</v>
      </c>
      <c r="C1492" s="6">
        <v>0</v>
      </c>
      <c r="D1492" s="6"/>
      <c r="F1492" s="7"/>
    </row>
    <row r="1493" spans="1:6" ht="23">
      <c r="A1493" s="5" t="s">
        <v>7148</v>
      </c>
      <c r="B1493" s="6">
        <v>6.7</v>
      </c>
      <c r="C1493" s="6">
        <v>0</v>
      </c>
      <c r="D1493" s="6"/>
      <c r="F1493" s="7"/>
    </row>
    <row r="1494" spans="1:6" ht="23">
      <c r="A1494" s="5" t="s">
        <v>6664</v>
      </c>
      <c r="B1494" s="6">
        <v>6.9</v>
      </c>
      <c r="C1494" s="6">
        <v>0</v>
      </c>
      <c r="D1494" s="6"/>
      <c r="F1494" s="7"/>
    </row>
    <row r="1495" spans="1:6" ht="23">
      <c r="A1495" s="5" t="s">
        <v>5073</v>
      </c>
      <c r="B1495" s="6">
        <v>5.5</v>
      </c>
      <c r="C1495" s="6">
        <v>0</v>
      </c>
      <c r="D1495" s="6"/>
      <c r="F1495" s="7"/>
    </row>
    <row r="1496" spans="1:6" ht="23">
      <c r="A1496" s="5" t="s">
        <v>153</v>
      </c>
      <c r="B1496" s="6">
        <v>6.6750000000000007</v>
      </c>
      <c r="C1496" s="6">
        <v>1.0473180032826692</v>
      </c>
      <c r="D1496" s="6"/>
      <c r="F1496" s="7"/>
    </row>
    <row r="1497" spans="1:6" ht="23">
      <c r="A1497" s="5" t="s">
        <v>6745</v>
      </c>
      <c r="B1497" s="6">
        <v>5.4</v>
      </c>
      <c r="C1497" s="6">
        <v>0</v>
      </c>
      <c r="D1497" s="6"/>
      <c r="F1497" s="7"/>
    </row>
    <row r="1498" spans="1:6" ht="23">
      <c r="A1498" s="5" t="s">
        <v>3685</v>
      </c>
      <c r="B1498" s="6">
        <v>6.8</v>
      </c>
      <c r="C1498" s="6">
        <v>0</v>
      </c>
      <c r="D1498" s="6"/>
      <c r="F1498" s="7"/>
    </row>
    <row r="1499" spans="1:6" ht="23">
      <c r="A1499" s="5" t="s">
        <v>5789</v>
      </c>
      <c r="B1499" s="6">
        <v>6.9</v>
      </c>
      <c r="C1499" s="6">
        <v>0</v>
      </c>
      <c r="D1499" s="6"/>
      <c r="F1499" s="7"/>
    </row>
    <row r="1500" spans="1:6" ht="23">
      <c r="A1500" s="5" t="s">
        <v>3256</v>
      </c>
      <c r="B1500" s="6">
        <v>6.7</v>
      </c>
      <c r="C1500" s="6">
        <v>0</v>
      </c>
      <c r="D1500" s="6"/>
      <c r="F1500" s="7"/>
    </row>
    <row r="1501" spans="1:6" ht="23">
      <c r="A1501" s="5" t="s">
        <v>5351</v>
      </c>
      <c r="B1501" s="6">
        <v>4.5999999999999996</v>
      </c>
      <c r="C1501" s="6">
        <v>0</v>
      </c>
      <c r="D1501" s="6"/>
      <c r="F1501" s="7"/>
    </row>
    <row r="1502" spans="1:6" ht="23">
      <c r="A1502" s="5" t="s">
        <v>1406</v>
      </c>
      <c r="B1502" s="6">
        <v>6.6</v>
      </c>
      <c r="C1502" s="6">
        <v>0</v>
      </c>
      <c r="D1502" s="6"/>
      <c r="F1502" s="7"/>
    </row>
    <row r="1503" spans="1:6" ht="23">
      <c r="A1503" s="5" t="s">
        <v>6423</v>
      </c>
      <c r="B1503" s="6">
        <v>3</v>
      </c>
      <c r="C1503" s="6">
        <v>0</v>
      </c>
      <c r="D1503" s="6"/>
      <c r="F1503" s="7"/>
    </row>
    <row r="1504" spans="1:6" ht="23">
      <c r="A1504" s="5" t="s">
        <v>3411</v>
      </c>
      <c r="B1504" s="6">
        <v>6.7</v>
      </c>
      <c r="C1504" s="6">
        <v>0</v>
      </c>
      <c r="D1504" s="6"/>
      <c r="F1504" s="7"/>
    </row>
    <row r="1505" spans="1:6" ht="23">
      <c r="A1505" s="5" t="s">
        <v>185</v>
      </c>
      <c r="B1505" s="6">
        <v>7.65</v>
      </c>
      <c r="C1505" s="6">
        <v>0.14999999999997915</v>
      </c>
      <c r="D1505" s="6"/>
      <c r="F1505" s="7"/>
    </row>
    <row r="1506" spans="1:6" ht="23">
      <c r="A1506" s="5" t="s">
        <v>6839</v>
      </c>
      <c r="B1506" s="6">
        <v>6.8</v>
      </c>
      <c r="C1506" s="6">
        <v>0</v>
      </c>
      <c r="D1506" s="6"/>
      <c r="F1506" s="7"/>
    </row>
    <row r="1507" spans="1:6" ht="23">
      <c r="A1507" s="5" t="s">
        <v>4765</v>
      </c>
      <c r="B1507" s="6">
        <v>6.2</v>
      </c>
      <c r="C1507" s="6">
        <v>0.29999999999999383</v>
      </c>
      <c r="D1507" s="6"/>
      <c r="F1507" s="7"/>
    </row>
    <row r="1508" spans="1:6" ht="23">
      <c r="A1508" s="5" t="s">
        <v>5236</v>
      </c>
      <c r="B1508" s="6">
        <v>5</v>
      </c>
      <c r="C1508" s="6">
        <v>0</v>
      </c>
      <c r="D1508" s="6"/>
      <c r="F1508" s="7"/>
    </row>
    <row r="1509" spans="1:6" ht="23">
      <c r="A1509" s="5" t="s">
        <v>7015</v>
      </c>
      <c r="B1509" s="6">
        <v>7.2</v>
      </c>
      <c r="C1509" s="6">
        <v>0</v>
      </c>
      <c r="D1509" s="6"/>
      <c r="F1509" s="7"/>
    </row>
    <row r="1510" spans="1:6" ht="23">
      <c r="A1510" s="5" t="s">
        <v>4978</v>
      </c>
      <c r="B1510" s="6">
        <v>7.3</v>
      </c>
      <c r="C1510" s="6">
        <v>0</v>
      </c>
      <c r="D1510" s="6"/>
      <c r="F1510" s="7"/>
    </row>
    <row r="1511" spans="1:6" ht="23">
      <c r="A1511" s="5" t="s">
        <v>6041</v>
      </c>
      <c r="B1511" s="6">
        <v>6.1</v>
      </c>
      <c r="C1511" s="6">
        <v>0</v>
      </c>
      <c r="D1511" s="6"/>
      <c r="F1511" s="7"/>
    </row>
    <row r="1512" spans="1:6" ht="23">
      <c r="A1512" s="5" t="s">
        <v>5697</v>
      </c>
      <c r="B1512" s="6">
        <v>7.2</v>
      </c>
      <c r="C1512" s="6">
        <v>0</v>
      </c>
      <c r="D1512" s="6"/>
      <c r="F1512" s="7"/>
    </row>
    <row r="1513" spans="1:6" ht="23">
      <c r="A1513" s="5" t="s">
        <v>87</v>
      </c>
      <c r="B1513" s="6">
        <v>6.083333333333333</v>
      </c>
      <c r="C1513" s="6">
        <v>0.74703116103383083</v>
      </c>
      <c r="D1513" s="6"/>
      <c r="F1513" s="7"/>
    </row>
    <row r="1514" spans="1:6" ht="23">
      <c r="A1514" s="5" t="s">
        <v>4658</v>
      </c>
      <c r="B1514" s="6">
        <v>4.2</v>
      </c>
      <c r="C1514" s="6">
        <v>0</v>
      </c>
      <c r="D1514" s="6"/>
      <c r="F1514" s="7"/>
    </row>
    <row r="1515" spans="1:6" ht="23">
      <c r="A1515" s="5" t="s">
        <v>2920</v>
      </c>
      <c r="B1515" s="6">
        <v>7.3</v>
      </c>
      <c r="C1515" s="6">
        <v>0.50990195135927852</v>
      </c>
      <c r="D1515" s="6"/>
      <c r="F1515" s="7"/>
    </row>
    <row r="1516" spans="1:6" ht="23">
      <c r="A1516" s="5" t="s">
        <v>868</v>
      </c>
      <c r="B1516" s="6">
        <v>7.7666666666666657</v>
      </c>
      <c r="C1516" s="6">
        <v>0.53124591501699425</v>
      </c>
      <c r="D1516" s="6"/>
      <c r="F1516" s="7"/>
    </row>
    <row r="1517" spans="1:6" ht="23">
      <c r="A1517" s="5" t="s">
        <v>4515</v>
      </c>
      <c r="B1517" s="6">
        <v>6.2</v>
      </c>
      <c r="C1517" s="6">
        <v>0</v>
      </c>
      <c r="D1517" s="6"/>
      <c r="F1517" s="7"/>
    </row>
    <row r="1518" spans="1:6" ht="23">
      <c r="A1518" s="5" t="s">
        <v>5765</v>
      </c>
      <c r="B1518" s="6">
        <v>7.8</v>
      </c>
      <c r="C1518" s="6">
        <v>0</v>
      </c>
      <c r="D1518" s="6"/>
      <c r="F1518" s="7"/>
    </row>
    <row r="1519" spans="1:6" ht="23">
      <c r="A1519" s="5" t="s">
        <v>1593</v>
      </c>
      <c r="B1519" s="6">
        <v>7.2</v>
      </c>
      <c r="C1519" s="6">
        <v>0</v>
      </c>
      <c r="D1519" s="6"/>
      <c r="F1519" s="7"/>
    </row>
    <row r="1520" spans="1:6" ht="23">
      <c r="A1520" s="5" t="s">
        <v>7061</v>
      </c>
      <c r="B1520" s="6">
        <v>5.5</v>
      </c>
      <c r="C1520" s="6">
        <v>0</v>
      </c>
      <c r="D1520" s="6"/>
      <c r="F1520" s="7"/>
    </row>
    <row r="1521" spans="1:6" ht="23">
      <c r="A1521" s="5" t="s">
        <v>3060</v>
      </c>
      <c r="B1521" s="6">
        <v>5.9</v>
      </c>
      <c r="C1521" s="6">
        <v>0</v>
      </c>
      <c r="D1521" s="6"/>
      <c r="F1521" s="7"/>
    </row>
    <row r="1522" spans="1:6" ht="23">
      <c r="A1522" s="5" t="s">
        <v>2576</v>
      </c>
      <c r="B1522" s="6">
        <v>6.8</v>
      </c>
      <c r="C1522" s="6">
        <v>0</v>
      </c>
      <c r="D1522" s="6"/>
      <c r="F1522" s="7"/>
    </row>
    <row r="1523" spans="1:6" ht="23">
      <c r="A1523" s="5" t="s">
        <v>4710</v>
      </c>
      <c r="B1523" s="6">
        <v>7.2</v>
      </c>
      <c r="C1523" s="6">
        <v>0</v>
      </c>
      <c r="D1523" s="6"/>
      <c r="F1523" s="7"/>
    </row>
    <row r="1524" spans="1:6" ht="23">
      <c r="A1524" s="5" t="s">
        <v>1879</v>
      </c>
      <c r="B1524" s="6">
        <v>4.0999999999999996</v>
      </c>
      <c r="C1524" s="6">
        <v>0</v>
      </c>
      <c r="D1524" s="6"/>
      <c r="F1524" s="7"/>
    </row>
    <row r="1525" spans="1:6" ht="23">
      <c r="A1525" s="5" t="s">
        <v>4893</v>
      </c>
      <c r="B1525" s="6">
        <v>6.8</v>
      </c>
      <c r="C1525" s="6">
        <v>0</v>
      </c>
      <c r="D1525" s="6"/>
      <c r="F1525" s="7"/>
    </row>
    <row r="1526" spans="1:6" ht="23">
      <c r="A1526" s="5" t="s">
        <v>201</v>
      </c>
      <c r="B1526" s="6">
        <v>6.5166666666666657</v>
      </c>
      <c r="C1526" s="6">
        <v>0.64657215804237445</v>
      </c>
      <c r="D1526" s="6"/>
      <c r="F1526" s="7"/>
    </row>
    <row r="1527" spans="1:6" ht="23">
      <c r="A1527" s="5" t="s">
        <v>74</v>
      </c>
      <c r="B1527" s="6">
        <v>6.6166666666666671</v>
      </c>
      <c r="C1527" s="6">
        <v>0.51451163468109751</v>
      </c>
      <c r="D1527" s="6"/>
      <c r="F1527" s="7"/>
    </row>
    <row r="1528" spans="1:6" ht="23">
      <c r="A1528" s="5" t="s">
        <v>6651</v>
      </c>
      <c r="B1528" s="6">
        <v>7.2</v>
      </c>
      <c r="C1528" s="6">
        <v>0</v>
      </c>
      <c r="D1528" s="6"/>
      <c r="F1528" s="7"/>
    </row>
    <row r="1529" spans="1:6" ht="23">
      <c r="A1529" s="5" t="s">
        <v>940</v>
      </c>
      <c r="B1529" s="6">
        <v>5.9</v>
      </c>
      <c r="C1529" s="6">
        <v>1.017349497468792</v>
      </c>
      <c r="D1529" s="6"/>
      <c r="F1529" s="7"/>
    </row>
    <row r="1530" spans="1:6" ht="23">
      <c r="A1530" s="5" t="s">
        <v>3817</v>
      </c>
      <c r="B1530" s="6">
        <v>5.3</v>
      </c>
      <c r="C1530" s="6">
        <v>0</v>
      </c>
      <c r="D1530" s="6"/>
      <c r="F1530" s="7"/>
    </row>
    <row r="1531" spans="1:6" ht="23">
      <c r="A1531" s="5" t="s">
        <v>1659</v>
      </c>
      <c r="B1531" s="6">
        <v>7.5</v>
      </c>
      <c r="C1531" s="6">
        <v>0.69999999999999629</v>
      </c>
      <c r="D1531" s="6"/>
      <c r="F1531" s="7"/>
    </row>
    <row r="1532" spans="1:6" ht="23">
      <c r="A1532" s="5" t="s">
        <v>4547</v>
      </c>
      <c r="B1532" s="6">
        <v>6.7</v>
      </c>
      <c r="C1532" s="6">
        <v>0</v>
      </c>
      <c r="D1532" s="6"/>
      <c r="F1532" s="7"/>
    </row>
    <row r="1533" spans="1:6" ht="23">
      <c r="A1533" s="5" t="s">
        <v>2619</v>
      </c>
      <c r="B1533" s="6">
        <v>6.3</v>
      </c>
      <c r="C1533" s="6">
        <v>0</v>
      </c>
      <c r="D1533" s="6"/>
      <c r="F1533" s="7"/>
    </row>
    <row r="1534" spans="1:6" ht="23">
      <c r="A1534" s="5" t="s">
        <v>4795</v>
      </c>
      <c r="B1534" s="6">
        <v>6.4</v>
      </c>
      <c r="C1534" s="6">
        <v>0</v>
      </c>
      <c r="D1534" s="6"/>
      <c r="F1534" s="7"/>
    </row>
    <row r="1535" spans="1:6" ht="23">
      <c r="A1535" s="5" t="s">
        <v>5102</v>
      </c>
      <c r="B1535" s="6">
        <v>7</v>
      </c>
      <c r="C1535" s="6">
        <v>0</v>
      </c>
      <c r="D1535" s="6"/>
      <c r="F1535" s="7"/>
    </row>
    <row r="1536" spans="1:6" ht="23">
      <c r="A1536" s="5" t="s">
        <v>2611</v>
      </c>
      <c r="B1536" s="6">
        <v>6</v>
      </c>
      <c r="C1536" s="6">
        <v>0</v>
      </c>
      <c r="D1536" s="6"/>
      <c r="F1536" s="7"/>
    </row>
    <row r="1537" spans="1:6" ht="23">
      <c r="A1537" s="5" t="s">
        <v>5324</v>
      </c>
      <c r="B1537" s="6">
        <v>7.1</v>
      </c>
      <c r="C1537" s="6">
        <v>0.10000000000002558</v>
      </c>
      <c r="D1537" s="6"/>
      <c r="F1537" s="7"/>
    </row>
    <row r="1538" spans="1:6" ht="23">
      <c r="A1538" s="5" t="s">
        <v>5252</v>
      </c>
      <c r="B1538" s="6">
        <v>7.4333333333333327</v>
      </c>
      <c r="C1538" s="6">
        <v>0.84983658559880859</v>
      </c>
      <c r="D1538" s="6"/>
      <c r="F1538" s="7"/>
    </row>
    <row r="1539" spans="1:6" ht="23">
      <c r="A1539" s="5" t="s">
        <v>5929</v>
      </c>
      <c r="B1539" s="6">
        <v>5.7</v>
      </c>
      <c r="C1539" s="6">
        <v>0</v>
      </c>
      <c r="D1539" s="6"/>
      <c r="F1539" s="7"/>
    </row>
    <row r="1540" spans="1:6" ht="23">
      <c r="A1540" s="5" t="s">
        <v>2899</v>
      </c>
      <c r="B1540" s="6">
        <v>5.6</v>
      </c>
      <c r="C1540" s="6">
        <v>0</v>
      </c>
      <c r="D1540" s="6"/>
      <c r="F1540" s="7"/>
    </row>
    <row r="1541" spans="1:6" ht="23">
      <c r="A1541" s="5" t="s">
        <v>3673</v>
      </c>
      <c r="B1541" s="6">
        <v>6.2</v>
      </c>
      <c r="C1541" s="6">
        <v>0</v>
      </c>
      <c r="D1541" s="6"/>
      <c r="F1541" s="7"/>
    </row>
    <row r="1542" spans="1:6" ht="23">
      <c r="A1542" s="5" t="s">
        <v>3321</v>
      </c>
      <c r="B1542" s="6">
        <v>6.85</v>
      </c>
      <c r="C1542" s="6">
        <v>0.55000000000000826</v>
      </c>
      <c r="D1542" s="6"/>
      <c r="F1542" s="7"/>
    </row>
    <row r="1543" spans="1:6" ht="23">
      <c r="A1543" s="5" t="s">
        <v>5617</v>
      </c>
      <c r="B1543" s="6">
        <v>6</v>
      </c>
      <c r="C1543" s="6">
        <v>0</v>
      </c>
      <c r="D1543" s="6"/>
      <c r="F1543" s="7"/>
    </row>
    <row r="1544" spans="1:6" ht="23">
      <c r="A1544" s="5" t="s">
        <v>3428</v>
      </c>
      <c r="B1544" s="6">
        <v>7.4000000000000012</v>
      </c>
      <c r="C1544" s="6">
        <v>0.63770421565695368</v>
      </c>
      <c r="D1544" s="6"/>
      <c r="F1544" s="7"/>
    </row>
    <row r="1545" spans="1:6" ht="23">
      <c r="A1545" s="5" t="s">
        <v>6002</v>
      </c>
      <c r="B1545" s="6">
        <v>5.65</v>
      </c>
      <c r="C1545" s="6">
        <v>0.5499999999999986</v>
      </c>
      <c r="D1545" s="6"/>
      <c r="F1545" s="7"/>
    </row>
    <row r="1546" spans="1:6" ht="23">
      <c r="A1546" s="5" t="s">
        <v>2635</v>
      </c>
      <c r="B1546" s="6">
        <v>6.8666666666666671</v>
      </c>
      <c r="C1546" s="6">
        <v>0.12472191289243333</v>
      </c>
      <c r="D1546" s="6"/>
      <c r="F1546" s="7"/>
    </row>
    <row r="1547" spans="1:6" ht="23">
      <c r="A1547" s="5" t="s">
        <v>6808</v>
      </c>
      <c r="B1547" s="6">
        <v>3.5</v>
      </c>
      <c r="C1547" s="6">
        <v>0</v>
      </c>
      <c r="D1547" s="6"/>
      <c r="F1547" s="7"/>
    </row>
    <row r="1548" spans="1:6" ht="23">
      <c r="A1548" s="5" t="s">
        <v>3149</v>
      </c>
      <c r="B1548" s="6">
        <v>5</v>
      </c>
      <c r="C1548" s="6">
        <v>0</v>
      </c>
      <c r="D1548" s="6"/>
      <c r="F1548" s="7"/>
    </row>
    <row r="1549" spans="1:6" ht="23">
      <c r="A1549" s="5" t="s">
        <v>5824</v>
      </c>
      <c r="B1549" s="6">
        <v>5.8</v>
      </c>
      <c r="C1549" s="6">
        <v>0</v>
      </c>
      <c r="D1549" s="6"/>
      <c r="F1549" s="7"/>
    </row>
    <row r="1550" spans="1:6" ht="23">
      <c r="A1550" s="5" t="s">
        <v>6966</v>
      </c>
      <c r="B1550" s="6">
        <v>6.8</v>
      </c>
      <c r="C1550" s="6">
        <v>0</v>
      </c>
      <c r="D1550" s="6"/>
      <c r="F1550" s="7"/>
    </row>
    <row r="1551" spans="1:6" ht="23">
      <c r="A1551" s="5" t="s">
        <v>5970</v>
      </c>
      <c r="B1551" s="6">
        <v>5.9</v>
      </c>
      <c r="C1551" s="6">
        <v>0</v>
      </c>
      <c r="D1551" s="6"/>
      <c r="F1551" s="7"/>
    </row>
    <row r="1552" spans="1:6" ht="23">
      <c r="A1552" s="5" t="s">
        <v>1020</v>
      </c>
      <c r="B1552" s="6">
        <v>5.6333333333333329</v>
      </c>
      <c r="C1552" s="6">
        <v>4.7140452079148722E-2</v>
      </c>
      <c r="D1552" s="6"/>
      <c r="F1552" s="7"/>
    </row>
    <row r="1553" spans="1:6" ht="23">
      <c r="A1553" s="5" t="s">
        <v>981</v>
      </c>
      <c r="B1553" s="6">
        <v>5.9</v>
      </c>
      <c r="C1553" s="6">
        <v>0.39999999999999575</v>
      </c>
      <c r="D1553" s="6"/>
      <c r="F1553" s="7"/>
    </row>
    <row r="1554" spans="1:6" ht="23">
      <c r="A1554" s="5" t="s">
        <v>440</v>
      </c>
      <c r="B1554" s="6">
        <v>7.083333333333333</v>
      </c>
      <c r="C1554" s="6">
        <v>0.85326171574467713</v>
      </c>
      <c r="D1554" s="6"/>
      <c r="F1554" s="7"/>
    </row>
    <row r="1555" spans="1:6" ht="23">
      <c r="A1555" s="5" t="s">
        <v>5627</v>
      </c>
      <c r="B1555" s="6">
        <v>3.9</v>
      </c>
      <c r="C1555" s="6">
        <v>0</v>
      </c>
      <c r="D1555" s="6"/>
      <c r="F1555" s="7"/>
    </row>
    <row r="1556" spans="1:6" ht="23">
      <c r="A1556" s="5" t="s">
        <v>3722</v>
      </c>
      <c r="B1556" s="6">
        <v>6.5</v>
      </c>
      <c r="C1556" s="6">
        <v>0.30000000000000571</v>
      </c>
      <c r="D1556" s="6"/>
      <c r="F1556" s="7"/>
    </row>
    <row r="1557" spans="1:6" ht="23">
      <c r="A1557" s="5" t="s">
        <v>2297</v>
      </c>
      <c r="B1557" s="6">
        <v>6</v>
      </c>
      <c r="C1557" s="6">
        <v>0</v>
      </c>
      <c r="D1557" s="6"/>
      <c r="F1557" s="7"/>
    </row>
    <row r="1558" spans="1:6" ht="23">
      <c r="A1558" s="5" t="s">
        <v>5192</v>
      </c>
      <c r="B1558" s="6">
        <v>7.6</v>
      </c>
      <c r="C1558" s="6">
        <v>0</v>
      </c>
      <c r="D1558" s="6"/>
      <c r="F1558" s="7"/>
    </row>
    <row r="1559" spans="1:6" ht="23">
      <c r="A1559" s="5" t="s">
        <v>4531</v>
      </c>
      <c r="B1559" s="6">
        <v>5.5</v>
      </c>
      <c r="C1559" s="6">
        <v>0</v>
      </c>
      <c r="D1559" s="6"/>
      <c r="F1559" s="7"/>
    </row>
    <row r="1560" spans="1:6" ht="23">
      <c r="A1560" s="5" t="s">
        <v>3168</v>
      </c>
      <c r="B1560" s="6">
        <v>7.2833333333333323</v>
      </c>
      <c r="C1560" s="6">
        <v>0.91908771193082051</v>
      </c>
      <c r="D1560" s="6"/>
      <c r="F1560" s="7"/>
    </row>
    <row r="1561" spans="1:6" ht="23">
      <c r="A1561" s="5" t="s">
        <v>3184</v>
      </c>
      <c r="B1561" s="6">
        <v>6.85</v>
      </c>
      <c r="C1561" s="6">
        <v>0.55000000000000826</v>
      </c>
      <c r="D1561" s="6"/>
      <c r="F1561" s="7"/>
    </row>
    <row r="1562" spans="1:6" ht="23">
      <c r="A1562" s="5" t="s">
        <v>4420</v>
      </c>
      <c r="B1562" s="6">
        <v>6.5</v>
      </c>
      <c r="C1562" s="6">
        <v>0</v>
      </c>
      <c r="D1562" s="6"/>
      <c r="F1562" s="7"/>
    </row>
    <row r="1563" spans="1:6" ht="23">
      <c r="A1563" s="5" t="s">
        <v>532</v>
      </c>
      <c r="B1563" s="6">
        <v>4.3</v>
      </c>
      <c r="C1563" s="6">
        <v>0</v>
      </c>
      <c r="D1563" s="6"/>
      <c r="F1563" s="7"/>
    </row>
    <row r="1564" spans="1:6" ht="23">
      <c r="A1564" s="5" t="s">
        <v>4001</v>
      </c>
      <c r="B1564" s="6">
        <v>5.78</v>
      </c>
      <c r="C1564" s="6">
        <v>1.1443775600735955</v>
      </c>
      <c r="D1564" s="6"/>
      <c r="F1564" s="7"/>
    </row>
    <row r="1565" spans="1:6" ht="23">
      <c r="A1565" s="5" t="s">
        <v>2649</v>
      </c>
      <c r="B1565" s="6">
        <v>6</v>
      </c>
      <c r="C1565" s="6">
        <v>0</v>
      </c>
      <c r="D1565" s="6"/>
      <c r="F1565" s="7"/>
    </row>
    <row r="1566" spans="1:6" ht="23">
      <c r="A1566" s="5" t="s">
        <v>2433</v>
      </c>
      <c r="B1566" s="6">
        <v>6.8</v>
      </c>
      <c r="C1566" s="6">
        <v>0.30000000000000571</v>
      </c>
      <c r="D1566" s="6"/>
      <c r="F1566" s="7"/>
    </row>
    <row r="1567" spans="1:6" ht="23">
      <c r="A1567" s="5" t="s">
        <v>2062</v>
      </c>
      <c r="B1567" s="6">
        <v>6.2</v>
      </c>
      <c r="C1567" s="6">
        <v>0.80415587212098749</v>
      </c>
      <c r="D1567" s="6"/>
      <c r="F1567" s="7"/>
    </row>
    <row r="1568" spans="1:6" ht="23">
      <c r="A1568" s="5" t="s">
        <v>6918</v>
      </c>
      <c r="B1568" s="6">
        <v>8.1</v>
      </c>
      <c r="C1568" s="6">
        <v>0</v>
      </c>
      <c r="D1568" s="6"/>
      <c r="F1568" s="7"/>
    </row>
    <row r="1569" spans="1:6" ht="23">
      <c r="A1569" s="5" t="s">
        <v>2073</v>
      </c>
      <c r="B1569" s="6">
        <v>5.65</v>
      </c>
      <c r="C1569" s="6">
        <v>0.44999999999999668</v>
      </c>
      <c r="D1569" s="6"/>
      <c r="F1569" s="7"/>
    </row>
    <row r="1570" spans="1:6" ht="23">
      <c r="A1570" s="5" t="s">
        <v>4355</v>
      </c>
      <c r="B1570" s="6">
        <v>6.8</v>
      </c>
      <c r="C1570" s="6">
        <v>0.14142135623733451</v>
      </c>
      <c r="D1570" s="6"/>
      <c r="F1570" s="7"/>
    </row>
    <row r="1571" spans="1:6" ht="23">
      <c r="A1571" s="5" t="s">
        <v>3114</v>
      </c>
      <c r="B1571" s="6">
        <v>6.5</v>
      </c>
      <c r="C1571" s="6">
        <v>0</v>
      </c>
      <c r="D1571" s="6"/>
      <c r="F1571" s="7"/>
    </row>
    <row r="1572" spans="1:6" ht="23">
      <c r="A1572" s="5" t="s">
        <v>2257</v>
      </c>
      <c r="B1572" s="6">
        <v>6.8</v>
      </c>
      <c r="C1572" s="6">
        <v>0</v>
      </c>
      <c r="D1572" s="6"/>
      <c r="F1572" s="7"/>
    </row>
    <row r="1573" spans="1:6" ht="23">
      <c r="A1573" s="5" t="s">
        <v>6579</v>
      </c>
      <c r="B1573" s="6">
        <v>3.4</v>
      </c>
      <c r="C1573" s="6">
        <v>0</v>
      </c>
      <c r="D1573" s="6"/>
      <c r="F1573" s="7"/>
    </row>
    <row r="1574" spans="1:6" ht="23">
      <c r="A1574" s="5" t="s">
        <v>5282</v>
      </c>
      <c r="B1574" s="6">
        <v>4.4333333333333327</v>
      </c>
      <c r="C1574" s="6">
        <v>0.67986926847904228</v>
      </c>
      <c r="D1574" s="6"/>
      <c r="F1574" s="7"/>
    </row>
    <row r="1575" spans="1:6" ht="23">
      <c r="A1575" s="5" t="s">
        <v>2035</v>
      </c>
      <c r="B1575" s="6">
        <v>5.9</v>
      </c>
      <c r="C1575" s="6">
        <v>1</v>
      </c>
      <c r="D1575" s="6"/>
      <c r="F1575" s="7"/>
    </row>
    <row r="1576" spans="1:6" ht="23">
      <c r="A1576" s="5" t="s">
        <v>6711</v>
      </c>
      <c r="B1576" s="6">
        <v>8.1</v>
      </c>
      <c r="C1576" s="6">
        <v>0</v>
      </c>
      <c r="D1576" s="6"/>
      <c r="F1576" s="7"/>
    </row>
    <row r="1577" spans="1:6" ht="23">
      <c r="A1577" s="5" t="s">
        <v>6729</v>
      </c>
      <c r="B1577" s="6">
        <v>4.5</v>
      </c>
      <c r="C1577" s="6">
        <v>0</v>
      </c>
      <c r="D1577" s="6"/>
      <c r="F1577" s="7"/>
    </row>
    <row r="1578" spans="1:6" ht="23">
      <c r="A1578" s="5" t="s">
        <v>4787</v>
      </c>
      <c r="B1578" s="6">
        <v>4</v>
      </c>
      <c r="C1578" s="6">
        <v>0</v>
      </c>
      <c r="D1578" s="6"/>
      <c r="F1578" s="7"/>
    </row>
    <row r="1579" spans="1:6" ht="23">
      <c r="A1579" s="5" t="s">
        <v>4830</v>
      </c>
      <c r="B1579" s="6">
        <v>4.2</v>
      </c>
      <c r="C1579" s="6">
        <v>0</v>
      </c>
      <c r="D1579" s="6"/>
      <c r="F1579" s="7"/>
    </row>
    <row r="1580" spans="1:6" ht="23">
      <c r="A1580" s="5" t="s">
        <v>2645</v>
      </c>
      <c r="B1580" s="6">
        <v>6.1833333333333336</v>
      </c>
      <c r="C1580" s="6">
        <v>0.70336492820030538</v>
      </c>
      <c r="D1580" s="6"/>
      <c r="F1580" s="7"/>
    </row>
    <row r="1581" spans="1:6" ht="23">
      <c r="A1581" s="5" t="s">
        <v>421</v>
      </c>
      <c r="B1581" s="6">
        <v>6.9249999999999998</v>
      </c>
      <c r="C1581" s="6">
        <v>0.93641604001640499</v>
      </c>
      <c r="D1581" s="6"/>
      <c r="F1581" s="7"/>
    </row>
    <row r="1582" spans="1:6" ht="23">
      <c r="A1582" s="5" t="s">
        <v>3552</v>
      </c>
      <c r="B1582" s="6">
        <v>8</v>
      </c>
      <c r="C1582" s="6">
        <v>0</v>
      </c>
      <c r="D1582" s="6"/>
      <c r="F1582" s="7"/>
    </row>
    <row r="1583" spans="1:6" ht="23">
      <c r="A1583" s="5" t="s">
        <v>5409</v>
      </c>
      <c r="B1583" s="6">
        <v>7.2</v>
      </c>
      <c r="C1583" s="6">
        <v>0</v>
      </c>
      <c r="D1583" s="6"/>
      <c r="F1583" s="7"/>
    </row>
    <row r="1584" spans="1:6" ht="23">
      <c r="A1584" s="5" t="s">
        <v>7069</v>
      </c>
      <c r="B1584" s="6">
        <v>7.4</v>
      </c>
      <c r="C1584" s="6">
        <v>0</v>
      </c>
      <c r="D1584" s="6"/>
      <c r="F1584" s="7"/>
    </row>
    <row r="1585" spans="1:6" ht="23">
      <c r="A1585" s="5" t="s">
        <v>604</v>
      </c>
      <c r="B1585" s="6">
        <v>5.75</v>
      </c>
      <c r="C1585" s="6">
        <v>0.35000000000000325</v>
      </c>
      <c r="D1585" s="6"/>
      <c r="F1585" s="7"/>
    </row>
    <row r="1586" spans="1:6" ht="23">
      <c r="A1586" s="5" t="s">
        <v>5265</v>
      </c>
      <c r="B1586" s="6">
        <v>3.8</v>
      </c>
      <c r="C1586" s="6">
        <v>0</v>
      </c>
      <c r="D1586" s="6"/>
      <c r="F1586" s="7"/>
    </row>
    <row r="1587" spans="1:6" ht="23">
      <c r="A1587" s="5" t="s">
        <v>2513</v>
      </c>
      <c r="B1587" s="6">
        <v>6.42</v>
      </c>
      <c r="C1587" s="6">
        <v>0.14696938456698574</v>
      </c>
      <c r="D1587" s="6"/>
      <c r="F1587" s="7"/>
    </row>
    <row r="1588" spans="1:6" ht="23">
      <c r="A1588" s="5" t="s">
        <v>2221</v>
      </c>
      <c r="B1588" s="6">
        <v>6.3</v>
      </c>
      <c r="C1588" s="6">
        <v>0</v>
      </c>
      <c r="D1588" s="6"/>
      <c r="F1588" s="7"/>
    </row>
    <row r="1589" spans="1:6" ht="23">
      <c r="A1589" s="5" t="s">
        <v>942</v>
      </c>
      <c r="B1589" s="6">
        <v>6.5250000000000004</v>
      </c>
      <c r="C1589" s="6">
        <v>0.31124748994971374</v>
      </c>
      <c r="D1589" s="6"/>
      <c r="F1589" s="7"/>
    </row>
    <row r="1590" spans="1:6" ht="23">
      <c r="A1590" s="5" t="s">
        <v>932</v>
      </c>
      <c r="B1590" s="6">
        <v>5.8</v>
      </c>
      <c r="C1590" s="6">
        <v>0</v>
      </c>
      <c r="D1590" s="6"/>
      <c r="F1590" s="7"/>
    </row>
    <row r="1591" spans="1:6" ht="23">
      <c r="A1591" s="5" t="s">
        <v>3276</v>
      </c>
      <c r="B1591" s="6">
        <v>6.7</v>
      </c>
      <c r="C1591" s="6">
        <v>0</v>
      </c>
      <c r="D1591" s="6"/>
      <c r="F1591" s="7"/>
    </row>
    <row r="1592" spans="1:6" ht="23">
      <c r="A1592" s="5" t="s">
        <v>2942</v>
      </c>
      <c r="B1592" s="6">
        <v>4.5999999999999996</v>
      </c>
      <c r="C1592" s="6">
        <v>0</v>
      </c>
      <c r="D1592" s="6"/>
      <c r="F1592" s="7"/>
    </row>
    <row r="1593" spans="1:6" ht="23">
      <c r="A1593" s="5" t="s">
        <v>3145</v>
      </c>
      <c r="B1593" s="6">
        <v>7</v>
      </c>
      <c r="C1593" s="6">
        <v>0.37416573867740122</v>
      </c>
      <c r="D1593" s="6"/>
      <c r="F1593" s="7"/>
    </row>
    <row r="1594" spans="1:6" ht="23">
      <c r="A1594" s="5" t="s">
        <v>7182</v>
      </c>
      <c r="B1594" s="6">
        <v>4.0999999999999996</v>
      </c>
      <c r="C1594" s="6">
        <v>0</v>
      </c>
      <c r="D1594" s="6"/>
      <c r="F1594" s="7"/>
    </row>
    <row r="1595" spans="1:6" ht="23">
      <c r="A1595" s="5" t="s">
        <v>6509</v>
      </c>
      <c r="B1595" s="6">
        <v>7.15</v>
      </c>
      <c r="C1595" s="6">
        <v>0.14999999999997915</v>
      </c>
      <c r="D1595" s="6"/>
      <c r="F1595" s="7"/>
    </row>
    <row r="1596" spans="1:6" ht="23">
      <c r="A1596" s="5" t="s">
        <v>2420</v>
      </c>
      <c r="B1596" s="6">
        <v>4.8</v>
      </c>
      <c r="C1596" s="6">
        <v>0</v>
      </c>
      <c r="D1596" s="6"/>
      <c r="F1596" s="7"/>
    </row>
    <row r="1597" spans="1:6" ht="23">
      <c r="A1597" s="5" t="s">
        <v>5484</v>
      </c>
      <c r="B1597" s="6">
        <v>6.5</v>
      </c>
      <c r="C1597" s="6">
        <v>1.1000000000000003</v>
      </c>
      <c r="D1597" s="6"/>
      <c r="F1597" s="7"/>
    </row>
    <row r="1598" spans="1:6" ht="23">
      <c r="A1598" s="5" t="s">
        <v>5227</v>
      </c>
      <c r="B1598" s="6">
        <v>6.15</v>
      </c>
      <c r="C1598" s="6">
        <v>0.34999999999999309</v>
      </c>
      <c r="D1598" s="6"/>
      <c r="F1598" s="7"/>
    </row>
    <row r="1599" spans="1:6" ht="23">
      <c r="A1599" s="5" t="s">
        <v>1235</v>
      </c>
      <c r="B1599" s="6">
        <v>6.6</v>
      </c>
      <c r="C1599" s="6">
        <v>0</v>
      </c>
      <c r="D1599" s="6"/>
      <c r="F1599" s="7"/>
    </row>
    <row r="1600" spans="1:6" ht="23">
      <c r="A1600" s="5" t="s">
        <v>2079</v>
      </c>
      <c r="B1600" s="6">
        <v>6.4</v>
      </c>
      <c r="C1600" s="6">
        <v>0</v>
      </c>
      <c r="D1600" s="6"/>
      <c r="F1600" s="7"/>
    </row>
    <row r="1601" spans="1:6" ht="23">
      <c r="A1601" s="5" t="s">
        <v>4095</v>
      </c>
      <c r="B1601" s="6">
        <v>6.85</v>
      </c>
      <c r="C1601" s="6">
        <v>0.58949130612758294</v>
      </c>
      <c r="D1601" s="6"/>
      <c r="F1601" s="7"/>
    </row>
    <row r="1602" spans="1:6" ht="23">
      <c r="A1602" s="5" t="s">
        <v>3221</v>
      </c>
      <c r="B1602" s="6">
        <v>7.3599999999999994</v>
      </c>
      <c r="C1602" s="6">
        <v>0.31368774282719375</v>
      </c>
      <c r="D1602" s="6"/>
      <c r="F1602" s="7"/>
    </row>
    <row r="1603" spans="1:6" ht="23">
      <c r="A1603" s="5" t="s">
        <v>3432</v>
      </c>
      <c r="B1603" s="6">
        <v>5.9</v>
      </c>
      <c r="C1603" s="6">
        <v>0</v>
      </c>
      <c r="D1603" s="6"/>
      <c r="F1603" s="7"/>
    </row>
    <row r="1604" spans="1:6" ht="23">
      <c r="A1604" s="5" t="s">
        <v>5376</v>
      </c>
      <c r="B1604" s="6">
        <v>8.6</v>
      </c>
      <c r="C1604" s="6">
        <v>0</v>
      </c>
      <c r="D1604" s="6"/>
      <c r="F1604" s="7"/>
    </row>
    <row r="1605" spans="1:6" ht="23">
      <c r="A1605" s="5" t="s">
        <v>4092</v>
      </c>
      <c r="B1605" s="6">
        <v>6.5</v>
      </c>
      <c r="C1605" s="6">
        <v>0</v>
      </c>
      <c r="D1605" s="6"/>
      <c r="F1605" s="7"/>
    </row>
    <row r="1606" spans="1:6" ht="23">
      <c r="A1606" s="5" t="s">
        <v>5527</v>
      </c>
      <c r="B1606" s="6">
        <v>6.9</v>
      </c>
      <c r="C1606" s="6">
        <v>0.29999999999999383</v>
      </c>
      <c r="D1606" s="6"/>
      <c r="F1606" s="7"/>
    </row>
    <row r="1607" spans="1:6" ht="23">
      <c r="A1607" s="5" t="s">
        <v>160</v>
      </c>
      <c r="B1607" s="6">
        <v>5.6749999999999998</v>
      </c>
      <c r="C1607" s="6">
        <v>0.7790218225441502</v>
      </c>
      <c r="D1607" s="6"/>
      <c r="F1607" s="7"/>
    </row>
    <row r="1608" spans="1:6" ht="23">
      <c r="A1608" s="5" t="s">
        <v>3748</v>
      </c>
      <c r="B1608" s="6">
        <v>6.15</v>
      </c>
      <c r="C1608" s="6">
        <v>0.44999999999999274</v>
      </c>
      <c r="D1608" s="6"/>
      <c r="F1608" s="7"/>
    </row>
    <row r="1609" spans="1:6" ht="23">
      <c r="A1609" s="5" t="s">
        <v>98</v>
      </c>
      <c r="B1609" s="6">
        <v>6.8428571428571425</v>
      </c>
      <c r="C1609" s="6">
        <v>0.62302749963876503</v>
      </c>
      <c r="D1609" s="6"/>
      <c r="F1609" s="7"/>
    </row>
    <row r="1610" spans="1:6" ht="23">
      <c r="A1610" s="5" t="s">
        <v>819</v>
      </c>
      <c r="B1610" s="6">
        <v>6.6833333333333336</v>
      </c>
      <c r="C1610" s="6">
        <v>0.60941684329273826</v>
      </c>
      <c r="D1610" s="6"/>
      <c r="F1610" s="7"/>
    </row>
    <row r="1611" spans="1:6" ht="23">
      <c r="A1611" s="5" t="s">
        <v>5434</v>
      </c>
      <c r="B1611" s="6">
        <v>7.8</v>
      </c>
      <c r="C1611" s="6">
        <v>0</v>
      </c>
      <c r="D1611" s="6"/>
      <c r="F1611" s="7"/>
    </row>
    <row r="1612" spans="1:6" ht="23">
      <c r="A1612" s="5" t="s">
        <v>6575</v>
      </c>
      <c r="B1612" s="6">
        <v>7.2</v>
      </c>
      <c r="C1612" s="6">
        <v>0</v>
      </c>
      <c r="D1612" s="6"/>
      <c r="F1612" s="7"/>
    </row>
    <row r="1613" spans="1:6" ht="23">
      <c r="A1613" s="5" t="s">
        <v>1344</v>
      </c>
      <c r="B1613" s="6">
        <v>8.1333333333333329</v>
      </c>
      <c r="C1613" s="6">
        <v>0.54365021434334471</v>
      </c>
      <c r="D1613" s="6"/>
      <c r="F1613" s="7"/>
    </row>
    <row r="1614" spans="1:6" ht="23">
      <c r="A1614" s="5" t="s">
        <v>687</v>
      </c>
      <c r="B1614" s="6">
        <v>6.3999999999999995</v>
      </c>
      <c r="C1614" s="6">
        <v>0.57154760664940807</v>
      </c>
      <c r="D1614" s="6"/>
      <c r="F1614" s="7"/>
    </row>
    <row r="1615" spans="1:6" ht="23">
      <c r="A1615" s="5" t="s">
        <v>2916</v>
      </c>
      <c r="B1615" s="6">
        <v>6.68</v>
      </c>
      <c r="C1615" s="6">
        <v>0.67646138101151887</v>
      </c>
      <c r="D1615" s="6"/>
      <c r="F1615" s="7"/>
    </row>
    <row r="1616" spans="1:6" ht="23">
      <c r="A1616" s="5" t="s">
        <v>6038</v>
      </c>
      <c r="B1616" s="6">
        <v>7.4</v>
      </c>
      <c r="C1616" s="6">
        <v>0</v>
      </c>
      <c r="D1616" s="6"/>
      <c r="F1616" s="7"/>
    </row>
    <row r="1617" spans="1:6" ht="23">
      <c r="A1617" s="5" t="s">
        <v>4923</v>
      </c>
      <c r="B1617" s="6">
        <v>5.8</v>
      </c>
      <c r="C1617" s="6">
        <v>0.69999999999999629</v>
      </c>
      <c r="D1617" s="6"/>
      <c r="F1617" s="7"/>
    </row>
    <row r="1618" spans="1:6" ht="23">
      <c r="A1618" s="5" t="s">
        <v>6189</v>
      </c>
      <c r="B1618" s="6">
        <v>8.6999999999999993</v>
      </c>
      <c r="C1618" s="6">
        <v>0</v>
      </c>
      <c r="D1618" s="6"/>
      <c r="F1618" s="7"/>
    </row>
    <row r="1619" spans="1:6" ht="23">
      <c r="A1619" s="5" t="s">
        <v>6071</v>
      </c>
      <c r="B1619" s="6">
        <v>5.4</v>
      </c>
      <c r="C1619" s="6">
        <v>0</v>
      </c>
      <c r="D1619" s="6"/>
      <c r="F1619" s="7"/>
    </row>
    <row r="1620" spans="1:6" ht="23">
      <c r="A1620" s="5" t="s">
        <v>6778</v>
      </c>
      <c r="B1620" s="6">
        <v>7.1</v>
      </c>
      <c r="C1620" s="6">
        <v>0</v>
      </c>
      <c r="D1620" s="6"/>
      <c r="F1620" s="7"/>
    </row>
    <row r="1621" spans="1:6" ht="23">
      <c r="A1621" s="5" t="s">
        <v>6435</v>
      </c>
      <c r="B1621" s="6">
        <v>4.9000000000000004</v>
      </c>
      <c r="C1621" s="6">
        <v>0</v>
      </c>
      <c r="D1621" s="6"/>
      <c r="F1621" s="7"/>
    </row>
    <row r="1622" spans="1:6" ht="23">
      <c r="A1622" s="5" t="s">
        <v>5835</v>
      </c>
      <c r="B1622" s="6">
        <v>6.2</v>
      </c>
      <c r="C1622" s="6">
        <v>0</v>
      </c>
      <c r="D1622" s="6"/>
      <c r="F1622" s="7"/>
    </row>
    <row r="1623" spans="1:6" ht="23">
      <c r="A1623" s="5" t="s">
        <v>6883</v>
      </c>
      <c r="B1623" s="6">
        <v>7.2</v>
      </c>
      <c r="C1623" s="6">
        <v>0</v>
      </c>
      <c r="D1623" s="6"/>
      <c r="F1623" s="7"/>
    </row>
    <row r="1624" spans="1:6" ht="23">
      <c r="A1624" s="5" t="s">
        <v>5536</v>
      </c>
      <c r="B1624" s="6">
        <v>5.7</v>
      </c>
      <c r="C1624" s="6">
        <v>0</v>
      </c>
      <c r="D1624" s="6"/>
      <c r="F1624" s="7"/>
    </row>
    <row r="1625" spans="1:6" ht="23">
      <c r="A1625" s="5" t="s">
        <v>5349</v>
      </c>
      <c r="B1625" s="6">
        <v>6.35</v>
      </c>
      <c r="C1625" s="6">
        <v>0.15000000000000285</v>
      </c>
      <c r="D1625" s="6"/>
      <c r="F1625" s="7"/>
    </row>
    <row r="1626" spans="1:6" ht="23">
      <c r="A1626" s="5" t="s">
        <v>6481</v>
      </c>
      <c r="B1626" s="6">
        <v>7.4</v>
      </c>
      <c r="C1626" s="6">
        <v>0</v>
      </c>
      <c r="D1626" s="6"/>
      <c r="F1626" s="7"/>
    </row>
    <row r="1627" spans="1:6" ht="23">
      <c r="A1627" s="5" t="s">
        <v>4404</v>
      </c>
      <c r="B1627" s="6">
        <v>6</v>
      </c>
      <c r="C1627" s="6">
        <v>1.3735598518691017</v>
      </c>
      <c r="D1627" s="6"/>
      <c r="F1627" s="7"/>
    </row>
    <row r="1628" spans="1:6" ht="23">
      <c r="A1628" s="5" t="s">
        <v>3784</v>
      </c>
      <c r="B1628" s="6">
        <v>4.9000000000000004</v>
      </c>
      <c r="C1628" s="6">
        <v>0</v>
      </c>
      <c r="D1628" s="6"/>
      <c r="F1628" s="7"/>
    </row>
    <row r="1629" spans="1:6" ht="23">
      <c r="A1629" s="5" t="s">
        <v>3649</v>
      </c>
      <c r="B1629" s="6">
        <v>7.85</v>
      </c>
      <c r="C1629" s="6">
        <v>0.25000000000001421</v>
      </c>
      <c r="D1629" s="6"/>
      <c r="F1629" s="7"/>
    </row>
    <row r="1630" spans="1:6" ht="23">
      <c r="A1630" s="5" t="s">
        <v>2140</v>
      </c>
      <c r="B1630" s="6">
        <v>8.4</v>
      </c>
      <c r="C1630" s="6">
        <v>0</v>
      </c>
      <c r="D1630" s="6"/>
      <c r="F1630" s="7"/>
    </row>
    <row r="1631" spans="1:6" ht="23">
      <c r="A1631" s="5" t="s">
        <v>7132</v>
      </c>
      <c r="B1631" s="6">
        <v>5.3</v>
      </c>
      <c r="C1631" s="6">
        <v>0</v>
      </c>
      <c r="D1631" s="6"/>
      <c r="F1631" s="7"/>
    </row>
    <row r="1632" spans="1:6" ht="23">
      <c r="A1632" s="5" t="s">
        <v>5886</v>
      </c>
      <c r="B1632" s="6">
        <v>7.2</v>
      </c>
      <c r="C1632" s="6">
        <v>0</v>
      </c>
      <c r="D1632" s="6"/>
      <c r="F1632" s="7"/>
    </row>
    <row r="1633" spans="1:6" ht="23">
      <c r="A1633" s="5" t="s">
        <v>7041</v>
      </c>
      <c r="B1633" s="6">
        <v>7.2</v>
      </c>
      <c r="C1633" s="6">
        <v>0</v>
      </c>
      <c r="D1633" s="6"/>
      <c r="F1633" s="7"/>
    </row>
    <row r="1634" spans="1:6" ht="23">
      <c r="A1634" s="5" t="s">
        <v>6221</v>
      </c>
      <c r="B1634" s="6">
        <v>7.2</v>
      </c>
      <c r="C1634" s="6">
        <v>0</v>
      </c>
      <c r="D1634" s="6"/>
      <c r="F1634" s="7"/>
    </row>
    <row r="1635" spans="1:6" ht="23">
      <c r="A1635" s="5" t="s">
        <v>6296</v>
      </c>
      <c r="B1635" s="6">
        <v>7.1</v>
      </c>
      <c r="C1635" s="6">
        <v>0</v>
      </c>
      <c r="D1635" s="6"/>
      <c r="F1635" s="7"/>
    </row>
    <row r="1636" spans="1:6" ht="23">
      <c r="A1636" s="5" t="s">
        <v>633</v>
      </c>
      <c r="B1636" s="6">
        <v>6.7600000000000007</v>
      </c>
      <c r="C1636" s="6">
        <v>0.27276363393970976</v>
      </c>
      <c r="D1636" s="6"/>
      <c r="F1636" s="7"/>
    </row>
    <row r="1637" spans="1:6" ht="23">
      <c r="A1637" s="5" t="s">
        <v>3247</v>
      </c>
      <c r="B1637" s="6">
        <v>4.5</v>
      </c>
      <c r="C1637" s="6">
        <v>0</v>
      </c>
      <c r="D1637" s="6"/>
      <c r="F1637" s="7"/>
    </row>
    <row r="1638" spans="1:6" ht="23">
      <c r="A1638" s="5" t="s">
        <v>2235</v>
      </c>
      <c r="B1638" s="6">
        <v>6.3</v>
      </c>
      <c r="C1638" s="6">
        <v>0</v>
      </c>
      <c r="D1638" s="6"/>
      <c r="F1638" s="7"/>
    </row>
    <row r="1639" spans="1:6" ht="23">
      <c r="A1639" s="5" t="s">
        <v>5231</v>
      </c>
      <c r="B1639" s="6">
        <v>7.4</v>
      </c>
      <c r="C1639" s="6">
        <v>0</v>
      </c>
      <c r="D1639" s="6"/>
      <c r="F1639" s="7"/>
    </row>
    <row r="1640" spans="1:6" ht="23">
      <c r="A1640" s="5" t="s">
        <v>6635</v>
      </c>
      <c r="B1640" s="6">
        <v>3.2</v>
      </c>
      <c r="C1640" s="6">
        <v>0</v>
      </c>
      <c r="D1640" s="6"/>
      <c r="F1640" s="7"/>
    </row>
    <row r="1641" spans="1:6" ht="23">
      <c r="A1641" s="5" t="s">
        <v>7096</v>
      </c>
      <c r="B1641" s="6">
        <v>5.4</v>
      </c>
      <c r="C1641" s="6">
        <v>0</v>
      </c>
      <c r="D1641" s="6"/>
      <c r="F1641" s="7"/>
    </row>
    <row r="1642" spans="1:6" ht="23">
      <c r="A1642" s="5" t="s">
        <v>5680</v>
      </c>
      <c r="B1642" s="6">
        <v>6.6</v>
      </c>
      <c r="C1642" s="6">
        <v>0</v>
      </c>
      <c r="D1642" s="6"/>
      <c r="F1642" s="7"/>
    </row>
    <row r="1643" spans="1:6" ht="23">
      <c r="A1643" s="5" t="s">
        <v>23</v>
      </c>
      <c r="B1643" s="6">
        <v>7.8</v>
      </c>
      <c r="C1643" s="6">
        <v>0</v>
      </c>
      <c r="D1643" s="6"/>
      <c r="F1643" s="7"/>
    </row>
    <row r="1644" spans="1:6" ht="23">
      <c r="A1644" s="5" t="s">
        <v>7098</v>
      </c>
      <c r="B1644" s="6">
        <v>5.7</v>
      </c>
      <c r="C1644" s="6">
        <v>0</v>
      </c>
      <c r="D1644" s="6"/>
      <c r="F1644" s="7"/>
    </row>
    <row r="1645" spans="1:6" ht="23">
      <c r="A1645" s="5" t="s">
        <v>4406</v>
      </c>
      <c r="B1645" s="6">
        <v>5.8</v>
      </c>
      <c r="C1645" s="6">
        <v>0</v>
      </c>
      <c r="D1645" s="6"/>
      <c r="F1645" s="7"/>
    </row>
    <row r="1646" spans="1:6" ht="23">
      <c r="A1646" s="5" t="s">
        <v>6773</v>
      </c>
      <c r="B1646" s="6">
        <v>5.3</v>
      </c>
      <c r="C1646" s="6">
        <v>0</v>
      </c>
      <c r="D1646" s="6"/>
      <c r="F1646" s="7"/>
    </row>
    <row r="1647" spans="1:6" ht="23">
      <c r="A1647" s="5" t="s">
        <v>640</v>
      </c>
      <c r="B1647" s="6">
        <v>6.9749999999999996</v>
      </c>
      <c r="C1647" s="6">
        <v>0.38971143170300249</v>
      </c>
      <c r="D1647" s="6"/>
      <c r="F1647" s="7"/>
    </row>
    <row r="1648" spans="1:6" ht="23">
      <c r="A1648" s="5" t="s">
        <v>1372</v>
      </c>
      <c r="B1648" s="6">
        <v>6.7624999999999993</v>
      </c>
      <c r="C1648" s="6">
        <v>0.6613197033205731</v>
      </c>
      <c r="D1648" s="6"/>
      <c r="F1648" s="7"/>
    </row>
    <row r="1649" spans="1:6" ht="23">
      <c r="A1649" s="5" t="s">
        <v>2859</v>
      </c>
      <c r="B1649" s="6">
        <v>6.5666666666666664</v>
      </c>
      <c r="C1649" s="6">
        <v>0.52493385826745598</v>
      </c>
      <c r="D1649" s="6"/>
      <c r="F1649" s="7"/>
    </row>
    <row r="1650" spans="1:6" ht="23">
      <c r="A1650" s="5" t="s">
        <v>2188</v>
      </c>
      <c r="B1650" s="6">
        <v>6.5333333333333341</v>
      </c>
      <c r="C1650" s="6">
        <v>0.49888765156985354</v>
      </c>
      <c r="D1650" s="6"/>
      <c r="F1650" s="7"/>
    </row>
    <row r="1651" spans="1:6" ht="23">
      <c r="A1651" s="5" t="s">
        <v>5997</v>
      </c>
      <c r="B1651" s="6">
        <v>4.8</v>
      </c>
      <c r="C1651" s="6">
        <v>0</v>
      </c>
      <c r="D1651" s="6"/>
      <c r="F1651" s="7"/>
    </row>
    <row r="1652" spans="1:6" ht="23">
      <c r="A1652" s="5" t="s">
        <v>373</v>
      </c>
      <c r="B1652" s="6">
        <v>7.166666666666667</v>
      </c>
      <c r="C1652" s="6">
        <v>0.60184900284226406</v>
      </c>
      <c r="D1652" s="6"/>
      <c r="F1652" s="7"/>
    </row>
    <row r="1653" spans="1:6" ht="23">
      <c r="A1653" s="5" t="s">
        <v>7230</v>
      </c>
      <c r="B1653" s="6">
        <v>6.3</v>
      </c>
      <c r="C1653" s="6">
        <v>0</v>
      </c>
      <c r="D1653" s="6"/>
      <c r="F1653" s="7"/>
    </row>
    <row r="1654" spans="1:6" ht="23">
      <c r="A1654" s="5" t="s">
        <v>3100</v>
      </c>
      <c r="B1654" s="6">
        <v>4.75</v>
      </c>
      <c r="C1654" s="6">
        <v>0.84999999999999798</v>
      </c>
      <c r="D1654" s="6"/>
      <c r="F1654" s="7"/>
    </row>
    <row r="1655" spans="1:6" ht="23">
      <c r="A1655" s="5" t="s">
        <v>6236</v>
      </c>
      <c r="B1655" s="6">
        <v>6.8</v>
      </c>
      <c r="C1655" s="6">
        <v>0</v>
      </c>
      <c r="D1655" s="6"/>
      <c r="F1655" s="7"/>
    </row>
    <row r="1656" spans="1:6" ht="23">
      <c r="A1656" s="5" t="s">
        <v>6907</v>
      </c>
      <c r="B1656" s="6">
        <v>5.6</v>
      </c>
      <c r="C1656" s="6">
        <v>0</v>
      </c>
      <c r="D1656" s="6"/>
      <c r="F1656" s="7"/>
    </row>
    <row r="1657" spans="1:6" ht="23">
      <c r="A1657" s="5" t="s">
        <v>5345</v>
      </c>
      <c r="B1657" s="6">
        <v>7.3</v>
      </c>
      <c r="C1657" s="6">
        <v>0</v>
      </c>
      <c r="D1657" s="6"/>
      <c r="F1657" s="7"/>
    </row>
    <row r="1658" spans="1:6" ht="23">
      <c r="A1658" s="5" t="s">
        <v>3388</v>
      </c>
      <c r="B1658" s="6">
        <v>6.5333333333333341</v>
      </c>
      <c r="C1658" s="6">
        <v>0.38586123009299572</v>
      </c>
      <c r="D1658" s="6"/>
      <c r="F1658" s="7"/>
    </row>
    <row r="1659" spans="1:6" ht="23">
      <c r="A1659" s="5" t="s">
        <v>4153</v>
      </c>
      <c r="B1659" s="6">
        <v>6.6</v>
      </c>
      <c r="C1659" s="6">
        <v>0</v>
      </c>
      <c r="D1659" s="6"/>
      <c r="F1659" s="7"/>
    </row>
    <row r="1660" spans="1:6" ht="23">
      <c r="A1660" s="5" t="s">
        <v>2549</v>
      </c>
      <c r="B1660" s="6">
        <v>7.45</v>
      </c>
      <c r="C1660" s="6">
        <v>0.25</v>
      </c>
      <c r="D1660" s="6"/>
      <c r="F1660" s="7"/>
    </row>
    <row r="1661" spans="1:6" ht="23">
      <c r="A1661" s="5" t="s">
        <v>3504</v>
      </c>
      <c r="B1661" s="6">
        <v>6.8</v>
      </c>
      <c r="C1661" s="6">
        <v>0</v>
      </c>
      <c r="D1661" s="6"/>
      <c r="F1661" s="7"/>
    </row>
    <row r="1662" spans="1:6" ht="23">
      <c r="A1662" s="5" t="s">
        <v>1767</v>
      </c>
      <c r="B1662" s="6">
        <v>6.44</v>
      </c>
      <c r="C1662" s="6">
        <v>0.40792156108741567</v>
      </c>
      <c r="D1662" s="6"/>
      <c r="F1662" s="7"/>
    </row>
    <row r="1663" spans="1:6" ht="23">
      <c r="A1663" s="5" t="s">
        <v>5301</v>
      </c>
      <c r="B1663" s="6">
        <v>7</v>
      </c>
      <c r="C1663" s="6">
        <v>0</v>
      </c>
      <c r="D1663" s="6"/>
      <c r="F1663" s="7"/>
    </row>
    <row r="1664" spans="1:6" ht="23">
      <c r="A1664" s="5" t="s">
        <v>1762</v>
      </c>
      <c r="B1664" s="6">
        <v>7.0749999999999993</v>
      </c>
      <c r="C1664" s="6">
        <v>0.69776428684765168</v>
      </c>
      <c r="D1664" s="6"/>
      <c r="F1664" s="7"/>
    </row>
    <row r="1665" spans="1:6" ht="23">
      <c r="A1665" s="5" t="s">
        <v>3581</v>
      </c>
      <c r="B1665" s="6">
        <v>5.6</v>
      </c>
      <c r="C1665" s="6">
        <v>0</v>
      </c>
      <c r="D1665" s="6"/>
      <c r="F1665" s="7"/>
    </row>
    <row r="1666" spans="1:6" ht="23">
      <c r="A1666" s="5" t="s">
        <v>2416</v>
      </c>
      <c r="B1666" s="6">
        <v>4.8</v>
      </c>
      <c r="C1666" s="6">
        <v>0</v>
      </c>
      <c r="D1666" s="6"/>
      <c r="F1666" s="7"/>
    </row>
    <row r="1667" spans="1:6" ht="23">
      <c r="A1667" s="5" t="s">
        <v>2377</v>
      </c>
      <c r="B1667" s="6">
        <v>5.2</v>
      </c>
      <c r="C1667" s="6">
        <v>0</v>
      </c>
      <c r="D1667" s="6"/>
      <c r="F1667" s="7"/>
    </row>
    <row r="1668" spans="1:6" ht="23">
      <c r="A1668" s="5" t="s">
        <v>5461</v>
      </c>
      <c r="B1668" s="6">
        <v>5.5</v>
      </c>
      <c r="C1668" s="6">
        <v>0.59999999999999953</v>
      </c>
      <c r="D1668" s="6"/>
      <c r="F1668" s="7"/>
    </row>
    <row r="1669" spans="1:6" ht="23">
      <c r="A1669" s="5" t="s">
        <v>5387</v>
      </c>
      <c r="B1669" s="6">
        <v>6.5</v>
      </c>
      <c r="C1669" s="6">
        <v>0</v>
      </c>
      <c r="D1669" s="6"/>
      <c r="F1669" s="7"/>
    </row>
    <row r="1670" spans="1:6" ht="23">
      <c r="A1670" s="5" t="s">
        <v>6532</v>
      </c>
      <c r="B1670" s="6">
        <v>6.8</v>
      </c>
      <c r="C1670" s="6">
        <v>0</v>
      </c>
      <c r="D1670" s="6"/>
      <c r="F1670" s="7"/>
    </row>
    <row r="1671" spans="1:6" ht="23">
      <c r="A1671" s="5" t="s">
        <v>6535</v>
      </c>
      <c r="B1671" s="6">
        <v>5.2</v>
      </c>
      <c r="C1671" s="6">
        <v>0</v>
      </c>
      <c r="D1671" s="6"/>
      <c r="F1671" s="7"/>
    </row>
    <row r="1672" spans="1:6" ht="23">
      <c r="A1672" s="5" t="s">
        <v>7058</v>
      </c>
      <c r="B1672" s="6">
        <v>6.5</v>
      </c>
      <c r="C1672" s="6">
        <v>0</v>
      </c>
      <c r="D1672" s="6"/>
      <c r="F1672" s="7"/>
    </row>
    <row r="1673" spans="1:6" ht="23">
      <c r="A1673" s="5" t="s">
        <v>3699</v>
      </c>
      <c r="B1673" s="6">
        <v>6.9</v>
      </c>
      <c r="C1673" s="6">
        <v>0.75828754440515223</v>
      </c>
      <c r="D1673" s="6"/>
      <c r="F1673" s="7"/>
    </row>
    <row r="1674" spans="1:6" ht="23">
      <c r="A1674" s="5" t="s">
        <v>4762</v>
      </c>
      <c r="B1674" s="6">
        <v>6.660000000000001</v>
      </c>
      <c r="C1674" s="6">
        <v>0.41279534881099439</v>
      </c>
      <c r="D1674" s="6"/>
      <c r="F1674" s="7"/>
    </row>
    <row r="1675" spans="1:6" ht="23">
      <c r="A1675" s="5" t="s">
        <v>2431</v>
      </c>
      <c r="B1675" s="6">
        <v>7.3</v>
      </c>
      <c r="C1675" s="6">
        <v>0.80000000000000038</v>
      </c>
      <c r="D1675" s="6"/>
      <c r="F1675" s="7"/>
    </row>
    <row r="1676" spans="1:6" ht="23">
      <c r="A1676" s="5" t="s">
        <v>2733</v>
      </c>
      <c r="B1676" s="6">
        <v>6.9</v>
      </c>
      <c r="C1676" s="6">
        <v>0.29999999999999383</v>
      </c>
      <c r="D1676" s="6"/>
      <c r="F1676" s="7"/>
    </row>
    <row r="1677" spans="1:6" ht="23">
      <c r="A1677" s="5" t="s">
        <v>2395</v>
      </c>
      <c r="B1677" s="6">
        <v>7.4333333333333327</v>
      </c>
      <c r="C1677" s="6">
        <v>0.12472191289253459</v>
      </c>
      <c r="D1677" s="6"/>
      <c r="F1677" s="7"/>
    </row>
    <row r="1678" spans="1:6" ht="23">
      <c r="A1678" s="5" t="s">
        <v>4687</v>
      </c>
      <c r="B1678" s="6">
        <v>6.7</v>
      </c>
      <c r="C1678" s="6">
        <v>0</v>
      </c>
      <c r="D1678" s="6"/>
      <c r="F1678" s="7"/>
    </row>
    <row r="1679" spans="1:6" ht="23">
      <c r="A1679" s="5" t="s">
        <v>4104</v>
      </c>
      <c r="B1679" s="6">
        <v>6.7</v>
      </c>
      <c r="C1679" s="6">
        <v>0</v>
      </c>
      <c r="D1679" s="6"/>
      <c r="F1679" s="7"/>
    </row>
    <row r="1680" spans="1:6" ht="23">
      <c r="A1680" s="5" t="s">
        <v>1783</v>
      </c>
      <c r="B1680" s="6">
        <v>6.4333333333333336</v>
      </c>
      <c r="C1680" s="6">
        <v>0.6128258770283459</v>
      </c>
      <c r="D1680" s="6"/>
      <c r="F1680" s="7"/>
    </row>
    <row r="1681" spans="1:6" ht="23">
      <c r="A1681" s="5" t="s">
        <v>5749</v>
      </c>
      <c r="B1681" s="6">
        <v>3</v>
      </c>
      <c r="C1681" s="6">
        <v>0</v>
      </c>
      <c r="D1681" s="6"/>
      <c r="F1681" s="7"/>
    </row>
    <row r="1682" spans="1:6" ht="23">
      <c r="A1682" s="5" t="s">
        <v>4479</v>
      </c>
      <c r="B1682" s="6">
        <v>7.0333333333333341</v>
      </c>
      <c r="C1682" s="6">
        <v>0.51854497287013046</v>
      </c>
      <c r="D1682" s="6"/>
      <c r="F1682" s="7"/>
    </row>
    <row r="1683" spans="1:6" ht="23">
      <c r="A1683" s="5" t="s">
        <v>6087</v>
      </c>
      <c r="B1683" s="6">
        <v>6.2</v>
      </c>
      <c r="C1683" s="6">
        <v>0</v>
      </c>
      <c r="D1683" s="6"/>
      <c r="F1683" s="7"/>
    </row>
    <row r="1684" spans="1:6" ht="23">
      <c r="A1684" s="5" t="s">
        <v>423</v>
      </c>
      <c r="B1684" s="6">
        <v>6.2</v>
      </c>
      <c r="C1684" s="6">
        <v>0</v>
      </c>
      <c r="D1684" s="6"/>
      <c r="F1684" s="7"/>
    </row>
    <row r="1685" spans="1:6" ht="23">
      <c r="A1685" s="5" t="s">
        <v>3521</v>
      </c>
      <c r="B1685" s="6">
        <v>6.4</v>
      </c>
      <c r="C1685" s="6">
        <v>0</v>
      </c>
      <c r="D1685" s="6"/>
      <c r="F1685" s="7"/>
    </row>
    <row r="1686" spans="1:6" ht="23">
      <c r="A1686" s="5" t="s">
        <v>985</v>
      </c>
      <c r="B1686" s="6">
        <v>6.166666666666667</v>
      </c>
      <c r="C1686" s="6">
        <v>0.84983658559879749</v>
      </c>
      <c r="D1686" s="6"/>
      <c r="F1686" s="7"/>
    </row>
    <row r="1687" spans="1:6" ht="23">
      <c r="A1687" s="5" t="s">
        <v>1657</v>
      </c>
      <c r="B1687" s="6">
        <v>7.5</v>
      </c>
      <c r="C1687" s="6">
        <v>0</v>
      </c>
      <c r="D1687" s="6"/>
      <c r="F1687" s="7"/>
    </row>
    <row r="1688" spans="1:6" ht="23">
      <c r="A1688" s="5" t="s">
        <v>1933</v>
      </c>
      <c r="B1688" s="6">
        <v>6.7</v>
      </c>
      <c r="C1688" s="6">
        <v>0.9797958971132712</v>
      </c>
      <c r="D1688" s="6"/>
      <c r="F1688" s="7"/>
    </row>
    <row r="1689" spans="1:6" ht="23">
      <c r="A1689" s="5" t="s">
        <v>4822</v>
      </c>
      <c r="B1689" s="6">
        <v>7.0500000000000007</v>
      </c>
      <c r="C1689" s="6">
        <v>0.15000000000000285</v>
      </c>
      <c r="D1689" s="6"/>
      <c r="F1689" s="7"/>
    </row>
    <row r="1690" spans="1:6" ht="23">
      <c r="A1690" s="5" t="s">
        <v>4379</v>
      </c>
      <c r="B1690" s="6">
        <v>5.9</v>
      </c>
      <c r="C1690" s="6">
        <v>0</v>
      </c>
      <c r="D1690" s="6"/>
      <c r="F1690" s="7"/>
    </row>
    <row r="1691" spans="1:6" ht="23">
      <c r="A1691" s="5" t="s">
        <v>2792</v>
      </c>
      <c r="B1691" s="6">
        <v>5.9</v>
      </c>
      <c r="C1691" s="6">
        <v>0</v>
      </c>
      <c r="D1691" s="6"/>
      <c r="F1691" s="7"/>
    </row>
    <row r="1692" spans="1:6" ht="23">
      <c r="A1692" s="5" t="s">
        <v>4655</v>
      </c>
      <c r="B1692" s="6">
        <v>7.3</v>
      </c>
      <c r="C1692" s="6">
        <v>0</v>
      </c>
      <c r="D1692" s="6"/>
      <c r="F1692" s="7"/>
    </row>
    <row r="1693" spans="1:6" ht="23">
      <c r="A1693" s="5" t="s">
        <v>2642</v>
      </c>
      <c r="B1693" s="6">
        <v>5.4</v>
      </c>
      <c r="C1693" s="6">
        <v>0</v>
      </c>
      <c r="D1693" s="6"/>
      <c r="F1693" s="7"/>
    </row>
    <row r="1694" spans="1:6" ht="23">
      <c r="A1694" s="5" t="s">
        <v>6673</v>
      </c>
      <c r="B1694" s="6">
        <v>5.2</v>
      </c>
      <c r="C1694" s="6">
        <v>0</v>
      </c>
      <c r="D1694" s="6"/>
      <c r="F1694" s="7"/>
    </row>
    <row r="1695" spans="1:6" ht="23">
      <c r="A1695" s="5" t="s">
        <v>789</v>
      </c>
      <c r="B1695" s="6">
        <v>7.1000000000000005</v>
      </c>
      <c r="C1695" s="6">
        <v>1.1999999999999991</v>
      </c>
      <c r="D1695" s="6"/>
      <c r="F1695" s="7"/>
    </row>
    <row r="1696" spans="1:6" ht="23">
      <c r="A1696" s="5" t="s">
        <v>1645</v>
      </c>
      <c r="B1696" s="6">
        <v>6.4749999999999996</v>
      </c>
      <c r="C1696" s="6">
        <v>0.460298815988056</v>
      </c>
      <c r="D1696" s="6"/>
      <c r="F1696" s="7"/>
    </row>
    <row r="1697" spans="1:6" ht="23">
      <c r="A1697" s="5" t="s">
        <v>205</v>
      </c>
      <c r="B1697" s="6">
        <v>6.95</v>
      </c>
      <c r="C1697" s="6">
        <v>0.71489259932624716</v>
      </c>
      <c r="D1697" s="6"/>
      <c r="F1697" s="7"/>
    </row>
    <row r="1698" spans="1:6" ht="23">
      <c r="A1698" s="5" t="s">
        <v>4022</v>
      </c>
      <c r="B1698" s="6">
        <v>7.1</v>
      </c>
      <c r="C1698" s="6">
        <v>0.20000000000001564</v>
      </c>
      <c r="D1698" s="6"/>
      <c r="F1698" s="7"/>
    </row>
    <row r="1699" spans="1:6" ht="23">
      <c r="A1699" s="5" t="s">
        <v>2457</v>
      </c>
      <c r="B1699" s="6">
        <v>5.7</v>
      </c>
      <c r="C1699" s="6">
        <v>0</v>
      </c>
      <c r="D1699" s="6"/>
      <c r="F1699" s="7"/>
    </row>
    <row r="1700" spans="1:6" ht="23">
      <c r="A1700" s="5" t="s">
        <v>1529</v>
      </c>
      <c r="B1700" s="6">
        <v>6.2333333333333343</v>
      </c>
      <c r="C1700" s="6">
        <v>0.16996731711973795</v>
      </c>
      <c r="D1700" s="6"/>
      <c r="F1700" s="7"/>
    </row>
    <row r="1701" spans="1:6" ht="23">
      <c r="A1701" s="5" t="s">
        <v>5017</v>
      </c>
      <c r="B1701" s="6">
        <v>7.2</v>
      </c>
      <c r="C1701" s="6">
        <v>0</v>
      </c>
      <c r="D1701" s="6"/>
      <c r="F1701" s="7"/>
    </row>
    <row r="1702" spans="1:6" ht="23">
      <c r="A1702" s="5" t="s">
        <v>5357</v>
      </c>
      <c r="B1702" s="6">
        <v>5.25</v>
      </c>
      <c r="C1702" s="6">
        <v>1.0499999999999996</v>
      </c>
      <c r="D1702" s="6"/>
      <c r="F1702" s="7"/>
    </row>
    <row r="1703" spans="1:6" ht="23">
      <c r="A1703" s="5" t="s">
        <v>6118</v>
      </c>
      <c r="B1703" s="6">
        <v>7.7</v>
      </c>
      <c r="C1703" s="6">
        <v>0</v>
      </c>
      <c r="D1703" s="6"/>
      <c r="F1703" s="7"/>
    </row>
    <row r="1704" spans="1:6" ht="23">
      <c r="A1704" s="5" t="s">
        <v>6401</v>
      </c>
      <c r="B1704" s="6">
        <v>6.6</v>
      </c>
      <c r="C1704" s="6">
        <v>0</v>
      </c>
      <c r="D1704" s="6"/>
      <c r="F1704" s="7"/>
    </row>
    <row r="1705" spans="1:6" ht="23">
      <c r="A1705" s="5" t="s">
        <v>1550</v>
      </c>
      <c r="B1705" s="6">
        <v>6.3</v>
      </c>
      <c r="C1705" s="6">
        <v>0</v>
      </c>
      <c r="D1705" s="6"/>
      <c r="F1705" s="7"/>
    </row>
    <row r="1706" spans="1:6" ht="23">
      <c r="A1706" s="5" t="s">
        <v>6740</v>
      </c>
      <c r="B1706" s="6">
        <v>7.3</v>
      </c>
      <c r="C1706" s="6">
        <v>0.29999999999999383</v>
      </c>
      <c r="D1706" s="6"/>
      <c r="F1706" s="7"/>
    </row>
    <row r="1707" spans="1:6" ht="23">
      <c r="A1707" s="5" t="s">
        <v>6418</v>
      </c>
      <c r="B1707" s="6">
        <v>6.1</v>
      </c>
      <c r="C1707" s="6">
        <v>0</v>
      </c>
      <c r="D1707" s="6"/>
      <c r="F1707" s="7"/>
    </row>
    <row r="1708" spans="1:6" ht="23">
      <c r="A1708" s="5" t="s">
        <v>5827</v>
      </c>
      <c r="B1708" s="6">
        <v>5.0999999999999996</v>
      </c>
      <c r="C1708" s="6">
        <v>0</v>
      </c>
      <c r="D1708" s="6"/>
      <c r="F1708" s="7"/>
    </row>
    <row r="1709" spans="1:6" ht="23">
      <c r="A1709" s="5" t="s">
        <v>4179</v>
      </c>
      <c r="B1709" s="6">
        <v>7.7</v>
      </c>
      <c r="C1709" s="6">
        <v>0</v>
      </c>
      <c r="D1709" s="6"/>
      <c r="F1709" s="7"/>
    </row>
    <row r="1710" spans="1:6" ht="23">
      <c r="A1710" s="5" t="s">
        <v>6152</v>
      </c>
      <c r="B1710" s="6">
        <v>5.8</v>
      </c>
      <c r="C1710" s="6">
        <v>0</v>
      </c>
      <c r="D1710" s="6"/>
      <c r="F1710" s="7"/>
    </row>
    <row r="1711" spans="1:6" ht="23">
      <c r="A1711" s="5" t="s">
        <v>2783</v>
      </c>
      <c r="B1711" s="6">
        <v>6.3</v>
      </c>
      <c r="C1711" s="6">
        <v>0</v>
      </c>
      <c r="D1711" s="6"/>
      <c r="F1711" s="7"/>
    </row>
    <row r="1712" spans="1:6" ht="23">
      <c r="A1712" s="5" t="s">
        <v>7071</v>
      </c>
      <c r="B1712" s="6">
        <v>5.4</v>
      </c>
      <c r="C1712" s="6">
        <v>0</v>
      </c>
      <c r="D1712" s="6"/>
      <c r="F1712" s="7"/>
    </row>
    <row r="1713" spans="1:6" ht="23">
      <c r="A1713" s="5" t="s">
        <v>1836</v>
      </c>
      <c r="B1713" s="6">
        <v>6.7</v>
      </c>
      <c r="C1713" s="6">
        <v>0</v>
      </c>
      <c r="D1713" s="6"/>
      <c r="F1713" s="7"/>
    </row>
    <row r="1714" spans="1:6" ht="23">
      <c r="A1714" s="5" t="s">
        <v>4026</v>
      </c>
      <c r="B1714" s="6">
        <v>7.3</v>
      </c>
      <c r="C1714" s="6">
        <v>0</v>
      </c>
      <c r="D1714" s="6"/>
      <c r="F1714" s="7"/>
    </row>
    <row r="1715" spans="1:6" ht="23">
      <c r="A1715" s="5" t="s">
        <v>5756</v>
      </c>
      <c r="B1715" s="6">
        <v>6.65</v>
      </c>
      <c r="C1715" s="6">
        <v>0.34999999999999309</v>
      </c>
      <c r="D1715" s="6"/>
      <c r="F1715" s="7"/>
    </row>
    <row r="1716" spans="1:6" ht="23">
      <c r="A1716" s="5" t="s">
        <v>2780</v>
      </c>
      <c r="B1716" s="6">
        <v>7.0333333333333341</v>
      </c>
      <c r="C1716" s="6">
        <v>0.26246692913372799</v>
      </c>
      <c r="D1716" s="6"/>
      <c r="F1716" s="7"/>
    </row>
    <row r="1717" spans="1:6" ht="23">
      <c r="A1717" s="5" t="s">
        <v>4390</v>
      </c>
      <c r="B1717" s="6">
        <v>6.7</v>
      </c>
      <c r="C1717" s="6">
        <v>0</v>
      </c>
      <c r="D1717" s="6"/>
      <c r="F1717" s="7"/>
    </row>
    <row r="1718" spans="1:6" ht="23">
      <c r="A1718" s="5" t="s">
        <v>6754</v>
      </c>
      <c r="B1718" s="6">
        <v>7.4</v>
      </c>
      <c r="C1718" s="6">
        <v>0</v>
      </c>
      <c r="D1718" s="6"/>
      <c r="F1718" s="7"/>
    </row>
    <row r="1719" spans="1:6" ht="23">
      <c r="A1719" s="5" t="s">
        <v>6810</v>
      </c>
      <c r="B1719" s="6">
        <v>7.5</v>
      </c>
      <c r="C1719" s="6">
        <v>0</v>
      </c>
      <c r="D1719" s="6"/>
      <c r="F1719" s="7"/>
    </row>
    <row r="1720" spans="1:6" ht="23">
      <c r="A1720" s="5" t="s">
        <v>1171</v>
      </c>
      <c r="B1720" s="6">
        <v>6.7</v>
      </c>
      <c r="C1720" s="6">
        <v>0</v>
      </c>
      <c r="D1720" s="6"/>
      <c r="F1720" s="7"/>
    </row>
    <row r="1721" spans="1:6" ht="23">
      <c r="A1721" s="5" t="s">
        <v>504</v>
      </c>
      <c r="B1721" s="6">
        <v>6.1</v>
      </c>
      <c r="C1721" s="6">
        <v>0</v>
      </c>
      <c r="D1721" s="6"/>
      <c r="F1721" s="7"/>
    </row>
    <row r="1722" spans="1:6" ht="23">
      <c r="A1722" s="5" t="s">
        <v>1505</v>
      </c>
      <c r="B1722" s="6">
        <v>5.4</v>
      </c>
      <c r="C1722" s="6">
        <v>0.29999999999999383</v>
      </c>
      <c r="D1722" s="6"/>
      <c r="F1722" s="7"/>
    </row>
    <row r="1723" spans="1:6" ht="23">
      <c r="A1723" s="5" t="s">
        <v>7164</v>
      </c>
      <c r="B1723" s="6">
        <v>7.4</v>
      </c>
      <c r="C1723" s="6">
        <v>0</v>
      </c>
      <c r="D1723" s="6"/>
      <c r="F1723" s="7"/>
    </row>
    <row r="1724" spans="1:6" ht="23">
      <c r="A1724" s="5" t="s">
        <v>1490</v>
      </c>
      <c r="B1724" s="6">
        <v>5.6</v>
      </c>
      <c r="C1724" s="6">
        <v>0.30000000000001159</v>
      </c>
      <c r="D1724" s="6"/>
      <c r="F1724" s="7"/>
    </row>
    <row r="1725" spans="1:6" ht="23">
      <c r="A1725" s="5" t="s">
        <v>7121</v>
      </c>
      <c r="B1725" s="6">
        <v>3.6</v>
      </c>
      <c r="C1725" s="6">
        <v>0</v>
      </c>
      <c r="D1725" s="6"/>
      <c r="F1725" s="7"/>
    </row>
    <row r="1726" spans="1:6" ht="23">
      <c r="A1726" s="5" t="s">
        <v>5097</v>
      </c>
      <c r="B1726" s="6">
        <v>6.15</v>
      </c>
      <c r="C1726" s="6">
        <v>0.25</v>
      </c>
      <c r="D1726" s="6"/>
      <c r="F1726" s="7"/>
    </row>
    <row r="1727" spans="1:6" ht="23">
      <c r="A1727" s="5" t="s">
        <v>2043</v>
      </c>
      <c r="B1727" s="6">
        <v>6.6</v>
      </c>
      <c r="C1727" s="6">
        <v>0</v>
      </c>
      <c r="D1727" s="6"/>
      <c r="F1727" s="7"/>
    </row>
    <row r="1728" spans="1:6" ht="23">
      <c r="A1728" s="5" t="s">
        <v>5217</v>
      </c>
      <c r="B1728" s="6">
        <v>7.3</v>
      </c>
      <c r="C1728" s="6">
        <v>0</v>
      </c>
      <c r="D1728" s="6"/>
      <c r="F1728" s="7"/>
    </row>
    <row r="1729" spans="1:6" ht="23">
      <c r="A1729" s="5" t="s">
        <v>3162</v>
      </c>
      <c r="B1729" s="6">
        <v>5.8</v>
      </c>
      <c r="C1729" s="6">
        <v>0</v>
      </c>
      <c r="D1729" s="6"/>
      <c r="F1729" s="7"/>
    </row>
    <row r="1730" spans="1:6" ht="23">
      <c r="A1730" s="5" t="s">
        <v>5360</v>
      </c>
      <c r="B1730" s="6">
        <v>6.6</v>
      </c>
      <c r="C1730" s="6">
        <v>0.40000000000000463</v>
      </c>
      <c r="D1730" s="6"/>
      <c r="F1730" s="7"/>
    </row>
    <row r="1731" spans="1:6" ht="23">
      <c r="A1731" s="5" t="s">
        <v>6927</v>
      </c>
      <c r="B1731" s="6">
        <v>6.2</v>
      </c>
      <c r="C1731" s="6">
        <v>0</v>
      </c>
      <c r="D1731" s="6"/>
      <c r="F1731" s="7"/>
    </row>
    <row r="1732" spans="1:6" ht="23">
      <c r="A1732" s="5" t="s">
        <v>1546</v>
      </c>
      <c r="B1732" s="6">
        <v>4.5</v>
      </c>
      <c r="C1732" s="6">
        <v>0</v>
      </c>
      <c r="D1732" s="6"/>
      <c r="F1732" s="7"/>
    </row>
    <row r="1733" spans="1:6" ht="23">
      <c r="A1733" s="5" t="s">
        <v>6126</v>
      </c>
      <c r="B1733" s="6">
        <v>5.7</v>
      </c>
      <c r="C1733" s="6">
        <v>0</v>
      </c>
      <c r="D1733" s="6"/>
      <c r="F1733" s="7"/>
    </row>
    <row r="1734" spans="1:6" ht="23">
      <c r="A1734" s="5" t="s">
        <v>6517</v>
      </c>
      <c r="B1734" s="6">
        <v>7.3</v>
      </c>
      <c r="C1734" s="6">
        <v>0</v>
      </c>
      <c r="D1734" s="6"/>
      <c r="F1734" s="7"/>
    </row>
    <row r="1735" spans="1:6" ht="23">
      <c r="A1735" s="5" t="s">
        <v>6340</v>
      </c>
      <c r="B1735" s="6">
        <v>4.3</v>
      </c>
      <c r="C1735" s="6">
        <v>0</v>
      </c>
      <c r="D1735" s="6"/>
      <c r="F1735" s="7"/>
    </row>
    <row r="1736" spans="1:6" ht="23">
      <c r="A1736" s="5" t="s">
        <v>263</v>
      </c>
      <c r="B1736" s="6">
        <v>6</v>
      </c>
      <c r="C1736" s="6">
        <v>0.71763500472036656</v>
      </c>
      <c r="D1736" s="6"/>
      <c r="F1736" s="7"/>
    </row>
    <row r="1737" spans="1:6" ht="23">
      <c r="A1737" s="5" t="s">
        <v>6894</v>
      </c>
      <c r="B1737" s="6">
        <v>6.9</v>
      </c>
      <c r="C1737" s="6">
        <v>0</v>
      </c>
      <c r="D1737" s="6"/>
      <c r="F1737" s="7"/>
    </row>
    <row r="1738" spans="1:6" ht="23">
      <c r="A1738" s="5" t="s">
        <v>6867</v>
      </c>
      <c r="B1738" s="6">
        <v>6.1</v>
      </c>
      <c r="C1738" s="6">
        <v>0</v>
      </c>
      <c r="D1738" s="6"/>
      <c r="F1738" s="7"/>
    </row>
    <row r="1739" spans="1:6" ht="23">
      <c r="A1739" s="5" t="s">
        <v>311</v>
      </c>
      <c r="B1739" s="6">
        <v>7.5857142857142872</v>
      </c>
      <c r="C1739" s="6">
        <v>0.40152769493012763</v>
      </c>
      <c r="D1739" s="6"/>
      <c r="F1739" s="7"/>
    </row>
    <row r="1740" spans="1:6" ht="23">
      <c r="A1740" s="5" t="s">
        <v>3234</v>
      </c>
      <c r="B1740" s="6">
        <v>6.25</v>
      </c>
      <c r="C1740" s="6">
        <v>0.25</v>
      </c>
      <c r="D1740" s="6"/>
      <c r="F1740" s="7"/>
    </row>
    <row r="1741" spans="1:6" ht="23">
      <c r="A1741" s="5" t="s">
        <v>2382</v>
      </c>
      <c r="B1741" s="6">
        <v>7.5</v>
      </c>
      <c r="C1741" s="6">
        <v>0.29439202887761123</v>
      </c>
      <c r="D1741" s="6"/>
      <c r="F1741" s="7"/>
    </row>
    <row r="1742" spans="1:6" ht="23">
      <c r="A1742" s="5" t="s">
        <v>1349</v>
      </c>
      <c r="B1742" s="6">
        <v>5.5</v>
      </c>
      <c r="C1742" s="6">
        <v>0</v>
      </c>
      <c r="D1742" s="6"/>
      <c r="F1742" s="7"/>
    </row>
    <row r="1743" spans="1:6" ht="23">
      <c r="A1743" s="5" t="s">
        <v>1274</v>
      </c>
      <c r="B1743" s="6">
        <v>7.2</v>
      </c>
      <c r="C1743" s="6">
        <v>0</v>
      </c>
      <c r="D1743" s="6"/>
      <c r="F1743" s="7"/>
    </row>
    <row r="1744" spans="1:6" ht="23">
      <c r="A1744" s="5" t="s">
        <v>4029</v>
      </c>
      <c r="B1744" s="6">
        <v>5.9</v>
      </c>
      <c r="C1744" s="6">
        <v>0</v>
      </c>
      <c r="D1744" s="6"/>
      <c r="F1744" s="7"/>
    </row>
    <row r="1745" spans="1:6" ht="23">
      <c r="A1745" s="5" t="s">
        <v>1662</v>
      </c>
      <c r="B1745" s="6">
        <v>6.9333333333333336</v>
      </c>
      <c r="C1745" s="6">
        <v>0.73635740114581272</v>
      </c>
      <c r="D1745" s="6"/>
      <c r="F1745" s="7"/>
    </row>
    <row r="1746" spans="1:6" ht="23">
      <c r="A1746" s="5" t="s">
        <v>2343</v>
      </c>
      <c r="B1746" s="6">
        <v>6.6</v>
      </c>
      <c r="C1746" s="6">
        <v>0</v>
      </c>
      <c r="D1746" s="6"/>
      <c r="F1746" s="7"/>
    </row>
    <row r="1747" spans="1:6" ht="23">
      <c r="A1747" s="5" t="s">
        <v>4056</v>
      </c>
      <c r="B1747" s="6">
        <v>5.6833333333333336</v>
      </c>
      <c r="C1747" s="6">
        <v>1.1156711980786367</v>
      </c>
      <c r="D1747" s="6"/>
      <c r="F1747" s="7"/>
    </row>
    <row r="1748" spans="1:6" ht="23">
      <c r="A1748" s="5" t="s">
        <v>1955</v>
      </c>
      <c r="B1748" s="6">
        <v>7.5166666666666666</v>
      </c>
      <c r="C1748" s="6">
        <v>0.51774081890029855</v>
      </c>
      <c r="D1748" s="6"/>
      <c r="F1748" s="7"/>
    </row>
    <row r="1749" spans="1:6" ht="23">
      <c r="A1749" s="5" t="s">
        <v>886</v>
      </c>
      <c r="B1749" s="6">
        <v>6</v>
      </c>
      <c r="C1749" s="6">
        <v>0</v>
      </c>
      <c r="D1749" s="6"/>
      <c r="F1749" s="7"/>
    </row>
    <row r="1750" spans="1:6" ht="23">
      <c r="A1750" s="5" t="s">
        <v>351</v>
      </c>
      <c r="B1750" s="6">
        <v>6.56</v>
      </c>
      <c r="C1750" s="6">
        <v>1.2175385004179566</v>
      </c>
      <c r="D1750" s="6"/>
      <c r="F1750" s="7"/>
    </row>
    <row r="1751" spans="1:6" ht="23">
      <c r="A1751" s="5" t="s">
        <v>623</v>
      </c>
      <c r="B1751" s="6">
        <v>5.99</v>
      </c>
      <c r="C1751" s="6">
        <v>0.43692104549907124</v>
      </c>
      <c r="D1751" s="6"/>
      <c r="F1751" s="7"/>
    </row>
    <row r="1752" spans="1:6" ht="23">
      <c r="A1752" s="5" t="s">
        <v>1792</v>
      </c>
      <c r="B1752" s="6">
        <v>5.8</v>
      </c>
      <c r="C1752" s="6">
        <v>0</v>
      </c>
      <c r="D1752" s="6"/>
      <c r="F1752" s="7"/>
    </row>
    <row r="1753" spans="1:6" ht="23">
      <c r="A1753" s="5" t="s">
        <v>466</v>
      </c>
      <c r="B1753" s="6">
        <v>6.0166666666666657</v>
      </c>
      <c r="C1753" s="6">
        <v>0.55502752684490542</v>
      </c>
      <c r="D1753" s="6"/>
      <c r="F1753" s="7"/>
    </row>
    <row r="1754" spans="1:6" ht="23">
      <c r="A1754" s="5" t="s">
        <v>5878</v>
      </c>
      <c r="B1754" s="6">
        <v>7.1</v>
      </c>
      <c r="C1754" s="6">
        <v>0.30000000000000571</v>
      </c>
      <c r="D1754" s="6"/>
      <c r="F1754" s="7"/>
    </row>
    <row r="1755" spans="1:6" ht="23">
      <c r="A1755" s="5" t="s">
        <v>6931</v>
      </c>
      <c r="B1755" s="6">
        <v>4.5</v>
      </c>
      <c r="C1755" s="6">
        <v>0</v>
      </c>
      <c r="D1755" s="6"/>
      <c r="F1755" s="7"/>
    </row>
    <row r="1756" spans="1:6" ht="23">
      <c r="A1756" s="5" t="s">
        <v>4588</v>
      </c>
      <c r="B1756" s="6">
        <v>7.6</v>
      </c>
      <c r="C1756" s="6">
        <v>0</v>
      </c>
      <c r="D1756" s="6"/>
      <c r="F1756" s="7"/>
    </row>
    <row r="1757" spans="1:6" ht="23">
      <c r="A1757" s="5" t="s">
        <v>3024</v>
      </c>
      <c r="B1757" s="6">
        <v>7</v>
      </c>
      <c r="C1757" s="6">
        <v>0</v>
      </c>
      <c r="D1757" s="6"/>
      <c r="F1757" s="7"/>
    </row>
    <row r="1758" spans="1:6" ht="23">
      <c r="A1758" s="5" t="s">
        <v>1539</v>
      </c>
      <c r="B1758" s="6">
        <v>6.7500000000000009</v>
      </c>
      <c r="C1758" s="6">
        <v>0.51234753829796187</v>
      </c>
      <c r="D1758" s="6"/>
      <c r="F1758" s="7"/>
    </row>
    <row r="1759" spans="1:6" ht="23">
      <c r="A1759" s="5" t="s">
        <v>3559</v>
      </c>
      <c r="B1759" s="6">
        <v>3.3</v>
      </c>
      <c r="C1759" s="6">
        <v>0</v>
      </c>
      <c r="D1759" s="6"/>
      <c r="F1759" s="7"/>
    </row>
    <row r="1760" spans="1:6" ht="23">
      <c r="A1760" s="5" t="s">
        <v>5122</v>
      </c>
      <c r="B1760" s="6">
        <v>5.8</v>
      </c>
      <c r="C1760" s="6">
        <v>0</v>
      </c>
      <c r="D1760" s="6"/>
      <c r="F1760" s="7"/>
    </row>
    <row r="1761" spans="1:6" ht="23">
      <c r="A1761" s="5" t="s">
        <v>124</v>
      </c>
      <c r="B1761" s="6">
        <v>8.2333333333333343</v>
      </c>
      <c r="C1761" s="6">
        <v>9.4280904158163467E-2</v>
      </c>
      <c r="D1761" s="6"/>
      <c r="F1761" s="7"/>
    </row>
    <row r="1762" spans="1:6" ht="23">
      <c r="A1762" s="5" t="s">
        <v>6272</v>
      </c>
      <c r="B1762" s="6">
        <v>6.5</v>
      </c>
      <c r="C1762" s="6">
        <v>0</v>
      </c>
      <c r="D1762" s="6"/>
      <c r="F1762" s="7"/>
    </row>
    <row r="1763" spans="1:6" ht="23">
      <c r="A1763" s="5" t="s">
        <v>665</v>
      </c>
      <c r="B1763" s="6">
        <v>6.85</v>
      </c>
      <c r="C1763" s="6">
        <v>0.25000000000001421</v>
      </c>
      <c r="D1763" s="6"/>
      <c r="F1763" s="7"/>
    </row>
    <row r="1764" spans="1:6" ht="23">
      <c r="A1764" s="5" t="s">
        <v>3731</v>
      </c>
      <c r="B1764" s="6">
        <v>6.4</v>
      </c>
      <c r="C1764" s="6">
        <v>0</v>
      </c>
      <c r="D1764" s="6"/>
      <c r="F1764" s="7"/>
    </row>
    <row r="1765" spans="1:6" ht="23">
      <c r="A1765" s="5" t="s">
        <v>60</v>
      </c>
      <c r="B1765" s="6">
        <v>6.666666666666667</v>
      </c>
      <c r="C1765" s="6">
        <v>0.55577773335109948</v>
      </c>
      <c r="D1765" s="6"/>
      <c r="F1765" s="7"/>
    </row>
    <row r="1766" spans="1:6" ht="23">
      <c r="A1766" s="5" t="s">
        <v>1076</v>
      </c>
      <c r="B1766" s="6">
        <v>5.5</v>
      </c>
      <c r="C1766" s="6">
        <v>0</v>
      </c>
      <c r="D1766" s="6"/>
      <c r="F1766" s="7"/>
    </row>
    <row r="1767" spans="1:6" ht="23">
      <c r="A1767" s="5" t="s">
        <v>4181</v>
      </c>
      <c r="B1767" s="6">
        <v>7.1</v>
      </c>
      <c r="C1767" s="6">
        <v>0</v>
      </c>
      <c r="D1767" s="6"/>
      <c r="F1767" s="7"/>
    </row>
    <row r="1768" spans="1:6" ht="23">
      <c r="A1768" s="5" t="s">
        <v>3795</v>
      </c>
      <c r="B1768" s="6">
        <v>6.55</v>
      </c>
      <c r="C1768" s="6">
        <v>0.40926763859362736</v>
      </c>
      <c r="D1768" s="6"/>
      <c r="F1768" s="7"/>
    </row>
    <row r="1769" spans="1:6" ht="23">
      <c r="A1769" s="5" t="s">
        <v>451</v>
      </c>
      <c r="B1769" s="6">
        <v>5.78</v>
      </c>
      <c r="C1769" s="6">
        <v>1.2702755606560303</v>
      </c>
      <c r="D1769" s="6"/>
      <c r="F1769" s="7"/>
    </row>
    <row r="1770" spans="1:6" ht="23">
      <c r="A1770" s="5" t="s">
        <v>3869</v>
      </c>
      <c r="B1770" s="6">
        <v>6.2</v>
      </c>
      <c r="C1770" s="6">
        <v>0</v>
      </c>
      <c r="D1770" s="6"/>
      <c r="F1770" s="7"/>
    </row>
    <row r="1771" spans="1:6" ht="23">
      <c r="A1771" s="5" t="s">
        <v>5456</v>
      </c>
      <c r="B1771" s="6">
        <v>5.9</v>
      </c>
      <c r="C1771" s="6">
        <v>0</v>
      </c>
      <c r="D1771" s="6"/>
      <c r="F1771" s="7"/>
    </row>
    <row r="1772" spans="1:6" ht="23">
      <c r="A1772" s="5" t="s">
        <v>4665</v>
      </c>
      <c r="B1772" s="6">
        <v>6.5</v>
      </c>
      <c r="C1772" s="6">
        <v>0</v>
      </c>
      <c r="D1772" s="6"/>
      <c r="F1772" s="7"/>
    </row>
    <row r="1773" spans="1:6" ht="23">
      <c r="A1773" s="5" t="s">
        <v>3546</v>
      </c>
      <c r="B1773" s="6">
        <v>7.3</v>
      </c>
      <c r="C1773" s="6">
        <v>0</v>
      </c>
      <c r="D1773" s="6"/>
      <c r="F1773" s="7"/>
    </row>
    <row r="1774" spans="1:6" ht="23">
      <c r="A1774" s="5" t="s">
        <v>3573</v>
      </c>
      <c r="B1774" s="6">
        <v>6.6</v>
      </c>
      <c r="C1774" s="6">
        <v>0</v>
      </c>
      <c r="D1774" s="6"/>
      <c r="F1774" s="7"/>
    </row>
    <row r="1775" spans="1:6" ht="23">
      <c r="A1775" s="5" t="s">
        <v>5571</v>
      </c>
      <c r="B1775" s="6">
        <v>7.6</v>
      </c>
      <c r="C1775" s="6">
        <v>0</v>
      </c>
      <c r="D1775" s="6"/>
      <c r="F1775" s="7"/>
    </row>
    <row r="1776" spans="1:6" ht="23">
      <c r="A1776" s="5" t="s">
        <v>3157</v>
      </c>
      <c r="B1776" s="6">
        <v>4</v>
      </c>
      <c r="C1776" s="6">
        <v>0</v>
      </c>
      <c r="D1776" s="6"/>
      <c r="F1776" s="7"/>
    </row>
    <row r="1777" spans="1:6" ht="23">
      <c r="A1777" s="5" t="s">
        <v>1790</v>
      </c>
      <c r="B1777" s="6">
        <v>6.85</v>
      </c>
      <c r="C1777" s="6">
        <v>0.25000000000001421</v>
      </c>
      <c r="D1777" s="6"/>
      <c r="F1777" s="7"/>
    </row>
    <row r="1778" spans="1:6" ht="23">
      <c r="A1778" s="5" t="s">
        <v>1392</v>
      </c>
      <c r="B1778" s="6">
        <v>5.3</v>
      </c>
      <c r="C1778" s="6">
        <v>0.76811457478686074</v>
      </c>
      <c r="D1778" s="6"/>
      <c r="F1778" s="7"/>
    </row>
    <row r="1779" spans="1:6" ht="23">
      <c r="A1779" s="5" t="s">
        <v>1899</v>
      </c>
      <c r="B1779" s="6">
        <v>7.1</v>
      </c>
      <c r="C1779" s="6">
        <v>0</v>
      </c>
      <c r="D1779" s="6"/>
      <c r="F1779" s="7"/>
    </row>
    <row r="1780" spans="1:6" ht="23">
      <c r="A1780" s="5" t="s">
        <v>1609</v>
      </c>
      <c r="B1780" s="6">
        <v>6.2250000000000005</v>
      </c>
      <c r="C1780" s="6">
        <v>0.34186985827941319</v>
      </c>
      <c r="D1780" s="6"/>
      <c r="F1780" s="7"/>
    </row>
    <row r="1781" spans="1:6" ht="23">
      <c r="A1781" s="5" t="s">
        <v>489</v>
      </c>
      <c r="B1781" s="6">
        <v>5.4833333333333334</v>
      </c>
      <c r="C1781" s="6">
        <v>0.83549719063295769</v>
      </c>
      <c r="D1781" s="6"/>
      <c r="F1781" s="7"/>
    </row>
    <row r="1782" spans="1:6" ht="23">
      <c r="A1782" s="5" t="s">
        <v>46</v>
      </c>
      <c r="B1782" s="6">
        <v>7.8888888888888893</v>
      </c>
      <c r="C1782" s="6">
        <v>0.72945100276310759</v>
      </c>
      <c r="D1782" s="6"/>
      <c r="F1782" s="7"/>
    </row>
    <row r="1783" spans="1:6" ht="23">
      <c r="A1783" s="5" t="s">
        <v>3804</v>
      </c>
      <c r="B1783" s="6">
        <v>6.5</v>
      </c>
      <c r="C1783" s="6">
        <v>0</v>
      </c>
      <c r="D1783" s="6"/>
      <c r="F1783" s="7"/>
    </row>
    <row r="1784" spans="1:6" ht="23">
      <c r="A1784" s="5" t="s">
        <v>3578</v>
      </c>
      <c r="B1784" s="6">
        <v>7.2</v>
      </c>
      <c r="C1784" s="6">
        <v>0</v>
      </c>
      <c r="D1784" s="6"/>
      <c r="F1784" s="7"/>
    </row>
    <row r="1785" spans="1:6" ht="23">
      <c r="A1785" s="5" t="s">
        <v>2093</v>
      </c>
      <c r="B1785" s="6">
        <v>7.1</v>
      </c>
      <c r="C1785" s="6">
        <v>0</v>
      </c>
      <c r="D1785" s="6"/>
      <c r="F1785" s="7"/>
    </row>
    <row r="1786" spans="1:6" ht="23">
      <c r="A1786" s="5" t="s">
        <v>2306</v>
      </c>
      <c r="B1786" s="6">
        <v>5.8</v>
      </c>
      <c r="C1786" s="6">
        <v>0</v>
      </c>
      <c r="D1786" s="6"/>
      <c r="F1786" s="7"/>
    </row>
    <row r="1787" spans="1:6" ht="23">
      <c r="A1787" s="5" t="s">
        <v>1284</v>
      </c>
      <c r="B1787" s="6">
        <v>6.85</v>
      </c>
      <c r="C1787" s="6">
        <v>0.15000000000002653</v>
      </c>
      <c r="D1787" s="6"/>
      <c r="F1787" s="7"/>
    </row>
    <row r="1788" spans="1:6" ht="23">
      <c r="A1788" s="5" t="s">
        <v>5761</v>
      </c>
      <c r="B1788" s="6">
        <v>4.4000000000000004</v>
      </c>
      <c r="C1788" s="6">
        <v>0</v>
      </c>
      <c r="D1788" s="6"/>
      <c r="F1788" s="7"/>
    </row>
    <row r="1789" spans="1:6" ht="23">
      <c r="A1789" s="5" t="s">
        <v>1211</v>
      </c>
      <c r="B1789" s="6">
        <v>5.7</v>
      </c>
      <c r="C1789" s="6">
        <v>0</v>
      </c>
      <c r="D1789" s="6"/>
      <c r="F1789" s="7"/>
    </row>
    <row r="1790" spans="1:6" ht="23">
      <c r="A1790" s="5" t="s">
        <v>4464</v>
      </c>
      <c r="B1790" s="6">
        <v>6.6</v>
      </c>
      <c r="C1790" s="6">
        <v>0</v>
      </c>
      <c r="D1790" s="6"/>
      <c r="F1790" s="7"/>
    </row>
    <row r="1791" spans="1:6" ht="23">
      <c r="A1791" s="5" t="s">
        <v>4745</v>
      </c>
      <c r="B1791" s="6">
        <v>6.8</v>
      </c>
      <c r="C1791" s="6">
        <v>0</v>
      </c>
      <c r="D1791" s="6"/>
      <c r="F1791" s="7"/>
    </row>
    <row r="1792" spans="1:6" ht="23">
      <c r="A1792" s="5" t="s">
        <v>271</v>
      </c>
      <c r="B1792" s="6">
        <v>7.3</v>
      </c>
      <c r="C1792" s="6">
        <v>0</v>
      </c>
      <c r="D1792" s="6"/>
      <c r="F1792" s="7"/>
    </row>
    <row r="1793" spans="1:6" ht="23">
      <c r="A1793" s="5" t="s">
        <v>662</v>
      </c>
      <c r="B1793" s="6">
        <v>6.1857142857142851</v>
      </c>
      <c r="C1793" s="6">
        <v>0.78089430678380145</v>
      </c>
      <c r="D1793" s="6"/>
      <c r="F1793" s="7"/>
    </row>
    <row r="1794" spans="1:6" ht="23">
      <c r="A1794" s="5" t="s">
        <v>105</v>
      </c>
      <c r="B1794" s="6">
        <v>6.8</v>
      </c>
      <c r="C1794" s="6">
        <v>0</v>
      </c>
      <c r="D1794" s="6"/>
      <c r="F1794" s="7"/>
    </row>
    <row r="1795" spans="1:6" ht="23">
      <c r="A1795" s="5" t="s">
        <v>4358</v>
      </c>
      <c r="B1795" s="6">
        <v>6.8</v>
      </c>
      <c r="C1795" s="6">
        <v>0.29439202887761123</v>
      </c>
      <c r="D1795" s="6"/>
      <c r="F1795" s="7"/>
    </row>
    <row r="1796" spans="1:6" ht="23">
      <c r="A1796" s="5" t="s">
        <v>5602</v>
      </c>
      <c r="B1796" s="6">
        <v>6.8</v>
      </c>
      <c r="C1796" s="6">
        <v>0</v>
      </c>
      <c r="D1796" s="6"/>
      <c r="F1796" s="7"/>
    </row>
    <row r="1797" spans="1:6" ht="23">
      <c r="A1797" s="5" t="s">
        <v>1462</v>
      </c>
      <c r="B1797" s="6">
        <v>6.6</v>
      </c>
      <c r="C1797" s="6">
        <v>0.40000000000000463</v>
      </c>
      <c r="D1797" s="6"/>
      <c r="F1797" s="7"/>
    </row>
    <row r="1798" spans="1:6" ht="23">
      <c r="A1798" s="5" t="s">
        <v>297</v>
      </c>
      <c r="B1798" s="6">
        <v>7.7249999999999996</v>
      </c>
      <c r="C1798" s="6">
        <v>0.32691742076555397</v>
      </c>
      <c r="D1798" s="6"/>
      <c r="F1798" s="7"/>
    </row>
    <row r="1799" spans="1:6" ht="23">
      <c r="A1799" s="5" t="s">
        <v>2112</v>
      </c>
      <c r="B1799" s="6">
        <v>6</v>
      </c>
      <c r="C1799" s="6">
        <v>0</v>
      </c>
      <c r="D1799" s="6"/>
      <c r="F1799" s="7"/>
    </row>
    <row r="1800" spans="1:6" ht="23">
      <c r="A1800" s="5" t="s">
        <v>5989</v>
      </c>
      <c r="B1800" s="6">
        <v>7.6</v>
      </c>
      <c r="C1800" s="6">
        <v>0</v>
      </c>
      <c r="D1800" s="6"/>
      <c r="F1800" s="7"/>
    </row>
    <row r="1801" spans="1:6" ht="23">
      <c r="A1801" s="5" t="s">
        <v>315</v>
      </c>
      <c r="B1801" s="6">
        <v>6.4749999999999996</v>
      </c>
      <c r="C1801" s="6">
        <v>0.66096520332011466</v>
      </c>
      <c r="D1801" s="6"/>
      <c r="F1801" s="7"/>
    </row>
    <row r="1802" spans="1:6" ht="23">
      <c r="A1802" s="5" t="s">
        <v>945</v>
      </c>
      <c r="B1802" s="6">
        <v>6.4</v>
      </c>
      <c r="C1802" s="6">
        <v>0</v>
      </c>
      <c r="D1802" s="6"/>
      <c r="F1802" s="7"/>
    </row>
    <row r="1803" spans="1:6" ht="23">
      <c r="A1803" s="5" t="s">
        <v>6099</v>
      </c>
      <c r="B1803" s="6">
        <v>5.2</v>
      </c>
      <c r="C1803" s="6">
        <v>0</v>
      </c>
      <c r="D1803" s="6"/>
      <c r="F1803" s="7"/>
    </row>
    <row r="1804" spans="1:6" ht="23">
      <c r="A1804" s="5" t="s">
        <v>2355</v>
      </c>
      <c r="B1804" s="6">
        <v>5.8000000000000007</v>
      </c>
      <c r="C1804" s="6">
        <v>1.1000000000000003</v>
      </c>
      <c r="D1804" s="6"/>
      <c r="F1804" s="7"/>
    </row>
    <row r="1805" spans="1:6" ht="23">
      <c r="A1805" s="5" t="s">
        <v>565</v>
      </c>
      <c r="B1805" s="6">
        <v>7.2749999999999995</v>
      </c>
      <c r="C1805" s="6">
        <v>0.31124748994973656</v>
      </c>
      <c r="D1805" s="6"/>
      <c r="F1805" s="7"/>
    </row>
    <row r="1806" spans="1:6" ht="23">
      <c r="A1806" s="5" t="s">
        <v>6128</v>
      </c>
      <c r="B1806" s="6">
        <v>5.6</v>
      </c>
      <c r="C1806" s="6">
        <v>0</v>
      </c>
      <c r="D1806" s="6"/>
      <c r="F1806" s="7"/>
    </row>
    <row r="1807" spans="1:6" ht="23">
      <c r="A1807" s="5" t="s">
        <v>3711</v>
      </c>
      <c r="B1807" s="6">
        <v>4.8</v>
      </c>
      <c r="C1807" s="6">
        <v>0</v>
      </c>
      <c r="D1807" s="6"/>
      <c r="F1807" s="7"/>
    </row>
    <row r="1808" spans="1:6" ht="23">
      <c r="A1808" s="5" t="s">
        <v>2745</v>
      </c>
      <c r="B1808" s="6">
        <v>6.3</v>
      </c>
      <c r="C1808" s="6">
        <v>0</v>
      </c>
      <c r="D1808" s="6"/>
      <c r="F1808" s="7"/>
    </row>
    <row r="1809" spans="1:6" ht="23">
      <c r="A1809" s="5" t="s">
        <v>2562</v>
      </c>
      <c r="B1809" s="6">
        <v>7.65</v>
      </c>
      <c r="C1809" s="6">
        <v>0.25</v>
      </c>
      <c r="D1809" s="6"/>
      <c r="F1809" s="7"/>
    </row>
    <row r="1810" spans="1:6" ht="23">
      <c r="A1810" s="5" t="s">
        <v>4275</v>
      </c>
      <c r="B1810" s="6">
        <v>7.7</v>
      </c>
      <c r="C1810" s="6">
        <v>0</v>
      </c>
      <c r="D1810" s="6"/>
      <c r="F1810" s="7"/>
    </row>
    <row r="1811" spans="1:6" ht="23">
      <c r="A1811" s="5" t="s">
        <v>5813</v>
      </c>
      <c r="B1811" s="6">
        <v>3.3</v>
      </c>
      <c r="C1811" s="6">
        <v>0</v>
      </c>
      <c r="D1811" s="6"/>
      <c r="F1811" s="7"/>
    </row>
    <row r="1812" spans="1:6" ht="23">
      <c r="A1812" s="5" t="s">
        <v>323</v>
      </c>
      <c r="B1812" s="6">
        <v>6.7666666666666675</v>
      </c>
      <c r="C1812" s="6">
        <v>0.36817870057290136</v>
      </c>
      <c r="D1812" s="6"/>
      <c r="F1812" s="7"/>
    </row>
    <row r="1813" spans="1:6" ht="23">
      <c r="A1813" s="5" t="s">
        <v>1335</v>
      </c>
      <c r="B1813" s="6">
        <v>6.35</v>
      </c>
      <c r="C1813" s="6">
        <v>5.0000000000048318E-2</v>
      </c>
      <c r="D1813" s="6"/>
      <c r="F1813" s="7"/>
    </row>
    <row r="1814" spans="1:6" ht="23">
      <c r="A1814" s="5" t="s">
        <v>798</v>
      </c>
      <c r="B1814" s="6">
        <v>7.6</v>
      </c>
      <c r="C1814" s="6">
        <v>0.10000000000002558</v>
      </c>
      <c r="D1814" s="6"/>
      <c r="F1814" s="7"/>
    </row>
    <row r="1815" spans="1:6" ht="23">
      <c r="A1815" s="5" t="s">
        <v>1347</v>
      </c>
      <c r="B1815" s="6">
        <v>6.8500000000000005</v>
      </c>
      <c r="C1815" s="6">
        <v>0.78262379212492461</v>
      </c>
      <c r="D1815" s="6"/>
      <c r="F1815" s="7"/>
    </row>
    <row r="1816" spans="1:6" ht="23">
      <c r="A1816" s="5" t="s">
        <v>498</v>
      </c>
      <c r="B1816" s="6">
        <v>3.3</v>
      </c>
      <c r="C1816" s="6">
        <v>0</v>
      </c>
      <c r="D1816" s="6"/>
      <c r="F1816" s="7"/>
    </row>
    <row r="1817" spans="1:6" ht="23">
      <c r="A1817" s="5" t="s">
        <v>6951</v>
      </c>
      <c r="B1817" s="6">
        <v>6.7</v>
      </c>
      <c r="C1817" s="6">
        <v>0</v>
      </c>
      <c r="D1817" s="6"/>
      <c r="F1817" s="7"/>
    </row>
    <row r="1818" spans="1:6" ht="23">
      <c r="A1818" s="5" t="s">
        <v>1198</v>
      </c>
      <c r="B1818" s="6">
        <v>6</v>
      </c>
      <c r="C1818" s="6">
        <v>0</v>
      </c>
      <c r="D1818" s="6"/>
      <c r="F1818" s="7"/>
    </row>
    <row r="1819" spans="1:6" ht="23">
      <c r="A1819" s="5" t="s">
        <v>5142</v>
      </c>
      <c r="B1819" s="6">
        <v>7.1</v>
      </c>
      <c r="C1819" s="6">
        <v>0</v>
      </c>
      <c r="D1819" s="6"/>
      <c r="F1819" s="7"/>
    </row>
    <row r="1820" spans="1:6" ht="23">
      <c r="A1820" s="5" t="s">
        <v>3981</v>
      </c>
      <c r="B1820" s="6">
        <v>4.0999999999999996</v>
      </c>
      <c r="C1820" s="6">
        <v>1.9999999999999991</v>
      </c>
      <c r="D1820" s="6"/>
      <c r="F1820" s="7"/>
    </row>
    <row r="1821" spans="1:6" ht="23">
      <c r="A1821" s="5" t="s">
        <v>6266</v>
      </c>
      <c r="B1821" s="6">
        <v>6.7</v>
      </c>
      <c r="C1821" s="6">
        <v>0</v>
      </c>
      <c r="D1821" s="6"/>
      <c r="F1821" s="7"/>
    </row>
    <row r="1822" spans="1:6" ht="23">
      <c r="A1822" s="5" t="s">
        <v>6786</v>
      </c>
      <c r="B1822" s="6">
        <v>5.8</v>
      </c>
      <c r="C1822" s="6">
        <v>0</v>
      </c>
      <c r="D1822" s="6"/>
      <c r="F1822" s="7"/>
    </row>
    <row r="1823" spans="1:6" ht="23">
      <c r="A1823" s="5" t="s">
        <v>472</v>
      </c>
      <c r="B1823" s="6">
        <v>8.2000000000000011</v>
      </c>
      <c r="C1823" s="6">
        <v>0.39686269665966928</v>
      </c>
      <c r="D1823" s="6"/>
      <c r="F1823" s="7"/>
    </row>
    <row r="1824" spans="1:6" ht="23">
      <c r="A1824" s="5" t="s">
        <v>5466</v>
      </c>
      <c r="B1824" s="6">
        <v>7.2</v>
      </c>
      <c r="C1824" s="6">
        <v>0</v>
      </c>
      <c r="D1824" s="6"/>
      <c r="F1824" s="7"/>
    </row>
    <row r="1825" spans="1:6" ht="23">
      <c r="A1825" s="5" t="s">
        <v>4239</v>
      </c>
      <c r="B1825" s="6">
        <v>6.8</v>
      </c>
      <c r="C1825" s="6">
        <v>0</v>
      </c>
      <c r="D1825" s="6"/>
      <c r="F1825" s="7"/>
    </row>
    <row r="1826" spans="1:6" ht="23">
      <c r="A1826" s="5" t="s">
        <v>6976</v>
      </c>
      <c r="B1826" s="6">
        <v>2.5</v>
      </c>
      <c r="C1826" s="6">
        <v>0</v>
      </c>
      <c r="D1826" s="6"/>
      <c r="F1826" s="7"/>
    </row>
    <row r="1827" spans="1:6" ht="23">
      <c r="A1827" s="5" t="s">
        <v>4992</v>
      </c>
      <c r="B1827" s="6">
        <v>6.3</v>
      </c>
      <c r="C1827" s="6">
        <v>0</v>
      </c>
      <c r="D1827" s="6"/>
      <c r="F1827" s="7"/>
    </row>
    <row r="1828" spans="1:6" ht="23">
      <c r="A1828" s="5" t="s">
        <v>2808</v>
      </c>
      <c r="B1828" s="6">
        <v>5.0500000000000007</v>
      </c>
      <c r="C1828" s="6">
        <v>0.149999999999991</v>
      </c>
      <c r="D1828" s="6"/>
      <c r="F1828" s="7"/>
    </row>
    <row r="1829" spans="1:6" ht="23">
      <c r="A1829" s="5" t="s">
        <v>4526</v>
      </c>
      <c r="B1829" s="6">
        <v>6.2</v>
      </c>
      <c r="C1829" s="6">
        <v>0</v>
      </c>
      <c r="D1829" s="6"/>
      <c r="F1829" s="7"/>
    </row>
    <row r="1830" spans="1:6" ht="23">
      <c r="A1830" s="5" t="s">
        <v>425</v>
      </c>
      <c r="B1830" s="6">
        <v>4.9166666666666661</v>
      </c>
      <c r="C1830" s="6">
        <v>0.58996233401426668</v>
      </c>
      <c r="D1830" s="6"/>
      <c r="F1830" s="7"/>
    </row>
    <row r="1831" spans="1:6" ht="23">
      <c r="A1831" s="5" t="s">
        <v>5458</v>
      </c>
      <c r="B1831" s="6">
        <v>8.5</v>
      </c>
      <c r="C1831" s="6">
        <v>0</v>
      </c>
      <c r="D1831" s="6"/>
      <c r="F1831" s="7"/>
    </row>
    <row r="1832" spans="1:6" ht="23">
      <c r="A1832" s="5" t="s">
        <v>5862</v>
      </c>
      <c r="B1832" s="6">
        <v>8.1999999999999993</v>
      </c>
      <c r="C1832" s="6">
        <v>0</v>
      </c>
      <c r="D1832" s="6"/>
      <c r="F1832" s="7"/>
    </row>
    <row r="1833" spans="1:6" ht="23">
      <c r="A1833" s="5" t="s">
        <v>4487</v>
      </c>
      <c r="B1833" s="6">
        <v>6.3</v>
      </c>
      <c r="C1833" s="6">
        <v>0</v>
      </c>
      <c r="D1833" s="6"/>
      <c r="F1833" s="7"/>
    </row>
    <row r="1834" spans="1:6" ht="23">
      <c r="A1834" s="5" t="s">
        <v>5179</v>
      </c>
      <c r="B1834" s="6">
        <v>8.4</v>
      </c>
      <c r="C1834" s="6">
        <v>0</v>
      </c>
      <c r="D1834" s="6"/>
      <c r="F1834" s="7"/>
    </row>
    <row r="1835" spans="1:6" ht="23">
      <c r="A1835" s="5" t="s">
        <v>4511</v>
      </c>
      <c r="B1835" s="6">
        <v>6.2</v>
      </c>
      <c r="C1835" s="6">
        <v>0</v>
      </c>
      <c r="D1835" s="6"/>
      <c r="F1835" s="7"/>
    </row>
    <row r="1836" spans="1:6" ht="23">
      <c r="A1836" s="5" t="s">
        <v>6594</v>
      </c>
      <c r="B1836" s="6">
        <v>7.1</v>
      </c>
      <c r="C1836" s="6">
        <v>0</v>
      </c>
      <c r="D1836" s="6"/>
      <c r="F1836" s="7"/>
    </row>
    <row r="1837" spans="1:6" ht="23">
      <c r="A1837" s="5" t="s">
        <v>6101</v>
      </c>
      <c r="B1837" s="6">
        <v>7.8</v>
      </c>
      <c r="C1837" s="6">
        <v>0</v>
      </c>
      <c r="D1837" s="6"/>
      <c r="F1837" s="7"/>
    </row>
    <row r="1838" spans="1:6" ht="23">
      <c r="A1838" s="5" t="s">
        <v>6618</v>
      </c>
      <c r="B1838" s="6">
        <v>6.4</v>
      </c>
      <c r="C1838" s="6">
        <v>0</v>
      </c>
      <c r="D1838" s="6"/>
      <c r="F1838" s="7"/>
    </row>
    <row r="1839" spans="1:6" ht="23">
      <c r="A1839" s="5" t="s">
        <v>2160</v>
      </c>
      <c r="B1839" s="6">
        <v>5.3</v>
      </c>
      <c r="C1839" s="6">
        <v>0</v>
      </c>
      <c r="D1839" s="6"/>
      <c r="F1839" s="7"/>
    </row>
    <row r="1840" spans="1:6" ht="23">
      <c r="A1840" s="5" t="s">
        <v>3891</v>
      </c>
      <c r="B1840" s="6">
        <v>6.5333333333333341</v>
      </c>
      <c r="C1840" s="6">
        <v>0.62360956446231341</v>
      </c>
      <c r="D1840" s="6"/>
      <c r="F1840" s="7"/>
    </row>
    <row r="1841" spans="1:6" ht="23">
      <c r="A1841" s="5" t="s">
        <v>5313</v>
      </c>
      <c r="B1841" s="6">
        <v>6.9499999999999993</v>
      </c>
      <c r="C1841" s="6">
        <v>0.15000000000002653</v>
      </c>
      <c r="D1841" s="6"/>
      <c r="F1841" s="7"/>
    </row>
    <row r="1842" spans="1:6" ht="23">
      <c r="A1842" s="5" t="s">
        <v>6560</v>
      </c>
      <c r="B1842" s="6">
        <v>6.2</v>
      </c>
      <c r="C1842" s="6">
        <v>0</v>
      </c>
      <c r="D1842" s="6"/>
      <c r="F1842" s="7"/>
    </row>
    <row r="1843" spans="1:6" ht="23">
      <c r="A1843" s="5" t="s">
        <v>899</v>
      </c>
      <c r="B1843" s="6">
        <v>6.625</v>
      </c>
      <c r="C1843" s="6">
        <v>0.56734028589551588</v>
      </c>
      <c r="D1843" s="6"/>
      <c r="F1843" s="7"/>
    </row>
    <row r="1844" spans="1:6" ht="23">
      <c r="A1844" s="5" t="s">
        <v>6695</v>
      </c>
      <c r="B1844" s="6">
        <v>5.2</v>
      </c>
      <c r="C1844" s="6">
        <v>0</v>
      </c>
      <c r="D1844" s="6"/>
      <c r="F1844" s="7"/>
    </row>
    <row r="1845" spans="1:6" ht="23">
      <c r="A1845" s="5" t="s">
        <v>7047</v>
      </c>
      <c r="B1845" s="6">
        <v>6.3</v>
      </c>
      <c r="C1845" s="6">
        <v>0</v>
      </c>
      <c r="D1845" s="6"/>
      <c r="F1845" s="7"/>
    </row>
    <row r="1846" spans="1:6" ht="23">
      <c r="A1846" s="5" t="s">
        <v>1375</v>
      </c>
      <c r="B1846" s="6">
        <v>6.7666666666666666</v>
      </c>
      <c r="C1846" s="6">
        <v>0.16996731711973795</v>
      </c>
      <c r="D1846" s="6"/>
      <c r="F1846" s="7"/>
    </row>
    <row r="1847" spans="1:6" ht="23">
      <c r="A1847" s="5" t="s">
        <v>6860</v>
      </c>
      <c r="B1847" s="6">
        <v>5.0999999999999996</v>
      </c>
      <c r="C1847" s="6">
        <v>0</v>
      </c>
      <c r="D1847" s="6"/>
      <c r="F1847" s="7"/>
    </row>
    <row r="1848" spans="1:6" ht="23">
      <c r="A1848" s="5" t="s">
        <v>4298</v>
      </c>
      <c r="B1848" s="6">
        <v>6.4</v>
      </c>
      <c r="C1848" s="6">
        <v>0</v>
      </c>
      <c r="D1848" s="6"/>
      <c r="F1848" s="7"/>
    </row>
    <row r="1849" spans="1:6" ht="23">
      <c r="A1849" s="5" t="s">
        <v>5075</v>
      </c>
      <c r="B1849" s="6">
        <v>7.4</v>
      </c>
      <c r="C1849" s="6">
        <v>0</v>
      </c>
      <c r="D1849" s="6"/>
      <c r="F1849" s="7"/>
    </row>
    <row r="1850" spans="1:6" ht="23">
      <c r="A1850" s="5" t="s">
        <v>6253</v>
      </c>
      <c r="B1850" s="6">
        <v>6.7</v>
      </c>
      <c r="C1850" s="6">
        <v>0</v>
      </c>
      <c r="D1850" s="6"/>
      <c r="F1850" s="7"/>
    </row>
    <row r="1851" spans="1:6" ht="23">
      <c r="A1851" s="5" t="s">
        <v>5931</v>
      </c>
      <c r="B1851" s="6">
        <v>7.1</v>
      </c>
      <c r="C1851" s="6">
        <v>0</v>
      </c>
      <c r="D1851" s="6"/>
      <c r="F1851" s="7"/>
    </row>
    <row r="1852" spans="1:6" ht="23">
      <c r="A1852" s="5" t="s">
        <v>6416</v>
      </c>
      <c r="B1852" s="6">
        <v>6.9</v>
      </c>
      <c r="C1852" s="6">
        <v>0</v>
      </c>
      <c r="D1852" s="6"/>
      <c r="F1852" s="7"/>
    </row>
    <row r="1853" spans="1:6" ht="23">
      <c r="A1853" s="5" t="s">
        <v>1679</v>
      </c>
      <c r="B1853" s="6">
        <v>5.2666666666666666</v>
      </c>
      <c r="C1853" s="6">
        <v>0.1247219128924713</v>
      </c>
      <c r="D1853" s="6"/>
      <c r="F1853" s="7"/>
    </row>
    <row r="1854" spans="1:6" ht="23">
      <c r="A1854" s="5" t="s">
        <v>2451</v>
      </c>
      <c r="B1854" s="6">
        <v>4.9000000000000004</v>
      </c>
      <c r="C1854" s="6">
        <v>0</v>
      </c>
      <c r="D1854" s="6"/>
      <c r="F1854" s="7"/>
    </row>
    <row r="1855" spans="1:6" ht="23">
      <c r="A1855" s="5" t="s">
        <v>6154</v>
      </c>
      <c r="B1855" s="6">
        <v>6.4</v>
      </c>
      <c r="C1855" s="6">
        <v>0</v>
      </c>
      <c r="D1855" s="6"/>
      <c r="F1855" s="7"/>
    </row>
    <row r="1856" spans="1:6" ht="23">
      <c r="A1856" s="5" t="s">
        <v>5441</v>
      </c>
      <c r="B1856" s="6">
        <v>6.4</v>
      </c>
      <c r="C1856" s="6">
        <v>0</v>
      </c>
      <c r="D1856" s="6"/>
      <c r="F1856" s="7"/>
    </row>
    <row r="1857" spans="1:6" ht="23">
      <c r="A1857" s="5" t="s">
        <v>557</v>
      </c>
      <c r="B1857" s="6">
        <v>5.7466666666666661</v>
      </c>
      <c r="C1857" s="6">
        <v>0.75530714870766014</v>
      </c>
      <c r="D1857" s="6"/>
      <c r="F1857" s="7"/>
    </row>
    <row r="1858" spans="1:6" ht="23">
      <c r="A1858" s="5" t="s">
        <v>2289</v>
      </c>
      <c r="B1858" s="6">
        <v>7.15</v>
      </c>
      <c r="C1858" s="6">
        <v>0.25</v>
      </c>
      <c r="D1858" s="6"/>
      <c r="F1858" s="7"/>
    </row>
    <row r="1859" spans="1:6" ht="23">
      <c r="A1859" s="5" t="s">
        <v>3671</v>
      </c>
      <c r="B1859" s="6">
        <v>6.5</v>
      </c>
      <c r="C1859" s="6">
        <v>0</v>
      </c>
      <c r="D1859" s="6"/>
      <c r="F1859" s="7"/>
    </row>
    <row r="1860" spans="1:6" ht="23">
      <c r="A1860" s="5" t="s">
        <v>6631</v>
      </c>
      <c r="B1860" s="6">
        <v>5.6</v>
      </c>
      <c r="C1860" s="6">
        <v>0</v>
      </c>
      <c r="D1860" s="6"/>
      <c r="F1860" s="7"/>
    </row>
    <row r="1861" spans="1:6" ht="23">
      <c r="A1861" s="5" t="s">
        <v>6334</v>
      </c>
      <c r="B1861" s="6">
        <v>6.5</v>
      </c>
      <c r="C1861" s="6">
        <v>0</v>
      </c>
      <c r="D1861" s="6"/>
      <c r="F1861" s="7"/>
    </row>
    <row r="1862" spans="1:6" ht="23">
      <c r="A1862" s="5" t="s">
        <v>166</v>
      </c>
      <c r="B1862" s="6">
        <v>7.8</v>
      </c>
      <c r="C1862" s="6">
        <v>0</v>
      </c>
      <c r="D1862" s="6"/>
      <c r="F1862" s="7"/>
    </row>
    <row r="1863" spans="1:6" ht="23">
      <c r="A1863" s="5" t="s">
        <v>2476</v>
      </c>
      <c r="B1863" s="6">
        <v>7.6</v>
      </c>
      <c r="C1863" s="6">
        <v>0.29154759474226649</v>
      </c>
      <c r="D1863" s="6"/>
      <c r="F1863" s="7"/>
    </row>
    <row r="1864" spans="1:6" ht="23">
      <c r="A1864" s="5" t="s">
        <v>6148</v>
      </c>
      <c r="B1864" s="6">
        <v>7.3</v>
      </c>
      <c r="C1864" s="6">
        <v>0</v>
      </c>
      <c r="D1864" s="6"/>
      <c r="F1864" s="7"/>
    </row>
    <row r="1865" spans="1:6" ht="23">
      <c r="A1865" s="5" t="s">
        <v>2794</v>
      </c>
      <c r="B1865" s="6">
        <v>4.7333333333333334</v>
      </c>
      <c r="C1865" s="6">
        <v>1.4267289706021817</v>
      </c>
      <c r="D1865" s="6"/>
      <c r="F1865" s="7"/>
    </row>
    <row r="1866" spans="1:6" ht="23">
      <c r="A1866" s="5" t="s">
        <v>6198</v>
      </c>
      <c r="B1866" s="6">
        <v>4.7</v>
      </c>
      <c r="C1866" s="6">
        <v>0</v>
      </c>
      <c r="D1866" s="6"/>
      <c r="F1866" s="7"/>
    </row>
    <row r="1867" spans="1:6" ht="23">
      <c r="A1867" s="5" t="s">
        <v>5620</v>
      </c>
      <c r="B1867" s="6">
        <v>7.8</v>
      </c>
      <c r="C1867" s="6">
        <v>0.35355339059328383</v>
      </c>
      <c r="D1867" s="6"/>
      <c r="F1867" s="7"/>
    </row>
    <row r="1868" spans="1:6" ht="23">
      <c r="A1868" s="5" t="s">
        <v>1511</v>
      </c>
      <c r="B1868" s="6">
        <v>7.6333333333333337</v>
      </c>
      <c r="C1868" s="6">
        <v>0.16996731711975652</v>
      </c>
      <c r="D1868" s="6"/>
      <c r="F1868" s="7"/>
    </row>
    <row r="1869" spans="1:6" ht="23">
      <c r="A1869" s="5" t="s">
        <v>285</v>
      </c>
      <c r="B1869" s="6">
        <v>6.754545454545454</v>
      </c>
      <c r="C1869" s="6">
        <v>0.49975200461398556</v>
      </c>
      <c r="D1869" s="6"/>
      <c r="F1869" s="7"/>
    </row>
    <row r="1870" spans="1:6" ht="23">
      <c r="A1870" s="5" t="s">
        <v>6492</v>
      </c>
      <c r="B1870" s="6">
        <v>7.2</v>
      </c>
      <c r="C1870" s="6">
        <v>0</v>
      </c>
      <c r="D1870" s="6"/>
      <c r="F1870" s="7"/>
    </row>
    <row r="1871" spans="1:6" ht="23">
      <c r="A1871" s="5" t="s">
        <v>4961</v>
      </c>
      <c r="B1871" s="6">
        <v>6.9</v>
      </c>
      <c r="C1871" s="6">
        <v>0</v>
      </c>
      <c r="D1871" s="6"/>
      <c r="F1871" s="7"/>
    </row>
    <row r="1872" spans="1:6" ht="23">
      <c r="A1872" s="5" t="s">
        <v>2546</v>
      </c>
      <c r="B1872" s="6">
        <v>7.25</v>
      </c>
      <c r="C1872" s="6">
        <v>0.15000000000000285</v>
      </c>
      <c r="D1872" s="6"/>
      <c r="F1872" s="7"/>
    </row>
    <row r="1873" spans="1:6" ht="23">
      <c r="A1873" s="5" t="s">
        <v>2718</v>
      </c>
      <c r="B1873" s="6">
        <v>6.375</v>
      </c>
      <c r="C1873" s="6">
        <v>1.0207227831296823</v>
      </c>
      <c r="D1873" s="6"/>
      <c r="F1873" s="7"/>
    </row>
    <row r="1874" spans="1:6" ht="23">
      <c r="A1874" s="5" t="s">
        <v>5250</v>
      </c>
      <c r="B1874" s="6">
        <v>7.3</v>
      </c>
      <c r="C1874" s="6">
        <v>0.19999999999999787</v>
      </c>
      <c r="D1874" s="6"/>
      <c r="F1874" s="7"/>
    </row>
    <row r="1875" spans="1:6" ht="23">
      <c r="A1875" s="5" t="s">
        <v>2424</v>
      </c>
      <c r="B1875" s="6">
        <v>7.3</v>
      </c>
      <c r="C1875" s="6">
        <v>0</v>
      </c>
      <c r="D1875" s="6"/>
      <c r="F1875" s="7"/>
    </row>
    <row r="1876" spans="1:6" ht="23">
      <c r="A1876" s="5" t="s">
        <v>2760</v>
      </c>
      <c r="B1876" s="6">
        <v>6.3999999999999995</v>
      </c>
      <c r="C1876" s="6">
        <v>1.2027745701779136</v>
      </c>
      <c r="D1876" s="6"/>
      <c r="F1876" s="7"/>
    </row>
    <row r="1877" spans="1:6" ht="23">
      <c r="A1877" s="5" t="s">
        <v>4493</v>
      </c>
      <c r="B1877" s="6">
        <v>7.15</v>
      </c>
      <c r="C1877" s="6">
        <v>4.9999999999977264E-2</v>
      </c>
      <c r="D1877" s="6"/>
      <c r="F1877" s="7"/>
    </row>
    <row r="1878" spans="1:6" ht="23">
      <c r="A1878" s="5" t="s">
        <v>1497</v>
      </c>
      <c r="B1878" s="6">
        <v>6.6599999999999993</v>
      </c>
      <c r="C1878" s="6">
        <v>0.58172158288996079</v>
      </c>
      <c r="D1878" s="6"/>
      <c r="F1878" s="7"/>
    </row>
    <row r="1879" spans="1:6" ht="23">
      <c r="A1879" s="5" t="s">
        <v>1315</v>
      </c>
      <c r="B1879" s="6">
        <v>6.6</v>
      </c>
      <c r="C1879" s="6">
        <v>0.92736184954957035</v>
      </c>
      <c r="D1879" s="6"/>
      <c r="F1879" s="7"/>
    </row>
    <row r="1880" spans="1:6" ht="23">
      <c r="A1880" s="5" t="s">
        <v>2571</v>
      </c>
      <c r="B1880" s="6">
        <v>7.3272727272727272</v>
      </c>
      <c r="C1880" s="6">
        <v>0.63545389517459627</v>
      </c>
      <c r="D1880" s="6"/>
      <c r="F1880" s="7"/>
    </row>
    <row r="1881" spans="1:6" ht="23">
      <c r="A1881" s="5" t="s">
        <v>1422</v>
      </c>
      <c r="B1881" s="6">
        <v>6.5333333333333341</v>
      </c>
      <c r="C1881" s="6">
        <v>0.71336448530107976</v>
      </c>
      <c r="D1881" s="6"/>
      <c r="F1881" s="7"/>
    </row>
    <row r="1882" spans="1:6" ht="23">
      <c r="A1882" s="5" t="s">
        <v>2186</v>
      </c>
      <c r="B1882" s="6">
        <v>8.4</v>
      </c>
      <c r="C1882" s="6">
        <v>0</v>
      </c>
      <c r="D1882" s="6"/>
      <c r="F1882" s="7"/>
    </row>
    <row r="1883" spans="1:6" ht="23">
      <c r="A1883" s="5" t="s">
        <v>6719</v>
      </c>
      <c r="B1883" s="6">
        <v>6.3</v>
      </c>
      <c r="C1883" s="6">
        <v>0</v>
      </c>
      <c r="D1883" s="6"/>
      <c r="F1883" s="7"/>
    </row>
    <row r="1884" spans="1:6" ht="23">
      <c r="A1884" s="5" t="s">
        <v>5591</v>
      </c>
      <c r="B1884" s="6">
        <v>6</v>
      </c>
      <c r="C1884" s="6">
        <v>0</v>
      </c>
      <c r="D1884" s="6"/>
      <c r="F1884" s="7"/>
    </row>
    <row r="1885" spans="1:6" ht="23">
      <c r="A1885" s="5" t="s">
        <v>6600</v>
      </c>
      <c r="B1885" s="6">
        <v>6.4</v>
      </c>
      <c r="C1885" s="6">
        <v>1.5999999999999963</v>
      </c>
      <c r="D1885" s="6"/>
      <c r="F1885" s="7"/>
    </row>
    <row r="1886" spans="1:6" ht="23">
      <c r="A1886" s="5" t="s">
        <v>1896</v>
      </c>
      <c r="B1886" s="6">
        <v>6.6333333333333329</v>
      </c>
      <c r="C1886" s="6">
        <v>0.30912061651653611</v>
      </c>
      <c r="D1886" s="6"/>
      <c r="F1886" s="7"/>
    </row>
    <row r="1887" spans="1:6" ht="23">
      <c r="A1887" s="5" t="s">
        <v>5347</v>
      </c>
      <c r="B1887" s="6">
        <v>6.2</v>
      </c>
      <c r="C1887" s="6">
        <v>0</v>
      </c>
      <c r="D1887" s="6"/>
      <c r="F1887" s="7"/>
    </row>
    <row r="1888" spans="1:6" ht="23">
      <c r="A1888" s="5" t="s">
        <v>2878</v>
      </c>
      <c r="B1888" s="6">
        <v>7.2</v>
      </c>
      <c r="C1888" s="6">
        <v>0</v>
      </c>
      <c r="D1888" s="6"/>
      <c r="F1888" s="7"/>
    </row>
    <row r="1889" spans="1:6" ht="23">
      <c r="A1889" s="5" t="s">
        <v>5107</v>
      </c>
      <c r="B1889" s="6">
        <v>5.7</v>
      </c>
      <c r="C1889" s="6">
        <v>0</v>
      </c>
      <c r="D1889" s="6"/>
      <c r="F1889" s="7"/>
    </row>
    <row r="1890" spans="1:6" ht="23">
      <c r="A1890" s="5" t="s">
        <v>5520</v>
      </c>
      <c r="B1890" s="6">
        <v>2.7</v>
      </c>
      <c r="C1890" s="6">
        <v>0</v>
      </c>
      <c r="D1890" s="6"/>
      <c r="F1890" s="7"/>
    </row>
    <row r="1891" spans="1:6" ht="23">
      <c r="A1891" s="5" t="s">
        <v>3903</v>
      </c>
      <c r="B1891" s="6">
        <v>6.4</v>
      </c>
      <c r="C1891" s="6">
        <v>0.91104335791442892</v>
      </c>
      <c r="D1891" s="6"/>
      <c r="F1891" s="7"/>
    </row>
    <row r="1892" spans="1:6" ht="23">
      <c r="A1892" s="5" t="s">
        <v>3371</v>
      </c>
      <c r="B1892" s="6">
        <v>5.3</v>
      </c>
      <c r="C1892" s="6">
        <v>0</v>
      </c>
      <c r="D1892" s="6"/>
      <c r="F1892" s="7"/>
    </row>
    <row r="1893" spans="1:6" ht="23">
      <c r="A1893" s="5" t="s">
        <v>3694</v>
      </c>
      <c r="B1893" s="6">
        <v>4.0999999999999996</v>
      </c>
      <c r="C1893" s="6">
        <v>0</v>
      </c>
      <c r="D1893" s="6"/>
      <c r="F1893" s="7"/>
    </row>
    <row r="1894" spans="1:6" ht="23">
      <c r="A1894" s="5" t="s">
        <v>7039</v>
      </c>
      <c r="B1894" s="6">
        <v>7.7</v>
      </c>
      <c r="C1894" s="6">
        <v>0</v>
      </c>
      <c r="D1894" s="6"/>
      <c r="F1894" s="7"/>
    </row>
    <row r="1895" spans="1:6" ht="23">
      <c r="A1895" s="5" t="s">
        <v>3340</v>
      </c>
      <c r="B1895" s="6">
        <v>6.4</v>
      </c>
      <c r="C1895" s="6">
        <v>0</v>
      </c>
      <c r="D1895" s="6"/>
      <c r="F1895" s="7"/>
    </row>
    <row r="1896" spans="1:6" ht="23">
      <c r="A1896" s="5" t="s">
        <v>50</v>
      </c>
      <c r="B1896" s="6">
        <v>7.1312499999999996</v>
      </c>
      <c r="C1896" s="6">
        <v>0.92244156318977721</v>
      </c>
      <c r="D1896" s="6"/>
      <c r="F1896" s="7"/>
    </row>
    <row r="1897" spans="1:6" ht="23">
      <c r="A1897" s="5" t="s">
        <v>2768</v>
      </c>
      <c r="B1897" s="6">
        <v>5.4</v>
      </c>
      <c r="C1897" s="6">
        <v>0</v>
      </c>
      <c r="D1897" s="6"/>
      <c r="F1897" s="7"/>
    </row>
    <row r="1898" spans="1:6" ht="23">
      <c r="A1898" s="5" t="s">
        <v>5069</v>
      </c>
      <c r="B1898" s="6">
        <v>5.9</v>
      </c>
      <c r="C1898" s="6">
        <v>0</v>
      </c>
      <c r="D1898" s="6"/>
      <c r="F1898" s="7"/>
    </row>
    <row r="1899" spans="1:6" ht="23">
      <c r="A1899" s="5" t="s">
        <v>5982</v>
      </c>
      <c r="B1899" s="6">
        <v>5.3</v>
      </c>
      <c r="C1899" s="6">
        <v>0</v>
      </c>
      <c r="D1899" s="6"/>
      <c r="F1899" s="7"/>
    </row>
    <row r="1900" spans="1:6" ht="23">
      <c r="A1900" s="5" t="s">
        <v>6210</v>
      </c>
      <c r="B1900" s="6">
        <v>7.8</v>
      </c>
      <c r="C1900" s="6">
        <v>0</v>
      </c>
      <c r="D1900" s="6"/>
      <c r="F1900" s="7"/>
    </row>
    <row r="1901" spans="1:6" ht="23">
      <c r="A1901" s="5" t="s">
        <v>967</v>
      </c>
      <c r="B1901" s="6">
        <v>6.05</v>
      </c>
      <c r="C1901" s="6">
        <v>0.79214897588774158</v>
      </c>
      <c r="D1901" s="6"/>
      <c r="F1901" s="7"/>
    </row>
    <row r="1902" spans="1:6" ht="23">
      <c r="A1902" s="5" t="s">
        <v>133</v>
      </c>
      <c r="B1902" s="6">
        <v>5.5777777777777784</v>
      </c>
      <c r="C1902" s="6">
        <v>0.64079426023537633</v>
      </c>
      <c r="D1902" s="6"/>
      <c r="F1902" s="7"/>
    </row>
    <row r="1903" spans="1:6" ht="23">
      <c r="A1903" s="5" t="s">
        <v>3302</v>
      </c>
      <c r="B1903" s="6">
        <v>5</v>
      </c>
      <c r="C1903" s="6">
        <v>0</v>
      </c>
      <c r="D1903" s="6"/>
      <c r="F1903" s="7"/>
    </row>
    <row r="1904" spans="1:6" ht="23">
      <c r="A1904" s="5" t="s">
        <v>5256</v>
      </c>
      <c r="B1904" s="6">
        <v>4.5</v>
      </c>
      <c r="C1904" s="6">
        <v>0</v>
      </c>
      <c r="D1904" s="6"/>
      <c r="F1904" s="7"/>
    </row>
    <row r="1905" spans="1:6" ht="23">
      <c r="A1905" s="5" t="s">
        <v>126</v>
      </c>
      <c r="B1905" s="6">
        <v>5.9333333333333336</v>
      </c>
      <c r="C1905" s="6">
        <v>0.73181661333667114</v>
      </c>
      <c r="D1905" s="6"/>
      <c r="F1905" s="7"/>
    </row>
    <row r="1906" spans="1:6" ht="23">
      <c r="A1906" s="5" t="s">
        <v>42</v>
      </c>
      <c r="B1906" s="6">
        <v>6.6</v>
      </c>
      <c r="C1906" s="6">
        <v>0.60991802727907474</v>
      </c>
      <c r="D1906" s="6"/>
      <c r="F1906" s="7"/>
    </row>
    <row r="1907" spans="1:6" ht="23">
      <c r="A1907" s="5" t="s">
        <v>6407</v>
      </c>
      <c r="B1907" s="6">
        <v>6.8</v>
      </c>
      <c r="C1907" s="6">
        <v>0</v>
      </c>
      <c r="D1907" s="6"/>
      <c r="F1907" s="7"/>
    </row>
    <row r="1908" spans="1:6" ht="23">
      <c r="A1908" s="5" t="s">
        <v>257</v>
      </c>
      <c r="B1908" s="6">
        <v>5.94</v>
      </c>
      <c r="C1908" s="6">
        <v>0.73918874450305538</v>
      </c>
      <c r="D1908" s="6"/>
      <c r="F1908" s="7"/>
    </row>
    <row r="1909" spans="1:6" ht="23">
      <c r="A1909" s="5" t="s">
        <v>4252</v>
      </c>
      <c r="B1909" s="6">
        <v>4.5999999999999996</v>
      </c>
      <c r="C1909" s="6">
        <v>0</v>
      </c>
      <c r="D1909" s="6"/>
      <c r="F1909" s="7"/>
    </row>
    <row r="1910" spans="1:6" ht="23">
      <c r="A1910" s="5" t="s">
        <v>1044</v>
      </c>
      <c r="B1910" s="6">
        <v>7.0181818181818185</v>
      </c>
      <c r="C1910" s="6">
        <v>0.89322518978666354</v>
      </c>
      <c r="D1910" s="6"/>
      <c r="F1910" s="7"/>
    </row>
    <row r="1911" spans="1:6" ht="23">
      <c r="A1911" s="5" t="s">
        <v>4396</v>
      </c>
      <c r="B1911" s="6">
        <v>6.1</v>
      </c>
      <c r="C1911" s="6">
        <v>0</v>
      </c>
      <c r="D1911" s="6"/>
      <c r="F1911" s="7"/>
    </row>
    <row r="1912" spans="1:6" ht="23">
      <c r="A1912" s="5" t="s">
        <v>3688</v>
      </c>
      <c r="B1912" s="6">
        <v>5.7249999999999996</v>
      </c>
      <c r="C1912" s="6">
        <v>0.79490565477923281</v>
      </c>
      <c r="D1912" s="6"/>
      <c r="F1912" s="7"/>
    </row>
    <row r="1913" spans="1:6" ht="23">
      <c r="A1913" s="5" t="s">
        <v>5946</v>
      </c>
      <c r="B1913" s="6">
        <v>5.0999999999999996</v>
      </c>
      <c r="C1913" s="6">
        <v>0</v>
      </c>
      <c r="D1913" s="6"/>
      <c r="F1913" s="7"/>
    </row>
    <row r="1914" spans="1:6" ht="23">
      <c r="A1914" s="5" t="s">
        <v>4550</v>
      </c>
      <c r="B1914" s="6">
        <v>4.5</v>
      </c>
      <c r="C1914" s="6">
        <v>0</v>
      </c>
      <c r="D1914" s="6"/>
      <c r="F1914" s="7"/>
    </row>
    <row r="1915" spans="1:6" ht="23">
      <c r="A1915" s="5" t="s">
        <v>3328</v>
      </c>
      <c r="B1915" s="6">
        <v>6.8</v>
      </c>
      <c r="C1915" s="6">
        <v>0.4082482904638553</v>
      </c>
      <c r="D1915" s="6"/>
      <c r="F1915" s="7"/>
    </row>
    <row r="1916" spans="1:6" ht="23">
      <c r="A1916" s="5" t="s">
        <v>2532</v>
      </c>
      <c r="B1916" s="6">
        <v>6.5</v>
      </c>
      <c r="C1916" s="6">
        <v>0</v>
      </c>
      <c r="D1916" s="6"/>
      <c r="F1916" s="7"/>
    </row>
    <row r="1917" spans="1:6" ht="23">
      <c r="A1917" s="5" t="s">
        <v>4402</v>
      </c>
      <c r="B1917" s="6">
        <v>5.9</v>
      </c>
      <c r="C1917" s="6">
        <v>0</v>
      </c>
      <c r="D1917" s="6"/>
      <c r="F1917" s="7"/>
    </row>
    <row r="1918" spans="1:6" ht="23">
      <c r="A1918" s="5" t="s">
        <v>6562</v>
      </c>
      <c r="B1918" s="6">
        <v>2.8</v>
      </c>
      <c r="C1918" s="6">
        <v>0</v>
      </c>
      <c r="D1918" s="6"/>
      <c r="F1918" s="7"/>
    </row>
    <row r="1919" spans="1:6" ht="23">
      <c r="A1919" s="5" t="s">
        <v>1296</v>
      </c>
      <c r="B1919" s="6">
        <v>4.7</v>
      </c>
      <c r="C1919" s="6">
        <v>0</v>
      </c>
      <c r="D1919" s="6"/>
      <c r="F1919" s="7"/>
    </row>
    <row r="1920" spans="1:6" ht="23">
      <c r="A1920" s="5" t="s">
        <v>4970</v>
      </c>
      <c r="B1920" s="6">
        <v>7.4</v>
      </c>
      <c r="C1920" s="6">
        <v>0</v>
      </c>
      <c r="D1920" s="6"/>
      <c r="F1920" s="7"/>
    </row>
    <row r="1921" spans="1:6" ht="23">
      <c r="A1921" s="5" t="s">
        <v>5643</v>
      </c>
      <c r="B1921" s="6">
        <v>6.5</v>
      </c>
      <c r="C1921" s="6">
        <v>0</v>
      </c>
      <c r="D1921" s="6"/>
      <c r="F1921" s="7"/>
    </row>
    <row r="1922" spans="1:6" ht="23">
      <c r="A1922" s="5" t="s">
        <v>6458</v>
      </c>
      <c r="B1922" s="6">
        <v>6.2</v>
      </c>
      <c r="C1922" s="6">
        <v>0</v>
      </c>
      <c r="D1922" s="6"/>
      <c r="F1922" s="7"/>
    </row>
    <row r="1923" spans="1:6" ht="23">
      <c r="A1923" s="5" t="s">
        <v>5238</v>
      </c>
      <c r="B1923" s="6">
        <v>7.2</v>
      </c>
      <c r="C1923" s="6">
        <v>0</v>
      </c>
      <c r="D1923" s="6"/>
      <c r="F1923" s="7"/>
    </row>
    <row r="1924" spans="1:6" ht="23">
      <c r="A1924" s="5" t="s">
        <v>5625</v>
      </c>
      <c r="B1924" s="6">
        <v>6.8</v>
      </c>
      <c r="C1924" s="6">
        <v>0</v>
      </c>
      <c r="D1924" s="6"/>
      <c r="F1924" s="7"/>
    </row>
    <row r="1925" spans="1:6" ht="23">
      <c r="A1925" s="5" t="s">
        <v>5991</v>
      </c>
      <c r="B1925" s="6">
        <v>7.2</v>
      </c>
      <c r="C1925" s="6">
        <v>0</v>
      </c>
      <c r="D1925" s="6"/>
      <c r="F1925" s="7"/>
    </row>
    <row r="1926" spans="1:6" ht="23">
      <c r="A1926" s="5" t="s">
        <v>6290</v>
      </c>
      <c r="B1926" s="6">
        <v>7.25</v>
      </c>
      <c r="C1926" s="6">
        <v>0.45000000000000062</v>
      </c>
      <c r="D1926" s="6"/>
      <c r="F1926" s="7"/>
    </row>
    <row r="1927" spans="1:6" ht="23">
      <c r="A1927" s="5" t="s">
        <v>6590</v>
      </c>
      <c r="B1927" s="6">
        <v>5.2</v>
      </c>
      <c r="C1927" s="6">
        <v>0</v>
      </c>
      <c r="D1927" s="6"/>
      <c r="F1927" s="7"/>
    </row>
    <row r="1928" spans="1:6" ht="23">
      <c r="A1928" s="5" t="s">
        <v>3497</v>
      </c>
      <c r="B1928" s="6">
        <v>5.15</v>
      </c>
      <c r="C1928" s="6">
        <v>0.34999999999999309</v>
      </c>
      <c r="D1928" s="6"/>
      <c r="F1928" s="7"/>
    </row>
    <row r="1929" spans="1:6" ht="23">
      <c r="A1929" s="5" t="s">
        <v>6584</v>
      </c>
      <c r="B1929" s="6">
        <v>5.6</v>
      </c>
      <c r="C1929" s="6">
        <v>0</v>
      </c>
      <c r="D1929" s="6"/>
      <c r="F1929" s="7"/>
    </row>
    <row r="1930" spans="1:6" ht="23">
      <c r="A1930" s="5" t="s">
        <v>3576</v>
      </c>
      <c r="B1930" s="6">
        <v>4.3999999999999995</v>
      </c>
      <c r="C1930" s="6">
        <v>1.6391054470859008</v>
      </c>
      <c r="D1930" s="6"/>
      <c r="F1930" s="7"/>
    </row>
    <row r="1931" spans="1:6" ht="23">
      <c r="A1931" s="5" t="s">
        <v>6469</v>
      </c>
      <c r="B1931" s="6">
        <v>7.9</v>
      </c>
      <c r="C1931" s="6">
        <v>0</v>
      </c>
      <c r="D1931" s="6"/>
      <c r="F1931" s="7"/>
    </row>
    <row r="1932" spans="1:6" ht="23">
      <c r="A1932" s="5" t="s">
        <v>5547</v>
      </c>
      <c r="B1932" s="6">
        <v>6.3</v>
      </c>
      <c r="C1932" s="6">
        <v>0</v>
      </c>
      <c r="D1932" s="6"/>
      <c r="F1932" s="7"/>
    </row>
    <row r="1933" spans="1:6" ht="23">
      <c r="A1933" s="5" t="s">
        <v>1156</v>
      </c>
      <c r="B1933" s="6">
        <v>6.8</v>
      </c>
      <c r="C1933" s="6">
        <v>0</v>
      </c>
      <c r="D1933" s="6"/>
      <c r="F1933" s="7"/>
    </row>
    <row r="1934" spans="1:6" ht="23">
      <c r="A1934" s="5" t="s">
        <v>828</v>
      </c>
      <c r="B1934" s="6">
        <v>6</v>
      </c>
      <c r="C1934" s="6">
        <v>0.53229064742237231</v>
      </c>
      <c r="D1934" s="6"/>
      <c r="F1934" s="7"/>
    </row>
    <row r="1935" spans="1:6" ht="23">
      <c r="A1935" s="5" t="s">
        <v>6326</v>
      </c>
      <c r="B1935" s="6">
        <v>7.1</v>
      </c>
      <c r="C1935" s="6">
        <v>0</v>
      </c>
      <c r="D1935" s="6"/>
      <c r="F1935" s="7"/>
    </row>
    <row r="1936" spans="1:6" ht="23">
      <c r="A1936" s="5" t="s">
        <v>4872</v>
      </c>
      <c r="B1936" s="6">
        <v>3.5</v>
      </c>
      <c r="C1936" s="6">
        <v>0</v>
      </c>
      <c r="D1936" s="6"/>
      <c r="F1936" s="7"/>
    </row>
    <row r="1937" spans="1:6" ht="23">
      <c r="A1937" s="5" t="s">
        <v>4809</v>
      </c>
      <c r="B1937" s="6">
        <v>6.4</v>
      </c>
      <c r="C1937" s="6">
        <v>0</v>
      </c>
      <c r="D1937" s="6"/>
      <c r="F1937" s="7"/>
    </row>
    <row r="1938" spans="1:6" ht="23">
      <c r="A1938" s="5" t="s">
        <v>6008</v>
      </c>
      <c r="B1938" s="6">
        <v>8.4</v>
      </c>
      <c r="C1938" s="6">
        <v>0</v>
      </c>
      <c r="D1938" s="6"/>
      <c r="F1938" s="7"/>
    </row>
    <row r="1939" spans="1:6" ht="23">
      <c r="A1939" s="5" t="s">
        <v>1087</v>
      </c>
      <c r="B1939" s="6">
        <v>6.839999999999999</v>
      </c>
      <c r="C1939" s="6">
        <v>0.54626001134992452</v>
      </c>
      <c r="D1939" s="6"/>
      <c r="F1939" s="7"/>
    </row>
    <row r="1940" spans="1:6" ht="23">
      <c r="A1940" s="5" t="s">
        <v>1327</v>
      </c>
      <c r="B1940" s="6">
        <v>5.6923076923076925</v>
      </c>
      <c r="C1940" s="6">
        <v>1.3516152948696065</v>
      </c>
      <c r="D1940" s="6"/>
      <c r="F1940" s="7"/>
    </row>
    <row r="1941" spans="1:6" ht="23">
      <c r="A1941" s="5" t="s">
        <v>6019</v>
      </c>
      <c r="B1941" s="6">
        <v>8</v>
      </c>
      <c r="C1941" s="6">
        <v>0</v>
      </c>
      <c r="D1941" s="6"/>
      <c r="F1941" s="7"/>
    </row>
    <row r="1942" spans="1:6" ht="23">
      <c r="A1942" s="5" t="s">
        <v>339</v>
      </c>
      <c r="B1942" s="6">
        <v>6.3499999999999988</v>
      </c>
      <c r="C1942" s="6">
        <v>0.57951128835712717</v>
      </c>
      <c r="D1942" s="6"/>
      <c r="F1942" s="7"/>
    </row>
    <row r="1943" spans="1:6" ht="23">
      <c r="A1943" s="5" t="s">
        <v>5035</v>
      </c>
      <c r="B1943" s="6">
        <v>7.8</v>
      </c>
      <c r="C1943" s="6">
        <v>0</v>
      </c>
      <c r="D1943" s="6"/>
      <c r="F1943" s="7"/>
    </row>
    <row r="1944" spans="1:6" ht="23">
      <c r="A1944" s="5" t="s">
        <v>151</v>
      </c>
      <c r="B1944" s="6">
        <v>7</v>
      </c>
      <c r="C1944" s="6">
        <v>0</v>
      </c>
      <c r="D1944" s="6"/>
      <c r="F1944" s="7"/>
    </row>
    <row r="1945" spans="1:6" ht="23">
      <c r="A1945" s="5" t="s">
        <v>2818</v>
      </c>
      <c r="B1945" s="6">
        <v>7.2</v>
      </c>
      <c r="C1945" s="6">
        <v>0</v>
      </c>
      <c r="D1945" s="6"/>
      <c r="F1945" s="7"/>
    </row>
    <row r="1946" spans="1:6" ht="23">
      <c r="A1946" s="5" t="s">
        <v>7104</v>
      </c>
      <c r="B1946" s="6">
        <v>7</v>
      </c>
      <c r="C1946" s="6">
        <v>0</v>
      </c>
      <c r="D1946" s="6"/>
      <c r="F1946" s="7"/>
    </row>
    <row r="1947" spans="1:6" ht="23">
      <c r="A1947" s="5" t="s">
        <v>2016</v>
      </c>
      <c r="B1947" s="6">
        <v>7.2</v>
      </c>
      <c r="C1947" s="6">
        <v>0.65319726474217865</v>
      </c>
      <c r="D1947" s="6"/>
      <c r="F1947" s="7"/>
    </row>
    <row r="1948" spans="1:6" ht="23">
      <c r="A1948" s="5" t="s">
        <v>115</v>
      </c>
      <c r="B1948" s="6">
        <v>7.3076923076923084</v>
      </c>
      <c r="C1948" s="6">
        <v>0.74261651607058354</v>
      </c>
      <c r="D1948" s="6"/>
      <c r="F1948" s="7"/>
    </row>
    <row r="1949" spans="1:6" ht="23">
      <c r="A1949" s="5" t="s">
        <v>3053</v>
      </c>
      <c r="B1949" s="6">
        <v>5.8</v>
      </c>
      <c r="C1949" s="6">
        <v>0</v>
      </c>
      <c r="D1949" s="6"/>
      <c r="F1949" s="7"/>
    </row>
    <row r="1950" spans="1:6" ht="23">
      <c r="A1950" s="5" t="s">
        <v>7067</v>
      </c>
      <c r="B1950" s="6">
        <v>7.3</v>
      </c>
      <c r="C1950" s="6">
        <v>0</v>
      </c>
      <c r="D1950" s="6"/>
      <c r="F1950" s="7"/>
    </row>
    <row r="1951" spans="1:6" ht="23">
      <c r="A1951" s="5" t="s">
        <v>1178</v>
      </c>
      <c r="B1951" s="6">
        <v>6.6</v>
      </c>
      <c r="C1951" s="6">
        <v>0.4335896677735781</v>
      </c>
      <c r="D1951" s="6"/>
      <c r="F1951" s="7"/>
    </row>
    <row r="1952" spans="1:6" ht="23">
      <c r="A1952" s="5" t="s">
        <v>3807</v>
      </c>
      <c r="B1952" s="6">
        <v>6.2</v>
      </c>
      <c r="C1952" s="6">
        <v>0</v>
      </c>
      <c r="D1952" s="6"/>
      <c r="F1952" s="7"/>
    </row>
    <row r="1953" spans="1:6" ht="23">
      <c r="A1953" s="5" t="s">
        <v>3448</v>
      </c>
      <c r="B1953" s="6">
        <v>6.6</v>
      </c>
      <c r="C1953" s="6">
        <v>0.40000000000000463</v>
      </c>
      <c r="D1953" s="6"/>
      <c r="F1953" s="7"/>
    </row>
    <row r="1954" spans="1:6" ht="23">
      <c r="A1954" s="5" t="s">
        <v>4858</v>
      </c>
      <c r="B1954" s="6">
        <v>6.95</v>
      </c>
      <c r="C1954" s="6">
        <v>0.25</v>
      </c>
      <c r="D1954" s="6"/>
      <c r="F1954" s="7"/>
    </row>
    <row r="1955" spans="1:6" ht="23">
      <c r="A1955" s="5" t="s">
        <v>638</v>
      </c>
      <c r="B1955" s="6">
        <v>7.35</v>
      </c>
      <c r="C1955" s="6">
        <v>1.1500000000000021</v>
      </c>
      <c r="D1955" s="6"/>
      <c r="F1955" s="7"/>
    </row>
    <row r="1956" spans="1:6" ht="23">
      <c r="A1956" s="5" t="s">
        <v>5513</v>
      </c>
      <c r="B1956" s="6">
        <v>6.6</v>
      </c>
      <c r="C1956" s="6">
        <v>0.10000000000002558</v>
      </c>
      <c r="D1956" s="6"/>
      <c r="F1956" s="7"/>
    </row>
    <row r="1957" spans="1:6" ht="23">
      <c r="A1957" s="5" t="s">
        <v>758</v>
      </c>
      <c r="B1957" s="6">
        <v>2.4</v>
      </c>
      <c r="C1957" s="6">
        <v>0</v>
      </c>
      <c r="D1957" s="6"/>
      <c r="F1957" s="7"/>
    </row>
    <row r="1958" spans="1:6" ht="23">
      <c r="A1958" s="5" t="s">
        <v>401</v>
      </c>
      <c r="B1958" s="6">
        <v>6.7714285714285705</v>
      </c>
      <c r="C1958" s="6">
        <v>0.75538880379442297</v>
      </c>
      <c r="D1958" s="6"/>
      <c r="F1958" s="7"/>
    </row>
    <row r="1959" spans="1:6" ht="23">
      <c r="A1959" s="5" t="s">
        <v>1668</v>
      </c>
      <c r="B1959" s="6">
        <v>5.2666666666666666</v>
      </c>
      <c r="C1959" s="6">
        <v>1.2710450643291766</v>
      </c>
      <c r="D1959" s="6"/>
      <c r="F1959" s="7"/>
    </row>
    <row r="1960" spans="1:6" ht="23">
      <c r="A1960" s="5" t="s">
        <v>1583</v>
      </c>
      <c r="B1960" s="6">
        <v>6.666666666666667</v>
      </c>
      <c r="C1960" s="6">
        <v>0.23570226039551584</v>
      </c>
      <c r="D1960" s="6"/>
      <c r="F1960" s="7"/>
    </row>
    <row r="1961" spans="1:6" ht="23">
      <c r="A1961" s="5" t="s">
        <v>6876</v>
      </c>
      <c r="B1961" s="6">
        <v>7</v>
      </c>
      <c r="C1961" s="6">
        <v>0</v>
      </c>
      <c r="D1961" s="6"/>
      <c r="F1961" s="7"/>
    </row>
    <row r="1962" spans="1:6" ht="23">
      <c r="A1962" s="5" t="s">
        <v>410</v>
      </c>
      <c r="B1962" s="6">
        <v>6.3</v>
      </c>
      <c r="C1962" s="6">
        <v>0.54772255750516996</v>
      </c>
      <c r="D1962" s="6"/>
      <c r="F1962" s="7"/>
    </row>
    <row r="1963" spans="1:6" ht="23">
      <c r="A1963" s="5" t="s">
        <v>4685</v>
      </c>
      <c r="B1963" s="6">
        <v>5.9</v>
      </c>
      <c r="C1963" s="6">
        <v>0</v>
      </c>
      <c r="D1963" s="6"/>
      <c r="F1963" s="7"/>
    </row>
    <row r="1964" spans="1:6" ht="23">
      <c r="A1964" s="5" t="s">
        <v>5197</v>
      </c>
      <c r="B1964" s="6">
        <v>6.2</v>
      </c>
      <c r="C1964" s="6">
        <v>0</v>
      </c>
      <c r="D1964" s="6"/>
      <c r="F1964" s="7"/>
    </row>
    <row r="1965" spans="1:6" ht="23">
      <c r="A1965" s="5" t="s">
        <v>6519</v>
      </c>
      <c r="B1965" s="6">
        <v>7.4</v>
      </c>
      <c r="C1965" s="6">
        <v>0</v>
      </c>
      <c r="D1965" s="6"/>
      <c r="F1965" s="7"/>
    </row>
    <row r="1966" spans="1:6" ht="23">
      <c r="A1966" s="5" t="s">
        <v>5867</v>
      </c>
      <c r="B1966" s="6">
        <v>6.6</v>
      </c>
      <c r="C1966" s="6">
        <v>0</v>
      </c>
      <c r="D1966" s="6"/>
      <c r="F1966" s="7"/>
    </row>
    <row r="1967" spans="1:6" ht="23">
      <c r="A1967" s="5" t="s">
        <v>113</v>
      </c>
      <c r="B1967" s="6">
        <v>6.1875</v>
      </c>
      <c r="C1967" s="6">
        <v>0.82224920188468398</v>
      </c>
      <c r="D1967" s="6"/>
      <c r="F1967" s="7"/>
    </row>
    <row r="1968" spans="1:6" ht="23">
      <c r="A1968" s="5" t="s">
        <v>155</v>
      </c>
      <c r="B1968" s="6">
        <v>5.166666666666667</v>
      </c>
      <c r="C1968" s="6">
        <v>0.57348835113617314</v>
      </c>
      <c r="D1968" s="6"/>
      <c r="F1968" s="7"/>
    </row>
    <row r="1969" spans="1:6" ht="23">
      <c r="A1969" s="5" t="s">
        <v>4669</v>
      </c>
      <c r="B1969" s="6">
        <v>6.1</v>
      </c>
      <c r="C1969" s="6">
        <v>0</v>
      </c>
      <c r="D1969" s="6"/>
      <c r="F1969" s="7"/>
    </row>
    <row r="1970" spans="1:6" ht="23">
      <c r="A1970" s="5" t="s">
        <v>1025</v>
      </c>
      <c r="B1970" s="6">
        <v>7.416666666666667</v>
      </c>
      <c r="C1970" s="6">
        <v>0.63091644102493172</v>
      </c>
      <c r="D1970" s="6"/>
      <c r="F1970" s="7"/>
    </row>
    <row r="1971" spans="1:6" ht="23">
      <c r="A1971" s="5" t="s">
        <v>447</v>
      </c>
      <c r="B1971" s="6">
        <v>7.3999999999999995</v>
      </c>
      <c r="C1971" s="6">
        <v>0.42426406871192912</v>
      </c>
      <c r="D1971" s="6"/>
      <c r="F1971" s="7"/>
    </row>
    <row r="1972" spans="1:6" ht="23">
      <c r="A1972" s="5" t="s">
        <v>227</v>
      </c>
      <c r="B1972" s="6">
        <v>6.9307692307692301</v>
      </c>
      <c r="C1972" s="6">
        <v>0.88525060805020184</v>
      </c>
      <c r="D1972" s="6"/>
      <c r="F1972" s="7"/>
    </row>
    <row r="1973" spans="1:6" ht="23">
      <c r="A1973" s="5" t="s">
        <v>1294</v>
      </c>
      <c r="B1973" s="6">
        <v>7</v>
      </c>
      <c r="C1973" s="6">
        <v>0.7000000000000014</v>
      </c>
      <c r="D1973" s="6"/>
      <c r="F1973" s="7"/>
    </row>
    <row r="1974" spans="1:6" ht="23">
      <c r="A1974" s="5" t="s">
        <v>845</v>
      </c>
      <c r="B1974" s="6">
        <v>5.9</v>
      </c>
      <c r="C1974" s="6">
        <v>0.56124860801608922</v>
      </c>
      <c r="D1974" s="6"/>
      <c r="F1974" s="7"/>
    </row>
    <row r="1975" spans="1:6" ht="23">
      <c r="A1975" s="5" t="s">
        <v>511</v>
      </c>
      <c r="B1975" s="6">
        <v>5.5</v>
      </c>
      <c r="C1975" s="6">
        <v>1.349073756323204</v>
      </c>
      <c r="D1975" s="6"/>
      <c r="F1975" s="7"/>
    </row>
    <row r="1976" spans="1:6" ht="23">
      <c r="A1976" s="5" t="s">
        <v>3594</v>
      </c>
      <c r="B1976" s="6">
        <v>4.9000000000000004</v>
      </c>
      <c r="C1976" s="6">
        <v>0</v>
      </c>
      <c r="D1976" s="6"/>
      <c r="F1976" s="7"/>
    </row>
    <row r="1977" spans="1:6" ht="23">
      <c r="A1977" s="5" t="s">
        <v>5308</v>
      </c>
      <c r="B1977" s="6">
        <v>6.9</v>
      </c>
      <c r="C1977" s="6">
        <v>0</v>
      </c>
      <c r="D1977" s="6"/>
      <c r="F1977" s="7"/>
    </row>
    <row r="1978" spans="1:6" ht="23">
      <c r="A1978" s="5" t="s">
        <v>2132</v>
      </c>
      <c r="B1978" s="6">
        <v>5.5</v>
      </c>
      <c r="C1978" s="6">
        <v>0.62849025449882645</v>
      </c>
      <c r="D1978" s="6"/>
      <c r="F1978" s="7"/>
    </row>
    <row r="1979" spans="1:6" ht="23">
      <c r="A1979" s="5" t="s">
        <v>2977</v>
      </c>
      <c r="B1979" s="6">
        <v>6</v>
      </c>
      <c r="C1979" s="6">
        <v>0.30000000000000571</v>
      </c>
      <c r="D1979" s="6"/>
      <c r="F1979" s="7"/>
    </row>
    <row r="1980" spans="1:6" ht="23">
      <c r="A1980" s="5" t="s">
        <v>3516</v>
      </c>
      <c r="B1980" s="6">
        <v>6.6</v>
      </c>
      <c r="C1980" s="6">
        <v>0.10000000000002558</v>
      </c>
      <c r="D1980" s="6"/>
      <c r="F1980" s="7"/>
    </row>
    <row r="1981" spans="1:6" ht="23">
      <c r="A1981" s="5" t="s">
        <v>4303</v>
      </c>
      <c r="B1981" s="6">
        <v>5.5</v>
      </c>
      <c r="C1981" s="6">
        <v>0</v>
      </c>
      <c r="D1981" s="6"/>
      <c r="F1981" s="7"/>
    </row>
    <row r="1982" spans="1:6" ht="23">
      <c r="A1982" s="5" t="s">
        <v>5573</v>
      </c>
      <c r="B1982" s="6">
        <v>5.2</v>
      </c>
      <c r="C1982" s="6">
        <v>0</v>
      </c>
      <c r="D1982" s="6"/>
      <c r="F1982" s="7"/>
    </row>
    <row r="1983" spans="1:6" ht="23">
      <c r="A1983" s="5" t="s">
        <v>1139</v>
      </c>
      <c r="B1983" s="6">
        <v>6.833333333333333</v>
      </c>
      <c r="C1983" s="6">
        <v>0.65996632910744091</v>
      </c>
      <c r="D1983" s="6"/>
      <c r="F1983" s="7"/>
    </row>
    <row r="1984" spans="1:6" ht="23">
      <c r="A1984" s="5" t="s">
        <v>5532</v>
      </c>
      <c r="B1984" s="6">
        <v>4.8</v>
      </c>
      <c r="C1984" s="6">
        <v>0</v>
      </c>
      <c r="D1984" s="6"/>
      <c r="F1984" s="7"/>
    </row>
    <row r="1985" spans="1:6" ht="23">
      <c r="A1985" s="5" t="s">
        <v>149</v>
      </c>
      <c r="B1985" s="6">
        <v>6.1</v>
      </c>
      <c r="C1985" s="6">
        <v>0</v>
      </c>
      <c r="D1985" s="6"/>
      <c r="F1985" s="7"/>
    </row>
    <row r="1986" spans="1:6" ht="23">
      <c r="A1986" s="5" t="s">
        <v>2201</v>
      </c>
      <c r="B1986" s="6">
        <v>6.2</v>
      </c>
      <c r="C1986" s="6">
        <v>0</v>
      </c>
      <c r="D1986" s="6"/>
      <c r="F1986" s="7"/>
    </row>
    <row r="1987" spans="1:6" ht="23">
      <c r="A1987" s="5" t="s">
        <v>548</v>
      </c>
      <c r="B1987" s="6">
        <v>6.8</v>
      </c>
      <c r="C1987" s="6">
        <v>0.80000000000000038</v>
      </c>
      <c r="D1987" s="6"/>
      <c r="F1987" s="7"/>
    </row>
    <row r="1988" spans="1:6" ht="23">
      <c r="A1988" s="5" t="s">
        <v>6456</v>
      </c>
      <c r="B1988" s="6">
        <v>6.2</v>
      </c>
      <c r="C1988" s="6">
        <v>0</v>
      </c>
      <c r="D1988" s="6"/>
      <c r="F1988" s="7"/>
    </row>
    <row r="1989" spans="1:6" ht="23">
      <c r="A1989" s="5" t="s">
        <v>2922</v>
      </c>
      <c r="B1989" s="6">
        <v>7.1</v>
      </c>
      <c r="C1989" s="6">
        <v>0</v>
      </c>
      <c r="D1989" s="6"/>
      <c r="F1989" s="7"/>
    </row>
    <row r="1990" spans="1:6" ht="23">
      <c r="A1990" s="5" t="s">
        <v>6306</v>
      </c>
      <c r="B1990" s="6">
        <v>3.6</v>
      </c>
      <c r="C1990" s="6">
        <v>0</v>
      </c>
      <c r="D1990" s="6"/>
      <c r="F1990" s="7"/>
    </row>
    <row r="1991" spans="1:6" ht="23">
      <c r="A1991" s="5" t="s">
        <v>4849</v>
      </c>
      <c r="B1991" s="6">
        <v>6.9</v>
      </c>
      <c r="C1991" s="6">
        <v>0</v>
      </c>
      <c r="D1991" s="6"/>
      <c r="F1991" s="7"/>
    </row>
    <row r="1992" spans="1:6" ht="23">
      <c r="A1992" s="5" t="s">
        <v>1600</v>
      </c>
      <c r="B1992" s="6">
        <v>6.2750000000000004</v>
      </c>
      <c r="C1992" s="6">
        <v>0.58896094946947886</v>
      </c>
      <c r="D1992" s="6"/>
      <c r="F1992" s="7"/>
    </row>
    <row r="1993" spans="1:6" ht="23">
      <c r="A1993" s="5" t="s">
        <v>5060</v>
      </c>
      <c r="B1993" s="6">
        <v>6.1</v>
      </c>
      <c r="C1993" s="6">
        <v>0</v>
      </c>
      <c r="D1993" s="6"/>
      <c r="F1993" s="7"/>
    </row>
    <row r="1994" spans="1:6" ht="23">
      <c r="A1994" s="5" t="s">
        <v>1962</v>
      </c>
      <c r="B1994" s="6">
        <v>7.6</v>
      </c>
      <c r="C1994" s="6">
        <v>0.10000000000002558</v>
      </c>
      <c r="D1994" s="6"/>
      <c r="F1994" s="7"/>
    </row>
    <row r="1995" spans="1:6" ht="23">
      <c r="A1995" s="5" t="s">
        <v>6687</v>
      </c>
      <c r="B1995" s="6">
        <v>7.2</v>
      </c>
      <c r="C1995" s="6">
        <v>0</v>
      </c>
      <c r="D1995" s="6"/>
      <c r="F1995" s="7"/>
    </row>
    <row r="1996" spans="1:6" ht="23">
      <c r="A1996" s="5" t="s">
        <v>6658</v>
      </c>
      <c r="B1996" s="6">
        <v>6.8</v>
      </c>
      <c r="C1996" s="6">
        <v>0</v>
      </c>
      <c r="D1996" s="6"/>
      <c r="F1996" s="7"/>
    </row>
    <row r="1997" spans="1:6" ht="23">
      <c r="A1997" s="5" t="s">
        <v>1082</v>
      </c>
      <c r="B1997" s="6">
        <v>5.95</v>
      </c>
      <c r="C1997" s="6">
        <v>0.25</v>
      </c>
      <c r="D1997" s="6"/>
      <c r="F1997" s="7"/>
    </row>
    <row r="1998" spans="1:6" ht="23">
      <c r="A1998" s="5" t="s">
        <v>6701</v>
      </c>
      <c r="B1998" s="6">
        <v>5.4</v>
      </c>
      <c r="C1998" s="6">
        <v>0</v>
      </c>
      <c r="D1998" s="6"/>
      <c r="F1998" s="7"/>
    </row>
    <row r="1999" spans="1:6" ht="23">
      <c r="A1999" s="5" t="s">
        <v>3839</v>
      </c>
      <c r="B1999" s="6">
        <v>6.1</v>
      </c>
      <c r="C1999" s="6">
        <v>0</v>
      </c>
      <c r="D1999" s="6"/>
      <c r="F1999" s="7"/>
    </row>
    <row r="2000" spans="1:6" ht="23">
      <c r="A2000" s="5" t="s">
        <v>3770</v>
      </c>
      <c r="B2000" s="6">
        <v>5.4</v>
      </c>
      <c r="C2000" s="6">
        <v>0</v>
      </c>
      <c r="D2000" s="6"/>
      <c r="F2000" s="7"/>
    </row>
    <row r="2001" spans="1:6" ht="23">
      <c r="A2001" s="5" t="s">
        <v>5117</v>
      </c>
      <c r="B2001" s="6">
        <v>4.7</v>
      </c>
      <c r="C2001" s="6">
        <v>0</v>
      </c>
      <c r="D2001" s="6"/>
      <c r="F2001" s="7"/>
    </row>
    <row r="2002" spans="1:6" ht="23">
      <c r="A2002" s="5" t="s">
        <v>1909</v>
      </c>
      <c r="B2002" s="6">
        <v>8.4</v>
      </c>
      <c r="C2002" s="6">
        <v>0</v>
      </c>
      <c r="D2002" s="6"/>
      <c r="F2002" s="7"/>
    </row>
    <row r="2003" spans="1:6" ht="23">
      <c r="A2003" s="5" t="s">
        <v>4856</v>
      </c>
      <c r="B2003" s="6">
        <v>4.8</v>
      </c>
      <c r="C2003" s="6">
        <v>0</v>
      </c>
      <c r="D2003" s="6"/>
      <c r="F2003" s="7"/>
    </row>
    <row r="2004" spans="1:6" ht="23">
      <c r="A2004" s="5" t="s">
        <v>6338</v>
      </c>
      <c r="B2004" s="6">
        <v>8.6999999999999993</v>
      </c>
      <c r="C2004" s="6">
        <v>0</v>
      </c>
      <c r="D2004" s="6"/>
      <c r="F2004" s="7"/>
    </row>
    <row r="2005" spans="1:6" ht="23">
      <c r="A2005" s="5" t="s">
        <v>7084</v>
      </c>
      <c r="B2005" s="6">
        <v>7.2</v>
      </c>
      <c r="C2005" s="6">
        <v>0</v>
      </c>
      <c r="D2005" s="6"/>
      <c r="F2005" s="7"/>
    </row>
    <row r="2006" spans="1:6" ht="23">
      <c r="A2006" s="5" t="s">
        <v>4315</v>
      </c>
      <c r="B2006" s="6">
        <v>5.3</v>
      </c>
      <c r="C2006" s="6">
        <v>0</v>
      </c>
      <c r="D2006" s="6"/>
      <c r="F2006" s="7"/>
    </row>
    <row r="2007" spans="1:6" ht="23">
      <c r="A2007" s="5" t="s">
        <v>4376</v>
      </c>
      <c r="B2007" s="6">
        <v>5.7</v>
      </c>
      <c r="C2007" s="6">
        <v>0</v>
      </c>
      <c r="D2007" s="6"/>
      <c r="F2007" s="7"/>
    </row>
    <row r="2008" spans="1:6" ht="23">
      <c r="A2008" s="5" t="s">
        <v>6212</v>
      </c>
      <c r="B2008" s="6">
        <v>6.9</v>
      </c>
      <c r="C2008" s="6">
        <v>0</v>
      </c>
      <c r="D2008" s="6"/>
      <c r="F2008" s="7"/>
    </row>
    <row r="2009" spans="1:6" ht="23">
      <c r="A2009" s="5" t="s">
        <v>5639</v>
      </c>
      <c r="B2009" s="6">
        <v>6.8</v>
      </c>
      <c r="C2009" s="6">
        <v>0</v>
      </c>
      <c r="D2009" s="6"/>
      <c r="F2009" s="7"/>
    </row>
    <row r="2010" spans="1:6" ht="23">
      <c r="A2010" s="5" t="s">
        <v>1117</v>
      </c>
      <c r="B2010" s="6">
        <v>6.1</v>
      </c>
      <c r="C2010" s="6">
        <v>0</v>
      </c>
      <c r="D2010" s="6"/>
      <c r="F2010" s="7"/>
    </row>
    <row r="2011" spans="1:6" ht="23">
      <c r="A2011" s="5" t="s">
        <v>6887</v>
      </c>
      <c r="B2011" s="6">
        <v>4.7</v>
      </c>
      <c r="C2011" s="6">
        <v>0</v>
      </c>
      <c r="D2011" s="6"/>
      <c r="F2011" s="7"/>
    </row>
    <row r="2012" spans="1:6" ht="23">
      <c r="A2012" s="5" t="s">
        <v>5565</v>
      </c>
      <c r="B2012" s="6">
        <v>6</v>
      </c>
      <c r="C2012" s="6">
        <v>0</v>
      </c>
      <c r="D2012" s="6"/>
      <c r="F2012" s="7"/>
    </row>
    <row r="2013" spans="1:6" ht="23">
      <c r="A2013" s="5" t="s">
        <v>6988</v>
      </c>
      <c r="B2013" s="6">
        <v>7.8</v>
      </c>
      <c r="C2013" s="6">
        <v>0</v>
      </c>
      <c r="D2013" s="6"/>
      <c r="F2013" s="7"/>
    </row>
    <row r="2014" spans="1:6" ht="23">
      <c r="A2014" s="5" t="s">
        <v>15</v>
      </c>
      <c r="B2014" s="6">
        <v>7.4571428571428564</v>
      </c>
      <c r="C2014" s="6">
        <v>0.50386263110139307</v>
      </c>
      <c r="D2014" s="6"/>
      <c r="F2014" s="7"/>
    </row>
    <row r="2015" spans="1:6" ht="23">
      <c r="A2015" s="5" t="s">
        <v>3990</v>
      </c>
      <c r="B2015" s="6">
        <v>5.75</v>
      </c>
      <c r="C2015" s="6">
        <v>0.15000000000000285</v>
      </c>
      <c r="D2015" s="6"/>
      <c r="F2015" s="7"/>
    </row>
    <row r="2016" spans="1:6" ht="23">
      <c r="A2016" s="5" t="s">
        <v>5099</v>
      </c>
      <c r="B2016" s="6">
        <v>7.375</v>
      </c>
      <c r="C2016" s="6">
        <v>0.42646805273079719</v>
      </c>
      <c r="D2016" s="6"/>
      <c r="F2016" s="7"/>
    </row>
    <row r="2017" spans="1:6" ht="23">
      <c r="A2017" s="5" t="s">
        <v>21</v>
      </c>
      <c r="B2017" s="6">
        <v>7.0181818181818185</v>
      </c>
      <c r="C2017" s="6">
        <v>0.56859984622224968</v>
      </c>
      <c r="D2017" s="6"/>
      <c r="F2017" s="7"/>
    </row>
    <row r="2018" spans="1:6" ht="23">
      <c r="A2018" s="5" t="s">
        <v>1727</v>
      </c>
      <c r="B2018" s="6">
        <v>5.65</v>
      </c>
      <c r="C2018" s="6">
        <v>1.55</v>
      </c>
      <c r="D2018" s="6"/>
      <c r="F2018" s="7"/>
    </row>
    <row r="2019" spans="1:6" ht="23">
      <c r="A2019" s="5" t="s">
        <v>1240</v>
      </c>
      <c r="B2019" s="6">
        <v>5.4499999999999993</v>
      </c>
      <c r="C2019" s="6">
        <v>0.11180339887501808</v>
      </c>
      <c r="D2019" s="6"/>
      <c r="F2019" s="7"/>
    </row>
    <row r="2020" spans="1:6" ht="23">
      <c r="A2020" s="5" t="s">
        <v>5055</v>
      </c>
      <c r="B2020" s="6">
        <v>6.2</v>
      </c>
      <c r="C2020" s="6">
        <v>0</v>
      </c>
      <c r="D2020" s="6"/>
      <c r="F2020" s="7"/>
    </row>
    <row r="2021" spans="1:6" ht="23">
      <c r="A2021" s="5" t="s">
        <v>2555</v>
      </c>
      <c r="B2021" s="6">
        <v>6</v>
      </c>
      <c r="C2021" s="6">
        <v>0.20000000000001564</v>
      </c>
      <c r="D2021" s="6"/>
      <c r="F2021" s="7"/>
    </row>
    <row r="2022" spans="1:6" ht="23">
      <c r="A2022" s="5" t="s">
        <v>6602</v>
      </c>
      <c r="B2022" s="6">
        <v>7.1</v>
      </c>
      <c r="C2022" s="6">
        <v>0</v>
      </c>
      <c r="D2022" s="6"/>
      <c r="F2022" s="7"/>
    </row>
    <row r="2023" spans="1:6" ht="23">
      <c r="A2023" s="5" t="s">
        <v>7081</v>
      </c>
      <c r="B2023" s="6">
        <v>7.1</v>
      </c>
      <c r="C2023" s="6">
        <v>0</v>
      </c>
      <c r="D2023" s="6"/>
      <c r="F2023" s="7"/>
    </row>
    <row r="2024" spans="1:6" ht="23">
      <c r="A2024" s="5" t="s">
        <v>3701</v>
      </c>
      <c r="B2024" s="6">
        <v>4.5999999999999996</v>
      </c>
      <c r="C2024" s="6">
        <v>0</v>
      </c>
      <c r="D2024" s="6"/>
      <c r="F2024" s="7"/>
    </row>
    <row r="2025" spans="1:6" ht="23">
      <c r="A2025" s="5" t="s">
        <v>5916</v>
      </c>
      <c r="B2025" s="6">
        <v>6.7</v>
      </c>
      <c r="C2025" s="6">
        <v>0</v>
      </c>
      <c r="D2025" s="6"/>
      <c r="F2025" s="7"/>
    </row>
    <row r="2026" spans="1:6" ht="23">
      <c r="A2026" s="5" t="s">
        <v>648</v>
      </c>
      <c r="B2026" s="6">
        <v>7.1</v>
      </c>
      <c r="C2026" s="6">
        <v>0</v>
      </c>
      <c r="D2026" s="6"/>
      <c r="F2026" s="7"/>
    </row>
    <row r="2027" spans="1:6" ht="23">
      <c r="A2027" s="5" t="s">
        <v>4576</v>
      </c>
      <c r="B2027" s="6">
        <v>5.2</v>
      </c>
      <c r="C2027" s="6">
        <v>0</v>
      </c>
      <c r="D2027" s="6"/>
      <c r="F2027" s="7"/>
    </row>
    <row r="2028" spans="1:6" ht="23">
      <c r="A2028" s="5" t="s">
        <v>2567</v>
      </c>
      <c r="B2028" s="6">
        <v>6.9</v>
      </c>
      <c r="C2028" s="6">
        <v>0</v>
      </c>
      <c r="D2028" s="6"/>
      <c r="F2028" s="7"/>
    </row>
    <row r="2029" spans="1:6" ht="23">
      <c r="A2029" s="5" t="s">
        <v>6505</v>
      </c>
      <c r="B2029" s="6">
        <v>7.4</v>
      </c>
      <c r="C2029" s="6">
        <v>0</v>
      </c>
      <c r="D2029" s="6"/>
      <c r="F2029" s="7"/>
    </row>
    <row r="2030" spans="1:6" ht="23">
      <c r="A2030" s="5" t="s">
        <v>4159</v>
      </c>
      <c r="B2030" s="6">
        <v>5.7</v>
      </c>
      <c r="C2030" s="6">
        <v>0</v>
      </c>
      <c r="D2030" s="6"/>
      <c r="F2030" s="7"/>
    </row>
    <row r="2031" spans="1:6" ht="23">
      <c r="A2031" s="5" t="s">
        <v>1323</v>
      </c>
      <c r="B2031" s="6">
        <v>7.0333333333333341</v>
      </c>
      <c r="C2031" s="6">
        <v>0.20548046676563131</v>
      </c>
      <c r="D2031" s="6"/>
      <c r="F2031" s="7"/>
    </row>
    <row r="2032" spans="1:6" ht="23">
      <c r="A2032" s="5" t="s">
        <v>718</v>
      </c>
      <c r="B2032" s="6">
        <v>6.3</v>
      </c>
      <c r="C2032" s="6">
        <v>0.51478150704935055</v>
      </c>
      <c r="D2032" s="6"/>
      <c r="F2032" s="7"/>
    </row>
    <row r="2033" spans="1:6" ht="23">
      <c r="A2033" s="5" t="s">
        <v>6137</v>
      </c>
      <c r="B2033" s="6">
        <v>3.4</v>
      </c>
      <c r="C2033" s="6">
        <v>0</v>
      </c>
      <c r="D2033" s="6"/>
      <c r="F2033" s="7"/>
    </row>
    <row r="2034" spans="1:6" ht="23">
      <c r="A2034" s="5" t="s">
        <v>5396</v>
      </c>
      <c r="B2034" s="6">
        <v>5.4</v>
      </c>
      <c r="C2034" s="6">
        <v>0</v>
      </c>
      <c r="D2034" s="6"/>
      <c r="F2034" s="7"/>
    </row>
    <row r="2035" spans="1:6" ht="23">
      <c r="A2035" s="5" t="s">
        <v>2591</v>
      </c>
      <c r="B2035" s="6">
        <v>6.5</v>
      </c>
      <c r="C2035" s="6">
        <v>0</v>
      </c>
      <c r="D2035" s="6"/>
      <c r="F2035" s="7"/>
    </row>
    <row r="2036" spans="1:6" ht="23">
      <c r="A2036" s="5" t="s">
        <v>1995</v>
      </c>
      <c r="B2036" s="6">
        <v>6.8400000000000007</v>
      </c>
      <c r="C2036" s="6">
        <v>0.47999999999999016</v>
      </c>
      <c r="D2036" s="6"/>
      <c r="F2036" s="7"/>
    </row>
    <row r="2037" spans="1:6" ht="23">
      <c r="A2037" s="5" t="s">
        <v>4444</v>
      </c>
      <c r="B2037" s="6">
        <v>5.6</v>
      </c>
      <c r="C2037" s="6">
        <v>0</v>
      </c>
      <c r="D2037" s="6"/>
      <c r="F2037" s="7"/>
    </row>
    <row r="2038" spans="1:6" ht="23">
      <c r="A2038" s="5" t="s">
        <v>2084</v>
      </c>
      <c r="B2038" s="6">
        <v>6.1</v>
      </c>
      <c r="C2038" s="6">
        <v>0</v>
      </c>
      <c r="D2038" s="6"/>
      <c r="F2038" s="7"/>
    </row>
    <row r="2039" spans="1:6" ht="23">
      <c r="A2039" s="5" t="s">
        <v>4541</v>
      </c>
      <c r="B2039" s="6">
        <v>4.6500000000000004</v>
      </c>
      <c r="C2039" s="6">
        <v>0.75</v>
      </c>
      <c r="D2039" s="6"/>
      <c r="F2039" s="7"/>
    </row>
    <row r="2040" spans="1:6" ht="23">
      <c r="A2040" s="5" t="s">
        <v>7236</v>
      </c>
      <c r="B2040" s="6">
        <v>7.7</v>
      </c>
      <c r="C2040" s="6">
        <v>0</v>
      </c>
      <c r="D2040" s="6"/>
      <c r="F2040" s="7"/>
    </row>
    <row r="2041" spans="1:6" ht="23">
      <c r="A2041" s="5" t="s">
        <v>2174</v>
      </c>
      <c r="B2041" s="6">
        <v>6.5</v>
      </c>
      <c r="C2041" s="6">
        <v>0</v>
      </c>
      <c r="D2041" s="6"/>
      <c r="F2041" s="7"/>
    </row>
    <row r="2042" spans="1:6" ht="23">
      <c r="A2042" s="5" t="s">
        <v>1169</v>
      </c>
      <c r="B2042" s="6">
        <v>5.45</v>
      </c>
      <c r="C2042" s="6">
        <v>0.25</v>
      </c>
      <c r="D2042" s="6"/>
      <c r="F2042" s="7"/>
    </row>
    <row r="2043" spans="1:6" ht="23">
      <c r="A2043" s="5" t="s">
        <v>3287</v>
      </c>
      <c r="B2043" s="6">
        <v>6.4</v>
      </c>
      <c r="C2043" s="6">
        <v>0</v>
      </c>
      <c r="D2043" s="6"/>
      <c r="F2043" s="7"/>
    </row>
    <row r="2044" spans="1:6" ht="23">
      <c r="A2044" s="5" t="s">
        <v>972</v>
      </c>
      <c r="B2044" s="6">
        <v>6.5</v>
      </c>
      <c r="C2044" s="6">
        <v>0</v>
      </c>
      <c r="D2044" s="6"/>
      <c r="F2044" s="7"/>
    </row>
    <row r="2045" spans="1:6" ht="23">
      <c r="A2045" s="5" t="s">
        <v>6717</v>
      </c>
      <c r="B2045" s="6">
        <v>6.6</v>
      </c>
      <c r="C2045" s="6">
        <v>0</v>
      </c>
      <c r="D2045" s="6"/>
      <c r="F2045" s="7"/>
    </row>
    <row r="2046" spans="1:6" ht="23">
      <c r="A2046" s="5" t="s">
        <v>1221</v>
      </c>
      <c r="B2046" s="6">
        <v>6.125</v>
      </c>
      <c r="C2046" s="6">
        <v>0.33447720400648789</v>
      </c>
      <c r="D2046" s="6"/>
      <c r="F2046" s="7"/>
    </row>
    <row r="2047" spans="1:6" ht="23">
      <c r="A2047" s="5" t="s">
        <v>5580</v>
      </c>
      <c r="B2047" s="6">
        <v>6.7</v>
      </c>
      <c r="C2047" s="6">
        <v>0</v>
      </c>
      <c r="D2047" s="6"/>
      <c r="F2047" s="7"/>
    </row>
    <row r="2048" spans="1:6" ht="23">
      <c r="A2048" s="5" t="s">
        <v>6475</v>
      </c>
      <c r="B2048" s="6">
        <v>6.9</v>
      </c>
      <c r="C2048" s="6">
        <v>0</v>
      </c>
      <c r="D2048" s="6"/>
      <c r="F2048" s="7"/>
    </row>
    <row r="2049" spans="1:6" ht="23">
      <c r="A2049" s="5" t="s">
        <v>3374</v>
      </c>
      <c r="B2049" s="6">
        <v>6.5</v>
      </c>
      <c r="C2049" s="6">
        <v>0.59999999999999953</v>
      </c>
      <c r="D2049" s="6"/>
      <c r="F2049" s="7"/>
    </row>
    <row r="2050" spans="1:6" ht="23">
      <c r="A2050" s="5" t="s">
        <v>1626</v>
      </c>
      <c r="B2050" s="6">
        <v>7.5</v>
      </c>
      <c r="C2050" s="6">
        <v>0.69999999999999629</v>
      </c>
      <c r="D2050" s="6"/>
      <c r="F2050" s="7"/>
    </row>
    <row r="2051" spans="1:6" ht="23">
      <c r="A2051" s="5" t="s">
        <v>4713</v>
      </c>
      <c r="B2051" s="6">
        <v>6</v>
      </c>
      <c r="C2051" s="6">
        <v>0</v>
      </c>
      <c r="D2051" s="6"/>
      <c r="F2051" s="7"/>
    </row>
    <row r="2052" spans="1:6" ht="23">
      <c r="A2052" s="5" t="s">
        <v>542</v>
      </c>
      <c r="B2052" s="6">
        <v>6.2666666666666666</v>
      </c>
      <c r="C2052" s="6">
        <v>0.75865377844939919</v>
      </c>
      <c r="D2052" s="6"/>
      <c r="F2052" s="7"/>
    </row>
    <row r="2053" spans="1:6" ht="23">
      <c r="A2053" s="5" t="s">
        <v>2836</v>
      </c>
      <c r="B2053" s="6">
        <v>7.3</v>
      </c>
      <c r="C2053" s="6">
        <v>0</v>
      </c>
      <c r="D2053" s="6"/>
      <c r="F2053" s="7"/>
    </row>
    <row r="2054" spans="1:6" ht="23">
      <c r="A2054" s="5" t="s">
        <v>2429</v>
      </c>
      <c r="B2054" s="6">
        <v>8.4749999999999996</v>
      </c>
      <c r="C2054" s="6">
        <v>0.32691742076557573</v>
      </c>
      <c r="D2054" s="6"/>
      <c r="F2054" s="7"/>
    </row>
    <row r="2055" spans="1:6" ht="23">
      <c r="A2055" s="5" t="s">
        <v>696</v>
      </c>
      <c r="B2055" s="6">
        <v>6.0666666666666664</v>
      </c>
      <c r="C2055" s="6">
        <v>0.5906681715556491</v>
      </c>
      <c r="D2055" s="6"/>
      <c r="F2055" s="7"/>
    </row>
    <row r="2056" spans="1:6" ht="23">
      <c r="A2056" s="5" t="s">
        <v>953</v>
      </c>
      <c r="B2056" s="6">
        <v>6.5</v>
      </c>
      <c r="C2056" s="6">
        <v>0.37416573867739278</v>
      </c>
      <c r="D2056" s="6"/>
      <c r="F2056" s="7"/>
    </row>
    <row r="2057" spans="1:6" ht="23">
      <c r="A2057" s="5" t="s">
        <v>3138</v>
      </c>
      <c r="B2057" s="6">
        <v>6.4333333333333336</v>
      </c>
      <c r="C2057" s="6">
        <v>0.18856180831641067</v>
      </c>
      <c r="D2057" s="6"/>
      <c r="F2057" s="7"/>
    </row>
    <row r="2058" spans="1:6" ht="23">
      <c r="A2058" s="5" t="s">
        <v>2358</v>
      </c>
      <c r="B2058" s="6">
        <v>7.1</v>
      </c>
      <c r="C2058" s="6">
        <v>0</v>
      </c>
      <c r="D2058" s="6"/>
      <c r="F2058" s="7"/>
    </row>
    <row r="2059" spans="1:6" ht="23">
      <c r="A2059" s="5" t="s">
        <v>66</v>
      </c>
      <c r="B2059" s="6">
        <v>7.4</v>
      </c>
      <c r="C2059" s="6">
        <v>0.19999999999998011</v>
      </c>
      <c r="D2059" s="6"/>
      <c r="F2059" s="7"/>
    </row>
    <row r="2060" spans="1:6" ht="23">
      <c r="A2060" s="5" t="s">
        <v>7228</v>
      </c>
      <c r="B2060" s="6">
        <v>7</v>
      </c>
      <c r="C2060" s="6">
        <v>0</v>
      </c>
      <c r="D2060" s="6"/>
      <c r="F2060" s="7"/>
    </row>
    <row r="2061" spans="1:6" ht="23">
      <c r="A2061" s="5" t="s">
        <v>6655</v>
      </c>
      <c r="B2061" s="6">
        <v>5.0999999999999996</v>
      </c>
      <c r="C2061" s="6">
        <v>0</v>
      </c>
      <c r="D2061" s="6"/>
      <c r="F2061" s="7"/>
    </row>
    <row r="2062" spans="1:6" ht="23">
      <c r="A2062" s="5" t="s">
        <v>5186</v>
      </c>
      <c r="B2062" s="6">
        <v>7.55</v>
      </c>
      <c r="C2062" s="6">
        <v>0.25980762113535016</v>
      </c>
      <c r="D2062" s="6"/>
      <c r="F2062" s="7"/>
    </row>
    <row r="2063" spans="1:6" ht="23">
      <c r="A2063" s="5" t="s">
        <v>4955</v>
      </c>
      <c r="B2063" s="6">
        <v>6.7</v>
      </c>
      <c r="C2063" s="6">
        <v>0.80000000000000038</v>
      </c>
      <c r="D2063" s="6"/>
      <c r="F2063" s="7"/>
    </row>
    <row r="2064" spans="1:6" ht="23">
      <c r="A2064" s="5" t="s">
        <v>7049</v>
      </c>
      <c r="B2064" s="6">
        <v>8.1</v>
      </c>
      <c r="C2064" s="6">
        <v>0</v>
      </c>
      <c r="D2064" s="6"/>
      <c r="F2064" s="7"/>
    </row>
    <row r="2065" spans="1:6" ht="23">
      <c r="A2065" s="5" t="s">
        <v>2654</v>
      </c>
      <c r="B2065" s="6">
        <v>6.7</v>
      </c>
      <c r="C2065" s="6">
        <v>0</v>
      </c>
      <c r="D2065" s="6"/>
      <c r="F2065" s="7"/>
    </row>
    <row r="2066" spans="1:6" ht="23">
      <c r="A2066" s="5" t="s">
        <v>4907</v>
      </c>
      <c r="B2066" s="6">
        <v>4.0999999999999996</v>
      </c>
      <c r="C2066" s="6">
        <v>0</v>
      </c>
      <c r="D2066" s="6"/>
      <c r="F2066" s="7"/>
    </row>
    <row r="2067" spans="1:6" ht="23">
      <c r="A2067" s="5" t="s">
        <v>216</v>
      </c>
      <c r="B2067" s="6">
        <v>6.0909090909090908</v>
      </c>
      <c r="C2067" s="6">
        <v>0.50354117905913798</v>
      </c>
      <c r="D2067" s="6"/>
      <c r="F2067" s="7"/>
    </row>
    <row r="2068" spans="1:6" ht="23">
      <c r="A2068" s="5" t="s">
        <v>1290</v>
      </c>
      <c r="B2068" s="6">
        <v>6.9666666666666659</v>
      </c>
      <c r="C2068" s="6">
        <v>0.41096093353127799</v>
      </c>
      <c r="D2068" s="6"/>
      <c r="F2068" s="7"/>
    </row>
    <row r="2069" spans="1:6" ht="23">
      <c r="A2069" s="5" t="s">
        <v>3567</v>
      </c>
      <c r="B2069" s="6">
        <v>6.1</v>
      </c>
      <c r="C2069" s="6">
        <v>0.60000000000000542</v>
      </c>
      <c r="D2069" s="6"/>
      <c r="F2069" s="7"/>
    </row>
    <row r="2070" spans="1:6" ht="23">
      <c r="A2070" s="5" t="s">
        <v>7021</v>
      </c>
      <c r="B2070" s="6">
        <v>6.9</v>
      </c>
      <c r="C2070" s="6">
        <v>0</v>
      </c>
      <c r="D2070" s="6"/>
      <c r="F2070" s="7"/>
    </row>
    <row r="2071" spans="1:6" ht="23">
      <c r="A2071" s="5" t="s">
        <v>6430</v>
      </c>
      <c r="B2071" s="6">
        <v>7.5</v>
      </c>
      <c r="C2071" s="6">
        <v>0</v>
      </c>
      <c r="D2071" s="6"/>
      <c r="F2071" s="7"/>
    </row>
    <row r="2072" spans="1:6" ht="23">
      <c r="A2072" s="5" t="s">
        <v>2498</v>
      </c>
      <c r="B2072" s="6">
        <v>6.5</v>
      </c>
      <c r="C2072" s="6">
        <v>0</v>
      </c>
      <c r="D2072" s="6"/>
      <c r="F2072" s="7"/>
    </row>
    <row r="2073" spans="1:6" ht="23">
      <c r="A2073" s="5" t="s">
        <v>4322</v>
      </c>
      <c r="B2073" s="6">
        <v>5.3</v>
      </c>
      <c r="C2073" s="6">
        <v>0</v>
      </c>
      <c r="D2073" s="6"/>
      <c r="F2073" s="7"/>
    </row>
    <row r="2074" spans="1:6" ht="23">
      <c r="A2074" s="5" t="s">
        <v>5405</v>
      </c>
      <c r="B2074" s="6">
        <v>7.8</v>
      </c>
      <c r="C2074" s="6">
        <v>0</v>
      </c>
      <c r="D2074" s="6"/>
      <c r="F2074" s="7"/>
    </row>
    <row r="2075" spans="1:6" ht="23">
      <c r="A2075" s="5" t="s">
        <v>5978</v>
      </c>
      <c r="B2075" s="6">
        <v>4.8</v>
      </c>
      <c r="C2075" s="6">
        <v>0</v>
      </c>
      <c r="D2075" s="6"/>
      <c r="F2075" s="7"/>
    </row>
    <row r="2076" spans="1:6" ht="23">
      <c r="A2076" s="5" t="s">
        <v>4862</v>
      </c>
      <c r="B2076" s="6">
        <v>5.4</v>
      </c>
      <c r="C2076" s="6">
        <v>0</v>
      </c>
      <c r="D2076" s="6"/>
      <c r="F2076" s="7"/>
    </row>
    <row r="2077" spans="1:6" ht="23">
      <c r="A2077" s="5" t="s">
        <v>6760</v>
      </c>
      <c r="B2077" s="6">
        <v>7.4</v>
      </c>
      <c r="C2077" s="6">
        <v>0</v>
      </c>
      <c r="D2077" s="6"/>
      <c r="F2077" s="7"/>
    </row>
    <row r="2078" spans="1:6" ht="23">
      <c r="A2078" s="5" t="s">
        <v>3510</v>
      </c>
      <c r="B2078" s="6">
        <v>3.6</v>
      </c>
      <c r="C2078" s="6">
        <v>0</v>
      </c>
      <c r="D2078" s="6"/>
      <c r="F2078" s="7"/>
    </row>
    <row r="2079" spans="1:6" ht="23">
      <c r="A2079" s="5" t="s">
        <v>2868</v>
      </c>
      <c r="B2079" s="6">
        <v>7.1833333333333336</v>
      </c>
      <c r="C2079" s="6">
        <v>1.2588575067187791</v>
      </c>
      <c r="D2079" s="6"/>
      <c r="F2079" s="7"/>
    </row>
    <row r="2080" spans="1:6" ht="23">
      <c r="A2080" s="5" t="s">
        <v>6261</v>
      </c>
      <c r="B2080" s="6">
        <v>5.5</v>
      </c>
      <c r="C2080" s="6">
        <v>0</v>
      </c>
      <c r="D2080" s="6"/>
      <c r="F2080" s="7"/>
    </row>
    <row r="2081" spans="1:6" ht="23">
      <c r="A2081" s="5" t="s">
        <v>4268</v>
      </c>
      <c r="B2081" s="6">
        <v>7.15</v>
      </c>
      <c r="C2081" s="6">
        <v>0.14999999999997915</v>
      </c>
      <c r="D2081" s="6"/>
      <c r="F2081" s="7"/>
    </row>
    <row r="2082" spans="1:6" ht="23">
      <c r="A2082" s="5" t="s">
        <v>6111</v>
      </c>
      <c r="B2082" s="6">
        <v>7.4</v>
      </c>
      <c r="C2082" s="6">
        <v>0</v>
      </c>
      <c r="D2082" s="6"/>
      <c r="F2082" s="7"/>
    </row>
    <row r="2083" spans="1:6" ht="23">
      <c r="A2083" s="5" t="s">
        <v>251</v>
      </c>
      <c r="B2083" s="6">
        <v>5.65</v>
      </c>
      <c r="C2083" s="6">
        <v>0.25</v>
      </c>
      <c r="D2083" s="6"/>
      <c r="F2083" s="7"/>
    </row>
    <row r="2084" spans="1:6" ht="23">
      <c r="A2084" s="5" t="s">
        <v>478</v>
      </c>
      <c r="B2084" s="6">
        <v>6.0250000000000004</v>
      </c>
      <c r="C2084" s="6">
        <v>0.6199798383818611</v>
      </c>
      <c r="D2084" s="6"/>
      <c r="F2084" s="7"/>
    </row>
    <row r="2085" spans="1:6" ht="23">
      <c r="A2085" s="5" t="s">
        <v>1630</v>
      </c>
      <c r="B2085" s="6">
        <v>5.625</v>
      </c>
      <c r="C2085" s="6">
        <v>0.82575722824569031</v>
      </c>
      <c r="D2085" s="6"/>
      <c r="F2085" s="7"/>
    </row>
    <row r="2086" spans="1:6" ht="23">
      <c r="A2086" s="5" t="s">
        <v>6114</v>
      </c>
      <c r="B2086" s="6">
        <v>3.9</v>
      </c>
      <c r="C2086" s="6">
        <v>0</v>
      </c>
      <c r="D2086" s="6"/>
      <c r="F2086" s="7"/>
    </row>
    <row r="2087" spans="1:6" ht="23">
      <c r="A2087" s="5" t="s">
        <v>1705</v>
      </c>
      <c r="B2087" s="6">
        <v>6.3</v>
      </c>
      <c r="C2087" s="6">
        <v>0</v>
      </c>
      <c r="D2087" s="6"/>
      <c r="F2087" s="7"/>
    </row>
    <row r="2088" spans="1:6" ht="23">
      <c r="A2088" s="5" t="s">
        <v>1851</v>
      </c>
      <c r="B2088" s="6">
        <v>6.9249999999999998</v>
      </c>
      <c r="C2088" s="6">
        <v>0.61390145789043815</v>
      </c>
      <c r="D2088" s="6"/>
      <c r="F2088" s="7"/>
    </row>
    <row r="2089" spans="1:6" ht="23">
      <c r="A2089" s="5" t="s">
        <v>6795</v>
      </c>
      <c r="B2089" s="6">
        <v>6.5</v>
      </c>
      <c r="C2089" s="6">
        <v>0</v>
      </c>
      <c r="D2089" s="6"/>
      <c r="F2089" s="7"/>
    </row>
    <row r="2090" spans="1:6" ht="23">
      <c r="A2090" s="5" t="s">
        <v>4948</v>
      </c>
      <c r="B2090" s="6">
        <v>7.1</v>
      </c>
      <c r="C2090" s="6">
        <v>0</v>
      </c>
      <c r="D2090" s="6"/>
      <c r="F2090" s="7"/>
    </row>
    <row r="2091" spans="1:6" ht="23">
      <c r="A2091" s="5" t="s">
        <v>483</v>
      </c>
      <c r="B2091" s="6">
        <v>7.5750000000000002</v>
      </c>
      <c r="C2091" s="6">
        <v>0.46029881598804828</v>
      </c>
      <c r="D2091" s="6"/>
      <c r="F2091" s="7"/>
    </row>
    <row r="2092" spans="1:6" ht="23">
      <c r="A2092" s="5" t="s">
        <v>1380</v>
      </c>
      <c r="B2092" s="6">
        <v>6.5687499999999996</v>
      </c>
      <c r="C2092" s="6">
        <v>0.97321551441600262</v>
      </c>
      <c r="D2092" s="6"/>
      <c r="F2092" s="7"/>
    </row>
    <row r="2093" spans="1:6" ht="23">
      <c r="A2093" s="5" t="s">
        <v>5884</v>
      </c>
      <c r="B2093" s="6">
        <v>7.8000000000000007</v>
      </c>
      <c r="C2093" s="6">
        <v>9.9999999999990055E-2</v>
      </c>
      <c r="D2093" s="6"/>
      <c r="F2093" s="7"/>
    </row>
    <row r="2094" spans="1:6" ht="23">
      <c r="A2094" s="5" t="s">
        <v>5892</v>
      </c>
      <c r="B2094" s="6">
        <v>8.3000000000000007</v>
      </c>
      <c r="C2094" s="6">
        <v>0</v>
      </c>
      <c r="D2094" s="6"/>
      <c r="F2094" s="7"/>
    </row>
    <row r="2095" spans="1:6" ht="23">
      <c r="A2095" s="5" t="s">
        <v>4586</v>
      </c>
      <c r="B2095" s="6">
        <v>7.95</v>
      </c>
      <c r="C2095" s="6">
        <v>0.35000000000000325</v>
      </c>
      <c r="D2095" s="6"/>
      <c r="F2095" s="7"/>
    </row>
    <row r="2096" spans="1:6" ht="23">
      <c r="A2096" s="5" t="s">
        <v>1001</v>
      </c>
      <c r="B2096" s="6">
        <v>8.0499999999999989</v>
      </c>
      <c r="C2096" s="6">
        <v>0.42328083664001875</v>
      </c>
      <c r="D2096" s="6"/>
      <c r="F2096" s="7"/>
    </row>
    <row r="2097" spans="1:6" ht="23">
      <c r="A2097" s="5" t="s">
        <v>4834</v>
      </c>
      <c r="B2097" s="6">
        <v>6.7</v>
      </c>
      <c r="C2097" s="6">
        <v>0</v>
      </c>
      <c r="D2097" s="6"/>
      <c r="F2097" s="7"/>
    </row>
    <row r="2098" spans="1:6" ht="23">
      <c r="A2098" s="5" t="s">
        <v>5379</v>
      </c>
      <c r="B2098" s="6">
        <v>3.4</v>
      </c>
      <c r="C2098" s="6">
        <v>0</v>
      </c>
      <c r="D2098" s="6"/>
      <c r="F2098" s="7"/>
    </row>
    <row r="2099" spans="1:6" ht="23">
      <c r="A2099" s="5" t="s">
        <v>6577</v>
      </c>
      <c r="B2099" s="6">
        <v>5.7</v>
      </c>
      <c r="C2099" s="6">
        <v>0</v>
      </c>
      <c r="D2099" s="6"/>
      <c r="F2099" s="7"/>
    </row>
    <row r="2100" spans="1:6" ht="23">
      <c r="A2100" s="5" t="s">
        <v>3845</v>
      </c>
      <c r="B2100" s="6">
        <v>5.6333333333333329</v>
      </c>
      <c r="C2100" s="6">
        <v>0.80553639823964029</v>
      </c>
      <c r="D2100" s="6"/>
      <c r="F2100" s="7"/>
    </row>
    <row r="2101" spans="1:6" ht="23">
      <c r="A2101" s="5" t="s">
        <v>5544</v>
      </c>
      <c r="B2101" s="6">
        <v>6.6</v>
      </c>
      <c r="C2101" s="6">
        <v>0</v>
      </c>
      <c r="D2101" s="6"/>
      <c r="F2101" s="7"/>
    </row>
    <row r="2102" spans="1:6" ht="23">
      <c r="A2102" s="5" t="s">
        <v>481</v>
      </c>
      <c r="B2102" s="6">
        <v>5.0999999999999996</v>
      </c>
      <c r="C2102" s="6">
        <v>0</v>
      </c>
      <c r="D2102" s="6"/>
      <c r="F2102" s="7"/>
    </row>
    <row r="2103" spans="1:6" ht="23">
      <c r="A2103" s="5" t="s">
        <v>3739</v>
      </c>
      <c r="B2103" s="6">
        <v>5.8000000000000007</v>
      </c>
      <c r="C2103" s="6">
        <v>0.89999999999999736</v>
      </c>
      <c r="D2103" s="6"/>
      <c r="F2103" s="7"/>
    </row>
    <row r="2104" spans="1:6" ht="23">
      <c r="A2104" s="5" t="s">
        <v>4082</v>
      </c>
      <c r="B2104" s="6">
        <v>7.9</v>
      </c>
      <c r="C2104" s="6">
        <v>0</v>
      </c>
      <c r="D2104" s="6"/>
      <c r="F2104" s="7"/>
    </row>
    <row r="2105" spans="1:6" ht="23">
      <c r="A2105" s="5" t="s">
        <v>3929</v>
      </c>
      <c r="B2105" s="6">
        <v>3.9</v>
      </c>
      <c r="C2105" s="6">
        <v>0</v>
      </c>
      <c r="D2105" s="6"/>
      <c r="F2105" s="7"/>
    </row>
    <row r="2106" spans="1:6" ht="23">
      <c r="A2106" s="5" t="s">
        <v>4032</v>
      </c>
      <c r="B2106" s="6">
        <v>8</v>
      </c>
      <c r="C2106" s="6">
        <v>0</v>
      </c>
      <c r="D2106" s="6"/>
      <c r="F2106" s="7"/>
    </row>
    <row r="2107" spans="1:6" ht="23">
      <c r="A2107" s="5" t="s">
        <v>3155</v>
      </c>
      <c r="B2107" s="6">
        <v>7.2</v>
      </c>
      <c r="C2107" s="6">
        <v>0.53541261347362612</v>
      </c>
      <c r="D2107" s="6"/>
      <c r="F2107" s="7"/>
    </row>
    <row r="2108" spans="1:6" ht="23">
      <c r="A2108" s="5" t="s">
        <v>1823</v>
      </c>
      <c r="B2108" s="6">
        <v>7.4</v>
      </c>
      <c r="C2108" s="6">
        <v>0.30331501776205905</v>
      </c>
      <c r="D2108" s="6"/>
      <c r="F2108" s="7"/>
    </row>
    <row r="2109" spans="1:6" ht="23">
      <c r="A2109" s="5" t="s">
        <v>1548</v>
      </c>
      <c r="B2109" s="6">
        <v>7.07</v>
      </c>
      <c r="C2109" s="6">
        <v>0.59338014796586447</v>
      </c>
      <c r="D2109" s="6"/>
      <c r="F2109" s="7"/>
    </row>
    <row r="2110" spans="1:6" ht="23">
      <c r="A2110" s="5" t="s">
        <v>1417</v>
      </c>
      <c r="B2110" s="6">
        <v>5.95</v>
      </c>
      <c r="C2110" s="6">
        <v>1.0499999999999996</v>
      </c>
      <c r="D2110" s="6"/>
      <c r="F2110" s="7"/>
    </row>
    <row r="2111" spans="1:6" ht="23">
      <c r="A2111" s="5" t="s">
        <v>1205</v>
      </c>
      <c r="B2111" s="6">
        <v>6.125</v>
      </c>
      <c r="C2111" s="6">
        <v>0.72413741789801134</v>
      </c>
      <c r="D2111" s="6"/>
      <c r="F2111" s="7"/>
    </row>
    <row r="2112" spans="1:6" ht="23">
      <c r="A2112" s="5" t="s">
        <v>2271</v>
      </c>
      <c r="B2112" s="6">
        <v>7</v>
      </c>
      <c r="C2112" s="6">
        <v>0</v>
      </c>
      <c r="D2112" s="6"/>
      <c r="F2112" s="7"/>
    </row>
    <row r="2113" spans="1:6" ht="23">
      <c r="A2113" s="5" t="s">
        <v>729</v>
      </c>
      <c r="B2113" s="6">
        <v>6</v>
      </c>
      <c r="C2113" s="6">
        <v>0.77459666924148174</v>
      </c>
      <c r="D2113" s="6"/>
      <c r="F2113" s="7"/>
    </row>
    <row r="2114" spans="1:6" ht="23">
      <c r="A2114" s="5" t="s">
        <v>2363</v>
      </c>
      <c r="B2114" s="6">
        <v>7.3</v>
      </c>
      <c r="C2114" s="6">
        <v>0</v>
      </c>
      <c r="D2114" s="6"/>
      <c r="F2114" s="7"/>
    </row>
    <row r="2115" spans="1:6" ht="23">
      <c r="A2115" s="5" t="s">
        <v>1854</v>
      </c>
      <c r="B2115" s="6">
        <v>5</v>
      </c>
      <c r="C2115" s="6">
        <v>0.69761498454854465</v>
      </c>
      <c r="D2115" s="6"/>
      <c r="F2115" s="7"/>
    </row>
    <row r="2116" spans="1:6" ht="23">
      <c r="A2116" s="5" t="s">
        <v>6800</v>
      </c>
      <c r="B2116" s="6">
        <v>7.3</v>
      </c>
      <c r="C2116" s="6">
        <v>0</v>
      </c>
      <c r="D2116" s="6"/>
      <c r="F2116" s="7"/>
    </row>
    <row r="2117" spans="1:6" ht="23">
      <c r="A2117" s="5" t="s">
        <v>7111</v>
      </c>
      <c r="B2117" s="6">
        <v>3.2</v>
      </c>
      <c r="C2117" s="6">
        <v>0</v>
      </c>
      <c r="D2117" s="6"/>
      <c r="F2117" s="7"/>
    </row>
    <row r="2118" spans="1:6" ht="23">
      <c r="A2118" s="5" t="s">
        <v>4959</v>
      </c>
      <c r="B2118" s="6">
        <v>6</v>
      </c>
      <c r="C2118" s="6">
        <v>0</v>
      </c>
      <c r="D2118" s="6"/>
      <c r="F2118" s="7"/>
    </row>
    <row r="2119" spans="1:6" ht="23">
      <c r="A2119" s="5" t="s">
        <v>796</v>
      </c>
      <c r="B2119" s="6">
        <v>6.4499999999999993</v>
      </c>
      <c r="C2119" s="6">
        <v>0.65000000000000502</v>
      </c>
      <c r="D2119" s="6"/>
      <c r="F2119" s="7"/>
    </row>
    <row r="2120" spans="1:6" ht="23">
      <c r="A2120" s="5" t="s">
        <v>144</v>
      </c>
      <c r="B2120" s="6">
        <v>6.0750000000000002</v>
      </c>
      <c r="C2120" s="6">
        <v>0.19202864369672037</v>
      </c>
      <c r="D2120" s="6"/>
      <c r="F2120" s="7"/>
    </row>
    <row r="2121" spans="1:6" ht="23">
      <c r="A2121" s="5" t="s">
        <v>5010</v>
      </c>
      <c r="B2121" s="6">
        <v>6.6</v>
      </c>
      <c r="C2121" s="6">
        <v>0</v>
      </c>
      <c r="D2121" s="6"/>
      <c r="F2121" s="7"/>
    </row>
    <row r="2122" spans="1:6" ht="23">
      <c r="A2122" s="5" t="s">
        <v>7025</v>
      </c>
      <c r="B2122" s="6">
        <v>5.0999999999999996</v>
      </c>
      <c r="C2122" s="6">
        <v>0</v>
      </c>
      <c r="D2122" s="6"/>
      <c r="F2122" s="7"/>
    </row>
    <row r="2123" spans="1:6" ht="23">
      <c r="A2123" s="5" t="s">
        <v>1302</v>
      </c>
      <c r="B2123" s="6">
        <v>6.4</v>
      </c>
      <c r="C2123" s="6">
        <v>0</v>
      </c>
      <c r="D2123" s="6"/>
      <c r="F2123" s="7"/>
    </row>
    <row r="2124" spans="1:6" ht="23">
      <c r="A2124" s="5" t="s">
        <v>2755</v>
      </c>
      <c r="B2124" s="6">
        <v>5.3</v>
      </c>
      <c r="C2124" s="6">
        <v>0</v>
      </c>
      <c r="D2124" s="6"/>
      <c r="F2124" s="7"/>
    </row>
    <row r="2125" spans="1:6" ht="23">
      <c r="A2125" s="5" t="s">
        <v>3094</v>
      </c>
      <c r="B2125" s="6">
        <v>5.5</v>
      </c>
      <c r="C2125" s="6">
        <v>0</v>
      </c>
      <c r="D2125" s="6"/>
      <c r="F2125" s="7"/>
    </row>
    <row r="2126" spans="1:6" ht="23">
      <c r="A2126" s="5" t="s">
        <v>2708</v>
      </c>
      <c r="B2126" s="6">
        <v>6.3</v>
      </c>
      <c r="C2126" s="6">
        <v>0</v>
      </c>
      <c r="D2126" s="6"/>
      <c r="F2126" s="7"/>
    </row>
    <row r="2127" spans="1:6" ht="23">
      <c r="A2127" s="5" t="s">
        <v>2316</v>
      </c>
      <c r="B2127" s="6">
        <v>7.5</v>
      </c>
      <c r="C2127" s="6">
        <v>0</v>
      </c>
      <c r="D2127" s="6"/>
      <c r="F2127" s="7"/>
    </row>
    <row r="2128" spans="1:6" ht="23">
      <c r="A2128" s="5" t="s">
        <v>2436</v>
      </c>
      <c r="B2128" s="6">
        <v>3.95</v>
      </c>
      <c r="C2128" s="6">
        <v>4.9999999999995028E-2</v>
      </c>
      <c r="D2128" s="6"/>
      <c r="F2128" s="7"/>
    </row>
    <row r="2129" spans="1:6" ht="23">
      <c r="A2129" s="5" t="s">
        <v>6329</v>
      </c>
      <c r="B2129" s="6">
        <v>6.9</v>
      </c>
      <c r="C2129" s="6">
        <v>0.29999999999999383</v>
      </c>
      <c r="D2129" s="6"/>
      <c r="F2129" s="7"/>
    </row>
    <row r="2130" spans="1:6" ht="23">
      <c r="A2130" s="5" t="s">
        <v>866</v>
      </c>
      <c r="B2130" s="6">
        <v>5.35</v>
      </c>
      <c r="C2130" s="6">
        <v>0.5408326913196021</v>
      </c>
      <c r="D2130" s="6"/>
      <c r="F2130" s="7"/>
    </row>
    <row r="2131" spans="1:6" ht="23">
      <c r="A2131" s="5" t="s">
        <v>5272</v>
      </c>
      <c r="B2131" s="6">
        <v>6.3</v>
      </c>
      <c r="C2131" s="6">
        <v>0</v>
      </c>
      <c r="D2131" s="6"/>
      <c r="F2131" s="7"/>
    </row>
    <row r="2132" spans="1:6" ht="23">
      <c r="A2132" s="5" t="s">
        <v>3768</v>
      </c>
      <c r="B2132" s="6">
        <v>2.8</v>
      </c>
      <c r="C2132" s="6">
        <v>0</v>
      </c>
      <c r="D2132" s="6"/>
      <c r="F2132" s="7"/>
    </row>
    <row r="2133" spans="1:6" ht="23">
      <c r="A2133" s="5" t="s">
        <v>243</v>
      </c>
      <c r="B2133" s="6">
        <v>6.2</v>
      </c>
      <c r="C2133" s="6">
        <v>0</v>
      </c>
      <c r="D2133" s="6"/>
      <c r="F2133" s="7"/>
    </row>
    <row r="2134" spans="1:6" ht="23">
      <c r="A2134" s="5" t="s">
        <v>4785</v>
      </c>
      <c r="B2134" s="6">
        <v>7.5500000000000007</v>
      </c>
      <c r="C2134" s="6">
        <v>0.74999999999999523</v>
      </c>
      <c r="D2134" s="6"/>
      <c r="F2134" s="7"/>
    </row>
    <row r="2135" spans="1:6" ht="23">
      <c r="A2135" s="5" t="s">
        <v>514</v>
      </c>
      <c r="B2135" s="6">
        <v>6.9</v>
      </c>
      <c r="C2135" s="6">
        <v>0.29999999999999383</v>
      </c>
      <c r="D2135" s="6"/>
      <c r="F2135" s="7"/>
    </row>
    <row r="2136" spans="1:6" ht="23">
      <c r="A2136" s="5" t="s">
        <v>3040</v>
      </c>
      <c r="B2136" s="6">
        <v>7.6999999999999993</v>
      </c>
      <c r="C2136" s="6">
        <v>0.40000000000001351</v>
      </c>
      <c r="D2136" s="6"/>
      <c r="F2136" s="7"/>
    </row>
    <row r="2137" spans="1:6" ht="23">
      <c r="A2137" s="5" t="s">
        <v>1952</v>
      </c>
      <c r="B2137" s="6">
        <v>5.76</v>
      </c>
      <c r="C2137" s="6">
        <v>0.36110940170536787</v>
      </c>
      <c r="D2137" s="6"/>
      <c r="F2137" s="7"/>
    </row>
    <row r="2138" spans="1:6" ht="23">
      <c r="A2138" s="5" t="s">
        <v>1352</v>
      </c>
      <c r="B2138" s="6">
        <v>6.1999999999999993</v>
      </c>
      <c r="C2138" s="6">
        <v>0.393700393700601</v>
      </c>
      <c r="D2138" s="6"/>
      <c r="F2138" s="7"/>
    </row>
    <row r="2139" spans="1:6" ht="23">
      <c r="A2139" s="5" t="s">
        <v>1988</v>
      </c>
      <c r="B2139" s="6">
        <v>5.8666666666666671</v>
      </c>
      <c r="C2139" s="6">
        <v>0.55577773335109382</v>
      </c>
      <c r="D2139" s="6"/>
      <c r="F2139" s="7"/>
    </row>
    <row r="2140" spans="1:6" ht="23">
      <c r="A2140" s="5" t="s">
        <v>3141</v>
      </c>
      <c r="B2140" s="6">
        <v>5.25</v>
      </c>
      <c r="C2140" s="6">
        <v>0.15000000000000285</v>
      </c>
      <c r="D2140" s="6"/>
      <c r="F2140" s="7"/>
    </row>
    <row r="2141" spans="1:6" ht="23">
      <c r="A2141" s="5" t="s">
        <v>6380</v>
      </c>
      <c r="B2141" s="6">
        <v>6</v>
      </c>
      <c r="C2141" s="6">
        <v>0</v>
      </c>
      <c r="D2141" s="6"/>
      <c r="F2141" s="7"/>
    </row>
    <row r="2142" spans="1:6" ht="23">
      <c r="A2142" s="5" t="s">
        <v>3057</v>
      </c>
      <c r="B2142" s="6">
        <v>5.4</v>
      </c>
      <c r="C2142" s="6">
        <v>0</v>
      </c>
      <c r="D2142" s="6"/>
      <c r="F2142" s="7"/>
    </row>
    <row r="2143" spans="1:6" ht="23">
      <c r="A2143" s="5" t="s">
        <v>745</v>
      </c>
      <c r="B2143" s="6">
        <v>5.6750000000000007</v>
      </c>
      <c r="C2143" s="6">
        <v>0.22776083947859749</v>
      </c>
      <c r="D2143" s="6"/>
      <c r="F2143" s="7"/>
    </row>
    <row r="2144" spans="1:6" ht="23">
      <c r="A2144" s="5" t="s">
        <v>2064</v>
      </c>
      <c r="B2144" s="6">
        <v>3.8</v>
      </c>
      <c r="C2144" s="6">
        <v>0</v>
      </c>
      <c r="D2144" s="6"/>
      <c r="F2144" s="7"/>
    </row>
    <row r="2145" spans="1:6" ht="23">
      <c r="A2145" s="5" t="s">
        <v>1434</v>
      </c>
      <c r="B2145" s="6">
        <v>5.85</v>
      </c>
      <c r="C2145" s="6">
        <v>5.0000000000048318E-2</v>
      </c>
      <c r="D2145" s="6"/>
      <c r="F2145" s="7"/>
    </row>
    <row r="2146" spans="1:6" ht="23">
      <c r="A2146" s="5" t="s">
        <v>6205</v>
      </c>
      <c r="B2146" s="6">
        <v>6.3</v>
      </c>
      <c r="C2146" s="6">
        <v>0</v>
      </c>
      <c r="D2146" s="6"/>
      <c r="F2146" s="7"/>
    </row>
    <row r="2147" spans="1:6" ht="23">
      <c r="A2147" s="5" t="s">
        <v>1447</v>
      </c>
      <c r="B2147" s="6">
        <v>4.4000000000000004</v>
      </c>
      <c r="C2147" s="6">
        <v>0</v>
      </c>
      <c r="D2147" s="6"/>
      <c r="F2147" s="7"/>
    </row>
    <row r="2148" spans="1:6" ht="23">
      <c r="A2148" s="5" t="s">
        <v>3535</v>
      </c>
      <c r="B2148" s="6">
        <v>6.8</v>
      </c>
      <c r="C2148" s="6">
        <v>0.30000000000000571</v>
      </c>
      <c r="D2148" s="6"/>
      <c r="F2148" s="7"/>
    </row>
    <row r="2149" spans="1:6" ht="23">
      <c r="A2149" s="5" t="s">
        <v>413</v>
      </c>
      <c r="B2149" s="6">
        <v>6.6800000000000006</v>
      </c>
      <c r="C2149" s="6">
        <v>0.76350070945175463</v>
      </c>
      <c r="D2149" s="6"/>
      <c r="F2149" s="7"/>
    </row>
    <row r="2150" spans="1:6" ht="23">
      <c r="A2150" s="5" t="s">
        <v>103</v>
      </c>
      <c r="B2150" s="6">
        <v>7.4807692307692308</v>
      </c>
      <c r="C2150" s="6">
        <v>0.72854925960338168</v>
      </c>
      <c r="D2150" s="6"/>
      <c r="F2150" s="7"/>
    </row>
    <row r="2151" spans="1:6" ht="23">
      <c r="A2151" s="5" t="s">
        <v>1109</v>
      </c>
      <c r="B2151" s="6">
        <v>6.35</v>
      </c>
      <c r="C2151" s="6">
        <v>0.15000000000000285</v>
      </c>
      <c r="D2151" s="6"/>
      <c r="F2151" s="7"/>
    </row>
    <row r="2152" spans="1:6" ht="23">
      <c r="A2152" s="5" t="s">
        <v>4058</v>
      </c>
      <c r="B2152" s="6">
        <v>5.0999999999999996</v>
      </c>
      <c r="C2152" s="6">
        <v>0</v>
      </c>
      <c r="D2152" s="6"/>
      <c r="F2152" s="7"/>
    </row>
    <row r="2153" spans="1:6" ht="23">
      <c r="A2153" s="5" t="s">
        <v>4636</v>
      </c>
      <c r="B2153" s="6">
        <v>4.55</v>
      </c>
      <c r="C2153" s="6">
        <v>1.1500000000000006</v>
      </c>
      <c r="D2153" s="6"/>
      <c r="F2153" s="7"/>
    </row>
    <row r="2154" spans="1:6" ht="23">
      <c r="A2154" s="5" t="s">
        <v>2279</v>
      </c>
      <c r="B2154" s="6">
        <v>6.1</v>
      </c>
      <c r="C2154" s="6">
        <v>0</v>
      </c>
      <c r="D2154" s="6"/>
      <c r="F2154" s="7"/>
    </row>
    <row r="2155" spans="1:6" ht="23">
      <c r="A2155" s="5" t="s">
        <v>5207</v>
      </c>
      <c r="B2155" s="6">
        <v>4.4000000000000004</v>
      </c>
      <c r="C2155" s="6">
        <v>0</v>
      </c>
      <c r="D2155" s="6"/>
      <c r="F2155" s="7"/>
    </row>
    <row r="2156" spans="1:6" ht="23">
      <c r="A2156" s="5" t="s">
        <v>1152</v>
      </c>
      <c r="B2156" s="6">
        <v>6.4</v>
      </c>
      <c r="C2156" s="6">
        <v>0</v>
      </c>
      <c r="D2156" s="6"/>
      <c r="F2156" s="7"/>
    </row>
    <row r="2157" spans="1:6" ht="23">
      <c r="A2157" s="5" t="s">
        <v>1023</v>
      </c>
      <c r="B2157" s="6">
        <v>5.0999999999999996</v>
      </c>
      <c r="C2157" s="6">
        <v>0</v>
      </c>
      <c r="D2157" s="6"/>
      <c r="F2157" s="7"/>
    </row>
    <row r="2158" spans="1:6" ht="23">
      <c r="A2158" s="5" t="s">
        <v>2994</v>
      </c>
      <c r="B2158" s="6">
        <v>4.8</v>
      </c>
      <c r="C2158" s="6">
        <v>0</v>
      </c>
      <c r="D2158" s="6"/>
      <c r="F2158" s="7"/>
    </row>
    <row r="2159" spans="1:6" ht="23">
      <c r="A2159" s="5" t="s">
        <v>4161</v>
      </c>
      <c r="B2159" s="6">
        <v>6.1</v>
      </c>
      <c r="C2159" s="6">
        <v>0.20000000000001564</v>
      </c>
      <c r="D2159" s="6"/>
      <c r="F2159" s="7"/>
    </row>
    <row r="2160" spans="1:6" ht="23">
      <c r="A2160" s="5" t="s">
        <v>6972</v>
      </c>
      <c r="B2160" s="6">
        <v>6.9</v>
      </c>
      <c r="C2160" s="6">
        <v>0</v>
      </c>
      <c r="D2160" s="6"/>
      <c r="F2160" s="7"/>
    </row>
    <row r="2161" spans="1:6" ht="23">
      <c r="A2161" s="5" t="s">
        <v>6856</v>
      </c>
      <c r="B2161" s="6">
        <v>4.7</v>
      </c>
      <c r="C2161" s="6">
        <v>0</v>
      </c>
      <c r="D2161" s="6"/>
      <c r="F2161" s="7"/>
    </row>
    <row r="2162" spans="1:6" ht="23">
      <c r="A2162" s="5" t="s">
        <v>5845</v>
      </c>
      <c r="B2162" s="6">
        <v>6.5</v>
      </c>
      <c r="C2162" s="6">
        <v>0</v>
      </c>
      <c r="D2162" s="6"/>
      <c r="F2162" s="7"/>
    </row>
    <row r="2163" spans="1:6" ht="23">
      <c r="A2163" s="5" t="s">
        <v>1628</v>
      </c>
      <c r="B2163" s="6">
        <v>6.4</v>
      </c>
      <c r="C2163" s="6">
        <v>0</v>
      </c>
      <c r="D2163" s="6"/>
      <c r="F2163" s="7"/>
    </row>
    <row r="2164" spans="1:6" ht="23">
      <c r="A2164" s="5" t="s">
        <v>2086</v>
      </c>
      <c r="B2164" s="6">
        <v>6.25</v>
      </c>
      <c r="C2164" s="6">
        <v>0.15000000000000285</v>
      </c>
      <c r="D2164" s="6"/>
      <c r="F2164" s="7"/>
    </row>
    <row r="2165" spans="1:6" ht="23">
      <c r="A2165" s="5" t="s">
        <v>3602</v>
      </c>
      <c r="B2165" s="6">
        <v>7.2</v>
      </c>
      <c r="C2165" s="6">
        <v>0</v>
      </c>
      <c r="D2165" s="6"/>
      <c r="F2165" s="7"/>
    </row>
    <row r="2166" spans="1:6" ht="23">
      <c r="A2166" s="5" t="s">
        <v>7127</v>
      </c>
      <c r="B2166" s="6">
        <v>8.3000000000000007</v>
      </c>
      <c r="C2166" s="6">
        <v>0</v>
      </c>
      <c r="D2166" s="6"/>
      <c r="F2166" s="7"/>
    </row>
    <row r="2167" spans="1:6" ht="23">
      <c r="A2167" s="5" t="s">
        <v>591</v>
      </c>
      <c r="B2167" s="6">
        <v>6.58</v>
      </c>
      <c r="C2167" s="6">
        <v>0.815843122174848</v>
      </c>
      <c r="D2167" s="6"/>
      <c r="F2167" s="7"/>
    </row>
    <row r="2168" spans="1:6" ht="23">
      <c r="A2168" s="5" t="s">
        <v>6023</v>
      </c>
      <c r="B2168" s="6">
        <v>7.8</v>
      </c>
      <c r="C2168" s="6">
        <v>0</v>
      </c>
      <c r="D2168" s="6"/>
      <c r="F2168" s="7"/>
    </row>
    <row r="2169" spans="1:6" ht="23">
      <c r="A2169" s="5" t="s">
        <v>2741</v>
      </c>
      <c r="B2169" s="6">
        <v>5.8000000000000007</v>
      </c>
      <c r="C2169" s="6">
        <v>0.59999999999999953</v>
      </c>
      <c r="D2169" s="6"/>
      <c r="F2169" s="7"/>
    </row>
    <row r="2170" spans="1:6" ht="23">
      <c r="A2170" s="5" t="s">
        <v>676</v>
      </c>
      <c r="B2170" s="6">
        <v>6.85</v>
      </c>
      <c r="C2170" s="6">
        <v>0.35000000000001341</v>
      </c>
      <c r="D2170" s="6"/>
      <c r="F2170" s="7"/>
    </row>
    <row r="2171" spans="1:6" ht="23">
      <c r="A2171" s="5" t="s">
        <v>5105</v>
      </c>
      <c r="B2171" s="6">
        <v>3.8</v>
      </c>
      <c r="C2171" s="6">
        <v>0</v>
      </c>
      <c r="D2171" s="6"/>
      <c r="F2171" s="7"/>
    </row>
    <row r="2172" spans="1:6" ht="23">
      <c r="A2172" s="5" t="s">
        <v>7222</v>
      </c>
      <c r="B2172" s="6">
        <v>6.1</v>
      </c>
      <c r="C2172" s="6">
        <v>0</v>
      </c>
      <c r="D2172" s="6"/>
      <c r="F2172" s="7"/>
    </row>
    <row r="2173" spans="1:6" ht="23">
      <c r="A2173" s="5" t="s">
        <v>4554</v>
      </c>
      <c r="B2173" s="6">
        <v>4.8</v>
      </c>
      <c r="C2173" s="6">
        <v>0</v>
      </c>
      <c r="D2173" s="6"/>
      <c r="F2173" s="7"/>
    </row>
    <row r="2174" spans="1:6" ht="23">
      <c r="A2174" s="5" t="s">
        <v>6450</v>
      </c>
      <c r="B2174" s="6">
        <v>6</v>
      </c>
      <c r="C2174" s="6">
        <v>0</v>
      </c>
      <c r="D2174" s="6"/>
      <c r="F2174" s="7"/>
    </row>
    <row r="2175" spans="1:6" ht="23">
      <c r="A2175" s="5" t="s">
        <v>3070</v>
      </c>
      <c r="B2175" s="6">
        <v>5.45</v>
      </c>
      <c r="C2175" s="6">
        <v>0.45000000000000062</v>
      </c>
      <c r="D2175" s="6"/>
      <c r="F2175" s="7"/>
    </row>
    <row r="2176" spans="1:6" ht="23">
      <c r="A2176" s="5" t="s">
        <v>4210</v>
      </c>
      <c r="B2176" s="6">
        <v>6.1</v>
      </c>
      <c r="C2176" s="6">
        <v>0</v>
      </c>
      <c r="D2176" s="6"/>
      <c r="F2176" s="7"/>
    </row>
    <row r="2177" spans="1:6" ht="23">
      <c r="A2177" s="5" t="s">
        <v>4191</v>
      </c>
      <c r="B2177" s="6">
        <v>7.2</v>
      </c>
      <c r="C2177" s="6">
        <v>0</v>
      </c>
      <c r="D2177" s="6"/>
      <c r="F2177" s="7"/>
    </row>
    <row r="2178" spans="1:6" ht="23">
      <c r="A2178" s="5" t="s">
        <v>4627</v>
      </c>
      <c r="B2178" s="6">
        <v>6.9</v>
      </c>
      <c r="C2178" s="6">
        <v>0.29999999999999383</v>
      </c>
      <c r="D2178" s="6"/>
      <c r="F2178" s="7"/>
    </row>
    <row r="2179" spans="1:6" ht="23">
      <c r="A2179" s="5" t="s">
        <v>4102</v>
      </c>
      <c r="B2179" s="6">
        <v>5</v>
      </c>
      <c r="C2179" s="6">
        <v>1.7000000000000002</v>
      </c>
      <c r="D2179" s="6"/>
      <c r="F2179" s="7"/>
    </row>
    <row r="2180" spans="1:6" ht="23">
      <c r="A2180" s="5" t="s">
        <v>6135</v>
      </c>
      <c r="B2180" s="6">
        <v>4.4000000000000004</v>
      </c>
      <c r="C2180" s="6">
        <v>0</v>
      </c>
      <c r="D2180" s="6"/>
      <c r="F2180" s="7"/>
    </row>
    <row r="2181" spans="1:6" ht="23">
      <c r="A2181" s="5" t="s">
        <v>6304</v>
      </c>
      <c r="B2181" s="6">
        <v>3.3</v>
      </c>
      <c r="C2181" s="6">
        <v>0</v>
      </c>
      <c r="D2181" s="6"/>
      <c r="F2181" s="7"/>
    </row>
    <row r="2182" spans="1:6" ht="23">
      <c r="A2182" s="5" t="s">
        <v>656</v>
      </c>
      <c r="B2182" s="6">
        <v>6.125</v>
      </c>
      <c r="C2182" s="6">
        <v>0.33447720400648789</v>
      </c>
      <c r="D2182" s="6"/>
      <c r="F2182" s="7"/>
    </row>
    <row r="2183" spans="1:6" ht="23">
      <c r="A2183" s="5" t="s">
        <v>2368</v>
      </c>
      <c r="B2183" s="6">
        <v>7.5</v>
      </c>
      <c r="C2183" s="6">
        <v>0.59999999999999953</v>
      </c>
      <c r="D2183" s="6"/>
      <c r="F2183" s="7"/>
    </row>
    <row r="2184" spans="1:6" ht="23">
      <c r="A2184" s="5" t="s">
        <v>5976</v>
      </c>
      <c r="B2184" s="6">
        <v>7.5</v>
      </c>
      <c r="C2184" s="6">
        <v>0</v>
      </c>
      <c r="D2184" s="6"/>
      <c r="F2184" s="7"/>
    </row>
    <row r="2185" spans="1:6" ht="23">
      <c r="A2185" s="5" t="s">
        <v>1015</v>
      </c>
      <c r="B2185" s="6">
        <v>6.8833333333333329</v>
      </c>
      <c r="C2185" s="6">
        <v>0.87828747508369642</v>
      </c>
      <c r="D2185" s="6"/>
      <c r="F2185" s="7"/>
    </row>
    <row r="2186" spans="1:6" ht="23">
      <c r="A2186" s="5" t="s">
        <v>2308</v>
      </c>
      <c r="B2186" s="6">
        <v>7.6</v>
      </c>
      <c r="C2186" s="6">
        <v>0</v>
      </c>
      <c r="D2186" s="6"/>
      <c r="F2186" s="7"/>
    </row>
    <row r="2187" spans="1:6" ht="23">
      <c r="A2187" s="5" t="s">
        <v>1541</v>
      </c>
      <c r="B2187" s="6">
        <v>7.7</v>
      </c>
      <c r="C2187" s="6">
        <v>0</v>
      </c>
      <c r="D2187" s="6"/>
      <c r="F2187" s="7"/>
    </row>
    <row r="2188" spans="1:6" ht="23">
      <c r="A2188" s="5" t="s">
        <v>5724</v>
      </c>
      <c r="B2188" s="6">
        <v>6.55</v>
      </c>
      <c r="C2188" s="6">
        <v>0.45000000000000062</v>
      </c>
      <c r="D2188" s="6"/>
      <c r="F2188" s="7"/>
    </row>
    <row r="2189" spans="1:6" ht="23">
      <c r="A2189" s="5" t="s">
        <v>2838</v>
      </c>
      <c r="B2189" s="6">
        <v>6.7</v>
      </c>
      <c r="C2189" s="6">
        <v>0.20000000000001564</v>
      </c>
      <c r="D2189" s="6"/>
      <c r="F2189" s="7"/>
    </row>
    <row r="2190" spans="1:6" ht="23">
      <c r="A2190" s="5" t="s">
        <v>4468</v>
      </c>
      <c r="B2190" s="6">
        <v>7.1</v>
      </c>
      <c r="C2190" s="6">
        <v>0</v>
      </c>
      <c r="D2190" s="6"/>
      <c r="F2190" s="7"/>
    </row>
    <row r="2191" spans="1:6" ht="23">
      <c r="A2191" s="5" t="s">
        <v>1560</v>
      </c>
      <c r="B2191" s="6">
        <v>6.125</v>
      </c>
      <c r="C2191" s="6">
        <v>1.9854155736268404</v>
      </c>
      <c r="D2191" s="6"/>
      <c r="F2191" s="7"/>
    </row>
    <row r="2192" spans="1:6" ht="23">
      <c r="A2192" s="5" t="s">
        <v>1340</v>
      </c>
      <c r="B2192" s="6">
        <v>7.25</v>
      </c>
      <c r="C2192" s="6">
        <v>0.56789083458003187</v>
      </c>
      <c r="D2192" s="6"/>
      <c r="F2192" s="7"/>
    </row>
    <row r="2193" spans="1:6" ht="23">
      <c r="A2193" s="5" t="s">
        <v>7154</v>
      </c>
      <c r="B2193" s="6">
        <v>3.4</v>
      </c>
      <c r="C2193" s="6">
        <v>0</v>
      </c>
      <c r="D2193" s="6"/>
      <c r="F2193" s="7"/>
    </row>
    <row r="2194" spans="1:6" ht="23">
      <c r="A2194" s="5" t="s">
        <v>3457</v>
      </c>
      <c r="B2194" s="6">
        <v>8.1</v>
      </c>
      <c r="C2194" s="6">
        <v>0</v>
      </c>
      <c r="D2194" s="6"/>
      <c r="F2194" s="7"/>
    </row>
    <row r="2195" spans="1:6" ht="23">
      <c r="A2195" s="5" t="s">
        <v>747</v>
      </c>
      <c r="B2195" s="6">
        <v>7.3285714285714283</v>
      </c>
      <c r="C2195" s="6">
        <v>0.75916172889066202</v>
      </c>
      <c r="D2195" s="6"/>
      <c r="F2195" s="7"/>
    </row>
    <row r="2196" spans="1:6" ht="23">
      <c r="A2196" s="5" t="s">
        <v>3354</v>
      </c>
      <c r="B2196" s="6">
        <v>7.25</v>
      </c>
      <c r="C2196" s="6">
        <v>0.15000000000000285</v>
      </c>
      <c r="D2196" s="6"/>
      <c r="F2196" s="7"/>
    </row>
    <row r="2197" spans="1:6" ht="23">
      <c r="A2197" s="5" t="s">
        <v>4952</v>
      </c>
      <c r="B2197" s="6">
        <v>6.7</v>
      </c>
      <c r="C2197" s="6">
        <v>0</v>
      </c>
      <c r="D2197" s="6"/>
      <c r="F2197" s="7"/>
    </row>
    <row r="2198" spans="1:6" ht="23">
      <c r="A2198" s="5" t="s">
        <v>3045</v>
      </c>
      <c r="B2198" s="6">
        <v>7.6</v>
      </c>
      <c r="C2198" s="6">
        <v>0</v>
      </c>
      <c r="D2198" s="6"/>
      <c r="F2198" s="7"/>
    </row>
    <row r="2199" spans="1:6" ht="23">
      <c r="A2199" s="5" t="s">
        <v>3969</v>
      </c>
      <c r="B2199" s="6">
        <v>7.3</v>
      </c>
      <c r="C2199" s="6">
        <v>0</v>
      </c>
      <c r="D2199" s="6"/>
      <c r="F2199" s="7"/>
    </row>
    <row r="2200" spans="1:6" ht="23">
      <c r="A2200" s="5" t="s">
        <v>4412</v>
      </c>
      <c r="B2200" s="6">
        <v>7.4</v>
      </c>
      <c r="C2200" s="6">
        <v>0</v>
      </c>
      <c r="D2200" s="6"/>
      <c r="F2200" s="7"/>
    </row>
    <row r="2201" spans="1:6" ht="23">
      <c r="A2201" s="5" t="s">
        <v>3118</v>
      </c>
      <c r="B2201" s="6">
        <v>6.05</v>
      </c>
      <c r="C2201" s="6">
        <v>0.25</v>
      </c>
      <c r="D2201" s="6"/>
      <c r="F2201" s="7"/>
    </row>
    <row r="2202" spans="1:6" ht="23">
      <c r="A2202" s="5" t="s">
        <v>1581</v>
      </c>
      <c r="B2202" s="6">
        <v>6.666666666666667</v>
      </c>
      <c r="C2202" s="6">
        <v>0.44969125210773386</v>
      </c>
      <c r="D2202" s="6"/>
      <c r="F2202" s="7"/>
    </row>
    <row r="2203" spans="1:6" ht="23">
      <c r="A2203" s="5" t="s">
        <v>7224</v>
      </c>
      <c r="B2203" s="6">
        <v>5.4</v>
      </c>
      <c r="C2203" s="6">
        <v>0</v>
      </c>
      <c r="D2203" s="6"/>
      <c r="F2203" s="7"/>
    </row>
    <row r="2204" spans="1:6" ht="23">
      <c r="A2204" s="5" t="s">
        <v>6727</v>
      </c>
      <c r="B2204" s="6">
        <v>7.2</v>
      </c>
      <c r="C2204" s="6">
        <v>0</v>
      </c>
      <c r="D2204" s="6"/>
      <c r="F2204" s="7"/>
    </row>
    <row r="2205" spans="1:6" ht="23">
      <c r="A2205" s="5" t="s">
        <v>4811</v>
      </c>
      <c r="B2205" s="6">
        <v>7.666666666666667</v>
      </c>
      <c r="C2205" s="6">
        <v>0.7586537784494074</v>
      </c>
      <c r="D2205" s="6"/>
      <c r="F2205" s="7"/>
    </row>
    <row r="2206" spans="1:6" ht="23">
      <c r="A2206" s="5" t="s">
        <v>594</v>
      </c>
      <c r="B2206" s="6">
        <v>5.833333333333333</v>
      </c>
      <c r="C2206" s="6">
        <v>0.32998316455372523</v>
      </c>
      <c r="D2206" s="6"/>
      <c r="F2206" s="7"/>
    </row>
    <row r="2207" spans="1:6" ht="23">
      <c r="A2207" s="5" t="s">
        <v>5870</v>
      </c>
      <c r="B2207" s="6">
        <v>5.7</v>
      </c>
      <c r="C2207" s="6">
        <v>0</v>
      </c>
      <c r="D2207" s="6"/>
      <c r="F2207" s="7"/>
    </row>
    <row r="2208" spans="1:6" ht="23">
      <c r="A2208" s="5" t="s">
        <v>6530</v>
      </c>
      <c r="B2208" s="6">
        <v>5.95</v>
      </c>
      <c r="C2208" s="6">
        <v>0.45000000000000062</v>
      </c>
      <c r="D2208" s="6"/>
      <c r="F2208" s="7"/>
    </row>
    <row r="2209" spans="1:6" ht="23">
      <c r="A2209" s="5" t="s">
        <v>4281</v>
      </c>
      <c r="B2209" s="6">
        <v>6.2</v>
      </c>
      <c r="C2209" s="6">
        <v>0</v>
      </c>
      <c r="D2209" s="6"/>
      <c r="F2209" s="7"/>
    </row>
    <row r="2210" spans="1:6" ht="23">
      <c r="A2210" s="5" t="s">
        <v>5927</v>
      </c>
      <c r="B2210" s="6">
        <v>6.6</v>
      </c>
      <c r="C2210" s="6">
        <v>0</v>
      </c>
      <c r="D2210" s="6"/>
      <c r="F2210" s="7"/>
    </row>
    <row r="2211" spans="1:6" ht="23">
      <c r="A2211" s="5" t="s">
        <v>68</v>
      </c>
      <c r="B2211" s="6">
        <v>7.05</v>
      </c>
      <c r="C2211" s="6">
        <v>0.6821709044346066</v>
      </c>
      <c r="D2211" s="6"/>
      <c r="F2211" s="7"/>
    </row>
    <row r="2212" spans="1:6" ht="23">
      <c r="A2212" s="5" t="s">
        <v>4936</v>
      </c>
      <c r="B2212" s="6">
        <v>6.5</v>
      </c>
      <c r="C2212" s="6">
        <v>0</v>
      </c>
      <c r="D2212" s="6"/>
      <c r="F2212" s="7"/>
    </row>
    <row r="2213" spans="1:6" ht="23">
      <c r="A2213" s="5" t="s">
        <v>2731</v>
      </c>
      <c r="B2213" s="6">
        <v>6</v>
      </c>
      <c r="C2213" s="6">
        <v>0</v>
      </c>
      <c r="D2213" s="6"/>
      <c r="F2213" s="7"/>
    </row>
    <row r="2214" spans="1:6" ht="23">
      <c r="A2214" s="5" t="s">
        <v>5799</v>
      </c>
      <c r="B2214" s="6">
        <v>5.3</v>
      </c>
      <c r="C2214" s="6">
        <v>0</v>
      </c>
      <c r="D2214" s="6"/>
      <c r="F2214" s="7"/>
    </row>
    <row r="2215" spans="1:6" ht="23">
      <c r="A2215" s="5" t="s">
        <v>1053</v>
      </c>
      <c r="B2215" s="6">
        <v>5.4399999999999995</v>
      </c>
      <c r="C2215" s="6">
        <v>0.41279534881101643</v>
      </c>
      <c r="D2215" s="6"/>
      <c r="F2215" s="7"/>
    </row>
    <row r="2216" spans="1:6" ht="23">
      <c r="A2216" s="5" t="s">
        <v>6143</v>
      </c>
      <c r="B2216" s="6">
        <v>7.1</v>
      </c>
      <c r="C2216" s="6">
        <v>0</v>
      </c>
      <c r="D2216" s="6"/>
      <c r="F2216" s="7"/>
    </row>
    <row r="2217" spans="1:6" ht="23">
      <c r="A2217" s="5" t="s">
        <v>318</v>
      </c>
      <c r="B2217" s="6">
        <v>6.75</v>
      </c>
      <c r="C2217" s="6">
        <v>4.9999999999977264E-2</v>
      </c>
      <c r="D2217" s="6"/>
      <c r="F2217" s="7"/>
    </row>
    <row r="2218" spans="1:6" ht="23">
      <c r="A2218" s="5" t="s">
        <v>2332</v>
      </c>
      <c r="B2218" s="6">
        <v>7.1999999999999993</v>
      </c>
      <c r="C2218" s="6">
        <v>0.40000000000001351</v>
      </c>
      <c r="D2218" s="6"/>
      <c r="F2218" s="7"/>
    </row>
    <row r="2219" spans="1:6" ht="23">
      <c r="A2219" s="5" t="s">
        <v>1203</v>
      </c>
      <c r="B2219" s="6">
        <v>8.1</v>
      </c>
      <c r="C2219" s="6">
        <v>0</v>
      </c>
      <c r="D2219" s="6"/>
      <c r="F2219" s="7"/>
    </row>
    <row r="2220" spans="1:6" ht="23">
      <c r="A2220" s="5" t="s">
        <v>2229</v>
      </c>
      <c r="B2220" s="6">
        <v>7.25</v>
      </c>
      <c r="C2220" s="6">
        <v>0.35000000000000325</v>
      </c>
      <c r="D2220" s="6"/>
      <c r="F2220" s="7"/>
    </row>
    <row r="2221" spans="1:6" ht="23">
      <c r="A2221" s="5" t="s">
        <v>364</v>
      </c>
      <c r="B2221" s="6">
        <v>6.05</v>
      </c>
      <c r="C2221" s="6">
        <v>0.35000000000001225</v>
      </c>
      <c r="D2221" s="6"/>
      <c r="F2221" s="7"/>
    </row>
    <row r="2222" spans="1:6" ht="23">
      <c r="A2222" s="5" t="s">
        <v>4439</v>
      </c>
      <c r="B2222" s="6">
        <v>5.8</v>
      </c>
      <c r="C2222" s="6">
        <v>0</v>
      </c>
      <c r="D2222" s="6"/>
      <c r="F2222" s="7"/>
    </row>
    <row r="2223" spans="1:6" ht="23">
      <c r="A2223" s="5" t="s">
        <v>4215</v>
      </c>
      <c r="B2223" s="6">
        <v>7.5</v>
      </c>
      <c r="C2223" s="6">
        <v>0</v>
      </c>
      <c r="D2223" s="6"/>
      <c r="F2223" s="7"/>
    </row>
    <row r="2224" spans="1:6" ht="23">
      <c r="A2224" s="5" t="s">
        <v>6302</v>
      </c>
      <c r="B2224" s="6">
        <v>3.1</v>
      </c>
      <c r="C2224" s="6">
        <v>0</v>
      </c>
      <c r="D2224" s="6"/>
      <c r="F2224" s="7"/>
    </row>
    <row r="2225" spans="1:6" ht="23">
      <c r="A2225" s="5" t="s">
        <v>578</v>
      </c>
      <c r="B2225" s="6">
        <v>6.3000000000000007</v>
      </c>
      <c r="C2225" s="6">
        <v>0.31622776601681774</v>
      </c>
      <c r="D2225" s="6"/>
      <c r="F2225" s="7"/>
    </row>
    <row r="2226" spans="1:6" ht="23">
      <c r="A2226" s="5" t="s">
        <v>3793</v>
      </c>
      <c r="B2226" s="6">
        <v>5.3</v>
      </c>
      <c r="C2226" s="6">
        <v>0</v>
      </c>
      <c r="D2226" s="6"/>
      <c r="F2226" s="7"/>
    </row>
    <row r="2227" spans="1:6" ht="23">
      <c r="A2227" s="5" t="s">
        <v>2051</v>
      </c>
      <c r="B2227" s="6">
        <v>6.4</v>
      </c>
      <c r="C2227" s="6">
        <v>0.88543774484714421</v>
      </c>
      <c r="D2227" s="6"/>
      <c r="F2227" s="7"/>
    </row>
    <row r="2228" spans="1:6" ht="23">
      <c r="A2228" s="5" t="s">
        <v>5712</v>
      </c>
      <c r="B2228" s="6">
        <v>5.7</v>
      </c>
      <c r="C2228" s="6">
        <v>0</v>
      </c>
      <c r="D2228" s="6"/>
      <c r="F2228" s="7"/>
    </row>
    <row r="2229" spans="1:6" ht="23">
      <c r="A2229" s="5" t="s">
        <v>3923</v>
      </c>
      <c r="B2229" s="6">
        <v>7.55</v>
      </c>
      <c r="C2229" s="6">
        <v>4.9999999999977264E-2</v>
      </c>
      <c r="D2229" s="6"/>
      <c r="F2229" s="7"/>
    </row>
    <row r="2230" spans="1:6" ht="23">
      <c r="A2230" s="5" t="s">
        <v>2557</v>
      </c>
      <c r="B2230" s="6">
        <v>6.0500000000000007</v>
      </c>
      <c r="C2230" s="6">
        <v>0.35000000000000325</v>
      </c>
      <c r="D2230" s="6"/>
      <c r="F2230" s="7"/>
    </row>
    <row r="2231" spans="1:6" ht="23">
      <c r="A2231" s="5" t="s">
        <v>3238</v>
      </c>
      <c r="B2231" s="6">
        <v>7.1333333333333329</v>
      </c>
      <c r="C2231" s="6">
        <v>0.18856180831642741</v>
      </c>
      <c r="D2231" s="6"/>
      <c r="F2231" s="7"/>
    </row>
    <row r="2232" spans="1:6" ht="23">
      <c r="A2232" s="5" t="s">
        <v>3531</v>
      </c>
      <c r="B2232" s="6">
        <v>4.0999999999999996</v>
      </c>
      <c r="C2232" s="6">
        <v>0</v>
      </c>
      <c r="D2232" s="6"/>
      <c r="F2232" s="7"/>
    </row>
    <row r="2233" spans="1:6" ht="23">
      <c r="A2233" s="5" t="s">
        <v>680</v>
      </c>
      <c r="B2233" s="6">
        <v>6.6571428571428575</v>
      </c>
      <c r="C2233" s="6">
        <v>0.60203735730586683</v>
      </c>
      <c r="D2233" s="6"/>
      <c r="F2233" s="7"/>
    </row>
    <row r="2234" spans="1:6" ht="23">
      <c r="A2234" s="5" t="s">
        <v>5438</v>
      </c>
      <c r="B2234" s="6">
        <v>7.2666666666666666</v>
      </c>
      <c r="C2234" s="6">
        <v>0.55577773335109948</v>
      </c>
      <c r="D2234" s="6"/>
      <c r="F2234" s="7"/>
    </row>
    <row r="2235" spans="1:6" ht="23">
      <c r="A2235" s="5" t="s">
        <v>3096</v>
      </c>
      <c r="B2235" s="6">
        <v>6.3</v>
      </c>
      <c r="C2235" s="6">
        <v>0</v>
      </c>
      <c r="D2235" s="6"/>
      <c r="F2235" s="7"/>
    </row>
    <row r="2236" spans="1:6" ht="23">
      <c r="A2236" s="5" t="s">
        <v>4473</v>
      </c>
      <c r="B2236" s="6">
        <v>3.3</v>
      </c>
      <c r="C2236" s="6">
        <v>0</v>
      </c>
      <c r="D2236" s="6"/>
      <c r="F2236" s="7"/>
    </row>
    <row r="2237" spans="1:6" ht="23">
      <c r="A2237" s="5" t="s">
        <v>1261</v>
      </c>
      <c r="B2237" s="6">
        <v>5.4666666666666659</v>
      </c>
      <c r="C2237" s="6">
        <v>0.98432153734889172</v>
      </c>
      <c r="D2237" s="6"/>
      <c r="F2237" s="7"/>
    </row>
    <row r="2238" spans="1:6" ht="23">
      <c r="A2238" s="5" t="s">
        <v>6783</v>
      </c>
      <c r="B2238" s="6">
        <v>5.8</v>
      </c>
      <c r="C2238" s="6">
        <v>0</v>
      </c>
      <c r="D2238" s="6"/>
      <c r="F2238" s="7"/>
    </row>
    <row r="2239" spans="1:6" ht="23">
      <c r="A2239" s="5" t="s">
        <v>4695</v>
      </c>
      <c r="B2239" s="6">
        <v>5.3</v>
      </c>
      <c r="C2239" s="6">
        <v>0</v>
      </c>
      <c r="D2239" s="6"/>
      <c r="F2239" s="7"/>
    </row>
    <row r="2240" spans="1:6" ht="23">
      <c r="A2240" s="5" t="s">
        <v>4914</v>
      </c>
      <c r="B2240" s="6">
        <v>7.6</v>
      </c>
      <c r="C2240" s="6">
        <v>0</v>
      </c>
      <c r="D2240" s="6"/>
      <c r="F2240" s="7"/>
    </row>
    <row r="2241" spans="1:6" ht="23">
      <c r="A2241" s="5" t="s">
        <v>4738</v>
      </c>
      <c r="B2241" s="6">
        <v>6.1</v>
      </c>
      <c r="C2241" s="6">
        <v>0</v>
      </c>
      <c r="D2241" s="6"/>
      <c r="F2241" s="7"/>
    </row>
    <row r="2242" spans="1:6" ht="23">
      <c r="A2242" s="5" t="s">
        <v>3746</v>
      </c>
      <c r="B2242" s="6">
        <v>4.5</v>
      </c>
      <c r="C2242" s="6">
        <v>0</v>
      </c>
      <c r="D2242" s="6"/>
      <c r="F2242" s="7"/>
    </row>
    <row r="2243" spans="1:6" ht="23">
      <c r="A2243" s="5" t="s">
        <v>2349</v>
      </c>
      <c r="B2243" s="6">
        <v>6.5</v>
      </c>
      <c r="C2243" s="6">
        <v>0.39999999999999575</v>
      </c>
      <c r="D2243" s="6"/>
      <c r="F2243" s="7"/>
    </row>
    <row r="2244" spans="1:6" ht="23">
      <c r="A2244" s="5" t="s">
        <v>3909</v>
      </c>
      <c r="B2244" s="6">
        <v>6.1</v>
      </c>
      <c r="C2244" s="6">
        <v>0.40000000000001351</v>
      </c>
      <c r="D2244" s="6"/>
      <c r="F2244" s="7"/>
    </row>
    <row r="2245" spans="1:6" ht="23">
      <c r="A2245" s="5" t="s">
        <v>983</v>
      </c>
      <c r="B2245" s="6">
        <v>7.7333333333333334</v>
      </c>
      <c r="C2245" s="6">
        <v>0.18856180831639394</v>
      </c>
      <c r="D2245" s="6"/>
      <c r="F2245" s="7"/>
    </row>
    <row r="2246" spans="1:6" ht="23">
      <c r="A2246" s="5" t="s">
        <v>5413</v>
      </c>
      <c r="B2246" s="6">
        <v>5.9</v>
      </c>
      <c r="C2246" s="6">
        <v>0</v>
      </c>
      <c r="D2246" s="6"/>
      <c r="F2246" s="7"/>
    </row>
    <row r="2247" spans="1:6" ht="23">
      <c r="A2247" s="5" t="s">
        <v>3067</v>
      </c>
      <c r="B2247" s="6">
        <v>7.9</v>
      </c>
      <c r="C2247" s="6">
        <v>0.19999999999999787</v>
      </c>
      <c r="D2247" s="6"/>
      <c r="F2247" s="7"/>
    </row>
    <row r="2248" spans="1:6" ht="23">
      <c r="A2248" s="5" t="s">
        <v>335</v>
      </c>
      <c r="B2248" s="6">
        <v>7.3</v>
      </c>
      <c r="C2248" s="6">
        <v>0</v>
      </c>
      <c r="D2248" s="6"/>
      <c r="F2248" s="7"/>
    </row>
    <row r="2249" spans="1:6" ht="23">
      <c r="A2249" s="5" t="s">
        <v>5729</v>
      </c>
      <c r="B2249" s="6">
        <v>5.9</v>
      </c>
      <c r="C2249" s="6">
        <v>0</v>
      </c>
      <c r="D2249" s="6"/>
      <c r="F2249" s="7"/>
    </row>
    <row r="2250" spans="1:6" ht="23">
      <c r="A2250" s="5" t="s">
        <v>7002</v>
      </c>
      <c r="B2250" s="6">
        <v>7.5</v>
      </c>
      <c r="C2250" s="6">
        <v>0</v>
      </c>
      <c r="D2250" s="6"/>
      <c r="F2250" s="7"/>
    </row>
    <row r="2251" spans="1:6" ht="23">
      <c r="A2251" s="5" t="s">
        <v>2232</v>
      </c>
      <c r="B2251" s="6">
        <v>5.7</v>
      </c>
      <c r="C2251" s="6">
        <v>0</v>
      </c>
      <c r="D2251" s="6"/>
      <c r="F2251" s="7"/>
    </row>
    <row r="2252" spans="1:6" ht="23">
      <c r="A2252" s="5" t="s">
        <v>6389</v>
      </c>
      <c r="B2252" s="6">
        <v>7.2</v>
      </c>
      <c r="C2252" s="6">
        <v>0</v>
      </c>
      <c r="D2252" s="6"/>
      <c r="F2252" s="7"/>
    </row>
    <row r="2253" spans="1:6" ht="23">
      <c r="A2253" s="5" t="s">
        <v>5769</v>
      </c>
      <c r="B2253" s="6">
        <v>5.3</v>
      </c>
      <c r="C2253" s="6">
        <v>0</v>
      </c>
      <c r="D2253" s="6"/>
      <c r="F2253" s="7"/>
    </row>
    <row r="2254" spans="1:6" ht="23">
      <c r="A2254" s="5" t="s">
        <v>6982</v>
      </c>
      <c r="B2254" s="6">
        <v>6.2</v>
      </c>
      <c r="C2254" s="6">
        <v>0</v>
      </c>
      <c r="D2254" s="6"/>
      <c r="F2254" s="7"/>
    </row>
    <row r="2255" spans="1:6" ht="23">
      <c r="A2255" s="5" t="s">
        <v>137</v>
      </c>
      <c r="B2255" s="6">
        <v>6.3142857142857149</v>
      </c>
      <c r="C2255" s="6">
        <v>0.56928168129060164</v>
      </c>
      <c r="D2255" s="6"/>
      <c r="F2255" s="7"/>
    </row>
    <row r="2256" spans="1:6" ht="23">
      <c r="A2256" s="5" t="s">
        <v>495</v>
      </c>
      <c r="B2256" s="6">
        <v>7.2200000000000006</v>
      </c>
      <c r="C2256" s="6">
        <v>0.48744230427815055</v>
      </c>
      <c r="D2256" s="6"/>
      <c r="F2256" s="7"/>
    </row>
    <row r="2257" spans="1:6" ht="23">
      <c r="A2257" s="5" t="s">
        <v>2259</v>
      </c>
      <c r="B2257" s="6">
        <v>6.3</v>
      </c>
      <c r="C2257" s="6">
        <v>0.19999999999999787</v>
      </c>
      <c r="D2257" s="6"/>
      <c r="F2257" s="7"/>
    </row>
    <row r="2258" spans="1:6" ht="23">
      <c r="A2258" s="5" t="s">
        <v>3282</v>
      </c>
      <c r="B2258" s="6">
        <v>4.8</v>
      </c>
      <c r="C2258" s="6">
        <v>0</v>
      </c>
      <c r="D2258" s="6"/>
      <c r="F2258" s="7"/>
    </row>
    <row r="2259" spans="1:6" ht="23">
      <c r="A2259" s="5" t="s">
        <v>3008</v>
      </c>
      <c r="B2259" s="6">
        <v>7.1</v>
      </c>
      <c r="C2259" s="6">
        <v>0</v>
      </c>
      <c r="D2259" s="6"/>
      <c r="F2259" s="7"/>
    </row>
    <row r="2260" spans="1:6" ht="23">
      <c r="A2260" s="5" t="s">
        <v>4789</v>
      </c>
      <c r="B2260" s="6">
        <v>7.7</v>
      </c>
      <c r="C2260" s="6">
        <v>0</v>
      </c>
      <c r="D2260" s="6"/>
      <c r="F2260" s="7"/>
    </row>
    <row r="2261" spans="1:6" ht="23">
      <c r="A2261" s="5" t="s">
        <v>3622</v>
      </c>
      <c r="B2261" s="6">
        <v>7.05</v>
      </c>
      <c r="C2261" s="6">
        <v>0.45000000000000062</v>
      </c>
      <c r="D2261" s="6"/>
      <c r="F2261" s="7"/>
    </row>
    <row r="2262" spans="1:6" ht="23">
      <c r="A2262" s="5" t="s">
        <v>5900</v>
      </c>
      <c r="B2262" s="6">
        <v>4.5999999999999996</v>
      </c>
      <c r="C2262" s="6">
        <v>0</v>
      </c>
      <c r="D2262" s="6"/>
      <c r="F2262" s="7"/>
    </row>
    <row r="2263" spans="1:6" ht="23">
      <c r="A2263" s="5" t="s">
        <v>2091</v>
      </c>
      <c r="B2263" s="6">
        <v>6.05</v>
      </c>
      <c r="C2263" s="6">
        <v>0.25</v>
      </c>
      <c r="D2263" s="6"/>
      <c r="F2263" s="7"/>
    </row>
    <row r="2264" spans="1:6" ht="23">
      <c r="A2264" s="5" t="s">
        <v>6626</v>
      </c>
      <c r="B2264" s="6">
        <v>7.1</v>
      </c>
      <c r="C2264" s="6">
        <v>0</v>
      </c>
      <c r="D2264" s="6"/>
      <c r="F2264" s="7"/>
    </row>
    <row r="2265" spans="1:6" ht="23">
      <c r="A2265" s="5" t="s">
        <v>1412</v>
      </c>
      <c r="B2265" s="6">
        <v>6.25</v>
      </c>
      <c r="C2265" s="6">
        <v>0.15000000000000285</v>
      </c>
      <c r="D2265" s="6"/>
      <c r="F2265" s="7"/>
    </row>
    <row r="2266" spans="1:6" ht="23">
      <c r="A2266" s="5" t="s">
        <v>572</v>
      </c>
      <c r="B2266" s="6">
        <v>7.5</v>
      </c>
      <c r="C2266" s="6">
        <v>0</v>
      </c>
      <c r="D2266" s="6"/>
      <c r="F2266" s="7"/>
    </row>
    <row r="2267" spans="1:6" ht="23">
      <c r="A2267" s="5" t="s">
        <v>1176</v>
      </c>
      <c r="B2267" s="6">
        <v>6.6</v>
      </c>
      <c r="C2267" s="6">
        <v>0</v>
      </c>
      <c r="D2267" s="6"/>
      <c r="F2267" s="7"/>
    </row>
    <row r="2268" spans="1:6" ht="23">
      <c r="A2268" s="5" t="s">
        <v>5890</v>
      </c>
      <c r="B2268" s="6">
        <v>5.3</v>
      </c>
      <c r="C2268" s="6">
        <v>0</v>
      </c>
      <c r="D2268" s="6"/>
      <c r="F2268" s="7"/>
    </row>
    <row r="2269" spans="1:6" ht="23">
      <c r="A2269" s="5" t="s">
        <v>355</v>
      </c>
      <c r="B2269" s="6">
        <v>6.7333333333333334</v>
      </c>
      <c r="C2269" s="6">
        <v>0.44969125210774086</v>
      </c>
      <c r="D2269" s="6"/>
      <c r="F2269" s="7"/>
    </row>
    <row r="2270" spans="1:6" ht="23">
      <c r="A2270" s="5" t="s">
        <v>2892</v>
      </c>
      <c r="B2270" s="6">
        <v>6.35</v>
      </c>
      <c r="C2270" s="6">
        <v>0.24999999999998579</v>
      </c>
      <c r="D2270" s="6"/>
      <c r="F2270" s="7"/>
    </row>
    <row r="2271" spans="1:6" ht="23">
      <c r="A2271" s="5" t="s">
        <v>3834</v>
      </c>
      <c r="B2271" s="6">
        <v>6.2</v>
      </c>
      <c r="C2271" s="6">
        <v>0</v>
      </c>
      <c r="D2271" s="6"/>
      <c r="F2271" s="7"/>
    </row>
    <row r="2272" spans="1:6" ht="23">
      <c r="A2272" s="5" t="s">
        <v>4435</v>
      </c>
      <c r="B2272" s="6">
        <v>8.4499999999999993</v>
      </c>
      <c r="C2272" s="6">
        <v>0.15000000000007391</v>
      </c>
      <c r="D2272" s="6"/>
      <c r="F2272" s="7"/>
    </row>
    <row r="2273" spans="1:6" ht="23">
      <c r="A2273" s="5" t="s">
        <v>6187</v>
      </c>
      <c r="B2273" s="6">
        <v>5.3</v>
      </c>
      <c r="C2273" s="6">
        <v>0</v>
      </c>
      <c r="D2273" s="6"/>
      <c r="F2273" s="7"/>
    </row>
    <row r="2274" spans="1:6" ht="23">
      <c r="A2274" s="5" t="s">
        <v>4921</v>
      </c>
      <c r="B2274" s="6">
        <v>6.2</v>
      </c>
      <c r="C2274" s="6">
        <v>0</v>
      </c>
      <c r="D2274" s="6"/>
      <c r="F2274" s="7"/>
    </row>
    <row r="2275" spans="1:6" ht="23">
      <c r="A2275" s="5" t="s">
        <v>4843</v>
      </c>
      <c r="B2275" s="6">
        <v>6.4</v>
      </c>
      <c r="C2275" s="6">
        <v>0.39999999999998687</v>
      </c>
      <c r="D2275" s="6"/>
      <c r="F2275" s="7"/>
    </row>
    <row r="2276" spans="1:6" ht="23">
      <c r="A2276" s="5" t="s">
        <v>464</v>
      </c>
      <c r="B2276" s="6">
        <v>6.791666666666667</v>
      </c>
      <c r="C2276" s="6">
        <v>0.68124681446757729</v>
      </c>
      <c r="D2276" s="6"/>
      <c r="F2276" s="7"/>
    </row>
    <row r="2277" spans="1:6" ht="23">
      <c r="A2277" s="5" t="s">
        <v>3439</v>
      </c>
      <c r="B2277" s="6">
        <v>5.5</v>
      </c>
      <c r="C2277" s="6">
        <v>0</v>
      </c>
      <c r="D2277" s="6"/>
      <c r="F2277" s="7"/>
    </row>
    <row r="2278" spans="1:6" ht="23">
      <c r="A2278" s="5" t="s">
        <v>7101</v>
      </c>
      <c r="B2278" s="6">
        <v>4.2</v>
      </c>
      <c r="C2278" s="6">
        <v>0</v>
      </c>
      <c r="D2278" s="6"/>
      <c r="F2278" s="7"/>
    </row>
    <row r="2279" spans="1:6" ht="23">
      <c r="A2279" s="5" t="s">
        <v>7175</v>
      </c>
      <c r="B2279" s="6">
        <v>3.25</v>
      </c>
      <c r="C2279" s="6">
        <v>5.0000000000012791E-2</v>
      </c>
      <c r="D2279" s="6"/>
      <c r="F2279" s="7"/>
    </row>
    <row r="2280" spans="1:6" ht="23">
      <c r="A2280" s="5" t="s">
        <v>6703</v>
      </c>
      <c r="B2280" s="6">
        <v>3.9</v>
      </c>
      <c r="C2280" s="6">
        <v>0</v>
      </c>
      <c r="D2280" s="6"/>
      <c r="F2280" s="7"/>
    </row>
    <row r="2281" spans="1:6" ht="23">
      <c r="A2281" s="5" t="s">
        <v>6232</v>
      </c>
      <c r="B2281" s="6">
        <v>3.7</v>
      </c>
      <c r="C2281" s="6">
        <v>0</v>
      </c>
      <c r="D2281" s="6"/>
      <c r="F2281" s="7"/>
    </row>
    <row r="2282" spans="1:6" ht="23">
      <c r="A2282" s="5" t="s">
        <v>3499</v>
      </c>
      <c r="B2282" s="6">
        <v>3.1</v>
      </c>
      <c r="C2282" s="6">
        <v>0</v>
      </c>
      <c r="D2282" s="6"/>
      <c r="F2282" s="7"/>
    </row>
    <row r="2283" spans="1:6" ht="23">
      <c r="A2283" s="5" t="s">
        <v>2991</v>
      </c>
      <c r="B2283" s="6">
        <v>7.0666666666666664</v>
      </c>
      <c r="C2283" s="6">
        <v>0.65996632910744568</v>
      </c>
      <c r="D2283" s="6"/>
      <c r="F2283" s="7"/>
    </row>
    <row r="2284" spans="1:6" ht="23">
      <c r="A2284" s="5" t="s">
        <v>4759</v>
      </c>
      <c r="B2284" s="6">
        <v>7.1</v>
      </c>
      <c r="C2284" s="6">
        <v>0.80000000000000038</v>
      </c>
      <c r="D2284" s="6"/>
      <c r="F2284" s="7"/>
    </row>
    <row r="2285" spans="1:6" ht="23">
      <c r="A2285" s="5" t="s">
        <v>2365</v>
      </c>
      <c r="B2285" s="6">
        <v>3.4</v>
      </c>
      <c r="C2285" s="6">
        <v>0</v>
      </c>
      <c r="D2285" s="6"/>
      <c r="F2285" s="7"/>
    </row>
    <row r="2286" spans="1:6" ht="23">
      <c r="A2286" s="5" t="s">
        <v>2743</v>
      </c>
      <c r="B2286" s="6">
        <v>5.6</v>
      </c>
      <c r="C2286" s="6">
        <v>0</v>
      </c>
      <c r="D2286" s="6"/>
      <c r="F2286" s="7"/>
    </row>
    <row r="2287" spans="1:6" ht="23">
      <c r="A2287" s="5" t="s">
        <v>4408</v>
      </c>
      <c r="B2287" s="6">
        <v>5.9</v>
      </c>
      <c r="C2287" s="6">
        <v>0</v>
      </c>
      <c r="D2287" s="6"/>
      <c r="F2287" s="7"/>
    </row>
    <row r="2288" spans="1:6" ht="23">
      <c r="A2288" s="5" t="s">
        <v>3859</v>
      </c>
      <c r="B2288" s="6">
        <v>7.1</v>
      </c>
      <c r="C2288" s="6">
        <v>0</v>
      </c>
      <c r="D2288" s="6"/>
      <c r="F2288" s="7"/>
    </row>
    <row r="2289" spans="1:6" ht="23">
      <c r="A2289" s="5" t="s">
        <v>6347</v>
      </c>
      <c r="B2289" s="6">
        <v>5.2</v>
      </c>
      <c r="C2289" s="6">
        <v>0</v>
      </c>
      <c r="D2289" s="6"/>
      <c r="F2289" s="7"/>
    </row>
    <row r="2290" spans="1:6" ht="23">
      <c r="A2290" s="5" t="s">
        <v>2669</v>
      </c>
      <c r="B2290" s="6">
        <v>4.9000000000000004</v>
      </c>
      <c r="C2290" s="6">
        <v>0.62716292407422503</v>
      </c>
      <c r="D2290" s="6"/>
      <c r="F2290" s="7"/>
    </row>
    <row r="2291" spans="1:6" ht="23">
      <c r="A2291" s="5" t="s">
        <v>6732</v>
      </c>
      <c r="B2291" s="6">
        <v>7.2</v>
      </c>
      <c r="C2291" s="6">
        <v>0</v>
      </c>
      <c r="D2291" s="6"/>
      <c r="F2291" s="7"/>
    </row>
    <row r="2292" spans="1:6" ht="23">
      <c r="A2292" s="5" t="s">
        <v>3643</v>
      </c>
      <c r="B2292" s="6">
        <v>6.8</v>
      </c>
      <c r="C2292" s="6">
        <v>0</v>
      </c>
      <c r="D2292" s="6"/>
      <c r="F2292" s="7"/>
    </row>
    <row r="2293" spans="1:6" ht="23">
      <c r="A2293" s="5" t="s">
        <v>2957</v>
      </c>
      <c r="B2293" s="6">
        <v>6.5500000000000007</v>
      </c>
      <c r="C2293" s="6">
        <v>0.84999999999999376</v>
      </c>
      <c r="D2293" s="6"/>
      <c r="F2293" s="7"/>
    </row>
    <row r="2294" spans="1:6" ht="23">
      <c r="A2294" s="5" t="s">
        <v>1869</v>
      </c>
      <c r="B2294" s="6">
        <v>6.3</v>
      </c>
      <c r="C2294" s="6">
        <v>0</v>
      </c>
      <c r="D2294" s="6"/>
      <c r="F2294" s="7"/>
    </row>
    <row r="2295" spans="1:6" ht="23">
      <c r="A2295" s="5" t="s">
        <v>1195</v>
      </c>
      <c r="B2295" s="6">
        <v>3.72</v>
      </c>
      <c r="C2295" s="6">
        <v>1.3804347141389917</v>
      </c>
      <c r="D2295" s="6"/>
      <c r="F2295" s="7"/>
    </row>
    <row r="2296" spans="1:6" ht="23">
      <c r="A2296" s="5" t="s">
        <v>3543</v>
      </c>
      <c r="B2296" s="6">
        <v>7</v>
      </c>
      <c r="C2296" s="6">
        <v>0.59999999999999953</v>
      </c>
      <c r="D2296" s="6"/>
      <c r="F2296" s="7"/>
    </row>
    <row r="2297" spans="1:6" ht="23">
      <c r="A2297" s="5" t="s">
        <v>4584</v>
      </c>
      <c r="B2297" s="6">
        <v>5.0999999999999996</v>
      </c>
      <c r="C2297" s="6">
        <v>0</v>
      </c>
      <c r="D2297" s="6"/>
      <c r="F2297" s="7"/>
    </row>
    <row r="2298" spans="1:6" ht="23">
      <c r="A2298" s="5" t="s">
        <v>6174</v>
      </c>
      <c r="B2298" s="6">
        <v>6.3</v>
      </c>
      <c r="C2298" s="6">
        <v>0</v>
      </c>
      <c r="D2298" s="6"/>
      <c r="F2298" s="7"/>
    </row>
    <row r="2299" spans="1:6" ht="23">
      <c r="A2299" s="5" t="s">
        <v>3350</v>
      </c>
      <c r="B2299" s="6">
        <v>3.1</v>
      </c>
      <c r="C2299" s="6">
        <v>0</v>
      </c>
      <c r="D2299" s="6"/>
      <c r="F2299" s="7"/>
    </row>
    <row r="2300" spans="1:6" ht="23">
      <c r="A2300" s="5" t="s">
        <v>4564</v>
      </c>
      <c r="B2300" s="6">
        <v>7.1</v>
      </c>
      <c r="C2300" s="6">
        <v>0.10000000000002558</v>
      </c>
      <c r="D2300" s="6"/>
      <c r="F2300" s="7"/>
    </row>
    <row r="2301" spans="1:6" ht="23">
      <c r="A2301" s="5" t="s">
        <v>3614</v>
      </c>
      <c r="B2301" s="6">
        <v>6.2</v>
      </c>
      <c r="C2301" s="6">
        <v>0</v>
      </c>
      <c r="D2301" s="6"/>
      <c r="F2301" s="7"/>
    </row>
    <row r="2302" spans="1:6" ht="23">
      <c r="A2302" s="5" t="s">
        <v>3797</v>
      </c>
      <c r="B2302" s="6">
        <v>5.3</v>
      </c>
      <c r="C2302" s="6">
        <v>0</v>
      </c>
      <c r="D2302" s="6"/>
      <c r="F2302" s="7"/>
    </row>
    <row r="2303" spans="1:6" ht="23">
      <c r="A2303" s="5" t="s">
        <v>5373</v>
      </c>
      <c r="B2303" s="6">
        <v>4.4000000000000004</v>
      </c>
      <c r="C2303" s="6">
        <v>0</v>
      </c>
      <c r="D2303" s="6"/>
      <c r="F2303" s="7"/>
    </row>
    <row r="2304" spans="1:6" ht="23">
      <c r="A2304" s="5" t="s">
        <v>5589</v>
      </c>
      <c r="B2304" s="6">
        <v>7.7666666666666657</v>
      </c>
      <c r="C2304" s="6">
        <v>0.54365021434334471</v>
      </c>
      <c r="D2304" s="6"/>
      <c r="F2304" s="7"/>
    </row>
    <row r="2305" spans="1:6" ht="23">
      <c r="A2305" s="5" t="s">
        <v>5864</v>
      </c>
      <c r="B2305" s="6">
        <v>7.15</v>
      </c>
      <c r="C2305" s="6">
        <v>4.9999999999977264E-2</v>
      </c>
      <c r="D2305" s="6"/>
      <c r="F2305" s="7"/>
    </row>
    <row r="2306" spans="1:6" ht="23">
      <c r="A2306" s="5" t="s">
        <v>2701</v>
      </c>
      <c r="B2306" s="6">
        <v>6.333333333333333</v>
      </c>
      <c r="C2306" s="6">
        <v>0.71336448530108421</v>
      </c>
      <c r="D2306" s="6"/>
      <c r="F2306" s="7"/>
    </row>
    <row r="2307" spans="1:6" ht="23">
      <c r="A2307" s="5" t="s">
        <v>3881</v>
      </c>
      <c r="B2307" s="6">
        <v>5.7</v>
      </c>
      <c r="C2307" s="6">
        <v>0</v>
      </c>
      <c r="D2307" s="6"/>
      <c r="F2307" s="7"/>
    </row>
    <row r="2308" spans="1:6" ht="23">
      <c r="A2308" s="5" t="s">
        <v>6176</v>
      </c>
      <c r="B2308" s="6">
        <v>5.0999999999999996</v>
      </c>
      <c r="C2308" s="6">
        <v>0</v>
      </c>
      <c r="D2308" s="6"/>
      <c r="F2308" s="7"/>
    </row>
    <row r="2309" spans="1:6" ht="23">
      <c r="A2309" s="5" t="s">
        <v>4503</v>
      </c>
      <c r="B2309" s="6">
        <v>6.25</v>
      </c>
      <c r="C2309" s="6">
        <v>1.25</v>
      </c>
      <c r="D2309" s="6"/>
      <c r="F2309" s="7"/>
    </row>
    <row r="2310" spans="1:6" ht="23">
      <c r="A2310" s="5" t="s">
        <v>4864</v>
      </c>
      <c r="B2310" s="6">
        <v>8</v>
      </c>
      <c r="C2310" s="6">
        <v>0</v>
      </c>
      <c r="D2310" s="6"/>
      <c r="F2310" s="7"/>
    </row>
    <row r="2311" spans="1:6" ht="23">
      <c r="A2311" s="5" t="s">
        <v>743</v>
      </c>
      <c r="B2311" s="6">
        <v>7</v>
      </c>
      <c r="C2311" s="6">
        <v>0</v>
      </c>
      <c r="D2311" s="6"/>
      <c r="F2311" s="7"/>
    </row>
    <row r="2312" spans="1:6" ht="23">
      <c r="A2312" s="5" t="s">
        <v>5604</v>
      </c>
      <c r="B2312" s="6">
        <v>7.1</v>
      </c>
      <c r="C2312" s="6">
        <v>0</v>
      </c>
      <c r="D2312" s="6"/>
      <c r="F2312" s="7"/>
    </row>
    <row r="2313" spans="1:6" ht="23">
      <c r="A2313" s="5" t="s">
        <v>2398</v>
      </c>
      <c r="B2313" s="6">
        <v>6.55</v>
      </c>
      <c r="C2313" s="6">
        <v>0.55901699437494745</v>
      </c>
      <c r="D2313" s="6"/>
      <c r="F2313" s="7"/>
    </row>
    <row r="2314" spans="1:6" ht="23">
      <c r="A2314" s="5" t="s">
        <v>4704</v>
      </c>
      <c r="B2314" s="6">
        <v>7.3</v>
      </c>
      <c r="C2314" s="6">
        <v>0</v>
      </c>
      <c r="D2314" s="6"/>
      <c r="F2314" s="7"/>
    </row>
    <row r="2315" spans="1:6" ht="23">
      <c r="A2315" s="5" t="s">
        <v>6528</v>
      </c>
      <c r="B2315" s="6">
        <v>4.8</v>
      </c>
      <c r="C2315" s="6">
        <v>0</v>
      </c>
      <c r="D2315" s="6"/>
      <c r="F2315" s="7"/>
    </row>
    <row r="2316" spans="1:6" ht="23">
      <c r="A2316" s="5" t="s">
        <v>4967</v>
      </c>
      <c r="B2316" s="6">
        <v>5.3</v>
      </c>
      <c r="C2316" s="6">
        <v>0</v>
      </c>
      <c r="D2316" s="6"/>
      <c r="F2316" s="7"/>
    </row>
    <row r="2317" spans="1:6" ht="23">
      <c r="A2317" s="5" t="s">
        <v>4693</v>
      </c>
      <c r="B2317" s="6">
        <v>2.1</v>
      </c>
      <c r="C2317" s="6">
        <v>0</v>
      </c>
      <c r="D2317" s="6"/>
      <c r="F2317" s="7"/>
    </row>
    <row r="2318" spans="1:6" ht="23">
      <c r="A2318" s="5" t="s">
        <v>6191</v>
      </c>
      <c r="B2318" s="6">
        <v>3.4</v>
      </c>
      <c r="C2318" s="6">
        <v>0</v>
      </c>
      <c r="D2318" s="6"/>
      <c r="F2318" s="7"/>
    </row>
    <row r="2319" spans="1:6" ht="23">
      <c r="A2319" s="5" t="s">
        <v>7142</v>
      </c>
      <c r="B2319" s="6">
        <v>6.8</v>
      </c>
      <c r="C2319" s="6">
        <v>0</v>
      </c>
      <c r="D2319" s="6"/>
      <c r="F2319" s="7"/>
    </row>
    <row r="2320" spans="1:6" ht="23">
      <c r="A2320" s="5" t="s">
        <v>4149</v>
      </c>
      <c r="B2320" s="6">
        <v>5.4</v>
      </c>
      <c r="C2320" s="6">
        <v>0</v>
      </c>
      <c r="D2320" s="6"/>
      <c r="F2320" s="7"/>
    </row>
    <row r="2321" spans="1:6" ht="23">
      <c r="A2321" s="5" t="s">
        <v>545</v>
      </c>
      <c r="B2321" s="6">
        <v>6.3</v>
      </c>
      <c r="C2321" s="6">
        <v>0</v>
      </c>
      <c r="D2321" s="6"/>
      <c r="F2321" s="7"/>
    </row>
    <row r="2322" spans="1:6" ht="23">
      <c r="A2322" s="5" t="s">
        <v>581</v>
      </c>
      <c r="B2322" s="6">
        <v>5.6750000000000007</v>
      </c>
      <c r="C2322" s="6">
        <v>0.52618912949622676</v>
      </c>
      <c r="D2322" s="6"/>
      <c r="F2322" s="7"/>
    </row>
    <row r="2323" spans="1:6" ht="23">
      <c r="A2323" s="5" t="s">
        <v>1180</v>
      </c>
      <c r="B2323" s="6">
        <v>5.9250000000000007</v>
      </c>
      <c r="C2323" s="6">
        <v>0.82575722824567743</v>
      </c>
      <c r="D2323" s="6"/>
      <c r="F2323" s="7"/>
    </row>
    <row r="2324" spans="1:6" ht="23">
      <c r="A2324" s="5" t="s">
        <v>5424</v>
      </c>
      <c r="B2324" s="6">
        <v>6.8</v>
      </c>
      <c r="C2324" s="6">
        <v>0.30000000000000571</v>
      </c>
      <c r="D2324" s="6"/>
      <c r="F2324" s="7"/>
    </row>
    <row r="2325" spans="1:6" ht="23">
      <c r="A2325" s="5" t="s">
        <v>2569</v>
      </c>
      <c r="B2325" s="6">
        <v>6.7</v>
      </c>
      <c r="C2325" s="6">
        <v>0</v>
      </c>
      <c r="D2325" s="6"/>
      <c r="F2325" s="7"/>
    </row>
    <row r="2326" spans="1:6" ht="23">
      <c r="A2326" s="5" t="s">
        <v>1187</v>
      </c>
      <c r="B2326" s="6">
        <v>6.5666666666666664</v>
      </c>
      <c r="C2326" s="6">
        <v>1.0338708279513884</v>
      </c>
      <c r="D2326" s="6"/>
      <c r="F2326" s="7"/>
    </row>
    <row r="2327" spans="1:6" ht="23">
      <c r="A2327" s="5" t="s">
        <v>6995</v>
      </c>
      <c r="B2327" s="6">
        <v>6.5</v>
      </c>
      <c r="C2327" s="6">
        <v>0</v>
      </c>
      <c r="D2327" s="6"/>
      <c r="F2327" s="7"/>
    </row>
    <row r="2328" spans="1:6" ht="23">
      <c r="A2328" s="5" t="s">
        <v>1536</v>
      </c>
      <c r="B2328" s="6">
        <v>6.8</v>
      </c>
      <c r="C2328" s="6">
        <v>0.57154760664940807</v>
      </c>
      <c r="D2328" s="6"/>
      <c r="F2328" s="7"/>
    </row>
    <row r="2329" spans="1:6" ht="23">
      <c r="A2329" s="5" t="s">
        <v>5648</v>
      </c>
      <c r="B2329" s="6">
        <v>4.7</v>
      </c>
      <c r="C2329" s="6">
        <v>0</v>
      </c>
      <c r="D2329" s="6"/>
      <c r="F2329" s="7"/>
    </row>
    <row r="2330" spans="1:6" ht="23">
      <c r="A2330" s="5" t="s">
        <v>6819</v>
      </c>
      <c r="B2330" s="6">
        <v>4</v>
      </c>
      <c r="C2330" s="6">
        <v>0</v>
      </c>
      <c r="D2330" s="6"/>
      <c r="F2330" s="7"/>
    </row>
    <row r="2331" spans="1:6" ht="23">
      <c r="A2331" s="5" t="s">
        <v>3629</v>
      </c>
      <c r="B2331" s="6">
        <v>5.9</v>
      </c>
      <c r="C2331" s="6">
        <v>0</v>
      </c>
      <c r="D2331" s="6"/>
      <c r="F2331" s="7"/>
    </row>
    <row r="2332" spans="1:6" ht="23">
      <c r="A2332" s="5" t="s">
        <v>3514</v>
      </c>
      <c r="B2332" s="6">
        <v>7.2</v>
      </c>
      <c r="C2332" s="6">
        <v>0.19999999999999787</v>
      </c>
      <c r="D2332" s="6"/>
      <c r="F2332" s="7"/>
    </row>
    <row r="2333" spans="1:6" ht="23">
      <c r="A2333" s="5" t="s">
        <v>3278</v>
      </c>
      <c r="B2333" s="6">
        <v>5.8</v>
      </c>
      <c r="C2333" s="6">
        <v>0</v>
      </c>
      <c r="D2333" s="6"/>
      <c r="F2333" s="7"/>
    </row>
    <row r="2334" spans="1:6" ht="23">
      <c r="A2334" s="5" t="s">
        <v>1248</v>
      </c>
      <c r="B2334" s="6">
        <v>6.0200000000000005</v>
      </c>
      <c r="C2334" s="6">
        <v>0.47916594202842372</v>
      </c>
      <c r="D2334" s="6"/>
      <c r="F2334" s="7"/>
    </row>
    <row r="2335" spans="1:6" ht="23">
      <c r="A2335" s="5" t="s">
        <v>2823</v>
      </c>
      <c r="B2335" s="6">
        <v>7</v>
      </c>
      <c r="C2335" s="6">
        <v>0.30000000000000571</v>
      </c>
      <c r="D2335" s="6"/>
      <c r="F2335" s="7"/>
    </row>
    <row r="2336" spans="1:6" ht="23">
      <c r="A2336" s="5" t="s">
        <v>1473</v>
      </c>
      <c r="B2336" s="6">
        <v>7.6285714285714281</v>
      </c>
      <c r="C2336" s="6">
        <v>0.31036515689142818</v>
      </c>
      <c r="D2336" s="6"/>
      <c r="F2336" s="7"/>
    </row>
    <row r="2337" spans="1:6" ht="23">
      <c r="A2337" s="5" t="s">
        <v>1080</v>
      </c>
      <c r="B2337" s="6">
        <v>6.6</v>
      </c>
      <c r="C2337" s="6">
        <v>0.20000000000001564</v>
      </c>
      <c r="D2337" s="6"/>
      <c r="F2337" s="7"/>
    </row>
    <row r="2338" spans="1:6" ht="23">
      <c r="A2338" s="5" t="s">
        <v>1739</v>
      </c>
      <c r="B2338" s="6">
        <v>5.9700000000000006</v>
      </c>
      <c r="C2338" s="6">
        <v>0.95294281045611517</v>
      </c>
      <c r="D2338" s="6"/>
      <c r="F2338" s="7"/>
    </row>
    <row r="2339" spans="1:6" ht="23">
      <c r="A2339" s="5" t="s">
        <v>5793</v>
      </c>
      <c r="B2339" s="6">
        <v>6.6</v>
      </c>
      <c r="C2339" s="6">
        <v>0.90000000000000524</v>
      </c>
      <c r="D2339" s="6"/>
      <c r="F2339" s="7"/>
    </row>
    <row r="2340" spans="1:6" ht="23">
      <c r="A2340" s="5" t="s">
        <v>3789</v>
      </c>
      <c r="B2340" s="6">
        <v>5.6</v>
      </c>
      <c r="C2340" s="6">
        <v>0</v>
      </c>
      <c r="D2340" s="6"/>
      <c r="F2340" s="7"/>
    </row>
    <row r="2341" spans="1:6" ht="23">
      <c r="A2341" s="5" t="s">
        <v>5811</v>
      </c>
      <c r="B2341" s="6">
        <v>5.3</v>
      </c>
      <c r="C2341" s="6">
        <v>0</v>
      </c>
      <c r="D2341" s="6"/>
      <c r="F2341" s="7"/>
    </row>
    <row r="2342" spans="1:6" ht="23">
      <c r="A2342" s="5" t="s">
        <v>427</v>
      </c>
      <c r="B2342" s="6">
        <v>5.5</v>
      </c>
      <c r="C2342" s="6">
        <v>9.9999999999990055E-2</v>
      </c>
      <c r="D2342" s="6"/>
      <c r="F2342" s="7"/>
    </row>
    <row r="2343" spans="1:6" ht="23">
      <c r="A2343" s="5" t="s">
        <v>1003</v>
      </c>
      <c r="B2343" s="6">
        <v>6.3</v>
      </c>
      <c r="C2343" s="6">
        <v>0.80415587212099138</v>
      </c>
      <c r="D2343" s="6"/>
      <c r="F2343" s="7"/>
    </row>
    <row r="2344" spans="1:6" ht="23">
      <c r="A2344" s="5" t="s">
        <v>2400</v>
      </c>
      <c r="B2344" s="6">
        <v>4.5999999999999996</v>
      </c>
      <c r="C2344" s="6">
        <v>0</v>
      </c>
      <c r="D2344" s="6"/>
      <c r="F2344" s="7"/>
    </row>
    <row r="2345" spans="1:6" ht="23">
      <c r="A2345" s="5" t="s">
        <v>3397</v>
      </c>
      <c r="B2345" s="6">
        <v>5</v>
      </c>
      <c r="C2345" s="6">
        <v>0</v>
      </c>
      <c r="D2345" s="6"/>
      <c r="F2345" s="7"/>
    </row>
    <row r="2346" spans="1:6" ht="23">
      <c r="A2346" s="5" t="s">
        <v>4283</v>
      </c>
      <c r="B2346" s="6">
        <v>5.0999999999999996</v>
      </c>
      <c r="C2346" s="6">
        <v>0</v>
      </c>
      <c r="D2346" s="6"/>
      <c r="F2346" s="7"/>
    </row>
    <row r="2347" spans="1:6" ht="23">
      <c r="A2347" s="5" t="s">
        <v>5497</v>
      </c>
      <c r="B2347" s="6">
        <v>5.4</v>
      </c>
      <c r="C2347" s="6">
        <v>0</v>
      </c>
      <c r="D2347" s="6"/>
      <c r="F2347" s="7"/>
    </row>
    <row r="2348" spans="1:6" ht="23">
      <c r="A2348" s="5" t="s">
        <v>3627</v>
      </c>
      <c r="B2348" s="6">
        <v>6.5</v>
      </c>
      <c r="C2348" s="6">
        <v>0</v>
      </c>
      <c r="D2348" s="6"/>
      <c r="F2348" s="7"/>
    </row>
    <row r="2349" spans="1:6" ht="23">
      <c r="A2349" s="5" t="s">
        <v>3120</v>
      </c>
      <c r="B2349" s="6">
        <v>5.1000000000000005</v>
      </c>
      <c r="C2349" s="6">
        <v>0.73484692283495234</v>
      </c>
      <c r="D2349" s="6"/>
      <c r="F2349" s="7"/>
    </row>
    <row r="2350" spans="1:6" ht="23">
      <c r="A2350" s="5" t="s">
        <v>6308</v>
      </c>
      <c r="B2350" s="6">
        <v>7.7</v>
      </c>
      <c r="C2350" s="6">
        <v>0</v>
      </c>
      <c r="D2350" s="6"/>
      <c r="F2350" s="7"/>
    </row>
    <row r="2351" spans="1:6" ht="23">
      <c r="A2351" s="5" t="s">
        <v>4077</v>
      </c>
      <c r="B2351" s="6">
        <v>5.6</v>
      </c>
      <c r="C2351" s="6">
        <v>1.4000000000000015</v>
      </c>
      <c r="D2351" s="6"/>
      <c r="F2351" s="7"/>
    </row>
    <row r="2352" spans="1:6" ht="23">
      <c r="A2352" s="5" t="s">
        <v>7162</v>
      </c>
      <c r="B2352" s="6">
        <v>6.1</v>
      </c>
      <c r="C2352" s="6">
        <v>0</v>
      </c>
      <c r="D2352" s="6"/>
      <c r="F2352" s="7"/>
    </row>
    <row r="2353" spans="1:6" ht="23">
      <c r="A2353" s="5" t="s">
        <v>1278</v>
      </c>
      <c r="B2353" s="6">
        <v>6.8833333333333337</v>
      </c>
      <c r="C2353" s="6">
        <v>1.0605292179955357</v>
      </c>
      <c r="D2353" s="6"/>
      <c r="F2353" s="7"/>
    </row>
    <row r="2354" spans="1:6" ht="23">
      <c r="A2354" s="5" t="s">
        <v>6723</v>
      </c>
      <c r="B2354" s="6">
        <v>7.1</v>
      </c>
      <c r="C2354" s="6">
        <v>0.10000000000002558</v>
      </c>
      <c r="D2354" s="6"/>
      <c r="F2354" s="7"/>
    </row>
    <row r="2355" spans="1:6" ht="23">
      <c r="A2355" s="5" t="s">
        <v>5366</v>
      </c>
      <c r="B2355" s="6">
        <v>7.5</v>
      </c>
      <c r="C2355" s="6">
        <v>0</v>
      </c>
      <c r="D2355" s="6"/>
      <c r="F2355" s="7"/>
    </row>
    <row r="2356" spans="1:6" ht="23">
      <c r="A2356" s="5" t="s">
        <v>5128</v>
      </c>
      <c r="B2356" s="6">
        <v>5.3000000000000007</v>
      </c>
      <c r="C2356" s="6">
        <v>9.9999999999972292E-2</v>
      </c>
      <c r="D2356" s="6"/>
      <c r="F2356" s="7"/>
    </row>
    <row r="2357" spans="1:6" ht="23">
      <c r="A2357" s="5" t="s">
        <v>1871</v>
      </c>
      <c r="B2357" s="6">
        <v>4.4499999999999993</v>
      </c>
      <c r="C2357" s="6">
        <v>1.1500000000000006</v>
      </c>
      <c r="D2357" s="6"/>
      <c r="F2357" s="7"/>
    </row>
    <row r="2358" spans="1:6" ht="23">
      <c r="A2358" s="5" t="s">
        <v>4570</v>
      </c>
      <c r="B2358" s="6">
        <v>6.5</v>
      </c>
      <c r="C2358" s="6">
        <v>0</v>
      </c>
      <c r="D2358" s="6"/>
      <c r="F2358" s="7"/>
    </row>
    <row r="2359" spans="1:6" ht="23">
      <c r="A2359" s="5" t="s">
        <v>5163</v>
      </c>
      <c r="B2359" s="6">
        <v>3.4</v>
      </c>
      <c r="C2359" s="6">
        <v>0</v>
      </c>
      <c r="D2359" s="6"/>
      <c r="F2359" s="7"/>
    </row>
    <row r="2360" spans="1:6" ht="23">
      <c r="A2360" s="5" t="s">
        <v>2311</v>
      </c>
      <c r="B2360" s="6">
        <v>5.4</v>
      </c>
      <c r="C2360" s="6">
        <v>0</v>
      </c>
      <c r="D2360" s="6"/>
      <c r="F2360" s="7"/>
    </row>
    <row r="2361" spans="1:6" ht="23">
      <c r="A2361" s="5" t="s">
        <v>5985</v>
      </c>
      <c r="B2361" s="6">
        <v>8.1</v>
      </c>
      <c r="C2361" s="6">
        <v>0</v>
      </c>
      <c r="D2361" s="6"/>
      <c r="F2361" s="7"/>
    </row>
    <row r="2362" spans="1:6" ht="23">
      <c r="A2362" s="5" t="s">
        <v>2004</v>
      </c>
      <c r="B2362" s="6">
        <v>7.2</v>
      </c>
      <c r="C2362" s="6">
        <v>0</v>
      </c>
      <c r="D2362" s="6"/>
      <c r="F2362" s="7"/>
    </row>
    <row r="2363" spans="1:6" ht="23">
      <c r="A2363" s="5" t="s">
        <v>5023</v>
      </c>
      <c r="B2363" s="6">
        <v>7.7</v>
      </c>
      <c r="C2363" s="6">
        <v>0</v>
      </c>
      <c r="D2363" s="6"/>
      <c r="F2363" s="7"/>
    </row>
    <row r="2364" spans="1:6" ht="23">
      <c r="A2364" s="5" t="s">
        <v>191</v>
      </c>
      <c r="B2364" s="6">
        <v>6.8571428571428568</v>
      </c>
      <c r="C2364" s="6">
        <v>0.83299312783504287</v>
      </c>
      <c r="D2364" s="6"/>
      <c r="F2364" s="7"/>
    </row>
    <row r="2365" spans="1:6" ht="23">
      <c r="A2365" s="5" t="s">
        <v>4697</v>
      </c>
      <c r="B2365" s="6">
        <v>7.2</v>
      </c>
      <c r="C2365" s="6">
        <v>0</v>
      </c>
      <c r="D2365" s="6"/>
      <c r="F2365" s="7"/>
    </row>
    <row r="2366" spans="1:6" ht="23">
      <c r="A2366" s="5" t="s">
        <v>2304</v>
      </c>
      <c r="B2366" s="6">
        <v>7.0090909090909088</v>
      </c>
      <c r="C2366" s="6">
        <v>0.51690432639381401</v>
      </c>
      <c r="D2366" s="6"/>
      <c r="F2366" s="7"/>
    </row>
    <row r="2367" spans="1:6" ht="23">
      <c r="A2367" s="5" t="s">
        <v>930</v>
      </c>
      <c r="B2367" s="6">
        <v>3.6</v>
      </c>
      <c r="C2367" s="6">
        <v>0</v>
      </c>
      <c r="D2367" s="6"/>
      <c r="F2367" s="7"/>
    </row>
    <row r="2368" spans="1:6" ht="23">
      <c r="A2368" s="5" t="s">
        <v>5311</v>
      </c>
      <c r="B2368" s="6">
        <v>7.2</v>
      </c>
      <c r="C2368" s="6">
        <v>0</v>
      </c>
      <c r="D2368" s="6"/>
      <c r="F2368" s="7"/>
    </row>
    <row r="2369" spans="1:6" ht="23">
      <c r="A2369" s="5" t="s">
        <v>3459</v>
      </c>
      <c r="B2369" s="6">
        <v>6.05</v>
      </c>
      <c r="C2369" s="6">
        <v>0.25</v>
      </c>
      <c r="D2369" s="6"/>
      <c r="F2369" s="7"/>
    </row>
    <row r="2370" spans="1:6" ht="23">
      <c r="A2370" s="5" t="s">
        <v>794</v>
      </c>
      <c r="B2370" s="6">
        <v>6.8</v>
      </c>
      <c r="C2370" s="6">
        <v>0</v>
      </c>
      <c r="D2370" s="6"/>
      <c r="F2370" s="7"/>
    </row>
    <row r="2371" spans="1:6" ht="23">
      <c r="A2371" s="5" t="s">
        <v>4600</v>
      </c>
      <c r="B2371" s="6">
        <v>7.4</v>
      </c>
      <c r="C2371" s="6">
        <v>0.5</v>
      </c>
      <c r="D2371" s="6"/>
      <c r="F2371" s="7"/>
    </row>
    <row r="2372" spans="1:6" ht="23">
      <c r="A2372" s="5" t="s">
        <v>520</v>
      </c>
      <c r="B2372" s="6">
        <v>7.1833333333333336</v>
      </c>
      <c r="C2372" s="6">
        <v>0.71976076272296585</v>
      </c>
      <c r="D2372" s="6"/>
      <c r="F2372" s="7"/>
    </row>
    <row r="2373" spans="1:6" ht="23">
      <c r="A2373" s="5" t="s">
        <v>6897</v>
      </c>
      <c r="B2373" s="6">
        <v>7.3</v>
      </c>
      <c r="C2373" s="6">
        <v>0</v>
      </c>
      <c r="D2373" s="6"/>
      <c r="F2373" s="7"/>
    </row>
    <row r="2374" spans="1:6" ht="23">
      <c r="A2374" s="5" t="s">
        <v>5829</v>
      </c>
      <c r="B2374" s="6">
        <v>5.45</v>
      </c>
      <c r="C2374" s="6">
        <v>0.25</v>
      </c>
      <c r="D2374" s="6"/>
      <c r="F2374" s="7"/>
    </row>
    <row r="2375" spans="1:6" ht="23">
      <c r="A2375" s="5" t="s">
        <v>1931</v>
      </c>
      <c r="B2375" s="6">
        <v>6.4</v>
      </c>
      <c r="C2375" s="6">
        <v>0</v>
      </c>
      <c r="D2375" s="6"/>
      <c r="F2375" s="7"/>
    </row>
    <row r="2376" spans="1:6" ht="23">
      <c r="A2376" s="5" t="s">
        <v>5085</v>
      </c>
      <c r="B2376" s="6">
        <v>7.15</v>
      </c>
      <c r="C2376" s="6">
        <v>0.45000000000000062</v>
      </c>
      <c r="D2376" s="6"/>
      <c r="F2376" s="7"/>
    </row>
    <row r="2377" spans="1:6" ht="23">
      <c r="A2377" s="5" t="s">
        <v>5083</v>
      </c>
      <c r="B2377" s="6">
        <v>5.0999999999999996</v>
      </c>
      <c r="C2377" s="6">
        <v>0</v>
      </c>
      <c r="D2377" s="6"/>
      <c r="F2377" s="7"/>
    </row>
    <row r="2378" spans="1:6" ht="23">
      <c r="A2378" s="5" t="s">
        <v>30</v>
      </c>
      <c r="B2378" s="6">
        <v>7.1428571428571432</v>
      </c>
      <c r="C2378" s="6">
        <v>0.51507875363771283</v>
      </c>
      <c r="D2378" s="6"/>
      <c r="F2378" s="7"/>
    </row>
    <row r="2379" spans="1:6" ht="23">
      <c r="A2379" s="5" t="s">
        <v>3430</v>
      </c>
      <c r="B2379" s="6">
        <v>4</v>
      </c>
      <c r="C2379" s="6">
        <v>0</v>
      </c>
      <c r="D2379" s="6"/>
      <c r="F2379" s="7"/>
    </row>
    <row r="2380" spans="1:6" ht="23">
      <c r="A2380" s="5" t="s">
        <v>5949</v>
      </c>
      <c r="B2380" s="6">
        <v>5</v>
      </c>
      <c r="C2380" s="6">
        <v>0</v>
      </c>
      <c r="D2380" s="6"/>
      <c r="F2380" s="7"/>
    </row>
    <row r="2381" spans="1:6" ht="23">
      <c r="A2381" s="5" t="s">
        <v>6314</v>
      </c>
      <c r="B2381" s="6">
        <v>6.6</v>
      </c>
      <c r="C2381" s="6">
        <v>0</v>
      </c>
      <c r="D2381" s="6"/>
      <c r="F2381" s="7"/>
    </row>
    <row r="2382" spans="1:6" ht="23">
      <c r="A2382" s="5" t="s">
        <v>5012</v>
      </c>
      <c r="B2382" s="6">
        <v>6.8000000000000007</v>
      </c>
      <c r="C2382" s="6">
        <v>9.9999999999954528E-2</v>
      </c>
      <c r="D2382" s="6"/>
      <c r="F2382" s="7"/>
    </row>
    <row r="2383" spans="1:6" ht="23">
      <c r="A2383" s="5" t="s">
        <v>6997</v>
      </c>
      <c r="B2383" s="6">
        <v>7.1</v>
      </c>
      <c r="C2383" s="6">
        <v>0</v>
      </c>
      <c r="D2383" s="6"/>
      <c r="F2383" s="7"/>
    </row>
    <row r="2384" spans="1:6" ht="23">
      <c r="A2384" s="5" t="s">
        <v>7242</v>
      </c>
      <c r="B2384" s="6">
        <v>6.413903966597065</v>
      </c>
      <c r="C2384" s="6">
        <v>1.1156145498169154</v>
      </c>
      <c r="D2384" s="6"/>
      <c r="F2384"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FE19-F0E2-D24E-8BF2-96288A4FAC8B}">
  <dimension ref="A2:F4"/>
  <sheetViews>
    <sheetView zoomScaleNormal="50" workbookViewId="0">
      <selection activeCell="F2" sqref="F2"/>
    </sheetView>
  </sheetViews>
  <sheetFormatPr baseColWidth="10" defaultRowHeight="22"/>
  <cols>
    <col min="2" max="2" width="18.125" customWidth="1"/>
    <col min="3" max="3" width="6" bestFit="1" customWidth="1"/>
    <col min="5" max="5" width="27.75" bestFit="1" customWidth="1"/>
    <col min="6" max="6" width="13.5" bestFit="1" customWidth="1"/>
  </cols>
  <sheetData>
    <row r="2" spans="1:6" ht="24">
      <c r="A2" s="31" t="s">
        <v>7251</v>
      </c>
      <c r="B2" s="31"/>
      <c r="C2" s="19">
        <f>CORREL(Table1[Budget],Table1[Gross])</f>
        <v>0.2384355074919137</v>
      </c>
      <c r="E2" s="18" t="s">
        <v>7260</v>
      </c>
      <c r="F2" s="23">
        <f>MAX(IMDB_Movies!I2:I4791)</f>
        <v>523505847</v>
      </c>
    </row>
    <row r="4" spans="1:6" ht="24">
      <c r="E4" s="32" t="s">
        <v>7261</v>
      </c>
      <c r="F4" s="32"/>
    </row>
  </sheetData>
  <mergeCells count="2">
    <mergeCell ref="A2:B2"/>
    <mergeCell ref="E4:F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08FAD4-DAED-5649-9EE5-DA9EEB9A8B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IMDB_Movies</vt:lpstr>
      <vt:lpstr>Movie Genre Analysis</vt:lpstr>
      <vt:lpstr>Movie Duration Analysis</vt:lpstr>
      <vt:lpstr>Language Analysis</vt:lpstr>
      <vt:lpstr>Director Analysis</vt:lpstr>
      <vt:lpstr>Budget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AASHUTOSH NAYAKWADI</dc:creator>
  <cp:lastModifiedBy>AASHUTOSH NAYAKWADI</cp:lastModifiedBy>
  <dcterms:created xsi:type="dcterms:W3CDTF">2026-04-18T22:11:16Z</dcterms:created>
  <dcterms:modified xsi:type="dcterms:W3CDTF">2026-04-24T15:24:33Z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773d9624-bf5d-4b60-b220-980a8a817915</vt:lpwstr>
  </property>
</Properties>
</file>